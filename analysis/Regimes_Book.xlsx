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ertification\2024 ATU Postgraduate Diploma in Cybersecurity (LY_ICYBS_G)\Dissertation\Resources\"/>
    </mc:Choice>
  </mc:AlternateContent>
  <xr:revisionPtr revIDLastSave="0" documentId="13_ncr:1_{3988010F-9D0E-4285-81AC-DA4D74B87C40}" xr6:coauthVersionLast="47" xr6:coauthVersionMax="47" xr10:uidLastSave="{00000000-0000-0000-0000-000000000000}"/>
  <bookViews>
    <workbookView xWindow="-120" yWindow="-120" windowWidth="29040" windowHeight="15720" activeTab="3" xr2:uid="{6984782A-FDBC-48E7-90F1-5B8977BDA0DD}"/>
  </bookViews>
  <sheets>
    <sheet name="20.11 legitimate_config" sheetId="5" r:id="rId1"/>
    <sheet name="Instruction" sheetId="1" r:id="rId2"/>
    <sheet name="legitimate_config_log.csv" sheetId="4" r:id="rId3"/>
    <sheet name="legitimate_results.csv" sheetId="3" r:id="rId4"/>
  </sheets>
  <definedNames>
    <definedName name="_xlnm._FilterDatabase" localSheetId="3" hidden="1">legitimate_results.csv!$A$2:$M$51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3" i="3"/>
  <c r="B21" i="5"/>
  <c r="B18" i="5"/>
  <c r="B15" i="5"/>
  <c r="B12" i="5"/>
  <c r="B9" i="5"/>
  <c r="B6" i="5"/>
  <c r="B3" i="5"/>
  <c r="B6" i="4"/>
  <c r="B9" i="4"/>
  <c r="B12" i="4"/>
  <c r="B15" i="4"/>
  <c r="B18" i="4"/>
  <c r="B21" i="4"/>
  <c r="B3" i="4"/>
</calcChain>
</file>

<file path=xl/sharedStrings.xml><?xml version="1.0" encoding="utf-8"?>
<sst xmlns="http://schemas.openxmlformats.org/spreadsheetml/2006/main" count="374" uniqueCount="102">
  <si>
    <t>Gmail</t>
  </si>
  <si>
    <t>Hotmail</t>
  </si>
  <si>
    <t>Yahoo</t>
  </si>
  <si>
    <t>None</t>
  </si>
  <si>
    <t>SPF</t>
  </si>
  <si>
    <t>SPF+DKIM</t>
  </si>
  <si>
    <t>Regimes</t>
  </si>
  <si>
    <t>DKIM</t>
  </si>
  <si>
    <t>DMARC p=none</t>
  </si>
  <si>
    <t>DMARC p=quarantine</t>
  </si>
  <si>
    <t>DMARC p=reject</t>
  </si>
  <si>
    <t>Legitimate emails:</t>
  </si>
  <si>
    <t>Spoofed emails:</t>
  </si>
  <si>
    <t>Inbox Count</t>
  </si>
  <si>
    <t>Spam Count</t>
  </si>
  <si>
    <t>Rejected Count</t>
  </si>
  <si>
    <t>Spoof Delivery Rate (calculated as (Inbox Count + Spam Count) / Total Sent)</t>
  </si>
  <si>
    <t>False Positive Rate (calculated as (Spam Count + Rejected Count) / Total Sent)</t>
  </si>
  <si>
    <t>Regime</t>
  </si>
  <si>
    <t>Receiver</t>
  </si>
  <si>
    <t>Total Sent</t>
  </si>
  <si>
    <t>False Positive Rate</t>
  </si>
  <si>
    <t>Time (minutes)</t>
  </si>
  <si>
    <t>Errors</t>
  </si>
  <si>
    <t>recipients.csv</t>
  </si>
  <si>
    <t xml:space="preserve"> swaks_spray.sh           # sender script (executable)</t>
  </si>
  <si>
    <t xml:space="preserve"> send_log.csv             # created/updated by swaks script</t>
  </si>
  <si>
    <t xml:space="preserve"> creds/                   # harvest credentials (per-mailbox files)</t>
  </si>
  <si>
    <t xml:space="preserve"> imap_harvest_multi.py    # harvester script</t>
  </si>
  <si>
    <t xml:space="preserve"> harvest_results/         # output CSVs go here</t>
  </si>
  <si>
    <t xml:space="preserve"> regime_runner.sh         # optional glue script</t>
  </si>
  <si>
    <t>aglishlabs.msc@gmail.com</t>
  </si>
  <si>
    <t>aglishlabs_msc@hotmail.com</t>
  </si>
  <si>
    <t>aglishlabs_msc@yahoo.com</t>
  </si>
  <si>
    <t>PmK$7h68dMc7aQL8</t>
  </si>
  <si>
    <t>AQga6#oT7nr?Ab7$</t>
  </si>
  <si>
    <t>!tAq4bi4SfiGrTML</t>
  </si>
  <si>
    <t>imap.gmail.com</t>
  </si>
  <si>
    <t>outlook.office365.com</t>
  </si>
  <si>
    <t>imap.mail.yahoo.com</t>
  </si>
  <si>
    <t>none</t>
  </si>
  <si>
    <t>gmail</t>
  </si>
  <si>
    <t>hotmail</t>
  </si>
  <si>
    <t>yahoo</t>
  </si>
  <si>
    <t>spf</t>
  </si>
  <si>
    <t>dkim</t>
  </si>
  <si>
    <t>dmarc-none</t>
  </si>
  <si>
    <t>dmarc-quarantine</t>
  </si>
  <si>
    <t>dmarc-reject</t>
  </si>
  <si>
    <t>aglishlabs.email</t>
  </si>
  <si>
    <t>TXT</t>
  </si>
  <si>
    <t>v=spf1 mx -all</t>
  </si>
  <si>
    <t>Bezpieczna Poczta</t>
  </si>
  <si>
    <t>regime none</t>
  </si>
  <si>
    <t>regime dkim</t>
  </si>
  <si>
    <t>regime spf+dkim</t>
  </si>
  <si>
    <t>regime dmarc-none</t>
  </si>
  <si>
    <t>regime dmarc-quarantine</t>
  </si>
  <si>
    <t>regime dmarc-reject</t>
  </si>
  <si>
    <t>regime spf</t>
  </si>
  <si>
    <t>proton</t>
  </si>
  <si>
    <t>DNS check</t>
  </si>
  <si>
    <t>Email</t>
  </si>
  <si>
    <t>https://bezpiecznapoczta.cert.pl/check-results/8c06e01e3c4376ad20287345078cc6b718f720550f14b5532204a217e4b85e43</t>
  </si>
  <si>
    <t>https://www.mail-tester.com/test-6q6wcom7p</t>
  </si>
  <si>
    <t>https://bezpiecznapoczta.cert.pl/check-results/f8edc01d77e0e97987cff990045407bb33e5fa289354e747fb6312186b081760</t>
  </si>
  <si>
    <t>https://bezpiecznapoczta.cert.pl/check-results/c63a7333b674bbceaf47d15f82a0924efdeebe2ad3549d441b98f58dbb6dffcf</t>
  </si>
  <si>
    <t>https://www.mail-tester.com/test-edgtcoldh</t>
  </si>
  <si>
    <t>https://www.mail-tester.com/test-5gyxf8qsj</t>
  </si>
  <si>
    <t>https://bezpiecznapoczta.cert.pl/check-results/ca491fcd1173277d9afc8a8dd0912da24492a6af6bbbb857bc3fce310927e2d8</t>
  </si>
  <si>
    <t>spf+dkim</t>
  </si>
  <si>
    <t>https://www.mail-tester.com/test-n4ouuiygd</t>
  </si>
  <si>
    <t>https://bezpiecznapoczta.cert.pl/check-results/cced914fcad72170df67566d14e7756fc8b19385c4c9afce2a62ef4e760de484</t>
  </si>
  <si>
    <t>https://www.mail-tester.com/test-xqxh982k4</t>
  </si>
  <si>
    <t>https://bezpiecznapoczta.cert.pl/check-results/43b830813e3f4eb0464737431849368e1be0585099163c53eb055a048566e730</t>
  </si>
  <si>
    <t>https://bezpiecznapoczta.cert.pl/check-results/d4a22e17f868884dbdc8df54c910b4d7dd6c1599355a3114bd7cc0fa6f3695a3</t>
  </si>
  <si>
    <t>https://www.mail-tester.com/test-d8y91rvcy</t>
  </si>
  <si>
    <t>Comment</t>
  </si>
  <si>
    <t>aglishlabs_msc@proton.me</t>
  </si>
  <si>
    <t>aglishlabs_msc@mail.ru</t>
  </si>
  <si>
    <t>msc@dmarclabs.eu</t>
  </si>
  <si>
    <t>msc@dmarclabs.org</t>
  </si>
  <si>
    <t>Mail.ru</t>
  </si>
  <si>
    <t>Proton.me</t>
  </si>
  <si>
    <t>Blacknight Titan</t>
  </si>
  <si>
    <t>25 Mail St.</t>
  </si>
  <si>
    <t>dmarclabs.eu (Blacknight Titan)</t>
  </si>
  <si>
    <t>dmarclabs.org (25 Mail St.)</t>
  </si>
  <si>
    <t>Hotmail (Outlook)</t>
  </si>
  <si>
    <t>Proton</t>
  </si>
  <si>
    <t>Legitymate</t>
  </si>
  <si>
    <t>Spoofed</t>
  </si>
  <si>
    <t>Status</t>
  </si>
  <si>
    <t>Header</t>
  </si>
  <si>
    <t>mailru</t>
  </si>
  <si>
    <t>titan</t>
  </si>
  <si>
    <t>25mailst</t>
  </si>
  <si>
    <t>Settings</t>
  </si>
  <si>
    <t>blocked</t>
  </si>
  <si>
    <t>inbox</t>
  </si>
  <si>
    <t>junk/spam</t>
  </si>
  <si>
    <t>see 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</si>
</sst>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61666B"/>
      <name val="Segoe U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1" fillId="0" borderId="1" xfId="0" applyFont="1" applyBorder="1"/>
    <xf numFmtId="0" fontId="0" fillId="0" borderId="1" xfId="0" applyBorder="1"/>
    <xf numFmtId="0" fontId="3" fillId="0" borderId="1" xfId="1" applyBorder="1"/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4" fillId="3" borderId="1" xfId="0" applyFont="1" applyFill="1" applyBorder="1"/>
    <xf numFmtId="9" fontId="1" fillId="3" borderId="2" xfId="0" applyNumberFormat="1" applyFont="1" applyFill="1" applyBorder="1" applyAlignment="1">
      <alignment horizontal="center"/>
    </xf>
    <xf numFmtId="9" fontId="0" fillId="3" borderId="2" xfId="0" applyNumberForma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glishlabs_msc@yahoo.com" TargetMode="External"/><Relationship Id="rId7" Type="http://schemas.openxmlformats.org/officeDocument/2006/relationships/hyperlink" Target="mailto:msc@dmarclabs.org" TargetMode="External"/><Relationship Id="rId2" Type="http://schemas.openxmlformats.org/officeDocument/2006/relationships/hyperlink" Target="mailto:aglishlabs_msc@hotmail.com" TargetMode="External"/><Relationship Id="rId1" Type="http://schemas.openxmlformats.org/officeDocument/2006/relationships/hyperlink" Target="mailto:aglishlabs.msc@gmail.com" TargetMode="External"/><Relationship Id="rId6" Type="http://schemas.openxmlformats.org/officeDocument/2006/relationships/hyperlink" Target="mailto:msc@dmarclabs.eu" TargetMode="External"/><Relationship Id="rId5" Type="http://schemas.openxmlformats.org/officeDocument/2006/relationships/hyperlink" Target="mailto:aglishlabs_msc@proton.me" TargetMode="External"/><Relationship Id="rId4" Type="http://schemas.openxmlformats.org/officeDocument/2006/relationships/hyperlink" Target="mailto:aglishlabs_msc@mail.r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ezpiecznapoczta.cert.pl/check-results/ca491fcd1173277d9afc8a8dd0912da24492a6af6bbbb857bc3fce310927e2d8" TargetMode="External"/><Relationship Id="rId13" Type="http://schemas.openxmlformats.org/officeDocument/2006/relationships/hyperlink" Target="https://bezpiecznapoczta.cert.pl/check-results/d4a22e17f868884dbdc8df54c910b4d7dd6c1599355a3114bd7cc0fa6f3695a3" TargetMode="External"/><Relationship Id="rId3" Type="http://schemas.openxmlformats.org/officeDocument/2006/relationships/hyperlink" Target="https://bezpiecznapoczta.cert.pl/check-results/f8edc01d77e0e97987cff990045407bb33e5fa289354e747fb6312186b081760" TargetMode="External"/><Relationship Id="rId7" Type="http://schemas.openxmlformats.org/officeDocument/2006/relationships/hyperlink" Target="https://www.mail-tester.com/test-5gyxf8qsj" TargetMode="External"/><Relationship Id="rId12" Type="http://schemas.openxmlformats.org/officeDocument/2006/relationships/hyperlink" Target="https://bezpiecznapoczta.cert.pl/check-results/43b830813e3f4eb0464737431849368e1be0585099163c53eb055a048566e730" TargetMode="External"/><Relationship Id="rId2" Type="http://schemas.openxmlformats.org/officeDocument/2006/relationships/hyperlink" Target="https://www.mail-tester.com/test-6q6wcom7p" TargetMode="External"/><Relationship Id="rId1" Type="http://schemas.openxmlformats.org/officeDocument/2006/relationships/hyperlink" Target="https://bezpiecznapoczta.cert.pl/check-results/8c06e01e3c4376ad20287345078cc6b718f720550f14b5532204a217e4b85e43" TargetMode="External"/><Relationship Id="rId6" Type="http://schemas.openxmlformats.org/officeDocument/2006/relationships/hyperlink" Target="https://www.mail-tester.com/test-edgtcoldh" TargetMode="External"/><Relationship Id="rId11" Type="http://schemas.openxmlformats.org/officeDocument/2006/relationships/hyperlink" Target="https://www.mail-tester.com/test-xqxh982k4" TargetMode="External"/><Relationship Id="rId5" Type="http://schemas.openxmlformats.org/officeDocument/2006/relationships/hyperlink" Target="https://bezpiecznapoczta.cert.pl/check-results/c63a7333b674bbceaf47d15f82a0924efdeebe2ad3549d441b98f58dbb6dffcf" TargetMode="External"/><Relationship Id="rId10" Type="http://schemas.openxmlformats.org/officeDocument/2006/relationships/hyperlink" Target="https://bezpiecznapoczta.cert.pl/check-results/cced914fcad72170df67566d14e7756fc8b19385c4c9afce2a62ef4e760de484" TargetMode="External"/><Relationship Id="rId4" Type="http://schemas.openxmlformats.org/officeDocument/2006/relationships/hyperlink" Target="https://www.mail-tester.com/test-6q6wcom7p" TargetMode="External"/><Relationship Id="rId9" Type="http://schemas.openxmlformats.org/officeDocument/2006/relationships/hyperlink" Target="https://www.mail-tester.com/test-n4ouuiygd" TargetMode="External"/><Relationship Id="rId14" Type="http://schemas.openxmlformats.org/officeDocument/2006/relationships/hyperlink" Target="https://www.mail-tester.com/test-d8y91rv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57F7-C14D-4189-BA2B-5466789F5390}">
  <dimension ref="A1:E22"/>
  <sheetViews>
    <sheetView workbookViewId="0">
      <selection activeCell="B16" sqref="B16"/>
    </sheetView>
  </sheetViews>
  <sheetFormatPr defaultRowHeight="15" x14ac:dyDescent="0.25"/>
  <cols>
    <col min="1" max="1" width="23.28515625" style="5" bestFit="1" customWidth="1"/>
    <col min="2" max="2" width="40.140625" style="5" bestFit="1" customWidth="1"/>
    <col min="3" max="3" width="105" style="5" bestFit="1" customWidth="1"/>
    <col min="4" max="4" width="24.7109375" style="5" customWidth="1"/>
    <col min="5" max="5" width="10.7109375" style="5" customWidth="1"/>
  </cols>
  <sheetData>
    <row r="1" spans="1:5" s="2" customFormat="1" x14ac:dyDescent="0.25">
      <c r="A1" s="4" t="s">
        <v>18</v>
      </c>
      <c r="B1" s="4" t="s">
        <v>62</v>
      </c>
      <c r="C1" s="4" t="s">
        <v>61</v>
      </c>
      <c r="D1" s="4" t="s">
        <v>22</v>
      </c>
      <c r="E1" s="4" t="s">
        <v>23</v>
      </c>
    </row>
    <row r="3" spans="1:5" x14ac:dyDescent="0.25">
      <c r="A3" s="5" t="s">
        <v>53</v>
      </c>
      <c r="B3" s="5" t="str">
        <f>CONCATENATE("Test DNS policy for ",A3)</f>
        <v>Test DNS policy for regime none</v>
      </c>
      <c r="C3" s="6"/>
    </row>
    <row r="4" spans="1:5" x14ac:dyDescent="0.25">
      <c r="C4" s="6"/>
    </row>
    <row r="5" spans="1:5" x14ac:dyDescent="0.25">
      <c r="C5" s="6"/>
    </row>
    <row r="6" spans="1:5" x14ac:dyDescent="0.25">
      <c r="A6" s="5" t="s">
        <v>59</v>
      </c>
      <c r="B6" s="5" t="str">
        <f t="shared" ref="B6:B21" si="0">CONCATENATE("Test DNS policy for ",A6)</f>
        <v>Test DNS policy for regime spf</v>
      </c>
      <c r="C6" s="6"/>
    </row>
    <row r="7" spans="1:5" x14ac:dyDescent="0.25">
      <c r="C7" s="6"/>
    </row>
    <row r="8" spans="1:5" x14ac:dyDescent="0.25">
      <c r="C8" s="6"/>
    </row>
    <row r="9" spans="1:5" x14ac:dyDescent="0.25">
      <c r="A9" s="5" t="s">
        <v>54</v>
      </c>
      <c r="B9" s="5" t="str">
        <f t="shared" si="0"/>
        <v>Test DNS policy for regime dkim</v>
      </c>
      <c r="C9" s="6"/>
    </row>
    <row r="10" spans="1:5" x14ac:dyDescent="0.25">
      <c r="C10" s="6"/>
    </row>
    <row r="11" spans="1:5" x14ac:dyDescent="0.25">
      <c r="C11" s="6"/>
    </row>
    <row r="12" spans="1:5" x14ac:dyDescent="0.25">
      <c r="A12" s="5" t="s">
        <v>55</v>
      </c>
      <c r="B12" s="5" t="str">
        <f t="shared" si="0"/>
        <v>Test DNS policy for regime spf+dkim</v>
      </c>
      <c r="C12" s="6"/>
    </row>
    <row r="13" spans="1:5" x14ac:dyDescent="0.25">
      <c r="C13" s="6"/>
    </row>
    <row r="14" spans="1:5" x14ac:dyDescent="0.25">
      <c r="C14" s="6"/>
    </row>
    <row r="15" spans="1:5" x14ac:dyDescent="0.25">
      <c r="A15" s="5" t="s">
        <v>56</v>
      </c>
      <c r="B15" s="5" t="str">
        <f t="shared" si="0"/>
        <v>Test DNS policy for regime dmarc-none</v>
      </c>
      <c r="C15" s="6"/>
    </row>
    <row r="16" spans="1:5" x14ac:dyDescent="0.25">
      <c r="C16" s="6"/>
    </row>
    <row r="17" spans="1:3" x14ac:dyDescent="0.25">
      <c r="C17" s="6"/>
    </row>
    <row r="18" spans="1:3" x14ac:dyDescent="0.25">
      <c r="A18" s="5" t="s">
        <v>57</v>
      </c>
      <c r="B18" s="5" t="str">
        <f t="shared" si="0"/>
        <v>Test DNS policy for regime dmarc-quarantine</v>
      </c>
      <c r="C18" s="6"/>
    </row>
    <row r="19" spans="1:3" x14ac:dyDescent="0.25">
      <c r="C19" s="6"/>
    </row>
    <row r="20" spans="1:3" x14ac:dyDescent="0.25">
      <c r="C20" s="6"/>
    </row>
    <row r="21" spans="1:3" x14ac:dyDescent="0.25">
      <c r="A21" s="5" t="s">
        <v>58</v>
      </c>
      <c r="B21" s="5" t="str">
        <f t="shared" si="0"/>
        <v>Test DNS policy for regime dmarc-reject</v>
      </c>
      <c r="C21" s="6"/>
    </row>
    <row r="22" spans="1:3" x14ac:dyDescent="0.25">
      <c r="C2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EE71-BD6B-481E-93AC-2B3F37DE2046}">
  <dimension ref="A1:O22"/>
  <sheetViews>
    <sheetView workbookViewId="0">
      <selection activeCell="E13" sqref="E13"/>
    </sheetView>
  </sheetViews>
  <sheetFormatPr defaultRowHeight="15" x14ac:dyDescent="0.25"/>
  <cols>
    <col min="1" max="1" width="19.28515625" bestFit="1" customWidth="1"/>
    <col min="2" max="2" width="27.7109375" customWidth="1"/>
    <col min="3" max="5" width="25.5703125" bestFit="1" customWidth="1"/>
    <col min="6" max="6" width="22.7109375" bestFit="1" customWidth="1"/>
    <col min="7" max="7" width="25.5703125" bestFit="1" customWidth="1"/>
    <col min="8" max="8" width="18.42578125" bestFit="1" customWidth="1"/>
    <col min="9" max="9" width="19.140625" bestFit="1" customWidth="1"/>
    <col min="10" max="10" width="68.42578125" bestFit="1" customWidth="1"/>
    <col min="11" max="11" width="4" bestFit="1" customWidth="1"/>
    <col min="14" max="14" width="66.28515625" bestFit="1" customWidth="1"/>
    <col min="15" max="15" width="4" bestFit="1" customWidth="1"/>
  </cols>
  <sheetData>
    <row r="1" spans="1:15" x14ac:dyDescent="0.25">
      <c r="A1" t="s">
        <v>6</v>
      </c>
      <c r="B1" t="s">
        <v>52</v>
      </c>
      <c r="C1" t="s">
        <v>0</v>
      </c>
      <c r="D1" t="s">
        <v>1</v>
      </c>
      <c r="E1" t="s">
        <v>2</v>
      </c>
      <c r="F1" t="s">
        <v>82</v>
      </c>
      <c r="G1" t="s">
        <v>83</v>
      </c>
      <c r="H1" t="s">
        <v>84</v>
      </c>
      <c r="I1" t="s">
        <v>85</v>
      </c>
      <c r="J1" t="s">
        <v>11</v>
      </c>
      <c r="K1">
        <v>250</v>
      </c>
      <c r="N1" t="s">
        <v>12</v>
      </c>
      <c r="O1">
        <v>500</v>
      </c>
    </row>
    <row r="2" spans="1:15" x14ac:dyDescent="0.25">
      <c r="C2" s="3" t="s">
        <v>31</v>
      </c>
      <c r="D2" s="3" t="s">
        <v>32</v>
      </c>
      <c r="E2" s="3" t="s">
        <v>33</v>
      </c>
      <c r="F2" s="3" t="s">
        <v>79</v>
      </c>
      <c r="G2" s="3" t="s">
        <v>78</v>
      </c>
      <c r="H2" s="3" t="s">
        <v>80</v>
      </c>
      <c r="I2" s="3" t="s">
        <v>81</v>
      </c>
    </row>
    <row r="3" spans="1:15" x14ac:dyDescent="0.25">
      <c r="C3" s="3" t="s">
        <v>36</v>
      </c>
      <c r="D3" s="3" t="s">
        <v>34</v>
      </c>
      <c r="E3" s="3" t="s">
        <v>35</v>
      </c>
    </row>
    <row r="4" spans="1:15" x14ac:dyDescent="0.25">
      <c r="C4" s="3" t="s">
        <v>37</v>
      </c>
      <c r="D4" s="3" t="s">
        <v>38</v>
      </c>
      <c r="E4" s="3" t="s">
        <v>39</v>
      </c>
    </row>
    <row r="5" spans="1:15" x14ac:dyDescent="0.25">
      <c r="A5" t="s">
        <v>3</v>
      </c>
      <c r="B5" t="s">
        <v>53</v>
      </c>
    </row>
    <row r="6" spans="1:15" x14ac:dyDescent="0.25">
      <c r="A6" t="s">
        <v>4</v>
      </c>
      <c r="B6" t="s">
        <v>59</v>
      </c>
      <c r="C6" t="s">
        <v>49</v>
      </c>
      <c r="D6" t="s">
        <v>50</v>
      </c>
      <c r="E6" t="s">
        <v>51</v>
      </c>
      <c r="J6" t="s">
        <v>13</v>
      </c>
      <c r="N6" t="s">
        <v>13</v>
      </c>
    </row>
    <row r="7" spans="1:15" x14ac:dyDescent="0.25">
      <c r="A7" t="s">
        <v>7</v>
      </c>
      <c r="B7" t="s">
        <v>54</v>
      </c>
      <c r="J7" t="s">
        <v>14</v>
      </c>
      <c r="N7" t="s">
        <v>14</v>
      </c>
    </row>
    <row r="8" spans="1:15" x14ac:dyDescent="0.25">
      <c r="A8" t="s">
        <v>5</v>
      </c>
      <c r="B8" t="s">
        <v>55</v>
      </c>
      <c r="J8" t="s">
        <v>15</v>
      </c>
      <c r="N8" t="s">
        <v>15</v>
      </c>
    </row>
    <row r="9" spans="1:15" x14ac:dyDescent="0.25">
      <c r="A9" t="s">
        <v>8</v>
      </c>
      <c r="B9" t="s">
        <v>56</v>
      </c>
      <c r="J9" t="s">
        <v>17</v>
      </c>
      <c r="N9" t="s">
        <v>16</v>
      </c>
    </row>
    <row r="10" spans="1:15" x14ac:dyDescent="0.25">
      <c r="A10" t="s">
        <v>9</v>
      </c>
      <c r="B10" t="s">
        <v>57</v>
      </c>
    </row>
    <row r="11" spans="1:15" x14ac:dyDescent="0.25">
      <c r="A11" t="s">
        <v>10</v>
      </c>
      <c r="B11" t="s">
        <v>58</v>
      </c>
    </row>
    <row r="16" spans="1:15" x14ac:dyDescent="0.25">
      <c r="A16" s="1"/>
      <c r="B16" s="1"/>
      <c r="J16" t="s">
        <v>24</v>
      </c>
    </row>
    <row r="17" spans="10:10" x14ac:dyDescent="0.25">
      <c r="J17" t="s">
        <v>25</v>
      </c>
    </row>
    <row r="18" spans="10:10" x14ac:dyDescent="0.25">
      <c r="J18" t="s">
        <v>26</v>
      </c>
    </row>
    <row r="19" spans="10:10" x14ac:dyDescent="0.25">
      <c r="J19" t="s">
        <v>27</v>
      </c>
    </row>
    <row r="20" spans="10:10" x14ac:dyDescent="0.25">
      <c r="J20" t="s">
        <v>28</v>
      </c>
    </row>
    <row r="21" spans="10:10" x14ac:dyDescent="0.25">
      <c r="J21" t="s">
        <v>29</v>
      </c>
    </row>
    <row r="22" spans="10:10" x14ac:dyDescent="0.25">
      <c r="J22" t="s">
        <v>30</v>
      </c>
    </row>
  </sheetData>
  <hyperlinks>
    <hyperlink ref="C2" r:id="rId1" xr:uid="{D40D7789-5CC0-49AC-9B4D-75E232CD88F0}"/>
    <hyperlink ref="D2" r:id="rId2" xr:uid="{8A618011-91D1-4758-ABA4-5683E20BAE3B}"/>
    <hyperlink ref="E2" r:id="rId3" xr:uid="{DF42A665-297C-4AA3-A093-7FB116EE8BFB}"/>
    <hyperlink ref="F2" r:id="rId4" xr:uid="{71100B8D-9105-4079-A0DD-345961A6C9F7}"/>
    <hyperlink ref="G2" r:id="rId5" xr:uid="{E54A5EF4-34A3-4CAD-8C8F-0F5F843B0143}"/>
    <hyperlink ref="H2" r:id="rId6" xr:uid="{D2089F70-19B0-4812-9349-3392B0708F89}"/>
    <hyperlink ref="I2" r:id="rId7" xr:uid="{6FACB5D8-521D-4F83-9C10-2EFBB6E826D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A4E4-0B4B-4664-B8B1-FB91A00D01CE}">
  <dimension ref="A1:E22"/>
  <sheetViews>
    <sheetView workbookViewId="0">
      <selection activeCell="B29" sqref="B29"/>
    </sheetView>
  </sheetViews>
  <sheetFormatPr defaultRowHeight="15" x14ac:dyDescent="0.25"/>
  <cols>
    <col min="1" max="1" width="21.7109375" style="5" bestFit="1" customWidth="1"/>
    <col min="2" max="2" width="40.140625" style="5" bestFit="1" customWidth="1"/>
    <col min="3" max="3" width="105" style="5" bestFit="1" customWidth="1"/>
    <col min="4" max="4" width="24.7109375" style="5" customWidth="1"/>
    <col min="5" max="5" width="10.7109375" style="5" customWidth="1"/>
  </cols>
  <sheetData>
    <row r="1" spans="1:5" s="2" customFormat="1" x14ac:dyDescent="0.25">
      <c r="A1" s="4" t="s">
        <v>18</v>
      </c>
      <c r="B1" s="4" t="s">
        <v>62</v>
      </c>
      <c r="C1" s="4" t="s">
        <v>61</v>
      </c>
      <c r="D1" s="4" t="s">
        <v>22</v>
      </c>
      <c r="E1" s="4" t="s">
        <v>23</v>
      </c>
    </row>
    <row r="3" spans="1:5" x14ac:dyDescent="0.25">
      <c r="A3" s="5" t="s">
        <v>53</v>
      </c>
      <c r="B3" s="5" t="str">
        <f>CONCATENATE("Test DNS policy for ",A3)</f>
        <v>Test DNS policy for regime none</v>
      </c>
      <c r="C3" s="6" t="s">
        <v>64</v>
      </c>
    </row>
    <row r="4" spans="1:5" x14ac:dyDescent="0.25">
      <c r="C4" s="6" t="s">
        <v>63</v>
      </c>
    </row>
    <row r="5" spans="1:5" x14ac:dyDescent="0.25">
      <c r="C5" s="6"/>
    </row>
    <row r="6" spans="1:5" x14ac:dyDescent="0.25">
      <c r="A6" s="5" t="s">
        <v>59</v>
      </c>
      <c r="B6" s="5" t="str">
        <f t="shared" ref="B6:B21" si="0">CONCATENATE("Test DNS policy for ",A6)</f>
        <v>Test DNS policy for regime spf</v>
      </c>
      <c r="C6" s="6" t="s">
        <v>64</v>
      </c>
    </row>
    <row r="7" spans="1:5" x14ac:dyDescent="0.25">
      <c r="C7" s="6" t="s">
        <v>65</v>
      </c>
    </row>
    <row r="8" spans="1:5" x14ac:dyDescent="0.25">
      <c r="C8" s="6"/>
    </row>
    <row r="9" spans="1:5" x14ac:dyDescent="0.25">
      <c r="A9" s="5" t="s">
        <v>54</v>
      </c>
      <c r="B9" s="5" t="str">
        <f t="shared" si="0"/>
        <v>Test DNS policy for regime dkim</v>
      </c>
      <c r="C9" s="6" t="s">
        <v>67</v>
      </c>
    </row>
    <row r="10" spans="1:5" x14ac:dyDescent="0.25">
      <c r="C10" s="6" t="s">
        <v>66</v>
      </c>
    </row>
    <row r="11" spans="1:5" x14ac:dyDescent="0.25">
      <c r="C11" s="6"/>
    </row>
    <row r="12" spans="1:5" x14ac:dyDescent="0.25">
      <c r="A12" s="5" t="s">
        <v>55</v>
      </c>
      <c r="B12" s="5" t="str">
        <f t="shared" si="0"/>
        <v>Test DNS policy for regime spf+dkim</v>
      </c>
      <c r="C12" s="6" t="s">
        <v>68</v>
      </c>
    </row>
    <row r="13" spans="1:5" x14ac:dyDescent="0.25">
      <c r="C13" s="6" t="s">
        <v>69</v>
      </c>
    </row>
    <row r="14" spans="1:5" x14ac:dyDescent="0.25">
      <c r="C14" s="6"/>
    </row>
    <row r="15" spans="1:5" x14ac:dyDescent="0.25">
      <c r="A15" s="5" t="s">
        <v>56</v>
      </c>
      <c r="B15" s="5" t="str">
        <f t="shared" si="0"/>
        <v>Test DNS policy for regime dmarc-none</v>
      </c>
      <c r="C15" s="6" t="s">
        <v>71</v>
      </c>
    </row>
    <row r="16" spans="1:5" x14ac:dyDescent="0.25">
      <c r="C16" s="6" t="s">
        <v>72</v>
      </c>
    </row>
    <row r="17" spans="1:3" x14ac:dyDescent="0.25">
      <c r="C17" s="6"/>
    </row>
    <row r="18" spans="1:3" x14ac:dyDescent="0.25">
      <c r="A18" s="5" t="s">
        <v>57</v>
      </c>
      <c r="B18" s="5" t="str">
        <f t="shared" si="0"/>
        <v>Test DNS policy for regime dmarc-quarantine</v>
      </c>
      <c r="C18" s="6" t="s">
        <v>73</v>
      </c>
    </row>
    <row r="19" spans="1:3" x14ac:dyDescent="0.25">
      <c r="C19" s="6" t="s">
        <v>74</v>
      </c>
    </row>
    <row r="20" spans="1:3" x14ac:dyDescent="0.25">
      <c r="C20" s="6"/>
    </row>
    <row r="21" spans="1:3" x14ac:dyDescent="0.25">
      <c r="A21" s="5" t="s">
        <v>58</v>
      </c>
      <c r="B21" s="5" t="str">
        <f t="shared" si="0"/>
        <v>Test DNS policy for regime dmarc-reject</v>
      </c>
      <c r="C21" s="6" t="s">
        <v>76</v>
      </c>
    </row>
    <row r="22" spans="1:3" x14ac:dyDescent="0.25">
      <c r="C22" s="6" t="s">
        <v>75</v>
      </c>
    </row>
  </sheetData>
  <hyperlinks>
    <hyperlink ref="C4" r:id="rId1" xr:uid="{605C68E3-F93E-463F-807D-71B447A525D1}"/>
    <hyperlink ref="C3" r:id="rId2" xr:uid="{84DB881C-6574-4483-9008-53BFF8C04B5A}"/>
    <hyperlink ref="C7" r:id="rId3" xr:uid="{6C8FDE92-9616-4ECD-AB2C-AD38992585ED}"/>
    <hyperlink ref="C6" r:id="rId4" xr:uid="{53CE76AA-A87F-42BF-BCB0-E961E4FF200E}"/>
    <hyperlink ref="C10" r:id="rId5" xr:uid="{31DC378F-84B6-4512-8799-49AFA4940011}"/>
    <hyperlink ref="C9" r:id="rId6" xr:uid="{87C623D0-2732-4911-A58A-239C3FB6C161}"/>
    <hyperlink ref="C12" r:id="rId7" xr:uid="{19E1507D-EFDD-424F-A31D-D3054490E6CD}"/>
    <hyperlink ref="C13" r:id="rId8" xr:uid="{9D730D7E-37CD-4D3D-AAA1-7D44E385C3D0}"/>
    <hyperlink ref="C15" r:id="rId9" xr:uid="{40518B91-84DE-4526-9AFE-3CE4D88EF322}"/>
    <hyperlink ref="C16" r:id="rId10" xr:uid="{F867BF02-2613-4A8E-9BAE-92233D223273}"/>
    <hyperlink ref="C18" r:id="rId11" xr:uid="{E6A33F22-C6A9-4512-A0F6-7B907236C74C}"/>
    <hyperlink ref="C19" r:id="rId12" xr:uid="{0B99CBC2-0210-456A-853F-96F9EED0E721}"/>
    <hyperlink ref="C22" r:id="rId13" xr:uid="{294B511A-B77B-4DAD-8EA3-FF86B3E7A365}"/>
    <hyperlink ref="C21" r:id="rId14" xr:uid="{5930B288-A9AD-4A46-9792-8140EE27D55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C499-0E31-4045-B01B-FEC05EED9479}">
  <dimension ref="A1:M51"/>
  <sheetViews>
    <sheetView tabSelected="1" workbookViewId="0">
      <pane ySplit="1" topLeftCell="A2" activePane="bottomLeft" state="frozen"/>
      <selection pane="bottomLeft" activeCell="J51" sqref="A1:J51"/>
    </sheetView>
  </sheetViews>
  <sheetFormatPr defaultRowHeight="15" x14ac:dyDescent="0.25"/>
  <cols>
    <col min="1" max="1" width="15.7109375" style="13" bestFit="1" customWidth="1"/>
    <col min="2" max="2" width="30" style="13" bestFit="1" customWidth="1"/>
    <col min="3" max="3" width="22.7109375" style="5" hidden="1" customWidth="1"/>
    <col min="4" max="4" width="26.5703125" style="11" hidden="1" customWidth="1"/>
    <col min="5" max="5" width="9.7109375" style="11" bestFit="1" customWidth="1"/>
    <col min="6" max="7" width="11.7109375" style="11" bestFit="1" customWidth="1"/>
    <col min="8" max="8" width="14.85546875" style="11" bestFit="1" customWidth="1"/>
    <col min="9" max="9" width="18.28515625" style="21" bestFit="1" customWidth="1"/>
    <col min="10" max="10" width="10.5703125" style="11" bestFit="1" customWidth="1"/>
    <col min="11" max="11" width="27.140625" style="9" hidden="1" customWidth="1"/>
    <col min="12" max="12" width="18.28515625" style="9" hidden="1" customWidth="1"/>
    <col min="13" max="13" width="14.5703125" style="9" hidden="1" customWidth="1"/>
  </cols>
  <sheetData>
    <row r="1" spans="1:13" x14ac:dyDescent="0.25">
      <c r="A1" s="25" t="s">
        <v>97</v>
      </c>
      <c r="B1" s="26"/>
      <c r="C1" s="7"/>
      <c r="D1" s="22" t="s">
        <v>90</v>
      </c>
      <c r="E1" s="23"/>
      <c r="F1" s="23"/>
      <c r="G1" s="23"/>
      <c r="H1" s="23"/>
      <c r="I1" s="23"/>
      <c r="J1" s="24"/>
      <c r="K1" s="27" t="s">
        <v>91</v>
      </c>
      <c r="L1" s="28"/>
      <c r="M1" s="29"/>
    </row>
    <row r="2" spans="1:13" s="16" customFormat="1" x14ac:dyDescent="0.25">
      <c r="A2" s="14" t="s">
        <v>18</v>
      </c>
      <c r="B2" s="14" t="s">
        <v>19</v>
      </c>
      <c r="C2" s="15"/>
      <c r="D2" s="10" t="s">
        <v>93</v>
      </c>
      <c r="E2" s="10" t="s">
        <v>20</v>
      </c>
      <c r="F2" s="10" t="s">
        <v>13</v>
      </c>
      <c r="G2" s="10" t="s">
        <v>14</v>
      </c>
      <c r="H2" s="10" t="s">
        <v>15</v>
      </c>
      <c r="I2" s="20" t="s">
        <v>21</v>
      </c>
      <c r="J2" s="10" t="s">
        <v>77</v>
      </c>
      <c r="K2" s="8" t="s">
        <v>93</v>
      </c>
      <c r="L2" s="8" t="s">
        <v>92</v>
      </c>
      <c r="M2" s="8" t="s">
        <v>77</v>
      </c>
    </row>
    <row r="3" spans="1:13" x14ac:dyDescent="0.25">
      <c r="A3" s="13" t="s">
        <v>40</v>
      </c>
      <c r="B3" s="13" t="s">
        <v>0</v>
      </c>
      <c r="C3" s="5" t="s">
        <v>41</v>
      </c>
      <c r="D3" s="18" t="str">
        <f>CONCATENATE("leg","-",A3,"-",C3)</f>
        <v>leg-none-gmail</v>
      </c>
      <c r="E3" s="11">
        <v>10</v>
      </c>
      <c r="F3" s="11">
        <v>0</v>
      </c>
      <c r="G3" s="11">
        <v>0</v>
      </c>
      <c r="H3" s="11">
        <v>10</v>
      </c>
      <c r="I3" s="21">
        <f>(G3+H3)/E3</f>
        <v>1</v>
      </c>
      <c r="J3" s="12" t="s">
        <v>98</v>
      </c>
      <c r="K3" s="17" t="str">
        <f>CONCATENATE("spo","-",A3,"-",C3)</f>
        <v>spo-none-gmail</v>
      </c>
      <c r="L3" s="9" t="s">
        <v>98</v>
      </c>
      <c r="M3" s="9" t="s">
        <v>101</v>
      </c>
    </row>
    <row r="4" spans="1:13" x14ac:dyDescent="0.25">
      <c r="A4" s="13" t="s">
        <v>40</v>
      </c>
      <c r="B4" s="13" t="s">
        <v>88</v>
      </c>
      <c r="C4" s="5" t="s">
        <v>42</v>
      </c>
      <c r="D4" s="18" t="str">
        <f t="shared" ref="D4:D51" si="0">CONCATENATE("leg","-",A4,"-",C4)</f>
        <v>leg-none-hotmail</v>
      </c>
      <c r="E4" s="11">
        <v>10</v>
      </c>
      <c r="F4" s="11">
        <v>0</v>
      </c>
      <c r="G4" s="11">
        <v>10</v>
      </c>
      <c r="H4" s="11">
        <v>0</v>
      </c>
      <c r="I4" s="21">
        <f t="shared" ref="I4:I51" si="1">(G4+H4)/E4</f>
        <v>1</v>
      </c>
      <c r="J4" s="11" t="s">
        <v>100</v>
      </c>
      <c r="K4" s="17" t="str">
        <f t="shared" ref="K4:K51" si="2">CONCATENATE("spo","-",A4,"-",C4)</f>
        <v>spo-none-hotmail</v>
      </c>
      <c r="L4" s="9" t="s">
        <v>100</v>
      </c>
      <c r="M4" s="9" t="s">
        <v>101</v>
      </c>
    </row>
    <row r="5" spans="1:13" x14ac:dyDescent="0.25">
      <c r="A5" s="13" t="s">
        <v>40</v>
      </c>
      <c r="B5" s="13" t="s">
        <v>2</v>
      </c>
      <c r="C5" s="5" t="s">
        <v>43</v>
      </c>
      <c r="D5" s="18" t="str">
        <f t="shared" si="0"/>
        <v>leg-none-yahoo</v>
      </c>
      <c r="E5" s="19">
        <v>10</v>
      </c>
      <c r="F5" s="11">
        <v>0</v>
      </c>
      <c r="G5" s="11">
        <v>6</v>
      </c>
      <c r="H5" s="11">
        <v>4</v>
      </c>
      <c r="I5" s="21">
        <f t="shared" si="1"/>
        <v>1</v>
      </c>
      <c r="J5" s="12" t="s">
        <v>98</v>
      </c>
      <c r="K5" s="17" t="str">
        <f t="shared" si="2"/>
        <v>spo-none-yahoo</v>
      </c>
      <c r="L5" s="9" t="s">
        <v>100</v>
      </c>
    </row>
    <row r="6" spans="1:13" x14ac:dyDescent="0.25">
      <c r="A6" s="13" t="s">
        <v>40</v>
      </c>
      <c r="B6" s="13" t="s">
        <v>82</v>
      </c>
      <c r="C6" s="5" t="s">
        <v>94</v>
      </c>
      <c r="D6" s="18" t="str">
        <f t="shared" si="0"/>
        <v>leg-none-mailru</v>
      </c>
      <c r="E6" s="11">
        <v>10</v>
      </c>
      <c r="F6" s="11">
        <v>10</v>
      </c>
      <c r="G6" s="11">
        <v>0</v>
      </c>
      <c r="H6" s="11">
        <v>0</v>
      </c>
      <c r="I6" s="21">
        <f t="shared" si="1"/>
        <v>0</v>
      </c>
      <c r="J6" s="11" t="s">
        <v>99</v>
      </c>
      <c r="K6" s="17" t="str">
        <f t="shared" si="2"/>
        <v>spo-none-mailru</v>
      </c>
      <c r="L6" s="9" t="s">
        <v>99</v>
      </c>
    </row>
    <row r="7" spans="1:13" x14ac:dyDescent="0.25">
      <c r="A7" s="13" t="s">
        <v>40</v>
      </c>
      <c r="B7" s="13" t="s">
        <v>89</v>
      </c>
      <c r="C7" s="5" t="s">
        <v>60</v>
      </c>
      <c r="D7" s="18" t="str">
        <f t="shared" si="0"/>
        <v>leg-none-proton</v>
      </c>
      <c r="E7" s="11">
        <v>10</v>
      </c>
      <c r="F7" s="11">
        <v>10</v>
      </c>
      <c r="G7" s="11">
        <v>0</v>
      </c>
      <c r="H7" s="11">
        <v>0</v>
      </c>
      <c r="I7" s="21">
        <f t="shared" si="1"/>
        <v>0</v>
      </c>
      <c r="J7" s="11" t="s">
        <v>99</v>
      </c>
      <c r="K7" s="17" t="str">
        <f t="shared" si="2"/>
        <v>spo-none-proton</v>
      </c>
      <c r="L7" s="9" t="s">
        <v>100</v>
      </c>
    </row>
    <row r="8" spans="1:13" x14ac:dyDescent="0.25">
      <c r="A8" s="13" t="s">
        <v>40</v>
      </c>
      <c r="B8" s="13" t="s">
        <v>86</v>
      </c>
      <c r="C8" s="5" t="s">
        <v>95</v>
      </c>
      <c r="D8" s="18" t="str">
        <f t="shared" si="0"/>
        <v>leg-none-titan</v>
      </c>
      <c r="E8" s="11">
        <v>10</v>
      </c>
      <c r="F8" s="11">
        <v>0</v>
      </c>
      <c r="G8" s="11">
        <v>10</v>
      </c>
      <c r="H8" s="11">
        <v>0</v>
      </c>
      <c r="I8" s="21">
        <f t="shared" si="1"/>
        <v>1</v>
      </c>
      <c r="J8" s="11" t="s">
        <v>100</v>
      </c>
      <c r="K8" s="17" t="str">
        <f t="shared" si="2"/>
        <v>spo-none-titan</v>
      </c>
      <c r="L8" s="9" t="s">
        <v>99</v>
      </c>
    </row>
    <row r="9" spans="1:13" x14ac:dyDescent="0.25">
      <c r="A9" s="13" t="s">
        <v>40</v>
      </c>
      <c r="B9" s="13" t="s">
        <v>87</v>
      </c>
      <c r="C9" s="5" t="s">
        <v>96</v>
      </c>
      <c r="D9" s="18" t="str">
        <f t="shared" si="0"/>
        <v>leg-none-25mailst</v>
      </c>
      <c r="E9" s="11">
        <v>10</v>
      </c>
      <c r="F9" s="11">
        <v>0</v>
      </c>
      <c r="G9" s="11">
        <v>0</v>
      </c>
      <c r="H9" s="11">
        <v>10</v>
      </c>
      <c r="I9" s="21">
        <f t="shared" si="1"/>
        <v>1</v>
      </c>
      <c r="J9" s="11" t="s">
        <v>98</v>
      </c>
      <c r="K9" s="17" t="str">
        <f t="shared" si="2"/>
        <v>spo-none-25mailst</v>
      </c>
      <c r="L9" s="9" t="s">
        <v>99</v>
      </c>
    </row>
    <row r="10" spans="1:13" x14ac:dyDescent="0.25">
      <c r="A10" s="13" t="s">
        <v>44</v>
      </c>
      <c r="B10" s="13" t="s">
        <v>0</v>
      </c>
      <c r="C10" s="5" t="s">
        <v>41</v>
      </c>
      <c r="D10" s="18" t="str">
        <f t="shared" si="0"/>
        <v>leg-spf-gmail</v>
      </c>
      <c r="E10" s="11">
        <v>10</v>
      </c>
      <c r="F10" s="11">
        <v>10</v>
      </c>
      <c r="G10" s="11">
        <v>0</v>
      </c>
      <c r="H10" s="11">
        <v>0</v>
      </c>
      <c r="I10" s="21">
        <f t="shared" si="1"/>
        <v>0</v>
      </c>
      <c r="J10" s="12" t="s">
        <v>99</v>
      </c>
      <c r="K10" s="17" t="str">
        <f t="shared" si="2"/>
        <v>spo-spf-gmail</v>
      </c>
      <c r="L10" s="9" t="s">
        <v>98</v>
      </c>
      <c r="M10" s="9" t="s">
        <v>101</v>
      </c>
    </row>
    <row r="11" spans="1:13" x14ac:dyDescent="0.25">
      <c r="A11" s="13" t="s">
        <v>44</v>
      </c>
      <c r="B11" s="13" t="s">
        <v>88</v>
      </c>
      <c r="C11" s="5" t="s">
        <v>42</v>
      </c>
      <c r="D11" s="18" t="str">
        <f t="shared" si="0"/>
        <v>leg-spf-hotmail</v>
      </c>
      <c r="E11" s="11">
        <v>10</v>
      </c>
      <c r="F11" s="11">
        <v>0</v>
      </c>
      <c r="G11" s="11">
        <v>10</v>
      </c>
      <c r="H11" s="11">
        <v>0</v>
      </c>
      <c r="I11" s="21">
        <f t="shared" si="1"/>
        <v>1</v>
      </c>
      <c r="J11" s="11" t="s">
        <v>100</v>
      </c>
      <c r="K11" s="17" t="str">
        <f t="shared" si="2"/>
        <v>spo-spf-hotmail</v>
      </c>
      <c r="L11" s="9" t="s">
        <v>100</v>
      </c>
      <c r="M11" s="9" t="s">
        <v>101</v>
      </c>
    </row>
    <row r="12" spans="1:13" x14ac:dyDescent="0.25">
      <c r="A12" s="13" t="s">
        <v>44</v>
      </c>
      <c r="B12" s="13" t="s">
        <v>2</v>
      </c>
      <c r="C12" s="5" t="s">
        <v>43</v>
      </c>
      <c r="D12" s="18" t="str">
        <f t="shared" si="0"/>
        <v>leg-spf-yahoo</v>
      </c>
      <c r="E12" s="19">
        <v>10</v>
      </c>
      <c r="F12" s="11">
        <v>0</v>
      </c>
      <c r="G12" s="11">
        <v>7</v>
      </c>
      <c r="H12" s="11">
        <v>3</v>
      </c>
      <c r="I12" s="21">
        <f t="shared" si="1"/>
        <v>1</v>
      </c>
      <c r="J12" s="11" t="s">
        <v>100</v>
      </c>
      <c r="K12" s="17" t="str">
        <f t="shared" si="2"/>
        <v>spo-spf-yahoo</v>
      </c>
      <c r="L12" s="9" t="s">
        <v>100</v>
      </c>
    </row>
    <row r="13" spans="1:13" x14ac:dyDescent="0.25">
      <c r="A13" s="13" t="s">
        <v>44</v>
      </c>
      <c r="B13" s="13" t="s">
        <v>82</v>
      </c>
      <c r="C13" s="5" t="s">
        <v>94</v>
      </c>
      <c r="D13" s="18" t="str">
        <f t="shared" si="0"/>
        <v>leg-spf-mailru</v>
      </c>
      <c r="E13" s="11">
        <v>10</v>
      </c>
      <c r="F13" s="11">
        <v>10</v>
      </c>
      <c r="G13" s="11">
        <v>0</v>
      </c>
      <c r="H13" s="11">
        <v>0</v>
      </c>
      <c r="I13" s="21">
        <f t="shared" si="1"/>
        <v>0</v>
      </c>
      <c r="J13" s="12" t="s">
        <v>99</v>
      </c>
      <c r="K13" s="17" t="str">
        <f t="shared" si="2"/>
        <v>spo-spf-mailru</v>
      </c>
      <c r="L13" s="9" t="s">
        <v>99</v>
      </c>
    </row>
    <row r="14" spans="1:13" x14ac:dyDescent="0.25">
      <c r="A14" s="13" t="s">
        <v>44</v>
      </c>
      <c r="B14" s="13" t="s">
        <v>89</v>
      </c>
      <c r="C14" s="5" t="s">
        <v>60</v>
      </c>
      <c r="D14" s="18" t="str">
        <f t="shared" si="0"/>
        <v>leg-spf-proton</v>
      </c>
      <c r="E14" s="11">
        <v>10</v>
      </c>
      <c r="F14" s="11">
        <v>10</v>
      </c>
      <c r="G14" s="11">
        <v>0</v>
      </c>
      <c r="H14" s="11">
        <v>0</v>
      </c>
      <c r="I14" s="21">
        <f t="shared" si="1"/>
        <v>0</v>
      </c>
      <c r="J14" s="12" t="s">
        <v>99</v>
      </c>
      <c r="K14" s="17" t="str">
        <f t="shared" si="2"/>
        <v>spo-spf-proton</v>
      </c>
      <c r="L14" s="9" t="s">
        <v>100</v>
      </c>
    </row>
    <row r="15" spans="1:13" x14ac:dyDescent="0.25">
      <c r="A15" s="13" t="s">
        <v>44</v>
      </c>
      <c r="B15" s="13" t="s">
        <v>86</v>
      </c>
      <c r="C15" s="5" t="s">
        <v>95</v>
      </c>
      <c r="D15" s="18" t="str">
        <f t="shared" si="0"/>
        <v>leg-spf-titan</v>
      </c>
      <c r="E15" s="11">
        <v>10</v>
      </c>
      <c r="F15" s="11">
        <v>0</v>
      </c>
      <c r="G15" s="11">
        <v>10</v>
      </c>
      <c r="H15" s="11">
        <v>0</v>
      </c>
      <c r="I15" s="21">
        <f t="shared" si="1"/>
        <v>1</v>
      </c>
      <c r="J15" s="11" t="s">
        <v>100</v>
      </c>
      <c r="K15" s="17" t="str">
        <f t="shared" si="2"/>
        <v>spo-spf-titan</v>
      </c>
      <c r="L15" s="9" t="s">
        <v>99</v>
      </c>
    </row>
    <row r="16" spans="1:13" x14ac:dyDescent="0.25">
      <c r="A16" s="13" t="s">
        <v>44</v>
      </c>
      <c r="B16" s="13" t="s">
        <v>87</v>
      </c>
      <c r="C16" s="5" t="s">
        <v>96</v>
      </c>
      <c r="D16" s="18" t="str">
        <f t="shared" si="0"/>
        <v>leg-spf-25mailst</v>
      </c>
      <c r="E16" s="11">
        <v>10</v>
      </c>
      <c r="F16" s="11">
        <v>0</v>
      </c>
      <c r="G16" s="11">
        <v>0</v>
      </c>
      <c r="H16" s="11">
        <v>10</v>
      </c>
      <c r="I16" s="21">
        <f t="shared" si="1"/>
        <v>1</v>
      </c>
      <c r="J16" s="11" t="s">
        <v>98</v>
      </c>
      <c r="K16" s="17" t="str">
        <f t="shared" si="2"/>
        <v>spo-spf-25mailst</v>
      </c>
      <c r="L16" s="9" t="s">
        <v>99</v>
      </c>
    </row>
    <row r="17" spans="1:13" x14ac:dyDescent="0.25">
      <c r="A17" s="13" t="s">
        <v>45</v>
      </c>
      <c r="B17" s="13" t="s">
        <v>0</v>
      </c>
      <c r="C17" s="5" t="s">
        <v>41</v>
      </c>
      <c r="D17" s="18" t="str">
        <f t="shared" si="0"/>
        <v>leg-dkim-gmail</v>
      </c>
      <c r="E17" s="11">
        <v>10</v>
      </c>
      <c r="F17" s="11">
        <v>10</v>
      </c>
      <c r="G17" s="11">
        <v>0</v>
      </c>
      <c r="H17" s="11">
        <v>0</v>
      </c>
      <c r="I17" s="21">
        <f t="shared" si="1"/>
        <v>0</v>
      </c>
      <c r="J17" s="12" t="s">
        <v>99</v>
      </c>
      <c r="K17" s="17" t="str">
        <f t="shared" si="2"/>
        <v>spo-dkim-gmail</v>
      </c>
      <c r="L17" s="9" t="s">
        <v>98</v>
      </c>
      <c r="M17" s="9" t="s">
        <v>101</v>
      </c>
    </row>
    <row r="18" spans="1:13" x14ac:dyDescent="0.25">
      <c r="A18" s="13" t="s">
        <v>45</v>
      </c>
      <c r="B18" s="13" t="s">
        <v>88</v>
      </c>
      <c r="C18" s="5" t="s">
        <v>42</v>
      </c>
      <c r="D18" s="18" t="str">
        <f t="shared" si="0"/>
        <v>leg-dkim-hotmail</v>
      </c>
      <c r="E18" s="11">
        <v>10</v>
      </c>
      <c r="F18" s="11">
        <v>0</v>
      </c>
      <c r="G18" s="11">
        <v>10</v>
      </c>
      <c r="H18" s="11">
        <v>0</v>
      </c>
      <c r="I18" s="21">
        <f t="shared" si="1"/>
        <v>1</v>
      </c>
      <c r="J18" s="11" t="s">
        <v>100</v>
      </c>
      <c r="K18" s="17" t="str">
        <f t="shared" si="2"/>
        <v>spo-dkim-hotmail</v>
      </c>
      <c r="L18" s="9" t="s">
        <v>100</v>
      </c>
      <c r="M18" s="9" t="s">
        <v>101</v>
      </c>
    </row>
    <row r="19" spans="1:13" x14ac:dyDescent="0.25">
      <c r="A19" s="13" t="s">
        <v>45</v>
      </c>
      <c r="B19" s="13" t="s">
        <v>2</v>
      </c>
      <c r="C19" s="5" t="s">
        <v>43</v>
      </c>
      <c r="D19" s="18" t="str">
        <f t="shared" si="0"/>
        <v>leg-dkim-yahoo</v>
      </c>
      <c r="E19" s="11">
        <v>10</v>
      </c>
      <c r="F19" s="11">
        <v>0</v>
      </c>
      <c r="G19" s="11">
        <v>4</v>
      </c>
      <c r="H19" s="11">
        <v>6</v>
      </c>
      <c r="I19" s="21">
        <f t="shared" si="1"/>
        <v>1</v>
      </c>
      <c r="J19" s="11" t="s">
        <v>100</v>
      </c>
      <c r="K19" s="17" t="str">
        <f t="shared" si="2"/>
        <v>spo-dkim-yahoo</v>
      </c>
      <c r="L19" s="9" t="s">
        <v>100</v>
      </c>
    </row>
    <row r="20" spans="1:13" x14ac:dyDescent="0.25">
      <c r="A20" s="13" t="s">
        <v>45</v>
      </c>
      <c r="B20" s="13" t="s">
        <v>82</v>
      </c>
      <c r="C20" s="5" t="s">
        <v>94</v>
      </c>
      <c r="D20" s="18" t="str">
        <f t="shared" si="0"/>
        <v>leg-dkim-mailru</v>
      </c>
      <c r="E20" s="11">
        <v>10</v>
      </c>
      <c r="F20" s="11">
        <v>10</v>
      </c>
      <c r="G20" s="11">
        <v>0</v>
      </c>
      <c r="H20" s="11">
        <v>0</v>
      </c>
      <c r="I20" s="21">
        <f t="shared" si="1"/>
        <v>0</v>
      </c>
      <c r="J20" s="12" t="s">
        <v>99</v>
      </c>
      <c r="K20" s="17" t="str">
        <f t="shared" si="2"/>
        <v>spo-dkim-mailru</v>
      </c>
      <c r="L20" s="9" t="s">
        <v>99</v>
      </c>
    </row>
    <row r="21" spans="1:13" x14ac:dyDescent="0.25">
      <c r="A21" s="13" t="s">
        <v>45</v>
      </c>
      <c r="B21" s="13" t="s">
        <v>89</v>
      </c>
      <c r="C21" s="5" t="s">
        <v>60</v>
      </c>
      <c r="D21" s="18" t="str">
        <f t="shared" si="0"/>
        <v>leg-dkim-proton</v>
      </c>
      <c r="E21" s="11">
        <v>10</v>
      </c>
      <c r="F21" s="11">
        <v>10</v>
      </c>
      <c r="G21" s="11">
        <v>0</v>
      </c>
      <c r="H21" s="11">
        <v>0</v>
      </c>
      <c r="I21" s="21">
        <f t="shared" si="1"/>
        <v>0</v>
      </c>
      <c r="J21" s="12" t="s">
        <v>99</v>
      </c>
      <c r="K21" s="17" t="str">
        <f t="shared" si="2"/>
        <v>spo-dkim-proton</v>
      </c>
      <c r="L21" s="9" t="s">
        <v>100</v>
      </c>
    </row>
    <row r="22" spans="1:13" x14ac:dyDescent="0.25">
      <c r="A22" s="13" t="s">
        <v>45</v>
      </c>
      <c r="B22" s="13" t="s">
        <v>86</v>
      </c>
      <c r="C22" s="5" t="s">
        <v>95</v>
      </c>
      <c r="D22" s="18" t="str">
        <f t="shared" si="0"/>
        <v>leg-dkim-titan</v>
      </c>
      <c r="E22" s="11">
        <v>10</v>
      </c>
      <c r="F22" s="11">
        <v>10</v>
      </c>
      <c r="G22" s="11">
        <v>0</v>
      </c>
      <c r="H22" s="11">
        <v>0</v>
      </c>
      <c r="I22" s="21">
        <f t="shared" si="1"/>
        <v>0</v>
      </c>
      <c r="J22" s="12" t="s">
        <v>99</v>
      </c>
      <c r="K22" s="17" t="str">
        <f t="shared" si="2"/>
        <v>spo-dkim-titan</v>
      </c>
      <c r="L22" s="9" t="s">
        <v>99</v>
      </c>
    </row>
    <row r="23" spans="1:13" x14ac:dyDescent="0.25">
      <c r="A23" s="13" t="s">
        <v>45</v>
      </c>
      <c r="B23" s="13" t="s">
        <v>87</v>
      </c>
      <c r="C23" s="5" t="s">
        <v>96</v>
      </c>
      <c r="D23" s="18" t="str">
        <f t="shared" si="0"/>
        <v>leg-dkim-25mailst</v>
      </c>
      <c r="E23" s="11">
        <v>10</v>
      </c>
      <c r="F23" s="11">
        <v>10</v>
      </c>
      <c r="G23" s="11">
        <v>0</v>
      </c>
      <c r="H23" s="11">
        <v>0</v>
      </c>
      <c r="I23" s="21">
        <f t="shared" si="1"/>
        <v>0</v>
      </c>
      <c r="J23" s="12" t="s">
        <v>99</v>
      </c>
      <c r="K23" s="17" t="str">
        <f t="shared" si="2"/>
        <v>spo-dkim-25mailst</v>
      </c>
      <c r="L23" s="9" t="s">
        <v>99</v>
      </c>
    </row>
    <row r="24" spans="1:13" x14ac:dyDescent="0.25">
      <c r="A24" s="13" t="s">
        <v>70</v>
      </c>
      <c r="B24" s="13" t="s">
        <v>0</v>
      </c>
      <c r="C24" s="5" t="s">
        <v>41</v>
      </c>
      <c r="D24" s="18" t="str">
        <f t="shared" si="0"/>
        <v>leg-spf+dkim-gmail</v>
      </c>
      <c r="E24" s="11">
        <v>10</v>
      </c>
      <c r="F24" s="11">
        <v>10</v>
      </c>
      <c r="G24" s="11">
        <v>0</v>
      </c>
      <c r="H24" s="11">
        <v>0</v>
      </c>
      <c r="I24" s="21">
        <f t="shared" si="1"/>
        <v>0</v>
      </c>
      <c r="J24" s="12" t="s">
        <v>99</v>
      </c>
      <c r="K24" s="17" t="str">
        <f t="shared" si="2"/>
        <v>spo-spf+dkim-gmail</v>
      </c>
      <c r="L24" s="9" t="s">
        <v>98</v>
      </c>
      <c r="M24" s="9" t="s">
        <v>101</v>
      </c>
    </row>
    <row r="25" spans="1:13" x14ac:dyDescent="0.25">
      <c r="A25" s="13" t="s">
        <v>70</v>
      </c>
      <c r="B25" s="13" t="s">
        <v>88</v>
      </c>
      <c r="C25" s="5" t="s">
        <v>42</v>
      </c>
      <c r="D25" s="18" t="str">
        <f t="shared" si="0"/>
        <v>leg-spf+dkim-hotmail</v>
      </c>
      <c r="E25" s="11">
        <v>10</v>
      </c>
      <c r="F25" s="11">
        <v>0</v>
      </c>
      <c r="G25" s="11">
        <v>10</v>
      </c>
      <c r="H25" s="11">
        <v>0</v>
      </c>
      <c r="I25" s="21">
        <f t="shared" si="1"/>
        <v>1</v>
      </c>
      <c r="J25" s="11" t="s">
        <v>100</v>
      </c>
      <c r="K25" s="17" t="str">
        <f t="shared" si="2"/>
        <v>spo-spf+dkim-hotmail</v>
      </c>
      <c r="L25" s="9" t="s">
        <v>100</v>
      </c>
      <c r="M25" s="9" t="s">
        <v>101</v>
      </c>
    </row>
    <row r="26" spans="1:13" x14ac:dyDescent="0.25">
      <c r="A26" s="13" t="s">
        <v>70</v>
      </c>
      <c r="B26" s="13" t="s">
        <v>2</v>
      </c>
      <c r="C26" s="5" t="s">
        <v>43</v>
      </c>
      <c r="D26" s="18" t="str">
        <f t="shared" si="0"/>
        <v>leg-spf+dkim-yahoo</v>
      </c>
      <c r="E26" s="11">
        <v>10</v>
      </c>
      <c r="F26" s="11">
        <v>0</v>
      </c>
      <c r="G26" s="11">
        <v>5</v>
      </c>
      <c r="H26" s="11">
        <v>5</v>
      </c>
      <c r="I26" s="21">
        <f t="shared" si="1"/>
        <v>1</v>
      </c>
      <c r="J26" s="11" t="s">
        <v>100</v>
      </c>
      <c r="K26" s="17" t="str">
        <f t="shared" si="2"/>
        <v>spo-spf+dkim-yahoo</v>
      </c>
      <c r="L26" s="9" t="s">
        <v>100</v>
      </c>
    </row>
    <row r="27" spans="1:13" x14ac:dyDescent="0.25">
      <c r="A27" s="13" t="s">
        <v>70</v>
      </c>
      <c r="B27" s="13" t="s">
        <v>82</v>
      </c>
      <c r="C27" s="5" t="s">
        <v>94</v>
      </c>
      <c r="D27" s="18" t="str">
        <f t="shared" si="0"/>
        <v>leg-spf+dkim-mailru</v>
      </c>
      <c r="E27" s="11">
        <v>10</v>
      </c>
      <c r="F27" s="11">
        <v>10</v>
      </c>
      <c r="G27" s="11">
        <v>0</v>
      </c>
      <c r="H27" s="11">
        <v>0</v>
      </c>
      <c r="I27" s="21">
        <f t="shared" si="1"/>
        <v>0</v>
      </c>
      <c r="J27" s="12" t="s">
        <v>99</v>
      </c>
      <c r="K27" s="17" t="str">
        <f t="shared" si="2"/>
        <v>spo-spf+dkim-mailru</v>
      </c>
      <c r="L27" s="9" t="s">
        <v>99</v>
      </c>
    </row>
    <row r="28" spans="1:13" x14ac:dyDescent="0.25">
      <c r="A28" s="13" t="s">
        <v>70</v>
      </c>
      <c r="B28" s="13" t="s">
        <v>89</v>
      </c>
      <c r="C28" s="5" t="s">
        <v>60</v>
      </c>
      <c r="D28" s="18" t="str">
        <f t="shared" si="0"/>
        <v>leg-spf+dkim-proton</v>
      </c>
      <c r="E28" s="11">
        <v>10</v>
      </c>
      <c r="F28" s="11">
        <v>10</v>
      </c>
      <c r="G28" s="11">
        <v>0</v>
      </c>
      <c r="H28" s="11">
        <v>0</v>
      </c>
      <c r="I28" s="21">
        <f t="shared" si="1"/>
        <v>0</v>
      </c>
      <c r="J28" s="12" t="s">
        <v>99</v>
      </c>
      <c r="K28" s="17" t="str">
        <f t="shared" si="2"/>
        <v>spo-spf+dkim-proton</v>
      </c>
      <c r="L28" s="9" t="s">
        <v>100</v>
      </c>
    </row>
    <row r="29" spans="1:13" x14ac:dyDescent="0.25">
      <c r="A29" s="13" t="s">
        <v>70</v>
      </c>
      <c r="B29" s="13" t="s">
        <v>86</v>
      </c>
      <c r="C29" s="5" t="s">
        <v>95</v>
      </c>
      <c r="D29" s="18" t="str">
        <f t="shared" si="0"/>
        <v>leg-spf+dkim-titan</v>
      </c>
      <c r="E29" s="11">
        <v>10</v>
      </c>
      <c r="F29" s="11">
        <v>10</v>
      </c>
      <c r="G29" s="11">
        <v>0</v>
      </c>
      <c r="H29" s="11">
        <v>0</v>
      </c>
      <c r="I29" s="21">
        <f t="shared" si="1"/>
        <v>0</v>
      </c>
      <c r="J29" s="12" t="s">
        <v>99</v>
      </c>
      <c r="K29" s="17" t="str">
        <f t="shared" si="2"/>
        <v>spo-spf+dkim-titan</v>
      </c>
      <c r="L29" s="9" t="s">
        <v>99</v>
      </c>
    </row>
    <row r="30" spans="1:13" x14ac:dyDescent="0.25">
      <c r="A30" s="13" t="s">
        <v>70</v>
      </c>
      <c r="B30" s="13" t="s">
        <v>87</v>
      </c>
      <c r="C30" s="5" t="s">
        <v>96</v>
      </c>
      <c r="D30" s="18" t="str">
        <f t="shared" si="0"/>
        <v>leg-spf+dkim-25mailst</v>
      </c>
      <c r="E30" s="11">
        <v>10</v>
      </c>
      <c r="F30" s="11">
        <v>10</v>
      </c>
      <c r="G30" s="11">
        <v>0</v>
      </c>
      <c r="H30" s="11">
        <v>0</v>
      </c>
      <c r="I30" s="21">
        <f t="shared" si="1"/>
        <v>0</v>
      </c>
      <c r="J30" s="12" t="s">
        <v>99</v>
      </c>
      <c r="K30" s="17" t="str">
        <f t="shared" si="2"/>
        <v>spo-spf+dkim-25mailst</v>
      </c>
      <c r="L30" s="9" t="s">
        <v>99</v>
      </c>
    </row>
    <row r="31" spans="1:13" x14ac:dyDescent="0.25">
      <c r="A31" s="13" t="s">
        <v>46</v>
      </c>
      <c r="B31" s="13" t="s">
        <v>0</v>
      </c>
      <c r="C31" s="5" t="s">
        <v>41</v>
      </c>
      <c r="D31" s="18" t="str">
        <f t="shared" si="0"/>
        <v>leg-dmarc-none-gmail</v>
      </c>
      <c r="E31" s="11">
        <v>10</v>
      </c>
      <c r="F31" s="11">
        <v>10</v>
      </c>
      <c r="G31" s="11">
        <v>0</v>
      </c>
      <c r="H31" s="11">
        <v>0</v>
      </c>
      <c r="I31" s="21">
        <f t="shared" si="1"/>
        <v>0</v>
      </c>
      <c r="J31" s="12" t="s">
        <v>99</v>
      </c>
      <c r="K31" s="17" t="str">
        <f t="shared" si="2"/>
        <v>spo-dmarc-none-gmail</v>
      </c>
      <c r="L31" s="9" t="s">
        <v>98</v>
      </c>
      <c r="M31" s="9" t="s">
        <v>101</v>
      </c>
    </row>
    <row r="32" spans="1:13" x14ac:dyDescent="0.25">
      <c r="A32" s="13" t="s">
        <v>46</v>
      </c>
      <c r="B32" s="13" t="s">
        <v>88</v>
      </c>
      <c r="C32" s="5" t="s">
        <v>42</v>
      </c>
      <c r="D32" s="18" t="str">
        <f t="shared" si="0"/>
        <v>leg-dmarc-none-hotmail</v>
      </c>
      <c r="E32" s="11">
        <v>10</v>
      </c>
      <c r="F32" s="11">
        <v>0</v>
      </c>
      <c r="G32" s="11">
        <v>10</v>
      </c>
      <c r="H32" s="11">
        <v>0</v>
      </c>
      <c r="I32" s="21">
        <f t="shared" si="1"/>
        <v>1</v>
      </c>
      <c r="J32" s="11" t="s">
        <v>100</v>
      </c>
      <c r="K32" s="17" t="str">
        <f t="shared" si="2"/>
        <v>spo-dmarc-none-hotmail</v>
      </c>
      <c r="L32" s="9" t="s">
        <v>100</v>
      </c>
      <c r="M32" s="9" t="s">
        <v>101</v>
      </c>
    </row>
    <row r="33" spans="1:13" x14ac:dyDescent="0.25">
      <c r="A33" s="13" t="s">
        <v>46</v>
      </c>
      <c r="B33" s="13" t="s">
        <v>2</v>
      </c>
      <c r="C33" s="5" t="s">
        <v>43</v>
      </c>
      <c r="D33" s="18" t="str">
        <f t="shared" si="0"/>
        <v>leg-dmarc-none-yahoo</v>
      </c>
      <c r="E33" s="11">
        <v>10</v>
      </c>
      <c r="F33" s="11">
        <v>0</v>
      </c>
      <c r="G33" s="11">
        <v>4</v>
      </c>
      <c r="H33" s="11">
        <v>6</v>
      </c>
      <c r="I33" s="21">
        <f t="shared" si="1"/>
        <v>1</v>
      </c>
      <c r="J33" s="11" t="s">
        <v>100</v>
      </c>
      <c r="K33" s="17" t="str">
        <f t="shared" si="2"/>
        <v>spo-dmarc-none-yahoo</v>
      </c>
      <c r="L33" s="9" t="s">
        <v>100</v>
      </c>
    </row>
    <row r="34" spans="1:13" x14ac:dyDescent="0.25">
      <c r="A34" s="13" t="s">
        <v>46</v>
      </c>
      <c r="B34" s="13" t="s">
        <v>82</v>
      </c>
      <c r="C34" s="5" t="s">
        <v>94</v>
      </c>
      <c r="D34" s="18" t="str">
        <f t="shared" si="0"/>
        <v>leg-dmarc-none-mailru</v>
      </c>
      <c r="E34" s="11">
        <v>10</v>
      </c>
      <c r="F34" s="11">
        <v>10</v>
      </c>
      <c r="G34" s="11">
        <v>0</v>
      </c>
      <c r="H34" s="11">
        <v>0</v>
      </c>
      <c r="I34" s="21">
        <f t="shared" si="1"/>
        <v>0</v>
      </c>
      <c r="J34" s="11" t="s">
        <v>99</v>
      </c>
      <c r="K34" s="17" t="str">
        <f t="shared" si="2"/>
        <v>spo-dmarc-none-mailru</v>
      </c>
      <c r="L34" s="9" t="s">
        <v>99</v>
      </c>
    </row>
    <row r="35" spans="1:13" x14ac:dyDescent="0.25">
      <c r="A35" s="13" t="s">
        <v>46</v>
      </c>
      <c r="B35" s="13" t="s">
        <v>89</v>
      </c>
      <c r="C35" s="5" t="s">
        <v>60</v>
      </c>
      <c r="D35" s="18" t="str">
        <f t="shared" si="0"/>
        <v>leg-dmarc-none-proton</v>
      </c>
      <c r="E35" s="11">
        <v>10</v>
      </c>
      <c r="F35" s="11">
        <v>10</v>
      </c>
      <c r="G35" s="11">
        <v>0</v>
      </c>
      <c r="H35" s="11">
        <v>0</v>
      </c>
      <c r="I35" s="21">
        <f t="shared" si="1"/>
        <v>0</v>
      </c>
      <c r="J35" s="11" t="s">
        <v>99</v>
      </c>
      <c r="K35" s="17" t="str">
        <f t="shared" si="2"/>
        <v>spo-dmarc-none-proton</v>
      </c>
      <c r="L35" s="9" t="s">
        <v>100</v>
      </c>
    </row>
    <row r="36" spans="1:13" x14ac:dyDescent="0.25">
      <c r="A36" s="13" t="s">
        <v>46</v>
      </c>
      <c r="B36" s="13" t="s">
        <v>86</v>
      </c>
      <c r="C36" s="5" t="s">
        <v>95</v>
      </c>
      <c r="D36" s="18" t="str">
        <f t="shared" si="0"/>
        <v>leg-dmarc-none-titan</v>
      </c>
      <c r="E36" s="11">
        <v>10</v>
      </c>
      <c r="F36" s="11">
        <v>10</v>
      </c>
      <c r="G36" s="11">
        <v>0</v>
      </c>
      <c r="H36" s="11">
        <v>0</v>
      </c>
      <c r="I36" s="21">
        <f t="shared" si="1"/>
        <v>0</v>
      </c>
      <c r="J36" s="11" t="s">
        <v>99</v>
      </c>
      <c r="K36" s="17" t="str">
        <f t="shared" si="2"/>
        <v>spo-dmarc-none-titan</v>
      </c>
      <c r="L36" s="9" t="s">
        <v>99</v>
      </c>
    </row>
    <row r="37" spans="1:13" x14ac:dyDescent="0.25">
      <c r="A37" s="13" t="s">
        <v>46</v>
      </c>
      <c r="B37" s="13" t="s">
        <v>87</v>
      </c>
      <c r="C37" s="5" t="s">
        <v>96</v>
      </c>
      <c r="D37" s="18" t="str">
        <f t="shared" si="0"/>
        <v>leg-dmarc-none-25mailst</v>
      </c>
      <c r="E37" s="11">
        <v>10</v>
      </c>
      <c r="F37" s="11">
        <v>10</v>
      </c>
      <c r="G37" s="11">
        <v>0</v>
      </c>
      <c r="H37" s="11">
        <v>0</v>
      </c>
      <c r="I37" s="21">
        <f t="shared" si="1"/>
        <v>0</v>
      </c>
      <c r="J37" s="11" t="s">
        <v>99</v>
      </c>
      <c r="K37" s="17" t="str">
        <f t="shared" si="2"/>
        <v>spo-dmarc-none-25mailst</v>
      </c>
      <c r="L37" s="9" t="s">
        <v>99</v>
      </c>
    </row>
    <row r="38" spans="1:13" x14ac:dyDescent="0.25">
      <c r="A38" s="13" t="s">
        <v>47</v>
      </c>
      <c r="B38" s="13" t="s">
        <v>0</v>
      </c>
      <c r="C38" s="5" t="s">
        <v>41</v>
      </c>
      <c r="D38" s="18" t="str">
        <f t="shared" si="0"/>
        <v>leg-dmarc-quarantine-gmail</v>
      </c>
      <c r="E38" s="11">
        <v>10</v>
      </c>
      <c r="F38" s="11">
        <v>10</v>
      </c>
      <c r="G38" s="11">
        <v>0</v>
      </c>
      <c r="H38" s="11">
        <v>0</v>
      </c>
      <c r="I38" s="21">
        <f t="shared" si="1"/>
        <v>0</v>
      </c>
      <c r="J38" s="11" t="s">
        <v>99</v>
      </c>
      <c r="K38" s="17" t="str">
        <f t="shared" si="2"/>
        <v>spo-dmarc-quarantine-gmail</v>
      </c>
      <c r="L38" s="9" t="s">
        <v>98</v>
      </c>
      <c r="M38" s="9" t="s">
        <v>101</v>
      </c>
    </row>
    <row r="39" spans="1:13" x14ac:dyDescent="0.25">
      <c r="A39" s="13" t="s">
        <v>47</v>
      </c>
      <c r="B39" s="13" t="s">
        <v>88</v>
      </c>
      <c r="C39" s="5" t="s">
        <v>42</v>
      </c>
      <c r="D39" s="18" t="str">
        <f t="shared" si="0"/>
        <v>leg-dmarc-quarantine-hotmail</v>
      </c>
      <c r="E39" s="11">
        <v>10</v>
      </c>
      <c r="F39" s="11">
        <v>0</v>
      </c>
      <c r="G39" s="11">
        <v>10</v>
      </c>
      <c r="H39" s="11">
        <v>0</v>
      </c>
      <c r="I39" s="21">
        <f t="shared" si="1"/>
        <v>1</v>
      </c>
      <c r="J39" s="11" t="s">
        <v>100</v>
      </c>
      <c r="K39" s="17" t="str">
        <f t="shared" si="2"/>
        <v>spo-dmarc-quarantine-hotmail</v>
      </c>
      <c r="L39" s="9" t="s">
        <v>100</v>
      </c>
      <c r="M39" s="9" t="s">
        <v>101</v>
      </c>
    </row>
    <row r="40" spans="1:13" x14ac:dyDescent="0.25">
      <c r="A40" s="13" t="s">
        <v>47</v>
      </c>
      <c r="B40" s="13" t="s">
        <v>2</v>
      </c>
      <c r="C40" s="5" t="s">
        <v>43</v>
      </c>
      <c r="D40" s="18" t="str">
        <f t="shared" si="0"/>
        <v>leg-dmarc-quarantine-yahoo</v>
      </c>
      <c r="E40" s="11">
        <v>10</v>
      </c>
      <c r="F40" s="11">
        <v>0</v>
      </c>
      <c r="G40" s="11">
        <v>4</v>
      </c>
      <c r="H40" s="11">
        <v>6</v>
      </c>
      <c r="I40" s="21">
        <f t="shared" si="1"/>
        <v>1</v>
      </c>
      <c r="J40" s="11" t="s">
        <v>98</v>
      </c>
      <c r="K40" s="17" t="str">
        <f t="shared" si="2"/>
        <v>spo-dmarc-quarantine-yahoo</v>
      </c>
      <c r="L40" s="9" t="s">
        <v>100</v>
      </c>
    </row>
    <row r="41" spans="1:13" x14ac:dyDescent="0.25">
      <c r="A41" s="13" t="s">
        <v>47</v>
      </c>
      <c r="B41" s="13" t="s">
        <v>82</v>
      </c>
      <c r="C41" s="5" t="s">
        <v>94</v>
      </c>
      <c r="D41" s="18" t="str">
        <f t="shared" si="0"/>
        <v>leg-dmarc-quarantine-mailru</v>
      </c>
      <c r="E41" s="11">
        <v>10</v>
      </c>
      <c r="F41" s="11">
        <v>10</v>
      </c>
      <c r="G41" s="11">
        <v>0</v>
      </c>
      <c r="H41" s="11">
        <v>0</v>
      </c>
      <c r="I41" s="21">
        <f t="shared" si="1"/>
        <v>0</v>
      </c>
      <c r="J41" s="11" t="s">
        <v>99</v>
      </c>
      <c r="K41" s="17" t="str">
        <f t="shared" si="2"/>
        <v>spo-dmarc-quarantine-mailru</v>
      </c>
      <c r="L41" s="9" t="s">
        <v>99</v>
      </c>
    </row>
    <row r="42" spans="1:13" x14ac:dyDescent="0.25">
      <c r="A42" s="13" t="s">
        <v>47</v>
      </c>
      <c r="B42" s="13" t="s">
        <v>89</v>
      </c>
      <c r="C42" s="5" t="s">
        <v>60</v>
      </c>
      <c r="D42" s="18" t="str">
        <f t="shared" si="0"/>
        <v>leg-dmarc-quarantine-proton</v>
      </c>
      <c r="E42" s="11">
        <v>10</v>
      </c>
      <c r="F42" s="11">
        <v>10</v>
      </c>
      <c r="G42" s="11">
        <v>0</v>
      </c>
      <c r="H42" s="11">
        <v>0</v>
      </c>
      <c r="I42" s="21">
        <f t="shared" si="1"/>
        <v>0</v>
      </c>
      <c r="J42" s="11" t="s">
        <v>99</v>
      </c>
      <c r="K42" s="17" t="str">
        <f t="shared" si="2"/>
        <v>spo-dmarc-quarantine-proton</v>
      </c>
      <c r="L42" s="9" t="s">
        <v>100</v>
      </c>
      <c r="M42" s="9" t="s">
        <v>101</v>
      </c>
    </row>
    <row r="43" spans="1:13" x14ac:dyDescent="0.25">
      <c r="A43" s="13" t="s">
        <v>47</v>
      </c>
      <c r="B43" s="13" t="s">
        <v>86</v>
      </c>
      <c r="C43" s="5" t="s">
        <v>95</v>
      </c>
      <c r="D43" s="18" t="str">
        <f t="shared" si="0"/>
        <v>leg-dmarc-quarantine-titan</v>
      </c>
      <c r="E43" s="11">
        <v>10</v>
      </c>
      <c r="F43" s="11">
        <v>10</v>
      </c>
      <c r="G43" s="11">
        <v>0</v>
      </c>
      <c r="H43" s="11">
        <v>0</v>
      </c>
      <c r="I43" s="21">
        <f t="shared" si="1"/>
        <v>0</v>
      </c>
      <c r="J43" s="11" t="s">
        <v>99</v>
      </c>
      <c r="K43" s="17" t="str">
        <f t="shared" si="2"/>
        <v>spo-dmarc-quarantine-titan</v>
      </c>
      <c r="L43" s="9" t="s">
        <v>99</v>
      </c>
    </row>
    <row r="44" spans="1:13" x14ac:dyDescent="0.25">
      <c r="A44" s="13" t="s">
        <v>47</v>
      </c>
      <c r="B44" s="13" t="s">
        <v>87</v>
      </c>
      <c r="C44" s="5" t="s">
        <v>96</v>
      </c>
      <c r="D44" s="18" t="str">
        <f t="shared" si="0"/>
        <v>leg-dmarc-quarantine-25mailst</v>
      </c>
      <c r="E44" s="11">
        <v>10</v>
      </c>
      <c r="F44" s="11">
        <v>10</v>
      </c>
      <c r="G44" s="11">
        <v>0</v>
      </c>
      <c r="H44" s="11">
        <v>0</v>
      </c>
      <c r="I44" s="21">
        <f t="shared" si="1"/>
        <v>0</v>
      </c>
      <c r="J44" s="11" t="s">
        <v>99</v>
      </c>
      <c r="K44" s="17" t="str">
        <f t="shared" si="2"/>
        <v>spo-dmarc-quarantine-25mailst</v>
      </c>
      <c r="L44" s="9" t="s">
        <v>99</v>
      </c>
    </row>
    <row r="45" spans="1:13" x14ac:dyDescent="0.25">
      <c r="A45" s="13" t="s">
        <v>48</v>
      </c>
      <c r="B45" s="13" t="s">
        <v>0</v>
      </c>
      <c r="C45" s="5" t="s">
        <v>41</v>
      </c>
      <c r="D45" s="18" t="str">
        <f t="shared" si="0"/>
        <v>leg-dmarc-reject-gmail</v>
      </c>
      <c r="E45" s="11">
        <v>10</v>
      </c>
      <c r="F45" s="11">
        <v>10</v>
      </c>
      <c r="G45" s="11">
        <v>0</v>
      </c>
      <c r="H45" s="11">
        <v>0</v>
      </c>
      <c r="I45" s="21">
        <f t="shared" si="1"/>
        <v>0</v>
      </c>
      <c r="J45" s="11" t="s">
        <v>99</v>
      </c>
      <c r="K45" s="17" t="str">
        <f t="shared" si="2"/>
        <v>spo-dmarc-reject-gmail</v>
      </c>
      <c r="L45" s="9" t="s">
        <v>98</v>
      </c>
      <c r="M45" s="9" t="s">
        <v>101</v>
      </c>
    </row>
    <row r="46" spans="1:13" x14ac:dyDescent="0.25">
      <c r="A46" s="13" t="s">
        <v>48</v>
      </c>
      <c r="B46" s="13" t="s">
        <v>88</v>
      </c>
      <c r="C46" s="5" t="s">
        <v>42</v>
      </c>
      <c r="D46" s="18" t="str">
        <f t="shared" si="0"/>
        <v>leg-dmarc-reject-hotmail</v>
      </c>
      <c r="E46" s="11">
        <v>10</v>
      </c>
      <c r="F46" s="11">
        <v>0</v>
      </c>
      <c r="G46" s="11">
        <v>10</v>
      </c>
      <c r="H46" s="11">
        <v>0</v>
      </c>
      <c r="I46" s="21">
        <f t="shared" si="1"/>
        <v>1</v>
      </c>
      <c r="J46" s="11" t="s">
        <v>100</v>
      </c>
      <c r="K46" s="17" t="str">
        <f t="shared" si="2"/>
        <v>spo-dmarc-reject-hotmail</v>
      </c>
      <c r="L46" s="9" t="s">
        <v>98</v>
      </c>
      <c r="M46" s="9" t="s">
        <v>101</v>
      </c>
    </row>
    <row r="47" spans="1:13" x14ac:dyDescent="0.25">
      <c r="A47" s="13" t="s">
        <v>48</v>
      </c>
      <c r="B47" s="13" t="s">
        <v>2</v>
      </c>
      <c r="C47" s="5" t="s">
        <v>43</v>
      </c>
      <c r="D47" s="18" t="str">
        <f t="shared" si="0"/>
        <v>leg-dmarc-reject-yahoo</v>
      </c>
      <c r="E47" s="11">
        <v>10</v>
      </c>
      <c r="F47" s="11">
        <v>0</v>
      </c>
      <c r="G47" s="11">
        <v>0</v>
      </c>
      <c r="H47" s="11">
        <v>10</v>
      </c>
      <c r="I47" s="21">
        <f t="shared" si="1"/>
        <v>1</v>
      </c>
      <c r="J47" s="11" t="s">
        <v>98</v>
      </c>
      <c r="K47" s="17" t="str">
        <f t="shared" si="2"/>
        <v>spo-dmarc-reject-yahoo</v>
      </c>
      <c r="L47" s="9" t="s">
        <v>98</v>
      </c>
      <c r="M47" s="9" t="s">
        <v>101</v>
      </c>
    </row>
    <row r="48" spans="1:13" x14ac:dyDescent="0.25">
      <c r="A48" s="13" t="s">
        <v>48</v>
      </c>
      <c r="B48" s="13" t="s">
        <v>82</v>
      </c>
      <c r="C48" s="5" t="s">
        <v>94</v>
      </c>
      <c r="D48" s="18" t="str">
        <f t="shared" si="0"/>
        <v>leg-dmarc-reject-mailru</v>
      </c>
      <c r="E48" s="11">
        <v>10</v>
      </c>
      <c r="F48" s="11">
        <v>10</v>
      </c>
      <c r="G48" s="11">
        <v>0</v>
      </c>
      <c r="H48" s="11">
        <v>0</v>
      </c>
      <c r="I48" s="21">
        <f t="shared" si="1"/>
        <v>0</v>
      </c>
      <c r="J48" s="11" t="s">
        <v>99</v>
      </c>
      <c r="K48" s="17" t="str">
        <f t="shared" si="2"/>
        <v>spo-dmarc-reject-mailru</v>
      </c>
      <c r="L48" s="9" t="s">
        <v>98</v>
      </c>
      <c r="M48" s="9" t="s">
        <v>101</v>
      </c>
    </row>
    <row r="49" spans="1:13" x14ac:dyDescent="0.25">
      <c r="A49" s="13" t="s">
        <v>48</v>
      </c>
      <c r="B49" s="13" t="s">
        <v>89</v>
      </c>
      <c r="C49" s="5" t="s">
        <v>60</v>
      </c>
      <c r="D49" s="18" t="str">
        <f t="shared" si="0"/>
        <v>leg-dmarc-reject-proton</v>
      </c>
      <c r="E49" s="11">
        <v>10</v>
      </c>
      <c r="F49" s="11">
        <v>10</v>
      </c>
      <c r="G49" s="11">
        <v>0</v>
      </c>
      <c r="H49" s="11">
        <v>0</v>
      </c>
      <c r="I49" s="21">
        <f t="shared" si="1"/>
        <v>0</v>
      </c>
      <c r="J49" s="11" t="s">
        <v>99</v>
      </c>
      <c r="K49" s="17" t="str">
        <f t="shared" si="2"/>
        <v>spo-dmarc-reject-proton</v>
      </c>
      <c r="L49" s="9" t="s">
        <v>100</v>
      </c>
      <c r="M49" s="9" t="s">
        <v>101</v>
      </c>
    </row>
    <row r="50" spans="1:13" x14ac:dyDescent="0.25">
      <c r="A50" s="13" t="s">
        <v>48</v>
      </c>
      <c r="B50" s="13" t="s">
        <v>86</v>
      </c>
      <c r="C50" s="5" t="s">
        <v>95</v>
      </c>
      <c r="D50" s="18" t="str">
        <f t="shared" si="0"/>
        <v>leg-dmarc-reject-titan</v>
      </c>
      <c r="E50" s="11">
        <v>10</v>
      </c>
      <c r="F50" s="11">
        <v>10</v>
      </c>
      <c r="G50" s="11">
        <v>0</v>
      </c>
      <c r="H50" s="11">
        <v>0</v>
      </c>
      <c r="I50" s="21">
        <f t="shared" si="1"/>
        <v>0</v>
      </c>
      <c r="J50" s="11" t="s">
        <v>99</v>
      </c>
      <c r="K50" s="17" t="str">
        <f t="shared" si="2"/>
        <v>spo-dmarc-reject-titan</v>
      </c>
      <c r="L50" s="9" t="s">
        <v>98</v>
      </c>
      <c r="M50" s="9" t="s">
        <v>101</v>
      </c>
    </row>
    <row r="51" spans="1:13" x14ac:dyDescent="0.25">
      <c r="A51" s="13" t="s">
        <v>48</v>
      </c>
      <c r="B51" s="13" t="s">
        <v>87</v>
      </c>
      <c r="C51" s="5" t="s">
        <v>96</v>
      </c>
      <c r="D51" s="18" t="str">
        <f t="shared" si="0"/>
        <v>leg-dmarc-reject-25mailst</v>
      </c>
      <c r="E51" s="11">
        <v>10</v>
      </c>
      <c r="F51" s="11">
        <v>10</v>
      </c>
      <c r="G51" s="11">
        <v>0</v>
      </c>
      <c r="H51" s="11">
        <v>0</v>
      </c>
      <c r="I51" s="21">
        <f t="shared" si="1"/>
        <v>0</v>
      </c>
      <c r="J51" s="11" t="s">
        <v>99</v>
      </c>
      <c r="K51" s="17" t="str">
        <f t="shared" si="2"/>
        <v>spo-dmarc-reject-25mailst</v>
      </c>
      <c r="L51" s="9" t="s">
        <v>98</v>
      </c>
      <c r="M51" s="9" t="s">
        <v>101</v>
      </c>
    </row>
  </sheetData>
  <mergeCells count="3">
    <mergeCell ref="D1:J1"/>
    <mergeCell ref="A1:B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20.11 legitimate_config</vt:lpstr>
      <vt:lpstr>Instruction</vt:lpstr>
      <vt:lpstr>legitimate_config_log.csv</vt:lpstr>
      <vt:lpstr>legitimate_results.csv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Wochna - STUDENT</dc:creator>
  <cp:lastModifiedBy>Michal Wochna - STUDENT</cp:lastModifiedBy>
  <dcterms:created xsi:type="dcterms:W3CDTF">2025-10-26T11:45:23Z</dcterms:created>
  <dcterms:modified xsi:type="dcterms:W3CDTF">2026-03-01T14:58:26Z</dcterms:modified>
</cp:coreProperties>
</file>