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ertification\2024 ATU Postgraduate Diploma in Cybersecurity (LY_ICYBS_G)\Dissertation\Resources\Underlying data\"/>
    </mc:Choice>
  </mc:AlternateContent>
  <xr:revisionPtr revIDLastSave="0" documentId="13_ncr:1_{7930597A-F107-4756-BB7E-6DD8341608AE}" xr6:coauthVersionLast="47" xr6:coauthVersionMax="47" xr10:uidLastSave="{00000000-0000-0000-0000-000000000000}"/>
  <bookViews>
    <workbookView xWindow="14715" yWindow="-18285" windowWidth="29040" windowHeight="17520" activeTab="3" xr2:uid="{8F92CD9C-99AF-4569-8CE6-982F668428AC}"/>
  </bookViews>
  <sheets>
    <sheet name="dmarc-implementation" sheetId="6" r:id="rId1"/>
    <sheet name="spf-implementation" sheetId="5" r:id="rId2"/>
    <sheet name="counties-percentage-with-dmarc" sheetId="3" r:id="rId3"/>
    <sheet name="Sheet1" sheetId="7" r:id="rId4"/>
    <sheet name="with-counties" sheetId="1" r:id="rId5"/>
    <sheet name="raw" sheetId="2" r:id="rId6"/>
  </sheets>
  <definedNames>
    <definedName name="_xlnm._FilterDatabase" localSheetId="5" hidden="1">raw!$A$1:$H$2835</definedName>
    <definedName name="_xlnm._FilterDatabase" localSheetId="4" hidden="1">'with-counties'!$A$1:$L$2835</definedName>
  </definedNames>
  <calcPr calcId="191029"/>
  <pivotCaches>
    <pivotCache cacheId="0" r:id="rId7"/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6" l="1"/>
  <c r="U18" i="6"/>
  <c r="U19" i="6"/>
  <c r="U20" i="6"/>
  <c r="U21" i="6"/>
  <c r="U16" i="6"/>
  <c r="T17" i="6"/>
  <c r="T18" i="6"/>
  <c r="T19" i="6"/>
  <c r="T20" i="6"/>
  <c r="T21" i="6"/>
  <c r="T16" i="6"/>
  <c r="S17" i="6"/>
  <c r="S18" i="6"/>
  <c r="S19" i="6"/>
  <c r="S20" i="6"/>
  <c r="S21" i="6"/>
  <c r="S16" i="6"/>
  <c r="V19" i="5"/>
  <c r="V20" i="5"/>
  <c r="V21" i="5"/>
  <c r="V22" i="5"/>
  <c r="V23" i="5"/>
  <c r="V18" i="5"/>
  <c r="U19" i="5"/>
  <c r="U20" i="5"/>
  <c r="U21" i="5"/>
  <c r="U22" i="5"/>
  <c r="U23" i="5"/>
  <c r="U18" i="5"/>
  <c r="T19" i="5"/>
  <c r="T20" i="5"/>
  <c r="T21" i="5"/>
  <c r="T22" i="5"/>
  <c r="T23" i="5"/>
  <c r="T18" i="5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 s="1"/>
  <c r="L1100" i="1" a="1"/>
  <c r="L1100" i="1" s="1"/>
  <c r="L1101" i="1" a="1"/>
  <c r="L1101" i="1" s="1"/>
  <c r="L1102" i="1" a="1"/>
  <c r="L1102" i="1" s="1"/>
  <c r="L1103" i="1" a="1"/>
  <c r="L1103" i="1" s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19" i="1" a="1"/>
  <c r="L1119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4" i="1" a="1"/>
  <c r="L1144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 s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 s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 s="1"/>
  <c r="L1186" i="1" a="1"/>
  <c r="L1186" i="1" s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 s="1"/>
  <c r="L1205" i="1" a="1"/>
  <c r="L1205" i="1" s="1"/>
  <c r="L1206" i="1" a="1"/>
  <c r="L1206" i="1" s="1"/>
  <c r="L1207" i="1" a="1"/>
  <c r="L1207" i="1" s="1"/>
  <c r="L1208" i="1" a="1"/>
  <c r="L1208" i="1" s="1"/>
  <c r="L1209" i="1" a="1"/>
  <c r="L1209" i="1" s="1"/>
  <c r="L1210" i="1" a="1"/>
  <c r="L1210" i="1" s="1"/>
  <c r="L1211" i="1" a="1"/>
  <c r="L1211" i="1" s="1"/>
  <c r="L1212" i="1" a="1"/>
  <c r="L1212" i="1" s="1"/>
  <c r="L1213" i="1" a="1"/>
  <c r="L1213" i="1" s="1"/>
  <c r="L1214" i="1" a="1"/>
  <c r="L1214" i="1" s="1"/>
  <c r="L1215" i="1" a="1"/>
  <c r="L1215" i="1" s="1"/>
  <c r="L1216" i="1" a="1"/>
  <c r="L1216" i="1" s="1"/>
  <c r="L1217" i="1" a="1"/>
  <c r="L1217" i="1" s="1"/>
  <c r="L1218" i="1" a="1"/>
  <c r="L1218" i="1" s="1"/>
  <c r="L1219" i="1" a="1"/>
  <c r="L1219" i="1" s="1"/>
  <c r="L1220" i="1" a="1"/>
  <c r="L1220" i="1" s="1"/>
  <c r="L1221" i="1" a="1"/>
  <c r="L1221" i="1" s="1"/>
  <c r="L1222" i="1" a="1"/>
  <c r="L1222" i="1" s="1"/>
  <c r="L1223" i="1" a="1"/>
  <c r="L1223" i="1" s="1"/>
  <c r="L1224" i="1" a="1"/>
  <c r="L1224" i="1" s="1"/>
  <c r="L1225" i="1" a="1"/>
  <c r="L1225" i="1" s="1"/>
  <c r="L1226" i="1" a="1"/>
  <c r="L1226" i="1" s="1"/>
  <c r="L1227" i="1" a="1"/>
  <c r="L1227" i="1" s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L1235" i="1" a="1"/>
  <c r="L1235" i="1" s="1"/>
  <c r="L1236" i="1" a="1"/>
  <c r="L1236" i="1" s="1"/>
  <c r="L1237" i="1" a="1"/>
  <c r="L1237" i="1" s="1"/>
  <c r="L1238" i="1" a="1"/>
  <c r="L1238" i="1" s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 s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 s="1"/>
  <c r="L1251" i="1" a="1"/>
  <c r="L1251" i="1" s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L1263" i="1" a="1"/>
  <c r="L1263" i="1" s="1"/>
  <c r="L1264" i="1" a="1"/>
  <c r="L1264" i="1" s="1"/>
  <c r="L1265" i="1" a="1"/>
  <c r="L1265" i="1" s="1"/>
  <c r="L1266" i="1" a="1"/>
  <c r="L1266" i="1" s="1"/>
  <c r="L1267" i="1" a="1"/>
  <c r="L1267" i="1" s="1"/>
  <c r="L1268" i="1" a="1"/>
  <c r="L1268" i="1" s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 s="1"/>
  <c r="L1275" i="1" a="1"/>
  <c r="L1275" i="1" s="1"/>
  <c r="L1276" i="1" a="1"/>
  <c r="L1276" i="1" s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 s="1"/>
  <c r="L1283" i="1" a="1"/>
  <c r="L1283" i="1" s="1"/>
  <c r="L1284" i="1" a="1"/>
  <c r="L1284" i="1" s="1"/>
  <c r="L1285" i="1" a="1"/>
  <c r="L1285" i="1" s="1"/>
  <c r="L1286" i="1" a="1"/>
  <c r="L1286" i="1" s="1"/>
  <c r="L1287" i="1" a="1"/>
  <c r="L1287" i="1" s="1"/>
  <c r="L1288" i="1" a="1"/>
  <c r="L1288" i="1" s="1"/>
  <c r="L1289" i="1" a="1"/>
  <c r="L1289" i="1" s="1"/>
  <c r="L1290" i="1" a="1"/>
  <c r="L1290" i="1" s="1"/>
  <c r="L1291" i="1" a="1"/>
  <c r="L1291" i="1" s="1"/>
  <c r="L1292" i="1" a="1"/>
  <c r="L1292" i="1" s="1"/>
  <c r="L1293" i="1" a="1"/>
  <c r="L1293" i="1" s="1"/>
  <c r="L1294" i="1" a="1"/>
  <c r="L1294" i="1" s="1"/>
  <c r="L1295" i="1" a="1"/>
  <c r="L1295" i="1" s="1"/>
  <c r="L1296" i="1" a="1"/>
  <c r="L1296" i="1" s="1"/>
  <c r="L1297" i="1" a="1"/>
  <c r="L1297" i="1" s="1"/>
  <c r="L1298" i="1" a="1"/>
  <c r="L1298" i="1" s="1"/>
  <c r="L1299" i="1" a="1"/>
  <c r="L1299" i="1" s="1"/>
  <c r="L1300" i="1" a="1"/>
  <c r="L1300" i="1" s="1"/>
  <c r="L1301" i="1" a="1"/>
  <c r="L1301" i="1" s="1"/>
  <c r="L1302" i="1" a="1"/>
  <c r="L1302" i="1" s="1"/>
  <c r="L1303" i="1" a="1"/>
  <c r="L1303" i="1" s="1"/>
  <c r="L1304" i="1" a="1"/>
  <c r="L1304" i="1" s="1"/>
  <c r="L1305" i="1" a="1"/>
  <c r="L1305" i="1" s="1"/>
  <c r="L1306" i="1" a="1"/>
  <c r="L1306" i="1" s="1"/>
  <c r="L1307" i="1" a="1"/>
  <c r="L1307" i="1" s="1"/>
  <c r="L1308" i="1" a="1"/>
  <c r="L1308" i="1" s="1"/>
  <c r="L1309" i="1" a="1"/>
  <c r="L1309" i="1" s="1"/>
  <c r="L1310" i="1" a="1"/>
  <c r="L1310" i="1" s="1"/>
  <c r="L1311" i="1" a="1"/>
  <c r="L1311" i="1" s="1"/>
  <c r="L1312" i="1" a="1"/>
  <c r="L1312" i="1" s="1"/>
  <c r="L1313" i="1" a="1"/>
  <c r="L1313" i="1" s="1"/>
  <c r="L1314" i="1" a="1"/>
  <c r="L1314" i="1" s="1"/>
  <c r="L1315" i="1" a="1"/>
  <c r="L1315" i="1" s="1"/>
  <c r="L1316" i="1" a="1"/>
  <c r="L1316" i="1" s="1"/>
  <c r="L1317" i="1" a="1"/>
  <c r="L1317" i="1" s="1"/>
  <c r="L1318" i="1" a="1"/>
  <c r="L1318" i="1" s="1"/>
  <c r="L1319" i="1" a="1"/>
  <c r="L1319" i="1" s="1"/>
  <c r="L1320" i="1" a="1"/>
  <c r="L1320" i="1" s="1"/>
  <c r="L1321" i="1" a="1"/>
  <c r="L1321" i="1" s="1"/>
  <c r="L1322" i="1" a="1"/>
  <c r="L1322" i="1" s="1"/>
  <c r="L1323" i="1" a="1"/>
  <c r="L1323" i="1" s="1"/>
  <c r="L1324" i="1" a="1"/>
  <c r="L1324" i="1" s="1"/>
  <c r="L1325" i="1" a="1"/>
  <c r="L1325" i="1" s="1"/>
  <c r="L1326" i="1" a="1"/>
  <c r="L1326" i="1" s="1"/>
  <c r="L1327" i="1" a="1"/>
  <c r="L1327" i="1" s="1"/>
  <c r="L1328" i="1" a="1"/>
  <c r="L1328" i="1" s="1"/>
  <c r="L1329" i="1" a="1"/>
  <c r="L1329" i="1" s="1"/>
  <c r="L1330" i="1" a="1"/>
  <c r="L1330" i="1" s="1"/>
  <c r="L1331" i="1" a="1"/>
  <c r="L1331" i="1" s="1"/>
  <c r="L1332" i="1" a="1"/>
  <c r="L1332" i="1" s="1"/>
  <c r="L1333" i="1" a="1"/>
  <c r="L1333" i="1" s="1"/>
  <c r="L1334" i="1" a="1"/>
  <c r="L1334" i="1" s="1"/>
  <c r="L1335" i="1" a="1"/>
  <c r="L1335" i="1" s="1"/>
  <c r="L1336" i="1" a="1"/>
  <c r="L1336" i="1" s="1"/>
  <c r="L1337" i="1" a="1"/>
  <c r="L1337" i="1" s="1"/>
  <c r="L1338" i="1" a="1"/>
  <c r="L1338" i="1" s="1"/>
  <c r="L1339" i="1" a="1"/>
  <c r="L1339" i="1" s="1"/>
  <c r="L1340" i="1" a="1"/>
  <c r="L1340" i="1" s="1"/>
  <c r="L1341" i="1" a="1"/>
  <c r="L1341" i="1" s="1"/>
  <c r="L1342" i="1" a="1"/>
  <c r="L1342" i="1" s="1"/>
  <c r="L1343" i="1" a="1"/>
  <c r="L1343" i="1" s="1"/>
  <c r="L1344" i="1" a="1"/>
  <c r="L1344" i="1" s="1"/>
  <c r="L1345" i="1" a="1"/>
  <c r="L1345" i="1" s="1"/>
  <c r="L1346" i="1" a="1"/>
  <c r="L1346" i="1" s="1"/>
  <c r="L1347" i="1" a="1"/>
  <c r="L1347" i="1" s="1"/>
  <c r="L1348" i="1" a="1"/>
  <c r="L1348" i="1" s="1"/>
  <c r="L1349" i="1" a="1"/>
  <c r="L1349" i="1" s="1"/>
  <c r="L1350" i="1" a="1"/>
  <c r="L1350" i="1" s="1"/>
  <c r="L1351" i="1" a="1"/>
  <c r="L1351" i="1" s="1"/>
  <c r="L1352" i="1" a="1"/>
  <c r="L1352" i="1" s="1"/>
  <c r="L1353" i="1" a="1"/>
  <c r="L1353" i="1" s="1"/>
  <c r="L1354" i="1" a="1"/>
  <c r="L1354" i="1" s="1"/>
  <c r="L1355" i="1" a="1"/>
  <c r="L1355" i="1" s="1"/>
  <c r="L1356" i="1" a="1"/>
  <c r="L1356" i="1" s="1"/>
  <c r="L1357" i="1" a="1"/>
  <c r="L1357" i="1" s="1"/>
  <c r="L1358" i="1" a="1"/>
  <c r="L1358" i="1" s="1"/>
  <c r="L1359" i="1" a="1"/>
  <c r="L1359" i="1" s="1"/>
  <c r="L1360" i="1" a="1"/>
  <c r="L1360" i="1" s="1"/>
  <c r="L1361" i="1" a="1"/>
  <c r="L1361" i="1" s="1"/>
  <c r="L1362" i="1" a="1"/>
  <c r="L1362" i="1" s="1"/>
  <c r="L1363" i="1" a="1"/>
  <c r="L1363" i="1" s="1"/>
  <c r="L1364" i="1" a="1"/>
  <c r="L1364" i="1" s="1"/>
  <c r="L1365" i="1" a="1"/>
  <c r="L1365" i="1" s="1"/>
  <c r="L1366" i="1" a="1"/>
  <c r="L1366" i="1" s="1"/>
  <c r="L1367" i="1" a="1"/>
  <c r="L1367" i="1" s="1"/>
  <c r="L1368" i="1" a="1"/>
  <c r="L1368" i="1" s="1"/>
  <c r="L1369" i="1" a="1"/>
  <c r="L1369" i="1" s="1"/>
  <c r="L1370" i="1" a="1"/>
  <c r="L1370" i="1" s="1"/>
  <c r="L1371" i="1" a="1"/>
  <c r="L1371" i="1" s="1"/>
  <c r="L1372" i="1" a="1"/>
  <c r="L1372" i="1" s="1"/>
  <c r="L1373" i="1" a="1"/>
  <c r="L1373" i="1" s="1"/>
  <c r="L1374" i="1" a="1"/>
  <c r="L1374" i="1" s="1"/>
  <c r="L1375" i="1" a="1"/>
  <c r="L1375" i="1" s="1"/>
  <c r="L1376" i="1" a="1"/>
  <c r="L1376" i="1" s="1"/>
  <c r="L1377" i="1" a="1"/>
  <c r="L1377" i="1" s="1"/>
  <c r="L1378" i="1" a="1"/>
  <c r="L1378" i="1" s="1"/>
  <c r="L1379" i="1" a="1"/>
  <c r="L1379" i="1" s="1"/>
  <c r="L1380" i="1" a="1"/>
  <c r="L1380" i="1" s="1"/>
  <c r="L1381" i="1" a="1"/>
  <c r="L1381" i="1" s="1"/>
  <c r="L1382" i="1" a="1"/>
  <c r="L1382" i="1" s="1"/>
  <c r="L1383" i="1" a="1"/>
  <c r="L1383" i="1" s="1"/>
  <c r="L1384" i="1" a="1"/>
  <c r="L1384" i="1" s="1"/>
  <c r="L1385" i="1" a="1"/>
  <c r="L1385" i="1" s="1"/>
  <c r="L1386" i="1" a="1"/>
  <c r="L1386" i="1" s="1"/>
  <c r="L1387" i="1" a="1"/>
  <c r="L1387" i="1" s="1"/>
  <c r="L1388" i="1" a="1"/>
  <c r="L1388" i="1" s="1"/>
  <c r="L1389" i="1" a="1"/>
  <c r="L1389" i="1" s="1"/>
  <c r="L1390" i="1" a="1"/>
  <c r="L1390" i="1" s="1"/>
  <c r="L1391" i="1" a="1"/>
  <c r="L1391" i="1" s="1"/>
  <c r="L1392" i="1" a="1"/>
  <c r="L1392" i="1" s="1"/>
  <c r="L1393" i="1" a="1"/>
  <c r="L1393" i="1" s="1"/>
  <c r="L1394" i="1" a="1"/>
  <c r="L1394" i="1" s="1"/>
  <c r="L1395" i="1" a="1"/>
  <c r="L1395" i="1" s="1"/>
  <c r="L1396" i="1" a="1"/>
  <c r="L1396" i="1" s="1"/>
  <c r="L1397" i="1" a="1"/>
  <c r="L1397" i="1" s="1"/>
  <c r="L1398" i="1" a="1"/>
  <c r="L1398" i="1" s="1"/>
  <c r="L1399" i="1" a="1"/>
  <c r="L1399" i="1" s="1"/>
  <c r="L1400" i="1" a="1"/>
  <c r="L1400" i="1" s="1"/>
  <c r="L1401" i="1" a="1"/>
  <c r="L1401" i="1" s="1"/>
  <c r="L1402" i="1" a="1"/>
  <c r="L1402" i="1" s="1"/>
  <c r="L1403" i="1" a="1"/>
  <c r="L1403" i="1" s="1"/>
  <c r="L1404" i="1" a="1"/>
  <c r="L1404" i="1" s="1"/>
  <c r="L1405" i="1" a="1"/>
  <c r="L1405" i="1" s="1"/>
  <c r="L1406" i="1" a="1"/>
  <c r="L1406" i="1" s="1"/>
  <c r="L1407" i="1" a="1"/>
  <c r="L1407" i="1" s="1"/>
  <c r="L1408" i="1" a="1"/>
  <c r="L1408" i="1" s="1"/>
  <c r="L1409" i="1" a="1"/>
  <c r="L1409" i="1" s="1"/>
  <c r="L1410" i="1" a="1"/>
  <c r="L1410" i="1" s="1"/>
  <c r="L1411" i="1" a="1"/>
  <c r="L1411" i="1" s="1"/>
  <c r="L1412" i="1" a="1"/>
  <c r="L1412" i="1" s="1"/>
  <c r="L1413" i="1" a="1"/>
  <c r="L1413" i="1" s="1"/>
  <c r="L1414" i="1" a="1"/>
  <c r="L1414" i="1" s="1"/>
  <c r="L1415" i="1" a="1"/>
  <c r="L1415" i="1" s="1"/>
  <c r="L1416" i="1" a="1"/>
  <c r="L1416" i="1" s="1"/>
  <c r="L1417" i="1" a="1"/>
  <c r="L1417" i="1" s="1"/>
  <c r="L1418" i="1" a="1"/>
  <c r="L1418" i="1" s="1"/>
  <c r="L1419" i="1" a="1"/>
  <c r="L1419" i="1" s="1"/>
  <c r="L1420" i="1" a="1"/>
  <c r="L1420" i="1" s="1"/>
  <c r="L1421" i="1" a="1"/>
  <c r="L1421" i="1" s="1"/>
  <c r="L1422" i="1" a="1"/>
  <c r="L1422" i="1" s="1"/>
  <c r="L1423" i="1" a="1"/>
  <c r="L1423" i="1" s="1"/>
  <c r="L1424" i="1" a="1"/>
  <c r="L1424" i="1" s="1"/>
  <c r="L1425" i="1" a="1"/>
  <c r="L1425" i="1" s="1"/>
  <c r="L1426" i="1" a="1"/>
  <c r="L1426" i="1" s="1"/>
  <c r="L1427" i="1" a="1"/>
  <c r="L1427" i="1" s="1"/>
  <c r="L1428" i="1" a="1"/>
  <c r="L1428" i="1" s="1"/>
  <c r="L1429" i="1" a="1"/>
  <c r="L1429" i="1" s="1"/>
  <c r="L1430" i="1" a="1"/>
  <c r="L1430" i="1" s="1"/>
  <c r="L1431" i="1" a="1"/>
  <c r="L1431" i="1" s="1"/>
  <c r="L1432" i="1" a="1"/>
  <c r="L1432" i="1" s="1"/>
  <c r="L1433" i="1" a="1"/>
  <c r="L1433" i="1" s="1"/>
  <c r="L1434" i="1" a="1"/>
  <c r="L1434" i="1" s="1"/>
  <c r="L1435" i="1" a="1"/>
  <c r="L1435" i="1" s="1"/>
  <c r="L1436" i="1" a="1"/>
  <c r="L1436" i="1" s="1"/>
  <c r="L1437" i="1" a="1"/>
  <c r="L1437" i="1" s="1"/>
  <c r="L1438" i="1" a="1"/>
  <c r="L1438" i="1" s="1"/>
  <c r="L1439" i="1" a="1"/>
  <c r="L1439" i="1" s="1"/>
  <c r="L1440" i="1" a="1"/>
  <c r="L1440" i="1" s="1"/>
  <c r="L1441" i="1" a="1"/>
  <c r="L1441" i="1" s="1"/>
  <c r="L1442" i="1" a="1"/>
  <c r="L1442" i="1" s="1"/>
  <c r="L1443" i="1" a="1"/>
  <c r="L1443" i="1" s="1"/>
  <c r="L1444" i="1" a="1"/>
  <c r="L1444" i="1" s="1"/>
  <c r="L1445" i="1" a="1"/>
  <c r="L1445" i="1" s="1"/>
  <c r="L1446" i="1" a="1"/>
  <c r="L1446" i="1" s="1"/>
  <c r="L1447" i="1" a="1"/>
  <c r="L1447" i="1" s="1"/>
  <c r="L1448" i="1" a="1"/>
  <c r="L1448" i="1" s="1"/>
  <c r="L1449" i="1" a="1"/>
  <c r="L1449" i="1" s="1"/>
  <c r="L1450" i="1" a="1"/>
  <c r="L1450" i="1" s="1"/>
  <c r="L1451" i="1" a="1"/>
  <c r="L1451" i="1" s="1"/>
  <c r="L1452" i="1" a="1"/>
  <c r="L1452" i="1" s="1"/>
  <c r="L1453" i="1" a="1"/>
  <c r="L1453" i="1" s="1"/>
  <c r="L1454" i="1" a="1"/>
  <c r="L1454" i="1" s="1"/>
  <c r="L1455" i="1" a="1"/>
  <c r="L1455" i="1" s="1"/>
  <c r="L1456" i="1" a="1"/>
  <c r="L1456" i="1" s="1"/>
  <c r="L1457" i="1" a="1"/>
  <c r="L1457" i="1" s="1"/>
  <c r="L1458" i="1" a="1"/>
  <c r="L1458" i="1" s="1"/>
  <c r="L1459" i="1" a="1"/>
  <c r="L1459" i="1" s="1"/>
  <c r="L1460" i="1" a="1"/>
  <c r="L1460" i="1" s="1"/>
  <c r="L1461" i="1" a="1"/>
  <c r="L1461" i="1" s="1"/>
  <c r="L1462" i="1" a="1"/>
  <c r="L1462" i="1" s="1"/>
  <c r="L1463" i="1" a="1"/>
  <c r="L1463" i="1" s="1"/>
  <c r="L1464" i="1" a="1"/>
  <c r="L1464" i="1" s="1"/>
  <c r="L1465" i="1" a="1"/>
  <c r="L1465" i="1" s="1"/>
  <c r="L1466" i="1" a="1"/>
  <c r="L1466" i="1" s="1"/>
  <c r="L1467" i="1" a="1"/>
  <c r="L1467" i="1" s="1"/>
  <c r="L1468" i="1" a="1"/>
  <c r="L1468" i="1" s="1"/>
  <c r="L1469" i="1" a="1"/>
  <c r="L1469" i="1" s="1"/>
  <c r="L1470" i="1" a="1"/>
  <c r="L1470" i="1" s="1"/>
  <c r="L1471" i="1" a="1"/>
  <c r="L1471" i="1" s="1"/>
  <c r="L1472" i="1" a="1"/>
  <c r="L1472" i="1" s="1"/>
  <c r="L1473" i="1" a="1"/>
  <c r="L1473" i="1" s="1"/>
  <c r="L1474" i="1" a="1"/>
  <c r="L1474" i="1" s="1"/>
  <c r="L1475" i="1" a="1"/>
  <c r="L1475" i="1" s="1"/>
  <c r="L1476" i="1" a="1"/>
  <c r="L1476" i="1" s="1"/>
  <c r="L1477" i="1" a="1"/>
  <c r="L1477" i="1" s="1"/>
  <c r="L1478" i="1" a="1"/>
  <c r="L1478" i="1" s="1"/>
  <c r="L1479" i="1" a="1"/>
  <c r="L1479" i="1" s="1"/>
  <c r="L1480" i="1" a="1"/>
  <c r="L1480" i="1" s="1"/>
  <c r="L1481" i="1" a="1"/>
  <c r="L1481" i="1" s="1"/>
  <c r="L1482" i="1" a="1"/>
  <c r="L1482" i="1" s="1"/>
  <c r="L1483" i="1" a="1"/>
  <c r="L1483" i="1" s="1"/>
  <c r="L1484" i="1" a="1"/>
  <c r="L1484" i="1" s="1"/>
  <c r="L1485" i="1" a="1"/>
  <c r="L1485" i="1" s="1"/>
  <c r="L1486" i="1" a="1"/>
  <c r="L1486" i="1" s="1"/>
  <c r="L1487" i="1" a="1"/>
  <c r="L1487" i="1" s="1"/>
  <c r="L1488" i="1" a="1"/>
  <c r="L1488" i="1" s="1"/>
  <c r="L1489" i="1" a="1"/>
  <c r="L1489" i="1" s="1"/>
  <c r="L1490" i="1" a="1"/>
  <c r="L1490" i="1" s="1"/>
  <c r="L1491" i="1" a="1"/>
  <c r="L1491" i="1" s="1"/>
  <c r="L1492" i="1" a="1"/>
  <c r="L1492" i="1" s="1"/>
  <c r="L1493" i="1" a="1"/>
  <c r="L1493" i="1" s="1"/>
  <c r="L1494" i="1" a="1"/>
  <c r="L1494" i="1" s="1"/>
  <c r="L1495" i="1" a="1"/>
  <c r="L1495" i="1" s="1"/>
  <c r="L1496" i="1" a="1"/>
  <c r="L1496" i="1" s="1"/>
  <c r="L1497" i="1" a="1"/>
  <c r="L1497" i="1" s="1"/>
  <c r="L1498" i="1" a="1"/>
  <c r="L1498" i="1" s="1"/>
  <c r="L1499" i="1" a="1"/>
  <c r="L1499" i="1" s="1"/>
  <c r="L1500" i="1" a="1"/>
  <c r="L1500" i="1" s="1"/>
  <c r="L1501" i="1" a="1"/>
  <c r="L1501" i="1" s="1"/>
  <c r="L1502" i="1" a="1"/>
  <c r="L1502" i="1" s="1"/>
  <c r="L1503" i="1" a="1"/>
  <c r="L1503" i="1" s="1"/>
  <c r="L1504" i="1" a="1"/>
  <c r="L1504" i="1" s="1"/>
  <c r="L1505" i="1" a="1"/>
  <c r="L1505" i="1" s="1"/>
  <c r="L1506" i="1" a="1"/>
  <c r="L1506" i="1" s="1"/>
  <c r="L1507" i="1" a="1"/>
  <c r="L1507" i="1" s="1"/>
  <c r="L1508" i="1" a="1"/>
  <c r="L1508" i="1" s="1"/>
  <c r="L1509" i="1" a="1"/>
  <c r="L1509" i="1" s="1"/>
  <c r="L1510" i="1" a="1"/>
  <c r="L1510" i="1" s="1"/>
  <c r="L1511" i="1" a="1"/>
  <c r="L1511" i="1" s="1"/>
  <c r="L1512" i="1" a="1"/>
  <c r="L1512" i="1" s="1"/>
  <c r="L1513" i="1" a="1"/>
  <c r="L1513" i="1" s="1"/>
  <c r="L1514" i="1" a="1"/>
  <c r="L1514" i="1" s="1"/>
  <c r="L1515" i="1" a="1"/>
  <c r="L1515" i="1" s="1"/>
  <c r="L1516" i="1" a="1"/>
  <c r="L1516" i="1" s="1"/>
  <c r="L1517" i="1" a="1"/>
  <c r="L1517" i="1" s="1"/>
  <c r="L1518" i="1" a="1"/>
  <c r="L1518" i="1" s="1"/>
  <c r="L1519" i="1" a="1"/>
  <c r="L1519" i="1" s="1"/>
  <c r="L1520" i="1" a="1"/>
  <c r="L1520" i="1" s="1"/>
  <c r="L1521" i="1" a="1"/>
  <c r="L1521" i="1" s="1"/>
  <c r="L1522" i="1" a="1"/>
  <c r="L1522" i="1" s="1"/>
  <c r="L1523" i="1" a="1"/>
  <c r="L1523" i="1" s="1"/>
  <c r="L1524" i="1" a="1"/>
  <c r="L1524" i="1" s="1"/>
  <c r="L1525" i="1" a="1"/>
  <c r="L1525" i="1" s="1"/>
  <c r="L1526" i="1" a="1"/>
  <c r="L1526" i="1" s="1"/>
  <c r="L1527" i="1" a="1"/>
  <c r="L1527" i="1" s="1"/>
  <c r="L1528" i="1" a="1"/>
  <c r="L1528" i="1" s="1"/>
  <c r="L1529" i="1" a="1"/>
  <c r="L1529" i="1" s="1"/>
  <c r="L1530" i="1" a="1"/>
  <c r="L1530" i="1" s="1"/>
  <c r="L1531" i="1" a="1"/>
  <c r="L1531" i="1" s="1"/>
  <c r="L1532" i="1" a="1"/>
  <c r="L1532" i="1" s="1"/>
  <c r="L1533" i="1" a="1"/>
  <c r="L1533" i="1" s="1"/>
  <c r="L1534" i="1" a="1"/>
  <c r="L1534" i="1" s="1"/>
  <c r="L1535" i="1" a="1"/>
  <c r="L1535" i="1" s="1"/>
  <c r="L1536" i="1" a="1"/>
  <c r="L1536" i="1" s="1"/>
  <c r="L1537" i="1" a="1"/>
  <c r="L1537" i="1" s="1"/>
  <c r="L1538" i="1" a="1"/>
  <c r="L1538" i="1" s="1"/>
  <c r="L1539" i="1" a="1"/>
  <c r="L1539" i="1" s="1"/>
  <c r="L1540" i="1" a="1"/>
  <c r="L1540" i="1" s="1"/>
  <c r="L1541" i="1" a="1"/>
  <c r="L1541" i="1" s="1"/>
  <c r="L1542" i="1" a="1"/>
  <c r="L1542" i="1" s="1"/>
  <c r="L1543" i="1" a="1"/>
  <c r="L1543" i="1" s="1"/>
  <c r="L1544" i="1" a="1"/>
  <c r="L1544" i="1" s="1"/>
  <c r="L1545" i="1" a="1"/>
  <c r="L1545" i="1" s="1"/>
  <c r="L1546" i="1" a="1"/>
  <c r="L1546" i="1" s="1"/>
  <c r="L1547" i="1" a="1"/>
  <c r="L1547" i="1" s="1"/>
  <c r="L1548" i="1" a="1"/>
  <c r="L1548" i="1" s="1"/>
  <c r="L1549" i="1" a="1"/>
  <c r="L1549" i="1" s="1"/>
  <c r="L1550" i="1" a="1"/>
  <c r="L1550" i="1" s="1"/>
  <c r="L1551" i="1" a="1"/>
  <c r="L1551" i="1" s="1"/>
  <c r="L1552" i="1" a="1"/>
  <c r="L1552" i="1" s="1"/>
  <c r="L1553" i="1" a="1"/>
  <c r="L1553" i="1" s="1"/>
  <c r="L1554" i="1" a="1"/>
  <c r="L1554" i="1" s="1"/>
  <c r="L1555" i="1" a="1"/>
  <c r="L1555" i="1" s="1"/>
  <c r="L1556" i="1" a="1"/>
  <c r="L1556" i="1" s="1"/>
  <c r="L1557" i="1" a="1"/>
  <c r="L1557" i="1" s="1"/>
  <c r="L1558" i="1" a="1"/>
  <c r="L1558" i="1" s="1"/>
  <c r="L1559" i="1" a="1"/>
  <c r="L1559" i="1" s="1"/>
  <c r="L1560" i="1" a="1"/>
  <c r="L1560" i="1" s="1"/>
  <c r="L1561" i="1" a="1"/>
  <c r="L1561" i="1" s="1"/>
  <c r="L1562" i="1" a="1"/>
  <c r="L1562" i="1" s="1"/>
  <c r="L1563" i="1" a="1"/>
  <c r="L1563" i="1" s="1"/>
  <c r="L1564" i="1" a="1"/>
  <c r="L1564" i="1" s="1"/>
  <c r="L1565" i="1" a="1"/>
  <c r="L1565" i="1" s="1"/>
  <c r="L1566" i="1" a="1"/>
  <c r="L1566" i="1" s="1"/>
  <c r="L1567" i="1" a="1"/>
  <c r="L1567" i="1" s="1"/>
  <c r="L1568" i="1" a="1"/>
  <c r="L1568" i="1" s="1"/>
  <c r="L1569" i="1" a="1"/>
  <c r="L1569" i="1" s="1"/>
  <c r="L1570" i="1" a="1"/>
  <c r="L1570" i="1" s="1"/>
  <c r="L1571" i="1" a="1"/>
  <c r="L1571" i="1" s="1"/>
  <c r="L1572" i="1" a="1"/>
  <c r="L1572" i="1" s="1"/>
  <c r="L1573" i="1" a="1"/>
  <c r="L1573" i="1" s="1"/>
  <c r="L1574" i="1" a="1"/>
  <c r="L1574" i="1" s="1"/>
  <c r="L1575" i="1" a="1"/>
  <c r="L1575" i="1" s="1"/>
  <c r="L1576" i="1" a="1"/>
  <c r="L1576" i="1" s="1"/>
  <c r="L1577" i="1" a="1"/>
  <c r="L1577" i="1" s="1"/>
  <c r="L1578" i="1" a="1"/>
  <c r="L1578" i="1" s="1"/>
  <c r="L1579" i="1" a="1"/>
  <c r="L1579" i="1" s="1"/>
  <c r="L1580" i="1" a="1"/>
  <c r="L1580" i="1" s="1"/>
  <c r="L1581" i="1" a="1"/>
  <c r="L1581" i="1" s="1"/>
  <c r="L1582" i="1" a="1"/>
  <c r="L1582" i="1" s="1"/>
  <c r="L1583" i="1" a="1"/>
  <c r="L1583" i="1" s="1"/>
  <c r="L1584" i="1" a="1"/>
  <c r="L1584" i="1" s="1"/>
  <c r="L1585" i="1" a="1"/>
  <c r="L1585" i="1" s="1"/>
  <c r="L1586" i="1" a="1"/>
  <c r="L1586" i="1" s="1"/>
  <c r="L1587" i="1" a="1"/>
  <c r="L1587" i="1" s="1"/>
  <c r="L1588" i="1" a="1"/>
  <c r="L1588" i="1" s="1"/>
  <c r="L1589" i="1" a="1"/>
  <c r="L1589" i="1" s="1"/>
  <c r="L1590" i="1" a="1"/>
  <c r="L1590" i="1" s="1"/>
  <c r="L1591" i="1" a="1"/>
  <c r="L1591" i="1" s="1"/>
  <c r="L1592" i="1" a="1"/>
  <c r="L1592" i="1" s="1"/>
  <c r="L1593" i="1" a="1"/>
  <c r="L1593" i="1" s="1"/>
  <c r="L1594" i="1" a="1"/>
  <c r="L1594" i="1" s="1"/>
  <c r="L1595" i="1" a="1"/>
  <c r="L1595" i="1" s="1"/>
  <c r="L1596" i="1" a="1"/>
  <c r="L1596" i="1" s="1"/>
  <c r="L1597" i="1" a="1"/>
  <c r="L1597" i="1" s="1"/>
  <c r="L1598" i="1" a="1"/>
  <c r="L1598" i="1" s="1"/>
  <c r="L1599" i="1" a="1"/>
  <c r="L1599" i="1" s="1"/>
  <c r="L1600" i="1" a="1"/>
  <c r="L1600" i="1" s="1"/>
  <c r="L1601" i="1" a="1"/>
  <c r="L1601" i="1" s="1"/>
  <c r="L1602" i="1" a="1"/>
  <c r="L1602" i="1" s="1"/>
  <c r="L1603" i="1" a="1"/>
  <c r="L1603" i="1" s="1"/>
  <c r="L1604" i="1" a="1"/>
  <c r="L1604" i="1" s="1"/>
  <c r="L1605" i="1" a="1"/>
  <c r="L1605" i="1" s="1"/>
  <c r="L1606" i="1" a="1"/>
  <c r="L1606" i="1" s="1"/>
  <c r="L1607" i="1" a="1"/>
  <c r="L1607" i="1" s="1"/>
  <c r="L1608" i="1" a="1"/>
  <c r="L1608" i="1" s="1"/>
  <c r="L1609" i="1" a="1"/>
  <c r="L1609" i="1" s="1"/>
  <c r="L1610" i="1" a="1"/>
  <c r="L1610" i="1" s="1"/>
  <c r="L1611" i="1" a="1"/>
  <c r="L1611" i="1" s="1"/>
  <c r="L1612" i="1" a="1"/>
  <c r="L1612" i="1" s="1"/>
  <c r="L1613" i="1" a="1"/>
  <c r="L1613" i="1" s="1"/>
  <c r="L1614" i="1" a="1"/>
  <c r="L1614" i="1" s="1"/>
  <c r="L1615" i="1" a="1"/>
  <c r="L1615" i="1" s="1"/>
  <c r="L1616" i="1" a="1"/>
  <c r="L1616" i="1" s="1"/>
  <c r="L1617" i="1" a="1"/>
  <c r="L1617" i="1" s="1"/>
  <c r="L1618" i="1" a="1"/>
  <c r="L1618" i="1" s="1"/>
  <c r="L1619" i="1" a="1"/>
  <c r="L1619" i="1" s="1"/>
  <c r="L1620" i="1" a="1"/>
  <c r="L1620" i="1" s="1"/>
  <c r="L1621" i="1" a="1"/>
  <c r="L1621" i="1" s="1"/>
  <c r="L1622" i="1" a="1"/>
  <c r="L1622" i="1" s="1"/>
  <c r="L1623" i="1" a="1"/>
  <c r="L1623" i="1" s="1"/>
  <c r="L1624" i="1" a="1"/>
  <c r="L1624" i="1" s="1"/>
  <c r="L1625" i="1" a="1"/>
  <c r="L1625" i="1" s="1"/>
  <c r="L1626" i="1" a="1"/>
  <c r="L1626" i="1" s="1"/>
  <c r="L1627" i="1" a="1"/>
  <c r="L1627" i="1" s="1"/>
  <c r="L1628" i="1" a="1"/>
  <c r="L1628" i="1" s="1"/>
  <c r="L1629" i="1" a="1"/>
  <c r="L1629" i="1" s="1"/>
  <c r="L1630" i="1" a="1"/>
  <c r="L1630" i="1" s="1"/>
  <c r="L1631" i="1" a="1"/>
  <c r="L1631" i="1" s="1"/>
  <c r="L1632" i="1" a="1"/>
  <c r="L1632" i="1" s="1"/>
  <c r="L1633" i="1" a="1"/>
  <c r="L1633" i="1" s="1"/>
  <c r="L1634" i="1" a="1"/>
  <c r="L1634" i="1" s="1"/>
  <c r="L1635" i="1" a="1"/>
  <c r="L1635" i="1" s="1"/>
  <c r="L1636" i="1" a="1"/>
  <c r="L1636" i="1" s="1"/>
  <c r="L1637" i="1" a="1"/>
  <c r="L1637" i="1" s="1"/>
  <c r="L1638" i="1" a="1"/>
  <c r="L1638" i="1" s="1"/>
  <c r="L1639" i="1" a="1"/>
  <c r="L1639" i="1" s="1"/>
  <c r="L1640" i="1" a="1"/>
  <c r="L1640" i="1" s="1"/>
  <c r="L1641" i="1" a="1"/>
  <c r="L1641" i="1" s="1"/>
  <c r="L1642" i="1" a="1"/>
  <c r="L1642" i="1" s="1"/>
  <c r="L1643" i="1" a="1"/>
  <c r="L1643" i="1" s="1"/>
  <c r="L1644" i="1" a="1"/>
  <c r="L1644" i="1" s="1"/>
  <c r="L1645" i="1" a="1"/>
  <c r="L1645" i="1" s="1"/>
  <c r="L1646" i="1" a="1"/>
  <c r="L1646" i="1" s="1"/>
  <c r="L1647" i="1" a="1"/>
  <c r="L1647" i="1" s="1"/>
  <c r="L1648" i="1" a="1"/>
  <c r="L1648" i="1" s="1"/>
  <c r="L1649" i="1" a="1"/>
  <c r="L1649" i="1" s="1"/>
  <c r="L1650" i="1" a="1"/>
  <c r="L1650" i="1" s="1"/>
  <c r="L1651" i="1" a="1"/>
  <c r="L1651" i="1" s="1"/>
  <c r="L1652" i="1" a="1"/>
  <c r="L1652" i="1" s="1"/>
  <c r="L1653" i="1" a="1"/>
  <c r="L1653" i="1" s="1"/>
  <c r="L1654" i="1" a="1"/>
  <c r="L1654" i="1" s="1"/>
  <c r="L1655" i="1" a="1"/>
  <c r="L1655" i="1" s="1"/>
  <c r="L1656" i="1" a="1"/>
  <c r="L1656" i="1" s="1"/>
  <c r="L1657" i="1" a="1"/>
  <c r="L1657" i="1" s="1"/>
  <c r="L1658" i="1" a="1"/>
  <c r="L1658" i="1" s="1"/>
  <c r="L1659" i="1" a="1"/>
  <c r="L1659" i="1" s="1"/>
  <c r="L1660" i="1" a="1"/>
  <c r="L1660" i="1" s="1"/>
  <c r="L1661" i="1" a="1"/>
  <c r="L1661" i="1" s="1"/>
  <c r="L1662" i="1" a="1"/>
  <c r="L1662" i="1" s="1"/>
  <c r="L1663" i="1" a="1"/>
  <c r="L1663" i="1" s="1"/>
  <c r="L1664" i="1" a="1"/>
  <c r="L1664" i="1" s="1"/>
  <c r="L1665" i="1" a="1"/>
  <c r="L1665" i="1" s="1"/>
  <c r="L1666" i="1" a="1"/>
  <c r="L1666" i="1" s="1"/>
  <c r="L1667" i="1" a="1"/>
  <c r="L1667" i="1" s="1"/>
  <c r="L1668" i="1" a="1"/>
  <c r="L1668" i="1" s="1"/>
  <c r="L1669" i="1" a="1"/>
  <c r="L1669" i="1" s="1"/>
  <c r="L1670" i="1" a="1"/>
  <c r="L1670" i="1" s="1"/>
  <c r="L1671" i="1" a="1"/>
  <c r="L1671" i="1" s="1"/>
  <c r="L1672" i="1" a="1"/>
  <c r="L1672" i="1" s="1"/>
  <c r="L1673" i="1" a="1"/>
  <c r="L1673" i="1" s="1"/>
  <c r="L1674" i="1" a="1"/>
  <c r="L1674" i="1" s="1"/>
  <c r="L1675" i="1" a="1"/>
  <c r="L1675" i="1" s="1"/>
  <c r="L1676" i="1" a="1"/>
  <c r="L1676" i="1" s="1"/>
  <c r="L1677" i="1" a="1"/>
  <c r="L1677" i="1" s="1"/>
  <c r="L1678" i="1" a="1"/>
  <c r="L1678" i="1" s="1"/>
  <c r="L1679" i="1" a="1"/>
  <c r="L1679" i="1" s="1"/>
  <c r="L1680" i="1" a="1"/>
  <c r="L1680" i="1" s="1"/>
  <c r="L1681" i="1" a="1"/>
  <c r="L1681" i="1" s="1"/>
  <c r="L1682" i="1" a="1"/>
  <c r="L1682" i="1" s="1"/>
  <c r="L1683" i="1" a="1"/>
  <c r="L1683" i="1" s="1"/>
  <c r="L1684" i="1" a="1"/>
  <c r="L1684" i="1" s="1"/>
  <c r="L1685" i="1" a="1"/>
  <c r="L1685" i="1" s="1"/>
  <c r="L1686" i="1" a="1"/>
  <c r="L1686" i="1" s="1"/>
  <c r="L1687" i="1" a="1"/>
  <c r="L1687" i="1" s="1"/>
  <c r="L1688" i="1" a="1"/>
  <c r="L1688" i="1" s="1"/>
  <c r="L1689" i="1" a="1"/>
  <c r="L1689" i="1" s="1"/>
  <c r="L1690" i="1" a="1"/>
  <c r="L1690" i="1" s="1"/>
  <c r="L1691" i="1" a="1"/>
  <c r="L1691" i="1" s="1"/>
  <c r="L1692" i="1" a="1"/>
  <c r="L1692" i="1" s="1"/>
  <c r="L1693" i="1" a="1"/>
  <c r="L1693" i="1" s="1"/>
  <c r="L1694" i="1" a="1"/>
  <c r="L1694" i="1" s="1"/>
  <c r="L1695" i="1" a="1"/>
  <c r="L1695" i="1" s="1"/>
  <c r="L1696" i="1" a="1"/>
  <c r="L1696" i="1" s="1"/>
  <c r="L1697" i="1" a="1"/>
  <c r="L1697" i="1" s="1"/>
  <c r="L1698" i="1" a="1"/>
  <c r="L1698" i="1" s="1"/>
  <c r="L1699" i="1" a="1"/>
  <c r="L1699" i="1" s="1"/>
  <c r="L1700" i="1" a="1"/>
  <c r="L1700" i="1" s="1"/>
  <c r="L1701" i="1" a="1"/>
  <c r="L1701" i="1" s="1"/>
  <c r="L1702" i="1" a="1"/>
  <c r="L1702" i="1" s="1"/>
  <c r="L1703" i="1" a="1"/>
  <c r="L1703" i="1" s="1"/>
  <c r="L1704" i="1" a="1"/>
  <c r="L1704" i="1" s="1"/>
  <c r="L1705" i="1" a="1"/>
  <c r="L1705" i="1" s="1"/>
  <c r="L1706" i="1" a="1"/>
  <c r="L1706" i="1" s="1"/>
  <c r="L1707" i="1" a="1"/>
  <c r="L1707" i="1" s="1"/>
  <c r="L1708" i="1" a="1"/>
  <c r="L1708" i="1" s="1"/>
  <c r="L1709" i="1" a="1"/>
  <c r="L1709" i="1" s="1"/>
  <c r="L1710" i="1" a="1"/>
  <c r="L1710" i="1" s="1"/>
  <c r="L1711" i="1" a="1"/>
  <c r="L1711" i="1" s="1"/>
  <c r="L1712" i="1" a="1"/>
  <c r="L1712" i="1" s="1"/>
  <c r="L1713" i="1" a="1"/>
  <c r="L1713" i="1" s="1"/>
  <c r="L1714" i="1" a="1"/>
  <c r="L1714" i="1" s="1"/>
  <c r="L1715" i="1" a="1"/>
  <c r="L1715" i="1" s="1"/>
  <c r="L1716" i="1" a="1"/>
  <c r="L1716" i="1" s="1"/>
  <c r="L1717" i="1" a="1"/>
  <c r="L1717" i="1" s="1"/>
  <c r="L1718" i="1" a="1"/>
  <c r="L1718" i="1" s="1"/>
  <c r="L1719" i="1" a="1"/>
  <c r="L1719" i="1" s="1"/>
  <c r="L1720" i="1" a="1"/>
  <c r="L1720" i="1" s="1"/>
  <c r="L1721" i="1" a="1"/>
  <c r="L1721" i="1" s="1"/>
  <c r="L1722" i="1" a="1"/>
  <c r="L1722" i="1" s="1"/>
  <c r="L1723" i="1" a="1"/>
  <c r="L1723" i="1" s="1"/>
  <c r="L1724" i="1" a="1"/>
  <c r="L1724" i="1" s="1"/>
  <c r="L1725" i="1" a="1"/>
  <c r="L1725" i="1" s="1"/>
  <c r="L1726" i="1" a="1"/>
  <c r="L1726" i="1" s="1"/>
  <c r="L1727" i="1" a="1"/>
  <c r="L1727" i="1" s="1"/>
  <c r="L1728" i="1" a="1"/>
  <c r="L1728" i="1" s="1"/>
  <c r="L1729" i="1" a="1"/>
  <c r="L1729" i="1" s="1"/>
  <c r="L1730" i="1" a="1"/>
  <c r="L1730" i="1" s="1"/>
  <c r="L1731" i="1" a="1"/>
  <c r="L1731" i="1" s="1"/>
  <c r="L1732" i="1" a="1"/>
  <c r="L1732" i="1" s="1"/>
  <c r="L1733" i="1" a="1"/>
  <c r="L1733" i="1" s="1"/>
  <c r="L1734" i="1" a="1"/>
  <c r="L1734" i="1" s="1"/>
  <c r="L1735" i="1" a="1"/>
  <c r="L1735" i="1" s="1"/>
  <c r="L1736" i="1" a="1"/>
  <c r="L1736" i="1" s="1"/>
  <c r="L1737" i="1" a="1"/>
  <c r="L1737" i="1" s="1"/>
  <c r="L1738" i="1" a="1"/>
  <c r="L1738" i="1" s="1"/>
  <c r="L1739" i="1" a="1"/>
  <c r="L1739" i="1" s="1"/>
  <c r="L1740" i="1" a="1"/>
  <c r="L1740" i="1" s="1"/>
  <c r="L1741" i="1" a="1"/>
  <c r="L1741" i="1" s="1"/>
  <c r="L1742" i="1" a="1"/>
  <c r="L1742" i="1" s="1"/>
  <c r="L1743" i="1" a="1"/>
  <c r="L1743" i="1" s="1"/>
  <c r="L1744" i="1" a="1"/>
  <c r="L1744" i="1" s="1"/>
  <c r="L1745" i="1" a="1"/>
  <c r="L1745" i="1" s="1"/>
  <c r="L1746" i="1" a="1"/>
  <c r="L1746" i="1" s="1"/>
  <c r="L1747" i="1" a="1"/>
  <c r="L1747" i="1" s="1"/>
  <c r="L1748" i="1" a="1"/>
  <c r="L1748" i="1" s="1"/>
  <c r="L1749" i="1" a="1"/>
  <c r="L1749" i="1" s="1"/>
  <c r="L1750" i="1" a="1"/>
  <c r="L1750" i="1" s="1"/>
  <c r="L1751" i="1" a="1"/>
  <c r="L1751" i="1" s="1"/>
  <c r="L1752" i="1" a="1"/>
  <c r="L1752" i="1" s="1"/>
  <c r="L1753" i="1" a="1"/>
  <c r="L1753" i="1" s="1"/>
  <c r="L1754" i="1" a="1"/>
  <c r="L1754" i="1" s="1"/>
  <c r="L1755" i="1" a="1"/>
  <c r="L1755" i="1" s="1"/>
  <c r="L1756" i="1" a="1"/>
  <c r="L1756" i="1" s="1"/>
  <c r="L1757" i="1" a="1"/>
  <c r="L1757" i="1" s="1"/>
  <c r="L1758" i="1" a="1"/>
  <c r="L1758" i="1" s="1"/>
  <c r="L1759" i="1" a="1"/>
  <c r="L1759" i="1" s="1"/>
  <c r="L1760" i="1" a="1"/>
  <c r="L1760" i="1" s="1"/>
  <c r="L1761" i="1" a="1"/>
  <c r="L1761" i="1" s="1"/>
  <c r="L1762" i="1" a="1"/>
  <c r="L1762" i="1" s="1"/>
  <c r="L1763" i="1" a="1"/>
  <c r="L1763" i="1" s="1"/>
  <c r="L1764" i="1" a="1"/>
  <c r="L1764" i="1" s="1"/>
  <c r="L1765" i="1" a="1"/>
  <c r="L1765" i="1" s="1"/>
  <c r="L1766" i="1" a="1"/>
  <c r="L1766" i="1" s="1"/>
  <c r="L1767" i="1" a="1"/>
  <c r="L1767" i="1" s="1"/>
  <c r="L1768" i="1" a="1"/>
  <c r="L1768" i="1" s="1"/>
  <c r="L1769" i="1" a="1"/>
  <c r="L1769" i="1" s="1"/>
  <c r="L1770" i="1" a="1"/>
  <c r="L1770" i="1" s="1"/>
  <c r="L1771" i="1" a="1"/>
  <c r="L1771" i="1" s="1"/>
  <c r="L1772" i="1" a="1"/>
  <c r="L1772" i="1" s="1"/>
  <c r="L1773" i="1" a="1"/>
  <c r="L1773" i="1" s="1"/>
  <c r="L1774" i="1" a="1"/>
  <c r="L1774" i="1" s="1"/>
  <c r="L1775" i="1" a="1"/>
  <c r="L1775" i="1" s="1"/>
  <c r="L1776" i="1" a="1"/>
  <c r="L1776" i="1" s="1"/>
  <c r="L1777" i="1" a="1"/>
  <c r="L1777" i="1" s="1"/>
  <c r="L1778" i="1" a="1"/>
  <c r="L1778" i="1" s="1"/>
  <c r="L1779" i="1" a="1"/>
  <c r="L1779" i="1" s="1"/>
  <c r="L1780" i="1" a="1"/>
  <c r="L1780" i="1" s="1"/>
  <c r="L1781" i="1" a="1"/>
  <c r="L1781" i="1" s="1"/>
  <c r="L1782" i="1" a="1"/>
  <c r="L1782" i="1" s="1"/>
  <c r="L1783" i="1" a="1"/>
  <c r="L1783" i="1" s="1"/>
  <c r="L1784" i="1" a="1"/>
  <c r="L1784" i="1" s="1"/>
  <c r="L1785" i="1" a="1"/>
  <c r="L1785" i="1" s="1"/>
  <c r="L1786" i="1" a="1"/>
  <c r="L1786" i="1" s="1"/>
  <c r="L1787" i="1" a="1"/>
  <c r="L1787" i="1" s="1"/>
  <c r="L1788" i="1" a="1"/>
  <c r="L1788" i="1" s="1"/>
  <c r="L1789" i="1" a="1"/>
  <c r="L1789" i="1" s="1"/>
  <c r="L1790" i="1" a="1"/>
  <c r="L1790" i="1" s="1"/>
  <c r="L1791" i="1" a="1"/>
  <c r="L1791" i="1" s="1"/>
  <c r="L1792" i="1" a="1"/>
  <c r="L1792" i="1" s="1"/>
  <c r="L1793" i="1" a="1"/>
  <c r="L1793" i="1" s="1"/>
  <c r="L1794" i="1" a="1"/>
  <c r="L1794" i="1" s="1"/>
  <c r="L1795" i="1" a="1"/>
  <c r="L1795" i="1" s="1"/>
  <c r="L1796" i="1" a="1"/>
  <c r="L1796" i="1" s="1"/>
  <c r="L1797" i="1" a="1"/>
  <c r="L1797" i="1" s="1"/>
  <c r="L1798" i="1" a="1"/>
  <c r="L1798" i="1" s="1"/>
  <c r="L1799" i="1" a="1"/>
  <c r="L1799" i="1" s="1"/>
  <c r="L1800" i="1" a="1"/>
  <c r="L1800" i="1" s="1"/>
  <c r="L1801" i="1" a="1"/>
  <c r="L1801" i="1" s="1"/>
  <c r="L1802" i="1" a="1"/>
  <c r="L1802" i="1" s="1"/>
  <c r="L1803" i="1" a="1"/>
  <c r="L1803" i="1" s="1"/>
  <c r="L1804" i="1" a="1"/>
  <c r="L1804" i="1" s="1"/>
  <c r="L1805" i="1" a="1"/>
  <c r="L1805" i="1" s="1"/>
  <c r="L1806" i="1" a="1"/>
  <c r="L1806" i="1" s="1"/>
  <c r="L1807" i="1" a="1"/>
  <c r="L1807" i="1" s="1"/>
  <c r="L1808" i="1" a="1"/>
  <c r="L1808" i="1" s="1"/>
  <c r="L1809" i="1" a="1"/>
  <c r="L1809" i="1" s="1"/>
  <c r="L1810" i="1" a="1"/>
  <c r="L1810" i="1" s="1"/>
  <c r="L1811" i="1" a="1"/>
  <c r="L1811" i="1" s="1"/>
  <c r="L1812" i="1" a="1"/>
  <c r="L1812" i="1" s="1"/>
  <c r="L1813" i="1" a="1"/>
  <c r="L1813" i="1" s="1"/>
  <c r="L1814" i="1" a="1"/>
  <c r="L1814" i="1" s="1"/>
  <c r="L1815" i="1" a="1"/>
  <c r="L1815" i="1" s="1"/>
  <c r="L1816" i="1" a="1"/>
  <c r="L1816" i="1" s="1"/>
  <c r="L1817" i="1" a="1"/>
  <c r="L1817" i="1" s="1"/>
  <c r="L1818" i="1" a="1"/>
  <c r="L1818" i="1" s="1"/>
  <c r="L1819" i="1" a="1"/>
  <c r="L1819" i="1" s="1"/>
  <c r="L1820" i="1" a="1"/>
  <c r="L1820" i="1" s="1"/>
  <c r="L1821" i="1" a="1"/>
  <c r="L1821" i="1" s="1"/>
  <c r="L1822" i="1" a="1"/>
  <c r="L1822" i="1" s="1"/>
  <c r="L1823" i="1" a="1"/>
  <c r="L1823" i="1" s="1"/>
  <c r="L1824" i="1" a="1"/>
  <c r="L1824" i="1" s="1"/>
  <c r="L1825" i="1" a="1"/>
  <c r="L1825" i="1" s="1"/>
  <c r="L1826" i="1" a="1"/>
  <c r="L1826" i="1" s="1"/>
  <c r="L1827" i="1" a="1"/>
  <c r="L1827" i="1" s="1"/>
  <c r="L1828" i="1" a="1"/>
  <c r="L1828" i="1" s="1"/>
  <c r="L1829" i="1" a="1"/>
  <c r="L1829" i="1" s="1"/>
  <c r="L1830" i="1" a="1"/>
  <c r="L1830" i="1" s="1"/>
  <c r="L1831" i="1" a="1"/>
  <c r="L1831" i="1" s="1"/>
  <c r="L1832" i="1" a="1"/>
  <c r="L1832" i="1" s="1"/>
  <c r="L1833" i="1" a="1"/>
  <c r="L1833" i="1" s="1"/>
  <c r="L1834" i="1" a="1"/>
  <c r="L1834" i="1" s="1"/>
  <c r="L1835" i="1" a="1"/>
  <c r="L1835" i="1" s="1"/>
  <c r="L1836" i="1" a="1"/>
  <c r="L1836" i="1" s="1"/>
  <c r="L1837" i="1" a="1"/>
  <c r="L1837" i="1" s="1"/>
  <c r="L1838" i="1" a="1"/>
  <c r="L1838" i="1" s="1"/>
  <c r="L1839" i="1" a="1"/>
  <c r="L1839" i="1" s="1"/>
  <c r="L1840" i="1" a="1"/>
  <c r="L1840" i="1" s="1"/>
  <c r="L1841" i="1" a="1"/>
  <c r="L1841" i="1" s="1"/>
  <c r="L1842" i="1" a="1"/>
  <c r="L1842" i="1" s="1"/>
  <c r="L1843" i="1" a="1"/>
  <c r="L1843" i="1" s="1"/>
  <c r="L1844" i="1" a="1"/>
  <c r="L1844" i="1" s="1"/>
  <c r="L1845" i="1" a="1"/>
  <c r="L1845" i="1" s="1"/>
  <c r="L1846" i="1" a="1"/>
  <c r="L1846" i="1" s="1"/>
  <c r="L1847" i="1" a="1"/>
  <c r="L1847" i="1" s="1"/>
  <c r="L1848" i="1" a="1"/>
  <c r="L1848" i="1" s="1"/>
  <c r="L1849" i="1" a="1"/>
  <c r="L1849" i="1" s="1"/>
  <c r="L1850" i="1" a="1"/>
  <c r="L1850" i="1" s="1"/>
  <c r="L1851" i="1" a="1"/>
  <c r="L1851" i="1" s="1"/>
  <c r="L1852" i="1" a="1"/>
  <c r="L1852" i="1" s="1"/>
  <c r="L1853" i="1" a="1"/>
  <c r="L1853" i="1" s="1"/>
  <c r="L1854" i="1" a="1"/>
  <c r="L1854" i="1" s="1"/>
  <c r="L1855" i="1" a="1"/>
  <c r="L1855" i="1" s="1"/>
  <c r="L1856" i="1" a="1"/>
  <c r="L1856" i="1" s="1"/>
  <c r="L1857" i="1" a="1"/>
  <c r="L1857" i="1" s="1"/>
  <c r="L1858" i="1" a="1"/>
  <c r="L1858" i="1" s="1"/>
  <c r="L1859" i="1" a="1"/>
  <c r="L1859" i="1" s="1"/>
  <c r="L1860" i="1" a="1"/>
  <c r="L1860" i="1" s="1"/>
  <c r="L1861" i="1" a="1"/>
  <c r="L1861" i="1" s="1"/>
  <c r="L1862" i="1" a="1"/>
  <c r="L1862" i="1" s="1"/>
  <c r="L1863" i="1" a="1"/>
  <c r="L1863" i="1" s="1"/>
  <c r="L1864" i="1" a="1"/>
  <c r="L1864" i="1" s="1"/>
  <c r="L1865" i="1" a="1"/>
  <c r="L1865" i="1" s="1"/>
  <c r="L1866" i="1" a="1"/>
  <c r="L1866" i="1" s="1"/>
  <c r="L1867" i="1" a="1"/>
  <c r="L1867" i="1" s="1"/>
  <c r="L1868" i="1" a="1"/>
  <c r="L1868" i="1" s="1"/>
  <c r="L1869" i="1" a="1"/>
  <c r="L1869" i="1" s="1"/>
  <c r="L1870" i="1" a="1"/>
  <c r="L1870" i="1" s="1"/>
  <c r="L1871" i="1" a="1"/>
  <c r="L1871" i="1" s="1"/>
  <c r="L1872" i="1" a="1"/>
  <c r="L1872" i="1" s="1"/>
  <c r="L1873" i="1" a="1"/>
  <c r="L1873" i="1" s="1"/>
  <c r="L1874" i="1" a="1"/>
  <c r="L1874" i="1" s="1"/>
  <c r="L1875" i="1" a="1"/>
  <c r="L1875" i="1" s="1"/>
  <c r="L1876" i="1" a="1"/>
  <c r="L1876" i="1" s="1"/>
  <c r="L1877" i="1" a="1"/>
  <c r="L1877" i="1" s="1"/>
  <c r="L1878" i="1" a="1"/>
  <c r="L1878" i="1" s="1"/>
  <c r="L1879" i="1" a="1"/>
  <c r="L1879" i="1" s="1"/>
  <c r="L1880" i="1" a="1"/>
  <c r="L1880" i="1" s="1"/>
  <c r="L1881" i="1" a="1"/>
  <c r="L1881" i="1" s="1"/>
  <c r="L1882" i="1" a="1"/>
  <c r="L1882" i="1" s="1"/>
  <c r="L1883" i="1" a="1"/>
  <c r="L1883" i="1" s="1"/>
  <c r="L1884" i="1" a="1"/>
  <c r="L1884" i="1" s="1"/>
  <c r="L1885" i="1" a="1"/>
  <c r="L1885" i="1" s="1"/>
  <c r="L1886" i="1" a="1"/>
  <c r="L1886" i="1" s="1"/>
  <c r="L1887" i="1" a="1"/>
  <c r="L1887" i="1" s="1"/>
  <c r="L1888" i="1" a="1"/>
  <c r="L1888" i="1" s="1"/>
  <c r="L1889" i="1" a="1"/>
  <c r="L1889" i="1" s="1"/>
  <c r="L1890" i="1" a="1"/>
  <c r="L1890" i="1" s="1"/>
  <c r="L1891" i="1" a="1"/>
  <c r="L1891" i="1" s="1"/>
  <c r="L1892" i="1" a="1"/>
  <c r="L1892" i="1" s="1"/>
  <c r="L1893" i="1" a="1"/>
  <c r="L1893" i="1" s="1"/>
  <c r="L1894" i="1" a="1"/>
  <c r="L1894" i="1" s="1"/>
  <c r="L1895" i="1" a="1"/>
  <c r="L1895" i="1" s="1"/>
  <c r="L1896" i="1" a="1"/>
  <c r="L1896" i="1" s="1"/>
  <c r="L1897" i="1" a="1"/>
  <c r="L1897" i="1" s="1"/>
  <c r="L1898" i="1" a="1"/>
  <c r="L1898" i="1" s="1"/>
  <c r="L1899" i="1" a="1"/>
  <c r="L1899" i="1" s="1"/>
  <c r="L1900" i="1" a="1"/>
  <c r="L1900" i="1" s="1"/>
  <c r="L1901" i="1" a="1"/>
  <c r="L1901" i="1" s="1"/>
  <c r="L1902" i="1" a="1"/>
  <c r="L1902" i="1" s="1"/>
  <c r="L1903" i="1" a="1"/>
  <c r="L1903" i="1" s="1"/>
  <c r="L1904" i="1" a="1"/>
  <c r="L1904" i="1" s="1"/>
  <c r="L1905" i="1" a="1"/>
  <c r="L1905" i="1" s="1"/>
  <c r="L1906" i="1" a="1"/>
  <c r="L1906" i="1" s="1"/>
  <c r="L1907" i="1" a="1"/>
  <c r="L1907" i="1" s="1"/>
  <c r="L1908" i="1" a="1"/>
  <c r="L1908" i="1" s="1"/>
  <c r="L1909" i="1" a="1"/>
  <c r="L1909" i="1" s="1"/>
  <c r="L1910" i="1" a="1"/>
  <c r="L1910" i="1" s="1"/>
  <c r="L1911" i="1" a="1"/>
  <c r="L1911" i="1" s="1"/>
  <c r="L1912" i="1" a="1"/>
  <c r="L1912" i="1" s="1"/>
  <c r="L1913" i="1" a="1"/>
  <c r="L1913" i="1" s="1"/>
  <c r="L1914" i="1" a="1"/>
  <c r="L1914" i="1" s="1"/>
  <c r="L1915" i="1" a="1"/>
  <c r="L1915" i="1" s="1"/>
  <c r="L1916" i="1" a="1"/>
  <c r="L1916" i="1" s="1"/>
  <c r="L1917" i="1" a="1"/>
  <c r="L1917" i="1" s="1"/>
  <c r="L1918" i="1" a="1"/>
  <c r="L1918" i="1" s="1"/>
  <c r="L1919" i="1" a="1"/>
  <c r="L1919" i="1" s="1"/>
  <c r="L1920" i="1" a="1"/>
  <c r="L1920" i="1" s="1"/>
  <c r="L1921" i="1" a="1"/>
  <c r="L1921" i="1" s="1"/>
  <c r="L1922" i="1" a="1"/>
  <c r="L1922" i="1" s="1"/>
  <c r="L1923" i="1" a="1"/>
  <c r="L1923" i="1" s="1"/>
  <c r="L1924" i="1" a="1"/>
  <c r="L1924" i="1" s="1"/>
  <c r="L1925" i="1" a="1"/>
  <c r="L1925" i="1" s="1"/>
  <c r="L1926" i="1" a="1"/>
  <c r="L1926" i="1" s="1"/>
  <c r="L1927" i="1" a="1"/>
  <c r="L1927" i="1" s="1"/>
  <c r="L1928" i="1" a="1"/>
  <c r="L1928" i="1" s="1"/>
  <c r="L1929" i="1" a="1"/>
  <c r="L1929" i="1" s="1"/>
  <c r="L1930" i="1" a="1"/>
  <c r="L1930" i="1" s="1"/>
  <c r="L1931" i="1" a="1"/>
  <c r="L1931" i="1" s="1"/>
  <c r="L1932" i="1" a="1"/>
  <c r="L1932" i="1" s="1"/>
  <c r="L1933" i="1" a="1"/>
  <c r="L1933" i="1" s="1"/>
  <c r="L1934" i="1" a="1"/>
  <c r="L1934" i="1" s="1"/>
  <c r="L1935" i="1" a="1"/>
  <c r="L1935" i="1" s="1"/>
  <c r="L1936" i="1" a="1"/>
  <c r="L1936" i="1" s="1"/>
  <c r="L1937" i="1" a="1"/>
  <c r="L1937" i="1" s="1"/>
  <c r="L1938" i="1" a="1"/>
  <c r="L1938" i="1" s="1"/>
  <c r="L1939" i="1" a="1"/>
  <c r="L1939" i="1" s="1"/>
  <c r="L1940" i="1" a="1"/>
  <c r="L1940" i="1" s="1"/>
  <c r="L1941" i="1" a="1"/>
  <c r="L1941" i="1" s="1"/>
  <c r="L1942" i="1" a="1"/>
  <c r="L1942" i="1" s="1"/>
  <c r="L1943" i="1" a="1"/>
  <c r="L1943" i="1" s="1"/>
  <c r="L1944" i="1" a="1"/>
  <c r="L1944" i="1" s="1"/>
  <c r="L1945" i="1" a="1"/>
  <c r="L1945" i="1" s="1"/>
  <c r="L1946" i="1" a="1"/>
  <c r="L1946" i="1" s="1"/>
  <c r="L1947" i="1" a="1"/>
  <c r="L1947" i="1" s="1"/>
  <c r="L1948" i="1" a="1"/>
  <c r="L1948" i="1" s="1"/>
  <c r="L1949" i="1" a="1"/>
  <c r="L1949" i="1" s="1"/>
  <c r="L1950" i="1" a="1"/>
  <c r="L1950" i="1" s="1"/>
  <c r="L1951" i="1" a="1"/>
  <c r="L1951" i="1" s="1"/>
  <c r="L1952" i="1" a="1"/>
  <c r="L1952" i="1" s="1"/>
  <c r="L1953" i="1" a="1"/>
  <c r="L1953" i="1" s="1"/>
  <c r="L1954" i="1" a="1"/>
  <c r="L1954" i="1" s="1"/>
  <c r="L1955" i="1" a="1"/>
  <c r="L1955" i="1" s="1"/>
  <c r="L1956" i="1" a="1"/>
  <c r="L1956" i="1" s="1"/>
  <c r="L1957" i="1" a="1"/>
  <c r="L1957" i="1" s="1"/>
  <c r="L1958" i="1" a="1"/>
  <c r="L1958" i="1" s="1"/>
  <c r="L1959" i="1" a="1"/>
  <c r="L1959" i="1" s="1"/>
  <c r="L1960" i="1" a="1"/>
  <c r="L1960" i="1" s="1"/>
  <c r="L1961" i="1" a="1"/>
  <c r="L1961" i="1" s="1"/>
  <c r="L1962" i="1" a="1"/>
  <c r="L1962" i="1" s="1"/>
  <c r="L1963" i="1" a="1"/>
  <c r="L1963" i="1" s="1"/>
  <c r="L1964" i="1" a="1"/>
  <c r="L1964" i="1" s="1"/>
  <c r="L1965" i="1" a="1"/>
  <c r="L1965" i="1" s="1"/>
  <c r="L1966" i="1" a="1"/>
  <c r="L1966" i="1" s="1"/>
  <c r="L1967" i="1" a="1"/>
  <c r="L1967" i="1" s="1"/>
  <c r="L1968" i="1" a="1"/>
  <c r="L1968" i="1" s="1"/>
  <c r="L1969" i="1" a="1"/>
  <c r="L1969" i="1" s="1"/>
  <c r="L1970" i="1" a="1"/>
  <c r="L1970" i="1" s="1"/>
  <c r="L1971" i="1" a="1"/>
  <c r="L1971" i="1" s="1"/>
  <c r="L1972" i="1" a="1"/>
  <c r="L1972" i="1" s="1"/>
  <c r="L1973" i="1" a="1"/>
  <c r="L1973" i="1" s="1"/>
  <c r="L1974" i="1" a="1"/>
  <c r="L1974" i="1" s="1"/>
  <c r="L1975" i="1" a="1"/>
  <c r="L1975" i="1" s="1"/>
  <c r="L1976" i="1" a="1"/>
  <c r="L1976" i="1" s="1"/>
  <c r="L1977" i="1" a="1"/>
  <c r="L1977" i="1" s="1"/>
  <c r="L1978" i="1" a="1"/>
  <c r="L1978" i="1" s="1"/>
  <c r="L1979" i="1" a="1"/>
  <c r="L1979" i="1" s="1"/>
  <c r="L1980" i="1" a="1"/>
  <c r="L1980" i="1" s="1"/>
  <c r="L1981" i="1" a="1"/>
  <c r="L1981" i="1" s="1"/>
  <c r="L1982" i="1" a="1"/>
  <c r="L1982" i="1" s="1"/>
  <c r="L1983" i="1" a="1"/>
  <c r="L1983" i="1" s="1"/>
  <c r="L1984" i="1" a="1"/>
  <c r="L1984" i="1" s="1"/>
  <c r="L1985" i="1" a="1"/>
  <c r="L1985" i="1" s="1"/>
  <c r="L1986" i="1" a="1"/>
  <c r="L1986" i="1" s="1"/>
  <c r="L1987" i="1" a="1"/>
  <c r="L1987" i="1" s="1"/>
  <c r="L1988" i="1" a="1"/>
  <c r="L1988" i="1" s="1"/>
  <c r="L1989" i="1" a="1"/>
  <c r="L1989" i="1" s="1"/>
  <c r="L1990" i="1" a="1"/>
  <c r="L1990" i="1" s="1"/>
  <c r="L1991" i="1" a="1"/>
  <c r="L1991" i="1" s="1"/>
  <c r="L1992" i="1" a="1"/>
  <c r="L1992" i="1" s="1"/>
  <c r="L1993" i="1" a="1"/>
  <c r="L1993" i="1" s="1"/>
  <c r="L1994" i="1" a="1"/>
  <c r="L1994" i="1" s="1"/>
  <c r="L1995" i="1" a="1"/>
  <c r="L1995" i="1" s="1"/>
  <c r="L1996" i="1" a="1"/>
  <c r="L1996" i="1" s="1"/>
  <c r="L1997" i="1" a="1"/>
  <c r="L1997" i="1" s="1"/>
  <c r="L1998" i="1" a="1"/>
  <c r="L1998" i="1" s="1"/>
  <c r="L1999" i="1" a="1"/>
  <c r="L1999" i="1" s="1"/>
  <c r="L2000" i="1" a="1"/>
  <c r="L2000" i="1" s="1"/>
  <c r="L2001" i="1" a="1"/>
  <c r="L2001" i="1" s="1"/>
  <c r="L2002" i="1" a="1"/>
  <c r="L2002" i="1" s="1"/>
  <c r="L2003" i="1" a="1"/>
  <c r="L2003" i="1" s="1"/>
  <c r="L2004" i="1" a="1"/>
  <c r="L2004" i="1" s="1"/>
  <c r="L2005" i="1" a="1"/>
  <c r="L2005" i="1" s="1"/>
  <c r="L2006" i="1" a="1"/>
  <c r="L2006" i="1" s="1"/>
  <c r="L2007" i="1" a="1"/>
  <c r="L2007" i="1" s="1"/>
  <c r="L2008" i="1" a="1"/>
  <c r="L2008" i="1" s="1"/>
  <c r="L2009" i="1" a="1"/>
  <c r="L2009" i="1" s="1"/>
  <c r="L2010" i="1" a="1"/>
  <c r="L2010" i="1" s="1"/>
  <c r="L2011" i="1" a="1"/>
  <c r="L2011" i="1" s="1"/>
  <c r="L2012" i="1" a="1"/>
  <c r="L2012" i="1" s="1"/>
  <c r="L2013" i="1" a="1"/>
  <c r="L2013" i="1" s="1"/>
  <c r="L2014" i="1" a="1"/>
  <c r="L2014" i="1" s="1"/>
  <c r="L2015" i="1" a="1"/>
  <c r="L2015" i="1" s="1"/>
  <c r="L2016" i="1" a="1"/>
  <c r="L2016" i="1" s="1"/>
  <c r="L2017" i="1" a="1"/>
  <c r="L2017" i="1" s="1"/>
  <c r="L2018" i="1" a="1"/>
  <c r="L2018" i="1" s="1"/>
  <c r="L2019" i="1" a="1"/>
  <c r="L2019" i="1" s="1"/>
  <c r="L2020" i="1" a="1"/>
  <c r="L2020" i="1" s="1"/>
  <c r="L2021" i="1" a="1"/>
  <c r="L2021" i="1" s="1"/>
  <c r="L2022" i="1" a="1"/>
  <c r="L2022" i="1" s="1"/>
  <c r="L2023" i="1" a="1"/>
  <c r="L2023" i="1" s="1"/>
  <c r="L2024" i="1" a="1"/>
  <c r="L2024" i="1" s="1"/>
  <c r="L2025" i="1" a="1"/>
  <c r="L2025" i="1" s="1"/>
  <c r="L2026" i="1" a="1"/>
  <c r="L2026" i="1" s="1"/>
  <c r="L2027" i="1" a="1"/>
  <c r="L2027" i="1" s="1"/>
  <c r="L2028" i="1" a="1"/>
  <c r="L2028" i="1" s="1"/>
  <c r="L2029" i="1" a="1"/>
  <c r="L2029" i="1" s="1"/>
  <c r="L2030" i="1" a="1"/>
  <c r="L2030" i="1" s="1"/>
  <c r="L2031" i="1" a="1"/>
  <c r="L2031" i="1" s="1"/>
  <c r="L2032" i="1" a="1"/>
  <c r="L2032" i="1" s="1"/>
  <c r="L2033" i="1" a="1"/>
  <c r="L2033" i="1" s="1"/>
  <c r="L2034" i="1" a="1"/>
  <c r="L2034" i="1" s="1"/>
  <c r="L2035" i="1" a="1"/>
  <c r="L2035" i="1" s="1"/>
  <c r="L2036" i="1" a="1"/>
  <c r="L2036" i="1" s="1"/>
  <c r="L2037" i="1" a="1"/>
  <c r="L2037" i="1" s="1"/>
  <c r="L2038" i="1" a="1"/>
  <c r="L2038" i="1" s="1"/>
  <c r="L2039" i="1" a="1"/>
  <c r="L2039" i="1" s="1"/>
  <c r="L2040" i="1" a="1"/>
  <c r="L2040" i="1" s="1"/>
  <c r="L2041" i="1" a="1"/>
  <c r="L2041" i="1" s="1"/>
  <c r="L2042" i="1" a="1"/>
  <c r="L2042" i="1" s="1"/>
  <c r="L2043" i="1" a="1"/>
  <c r="L2043" i="1" s="1"/>
  <c r="L2044" i="1" a="1"/>
  <c r="L2044" i="1" s="1"/>
  <c r="L2045" i="1" a="1"/>
  <c r="L2045" i="1" s="1"/>
  <c r="L2046" i="1" a="1"/>
  <c r="L2046" i="1" s="1"/>
  <c r="L2047" i="1" a="1"/>
  <c r="L2047" i="1" s="1"/>
  <c r="L2048" i="1" a="1"/>
  <c r="L2048" i="1" s="1"/>
  <c r="L2049" i="1" a="1"/>
  <c r="L2049" i="1" s="1"/>
  <c r="L2050" i="1" a="1"/>
  <c r="L2050" i="1" s="1"/>
  <c r="L2051" i="1" a="1"/>
  <c r="L2051" i="1" s="1"/>
  <c r="L2052" i="1" a="1"/>
  <c r="L2052" i="1" s="1"/>
  <c r="L2053" i="1" a="1"/>
  <c r="L2053" i="1" s="1"/>
  <c r="L2054" i="1" a="1"/>
  <c r="L2054" i="1" s="1"/>
  <c r="L2055" i="1" a="1"/>
  <c r="L2055" i="1" s="1"/>
  <c r="L2056" i="1" a="1"/>
  <c r="L2056" i="1" s="1"/>
  <c r="L2057" i="1" a="1"/>
  <c r="L2057" i="1" s="1"/>
  <c r="L2058" i="1" a="1"/>
  <c r="L2058" i="1" s="1"/>
  <c r="L2059" i="1" a="1"/>
  <c r="L2059" i="1" s="1"/>
  <c r="L2060" i="1" a="1"/>
  <c r="L2060" i="1" s="1"/>
  <c r="L2061" i="1" a="1"/>
  <c r="L2061" i="1" s="1"/>
  <c r="L2062" i="1" a="1"/>
  <c r="L2062" i="1" s="1"/>
  <c r="L2063" i="1" a="1"/>
  <c r="L2063" i="1" s="1"/>
  <c r="L2064" i="1" a="1"/>
  <c r="L2064" i="1" s="1"/>
  <c r="L2065" i="1" a="1"/>
  <c r="L2065" i="1" s="1"/>
  <c r="L2066" i="1" a="1"/>
  <c r="L2066" i="1" s="1"/>
  <c r="L2067" i="1" a="1"/>
  <c r="L2067" i="1" s="1"/>
  <c r="L2068" i="1" a="1"/>
  <c r="L2068" i="1" s="1"/>
  <c r="L2069" i="1" a="1"/>
  <c r="L2069" i="1" s="1"/>
  <c r="L2070" i="1" a="1"/>
  <c r="L2070" i="1" s="1"/>
  <c r="L2071" i="1" a="1"/>
  <c r="L2071" i="1" s="1"/>
  <c r="L2072" i="1" a="1"/>
  <c r="L2072" i="1" s="1"/>
  <c r="L2073" i="1" a="1"/>
  <c r="L2073" i="1" s="1"/>
  <c r="L2074" i="1" a="1"/>
  <c r="L2074" i="1" s="1"/>
  <c r="L2075" i="1" a="1"/>
  <c r="L2075" i="1" s="1"/>
  <c r="L2076" i="1" a="1"/>
  <c r="L2076" i="1" s="1"/>
  <c r="L2077" i="1" a="1"/>
  <c r="L2077" i="1" s="1"/>
  <c r="L2078" i="1" a="1"/>
  <c r="L2078" i="1" s="1"/>
  <c r="L2079" i="1" a="1"/>
  <c r="L2079" i="1" s="1"/>
  <c r="L2080" i="1" a="1"/>
  <c r="L2080" i="1" s="1"/>
  <c r="L2081" i="1" a="1"/>
  <c r="L2081" i="1" s="1"/>
  <c r="L2082" i="1" a="1"/>
  <c r="L2082" i="1" s="1"/>
  <c r="L2083" i="1" a="1"/>
  <c r="L2083" i="1" s="1"/>
  <c r="L2084" i="1" a="1"/>
  <c r="L2084" i="1" s="1"/>
  <c r="L2085" i="1" a="1"/>
  <c r="L2085" i="1" s="1"/>
  <c r="L2086" i="1" a="1"/>
  <c r="L2086" i="1" s="1"/>
  <c r="L2087" i="1" a="1"/>
  <c r="L2087" i="1" s="1"/>
  <c r="L2088" i="1" a="1"/>
  <c r="L2088" i="1" s="1"/>
  <c r="L2089" i="1" a="1"/>
  <c r="L2089" i="1" s="1"/>
  <c r="L2090" i="1" a="1"/>
  <c r="L2090" i="1" s="1"/>
  <c r="L2091" i="1" a="1"/>
  <c r="L2091" i="1" s="1"/>
  <c r="L2092" i="1" a="1"/>
  <c r="L2092" i="1" s="1"/>
  <c r="L2093" i="1" a="1"/>
  <c r="L2093" i="1" s="1"/>
  <c r="L2094" i="1" a="1"/>
  <c r="L2094" i="1" s="1"/>
  <c r="L2095" i="1" a="1"/>
  <c r="L2095" i="1" s="1"/>
  <c r="L2096" i="1" a="1"/>
  <c r="L2096" i="1" s="1"/>
  <c r="L2097" i="1" a="1"/>
  <c r="L2097" i="1" s="1"/>
  <c r="L2098" i="1" a="1"/>
  <c r="L2098" i="1" s="1"/>
  <c r="L2099" i="1" a="1"/>
  <c r="L2099" i="1" s="1"/>
  <c r="L2100" i="1" a="1"/>
  <c r="L2100" i="1" s="1"/>
  <c r="L2101" i="1" a="1"/>
  <c r="L2101" i="1" s="1"/>
  <c r="L2102" i="1" a="1"/>
  <c r="L2102" i="1" s="1"/>
  <c r="L2103" i="1" a="1"/>
  <c r="L2103" i="1" s="1"/>
  <c r="L2104" i="1" a="1"/>
  <c r="L2104" i="1" s="1"/>
  <c r="L2105" i="1" a="1"/>
  <c r="L2105" i="1" s="1"/>
  <c r="L2106" i="1" a="1"/>
  <c r="L2106" i="1" s="1"/>
  <c r="L2107" i="1" a="1"/>
  <c r="L2107" i="1" s="1"/>
  <c r="L2108" i="1" a="1"/>
  <c r="L2108" i="1" s="1"/>
  <c r="L2109" i="1" a="1"/>
  <c r="L2109" i="1" s="1"/>
  <c r="L2110" i="1" a="1"/>
  <c r="L2110" i="1" s="1"/>
  <c r="L2111" i="1" a="1"/>
  <c r="L2111" i="1" s="1"/>
  <c r="L2112" i="1" a="1"/>
  <c r="L2112" i="1" s="1"/>
  <c r="L2113" i="1" a="1"/>
  <c r="L2113" i="1" s="1"/>
  <c r="L2114" i="1" a="1"/>
  <c r="L2114" i="1" s="1"/>
  <c r="L2115" i="1" a="1"/>
  <c r="L2115" i="1" s="1"/>
  <c r="L2116" i="1" a="1"/>
  <c r="L2116" i="1" s="1"/>
  <c r="L2117" i="1" a="1"/>
  <c r="L2117" i="1" s="1"/>
  <c r="L2118" i="1" a="1"/>
  <c r="L2118" i="1" s="1"/>
  <c r="L2119" i="1" a="1"/>
  <c r="L2119" i="1" s="1"/>
  <c r="L2120" i="1" a="1"/>
  <c r="L2120" i="1" s="1"/>
  <c r="L2121" i="1" a="1"/>
  <c r="L2121" i="1" s="1"/>
  <c r="L2122" i="1" a="1"/>
  <c r="L2122" i="1" s="1"/>
  <c r="L2123" i="1" a="1"/>
  <c r="L2123" i="1" s="1"/>
  <c r="L2124" i="1" a="1"/>
  <c r="L2124" i="1" s="1"/>
  <c r="L2125" i="1" a="1"/>
  <c r="L2125" i="1" s="1"/>
  <c r="L2126" i="1" a="1"/>
  <c r="L2126" i="1" s="1"/>
  <c r="L2127" i="1" a="1"/>
  <c r="L2127" i="1" s="1"/>
  <c r="L2128" i="1" a="1"/>
  <c r="L2128" i="1" s="1"/>
  <c r="L2129" i="1" a="1"/>
  <c r="L2129" i="1" s="1"/>
  <c r="L2130" i="1" a="1"/>
  <c r="L2130" i="1" s="1"/>
  <c r="L2131" i="1" a="1"/>
  <c r="L2131" i="1" s="1"/>
  <c r="L2132" i="1" a="1"/>
  <c r="L2132" i="1" s="1"/>
  <c r="L2133" i="1" a="1"/>
  <c r="L2133" i="1" s="1"/>
  <c r="L2134" i="1" a="1"/>
  <c r="L2134" i="1" s="1"/>
  <c r="L2135" i="1" a="1"/>
  <c r="L2135" i="1" s="1"/>
  <c r="L2136" i="1" a="1"/>
  <c r="L2136" i="1" s="1"/>
  <c r="L2137" i="1" a="1"/>
  <c r="L2137" i="1" s="1"/>
  <c r="L2138" i="1" a="1"/>
  <c r="L2138" i="1" s="1"/>
  <c r="L2139" i="1" a="1"/>
  <c r="L2139" i="1" s="1"/>
  <c r="L2140" i="1" a="1"/>
  <c r="L2140" i="1" s="1"/>
  <c r="L2141" i="1" a="1"/>
  <c r="L2141" i="1" s="1"/>
  <c r="L2142" i="1" a="1"/>
  <c r="L2142" i="1" s="1"/>
  <c r="L2143" i="1" a="1"/>
  <c r="L2143" i="1" s="1"/>
  <c r="L2144" i="1" a="1"/>
  <c r="L2144" i="1" s="1"/>
  <c r="L2145" i="1" a="1"/>
  <c r="L2145" i="1" s="1"/>
  <c r="L2146" i="1" a="1"/>
  <c r="L2146" i="1" s="1"/>
  <c r="L2147" i="1" a="1"/>
  <c r="L2147" i="1" s="1"/>
  <c r="L2148" i="1" a="1"/>
  <c r="L2148" i="1" s="1"/>
  <c r="L2149" i="1" a="1"/>
  <c r="L2149" i="1" s="1"/>
  <c r="L2150" i="1" a="1"/>
  <c r="L2150" i="1" s="1"/>
  <c r="L2151" i="1" a="1"/>
  <c r="L2151" i="1" s="1"/>
  <c r="L2152" i="1" a="1"/>
  <c r="L2152" i="1" s="1"/>
  <c r="L2153" i="1" a="1"/>
  <c r="L2153" i="1" s="1"/>
  <c r="L2154" i="1" a="1"/>
  <c r="L2154" i="1" s="1"/>
  <c r="L2155" i="1" a="1"/>
  <c r="L2155" i="1" s="1"/>
  <c r="L2156" i="1" a="1"/>
  <c r="L2156" i="1" s="1"/>
  <c r="L2157" i="1" a="1"/>
  <c r="L2157" i="1" s="1"/>
  <c r="L2158" i="1" a="1"/>
  <c r="L2158" i="1" s="1"/>
  <c r="L2159" i="1" a="1"/>
  <c r="L2159" i="1" s="1"/>
  <c r="L2160" i="1" a="1"/>
  <c r="L2160" i="1" s="1"/>
  <c r="L2161" i="1" a="1"/>
  <c r="L2161" i="1" s="1"/>
  <c r="L2162" i="1" a="1"/>
  <c r="L2162" i="1" s="1"/>
  <c r="L2163" i="1" a="1"/>
  <c r="L2163" i="1" s="1"/>
  <c r="L2164" i="1" a="1"/>
  <c r="L2164" i="1" s="1"/>
  <c r="L2165" i="1" a="1"/>
  <c r="L2165" i="1" s="1"/>
  <c r="L2166" i="1" a="1"/>
  <c r="L2166" i="1" s="1"/>
  <c r="L2167" i="1" a="1"/>
  <c r="L2167" i="1" s="1"/>
  <c r="L2168" i="1" a="1"/>
  <c r="L2168" i="1" s="1"/>
  <c r="L2169" i="1" a="1"/>
  <c r="L2169" i="1" s="1"/>
  <c r="L2170" i="1" a="1"/>
  <c r="L2170" i="1" s="1"/>
  <c r="L2171" i="1" a="1"/>
  <c r="L2171" i="1" s="1"/>
  <c r="L2172" i="1" a="1"/>
  <c r="L2172" i="1" s="1"/>
  <c r="L2173" i="1" a="1"/>
  <c r="L2173" i="1" s="1"/>
  <c r="L2174" i="1" a="1"/>
  <c r="L2174" i="1" s="1"/>
  <c r="L2175" i="1" a="1"/>
  <c r="L2175" i="1" s="1"/>
  <c r="L2176" i="1" a="1"/>
  <c r="L2176" i="1" s="1"/>
  <c r="L2177" i="1" a="1"/>
  <c r="L2177" i="1" s="1"/>
  <c r="L2178" i="1" a="1"/>
  <c r="L2178" i="1" s="1"/>
  <c r="L2179" i="1" a="1"/>
  <c r="L2179" i="1" s="1"/>
  <c r="L2180" i="1" a="1"/>
  <c r="L2180" i="1" s="1"/>
  <c r="L2181" i="1" a="1"/>
  <c r="L2181" i="1" s="1"/>
  <c r="L2182" i="1" a="1"/>
  <c r="L2182" i="1" s="1"/>
  <c r="L2183" i="1" a="1"/>
  <c r="L2183" i="1" s="1"/>
  <c r="L2184" i="1" a="1"/>
  <c r="L2184" i="1" s="1"/>
  <c r="L2185" i="1" a="1"/>
  <c r="L2185" i="1" s="1"/>
  <c r="L2186" i="1" a="1"/>
  <c r="L2186" i="1" s="1"/>
  <c r="L2187" i="1" a="1"/>
  <c r="L2187" i="1" s="1"/>
  <c r="L2188" i="1" a="1"/>
  <c r="L2188" i="1" s="1"/>
  <c r="L2189" i="1" a="1"/>
  <c r="L2189" i="1" s="1"/>
  <c r="L2190" i="1" a="1"/>
  <c r="L2190" i="1" s="1"/>
  <c r="L2191" i="1" a="1"/>
  <c r="L2191" i="1" s="1"/>
  <c r="L2192" i="1" a="1"/>
  <c r="L2192" i="1" s="1"/>
  <c r="L2193" i="1" a="1"/>
  <c r="L2193" i="1" s="1"/>
  <c r="L2194" i="1" a="1"/>
  <c r="L2194" i="1" s="1"/>
  <c r="L2195" i="1" a="1"/>
  <c r="L2195" i="1" s="1"/>
  <c r="L2196" i="1" a="1"/>
  <c r="L2196" i="1" s="1"/>
  <c r="L2197" i="1" a="1"/>
  <c r="L2197" i="1" s="1"/>
  <c r="L2198" i="1" a="1"/>
  <c r="L2198" i="1" s="1"/>
  <c r="L2199" i="1" a="1"/>
  <c r="L2199" i="1" s="1"/>
  <c r="L2200" i="1" a="1"/>
  <c r="L2200" i="1" s="1"/>
  <c r="L2201" i="1" a="1"/>
  <c r="L2201" i="1" s="1"/>
  <c r="L2202" i="1" a="1"/>
  <c r="L2202" i="1" s="1"/>
  <c r="L2203" i="1" a="1"/>
  <c r="L2203" i="1" s="1"/>
  <c r="L2204" i="1" a="1"/>
  <c r="L2204" i="1" s="1"/>
  <c r="L2205" i="1" a="1"/>
  <c r="L2205" i="1" s="1"/>
  <c r="L2206" i="1" a="1"/>
  <c r="L2206" i="1" s="1"/>
  <c r="L2207" i="1" a="1"/>
  <c r="L2207" i="1" s="1"/>
  <c r="L2208" i="1" a="1"/>
  <c r="L2208" i="1" s="1"/>
  <c r="L2209" i="1" a="1"/>
  <c r="L2209" i="1" s="1"/>
  <c r="L2210" i="1" a="1"/>
  <c r="L2210" i="1" s="1"/>
  <c r="L2211" i="1" a="1"/>
  <c r="L2211" i="1" s="1"/>
  <c r="L2212" i="1" a="1"/>
  <c r="L2212" i="1" s="1"/>
  <c r="L2213" i="1" a="1"/>
  <c r="L2213" i="1" s="1"/>
  <c r="L2214" i="1" a="1"/>
  <c r="L2214" i="1" s="1"/>
  <c r="L2215" i="1" a="1"/>
  <c r="L2215" i="1" s="1"/>
  <c r="L2216" i="1" a="1"/>
  <c r="L2216" i="1" s="1"/>
  <c r="L2217" i="1" a="1"/>
  <c r="L2217" i="1" s="1"/>
  <c r="L2218" i="1" a="1"/>
  <c r="L2218" i="1" s="1"/>
  <c r="L2219" i="1" a="1"/>
  <c r="L2219" i="1" s="1"/>
  <c r="L2220" i="1" a="1"/>
  <c r="L2220" i="1" s="1"/>
  <c r="L2221" i="1" a="1"/>
  <c r="L2221" i="1" s="1"/>
  <c r="L2222" i="1" a="1"/>
  <c r="L2222" i="1" s="1"/>
  <c r="L2223" i="1" a="1"/>
  <c r="L2223" i="1" s="1"/>
  <c r="L2224" i="1" a="1"/>
  <c r="L2224" i="1" s="1"/>
  <c r="L2225" i="1" a="1"/>
  <c r="L2225" i="1" s="1"/>
  <c r="L2226" i="1" a="1"/>
  <c r="L2226" i="1" s="1"/>
  <c r="L2227" i="1" a="1"/>
  <c r="L2227" i="1" s="1"/>
  <c r="L2228" i="1" a="1"/>
  <c r="L2228" i="1" s="1"/>
  <c r="L2229" i="1" a="1"/>
  <c r="L2229" i="1" s="1"/>
  <c r="L2230" i="1" a="1"/>
  <c r="L2230" i="1" s="1"/>
  <c r="L2231" i="1" a="1"/>
  <c r="L2231" i="1" s="1"/>
  <c r="L2232" i="1" a="1"/>
  <c r="L2232" i="1" s="1"/>
  <c r="L2233" i="1" a="1"/>
  <c r="L2233" i="1" s="1"/>
  <c r="L2234" i="1" a="1"/>
  <c r="L2234" i="1" s="1"/>
  <c r="L2235" i="1" a="1"/>
  <c r="L2235" i="1" s="1"/>
  <c r="L2236" i="1" a="1"/>
  <c r="L2236" i="1" s="1"/>
  <c r="L2237" i="1" a="1"/>
  <c r="L2237" i="1" s="1"/>
  <c r="L2238" i="1" a="1"/>
  <c r="L2238" i="1" s="1"/>
  <c r="L2239" i="1" a="1"/>
  <c r="L2239" i="1" s="1"/>
  <c r="L2240" i="1" a="1"/>
  <c r="L2240" i="1" s="1"/>
  <c r="L2241" i="1" a="1"/>
  <c r="L2241" i="1" s="1"/>
  <c r="L2242" i="1" a="1"/>
  <c r="L2242" i="1" s="1"/>
  <c r="L2243" i="1" a="1"/>
  <c r="L2243" i="1" s="1"/>
  <c r="L2244" i="1" a="1"/>
  <c r="L2244" i="1" s="1"/>
  <c r="L2245" i="1" a="1"/>
  <c r="L2245" i="1" s="1"/>
  <c r="L2246" i="1" a="1"/>
  <c r="L2246" i="1" s="1"/>
  <c r="L2247" i="1" a="1"/>
  <c r="L2247" i="1" s="1"/>
  <c r="L2248" i="1" a="1"/>
  <c r="L2248" i="1" s="1"/>
  <c r="L2249" i="1" a="1"/>
  <c r="L2249" i="1" s="1"/>
  <c r="L2250" i="1" a="1"/>
  <c r="L2250" i="1" s="1"/>
  <c r="L2251" i="1" a="1"/>
  <c r="L2251" i="1" s="1"/>
  <c r="L2252" i="1" a="1"/>
  <c r="L2252" i="1" s="1"/>
  <c r="L2253" i="1" a="1"/>
  <c r="L2253" i="1" s="1"/>
  <c r="L2254" i="1" a="1"/>
  <c r="L2254" i="1" s="1"/>
  <c r="L2255" i="1" a="1"/>
  <c r="L2255" i="1" s="1"/>
  <c r="L2256" i="1" a="1"/>
  <c r="L2256" i="1" s="1"/>
  <c r="L2257" i="1" a="1"/>
  <c r="L2257" i="1" s="1"/>
  <c r="L2258" i="1" a="1"/>
  <c r="L2258" i="1" s="1"/>
  <c r="L2259" i="1" a="1"/>
  <c r="L2259" i="1" s="1"/>
  <c r="L2260" i="1" a="1"/>
  <c r="L2260" i="1" s="1"/>
  <c r="L2261" i="1" a="1"/>
  <c r="L2261" i="1" s="1"/>
  <c r="L2262" i="1" a="1"/>
  <c r="L2262" i="1" s="1"/>
  <c r="L2263" i="1" a="1"/>
  <c r="L2263" i="1" s="1"/>
  <c r="L2264" i="1" a="1"/>
  <c r="L2264" i="1" s="1"/>
  <c r="L2265" i="1" a="1"/>
  <c r="L2265" i="1" s="1"/>
  <c r="L2266" i="1" a="1"/>
  <c r="L2266" i="1" s="1"/>
  <c r="L2267" i="1" a="1"/>
  <c r="L2267" i="1" s="1"/>
  <c r="L2268" i="1" a="1"/>
  <c r="L2268" i="1" s="1"/>
  <c r="L2269" i="1" a="1"/>
  <c r="L2269" i="1" s="1"/>
  <c r="L2270" i="1" a="1"/>
  <c r="L2270" i="1" s="1"/>
  <c r="L2271" i="1" a="1"/>
  <c r="L2271" i="1" s="1"/>
  <c r="L2272" i="1" a="1"/>
  <c r="L2272" i="1" s="1"/>
  <c r="L2273" i="1" a="1"/>
  <c r="L2273" i="1" s="1"/>
  <c r="L2274" i="1" a="1"/>
  <c r="L2274" i="1" s="1"/>
  <c r="L2275" i="1" a="1"/>
  <c r="L2275" i="1" s="1"/>
  <c r="L2276" i="1" a="1"/>
  <c r="L2276" i="1" s="1"/>
  <c r="L2277" i="1" a="1"/>
  <c r="L2277" i="1" s="1"/>
  <c r="L2278" i="1" a="1"/>
  <c r="L2278" i="1" s="1"/>
  <c r="L2279" i="1" a="1"/>
  <c r="L2279" i="1" s="1"/>
  <c r="L2280" i="1" a="1"/>
  <c r="L2280" i="1" s="1"/>
  <c r="L2281" i="1" a="1"/>
  <c r="L2281" i="1" s="1"/>
  <c r="L2282" i="1" a="1"/>
  <c r="L2282" i="1" s="1"/>
  <c r="L2283" i="1" a="1"/>
  <c r="L2283" i="1" s="1"/>
  <c r="L2284" i="1" a="1"/>
  <c r="L2284" i="1" s="1"/>
  <c r="L2285" i="1" a="1"/>
  <c r="L2285" i="1" s="1"/>
  <c r="L2286" i="1" a="1"/>
  <c r="L2286" i="1" s="1"/>
  <c r="L2287" i="1" a="1"/>
  <c r="L2287" i="1" s="1"/>
  <c r="L2288" i="1" a="1"/>
  <c r="L2288" i="1" s="1"/>
  <c r="L2289" i="1" a="1"/>
  <c r="L2289" i="1" s="1"/>
  <c r="L2290" i="1" a="1"/>
  <c r="L2290" i="1" s="1"/>
  <c r="L2291" i="1" a="1"/>
  <c r="L2291" i="1" s="1"/>
  <c r="L2292" i="1" a="1"/>
  <c r="L2292" i="1" s="1"/>
  <c r="L2293" i="1" a="1"/>
  <c r="L2293" i="1" s="1"/>
  <c r="L2294" i="1" a="1"/>
  <c r="L2294" i="1" s="1"/>
  <c r="L2295" i="1" a="1"/>
  <c r="L2295" i="1" s="1"/>
  <c r="L2296" i="1" a="1"/>
  <c r="L2296" i="1" s="1"/>
  <c r="L2297" i="1" a="1"/>
  <c r="L2297" i="1" s="1"/>
  <c r="L2298" i="1" a="1"/>
  <c r="L2298" i="1" s="1"/>
  <c r="L2299" i="1" a="1"/>
  <c r="L2299" i="1" s="1"/>
  <c r="L2300" i="1" a="1"/>
  <c r="L2300" i="1" s="1"/>
  <c r="L2301" i="1" a="1"/>
  <c r="L2301" i="1" s="1"/>
  <c r="L2302" i="1" a="1"/>
  <c r="L2302" i="1" s="1"/>
  <c r="L2303" i="1" a="1"/>
  <c r="L2303" i="1" s="1"/>
  <c r="L2304" i="1" a="1"/>
  <c r="L2304" i="1" s="1"/>
  <c r="L2305" i="1" a="1"/>
  <c r="L2305" i="1" s="1"/>
  <c r="L2306" i="1" a="1"/>
  <c r="L2306" i="1" s="1"/>
  <c r="L2307" i="1" a="1"/>
  <c r="L2307" i="1" s="1"/>
  <c r="L2308" i="1" a="1"/>
  <c r="L2308" i="1" s="1"/>
  <c r="L2309" i="1" a="1"/>
  <c r="L2309" i="1" s="1"/>
  <c r="L2310" i="1" a="1"/>
  <c r="L2310" i="1" s="1"/>
  <c r="L2311" i="1" a="1"/>
  <c r="L2311" i="1" s="1"/>
  <c r="L2312" i="1" a="1"/>
  <c r="L2312" i="1" s="1"/>
  <c r="L2313" i="1" a="1"/>
  <c r="L2313" i="1" s="1"/>
  <c r="L2314" i="1" a="1"/>
  <c r="L2314" i="1" s="1"/>
  <c r="L2315" i="1" a="1"/>
  <c r="L2315" i="1" s="1"/>
  <c r="L2316" i="1" a="1"/>
  <c r="L2316" i="1" s="1"/>
  <c r="L2317" i="1" a="1"/>
  <c r="L2317" i="1" s="1"/>
  <c r="L2318" i="1" a="1"/>
  <c r="L2318" i="1" s="1"/>
  <c r="L2319" i="1" a="1"/>
  <c r="L2319" i="1" s="1"/>
  <c r="L2320" i="1" a="1"/>
  <c r="L2320" i="1" s="1"/>
  <c r="L2321" i="1" a="1"/>
  <c r="L2321" i="1" s="1"/>
  <c r="L2322" i="1" a="1"/>
  <c r="L2322" i="1" s="1"/>
  <c r="L2323" i="1" a="1"/>
  <c r="L2323" i="1" s="1"/>
  <c r="L2324" i="1" a="1"/>
  <c r="L2324" i="1" s="1"/>
  <c r="L2325" i="1" a="1"/>
  <c r="L2325" i="1" s="1"/>
  <c r="L2326" i="1" a="1"/>
  <c r="L2326" i="1" s="1"/>
  <c r="L2327" i="1" a="1"/>
  <c r="L2327" i="1" s="1"/>
  <c r="L2328" i="1" a="1"/>
  <c r="L2328" i="1" s="1"/>
  <c r="L2329" i="1" a="1"/>
  <c r="L2329" i="1" s="1"/>
  <c r="L2330" i="1" a="1"/>
  <c r="L2330" i="1" s="1"/>
  <c r="L2331" i="1" a="1"/>
  <c r="L2331" i="1" s="1"/>
  <c r="L2332" i="1" a="1"/>
  <c r="L2332" i="1" s="1"/>
  <c r="L2333" i="1" a="1"/>
  <c r="L2333" i="1" s="1"/>
  <c r="L2334" i="1" a="1"/>
  <c r="L2334" i="1" s="1"/>
  <c r="L2335" i="1" a="1"/>
  <c r="L2335" i="1" s="1"/>
  <c r="L2336" i="1" a="1"/>
  <c r="L2336" i="1" s="1"/>
  <c r="L2337" i="1" a="1"/>
  <c r="L2337" i="1" s="1"/>
  <c r="L2338" i="1" a="1"/>
  <c r="L2338" i="1" s="1"/>
  <c r="L2339" i="1" a="1"/>
  <c r="L2339" i="1" s="1"/>
  <c r="L2340" i="1" a="1"/>
  <c r="L2340" i="1" s="1"/>
  <c r="L2341" i="1" a="1"/>
  <c r="L2341" i="1" s="1"/>
  <c r="L2342" i="1" a="1"/>
  <c r="L2342" i="1" s="1"/>
  <c r="L2343" i="1" a="1"/>
  <c r="L2343" i="1" s="1"/>
  <c r="L2344" i="1" a="1"/>
  <c r="L2344" i="1" s="1"/>
  <c r="L2345" i="1" a="1"/>
  <c r="L2345" i="1" s="1"/>
  <c r="L2346" i="1" a="1"/>
  <c r="L2346" i="1" s="1"/>
  <c r="L2347" i="1" a="1"/>
  <c r="L2347" i="1" s="1"/>
  <c r="L2348" i="1" a="1"/>
  <c r="L2348" i="1" s="1"/>
  <c r="L2349" i="1" a="1"/>
  <c r="L2349" i="1" s="1"/>
  <c r="L2350" i="1" a="1"/>
  <c r="L2350" i="1" s="1"/>
  <c r="L2351" i="1" a="1"/>
  <c r="L2351" i="1" s="1"/>
  <c r="L2352" i="1" a="1"/>
  <c r="L2352" i="1" s="1"/>
  <c r="L2353" i="1" a="1"/>
  <c r="L2353" i="1" s="1"/>
  <c r="L2354" i="1" a="1"/>
  <c r="L2354" i="1" s="1"/>
  <c r="L2355" i="1" a="1"/>
  <c r="L2355" i="1" s="1"/>
  <c r="L2356" i="1" a="1"/>
  <c r="L2356" i="1" s="1"/>
  <c r="L2357" i="1" a="1"/>
  <c r="L2357" i="1" s="1"/>
  <c r="L2358" i="1" a="1"/>
  <c r="L2358" i="1" s="1"/>
  <c r="L2359" i="1" a="1"/>
  <c r="L2359" i="1" s="1"/>
  <c r="L2360" i="1" a="1"/>
  <c r="L2360" i="1" s="1"/>
  <c r="L2361" i="1" a="1"/>
  <c r="L2361" i="1" s="1"/>
  <c r="L2362" i="1" a="1"/>
  <c r="L2362" i="1" s="1"/>
  <c r="L2363" i="1" a="1"/>
  <c r="L2363" i="1" s="1"/>
  <c r="L2364" i="1" a="1"/>
  <c r="L2364" i="1" s="1"/>
  <c r="L2365" i="1" a="1"/>
  <c r="L2365" i="1" s="1"/>
  <c r="L2366" i="1" a="1"/>
  <c r="L2366" i="1" s="1"/>
  <c r="L2367" i="1" a="1"/>
  <c r="L2367" i="1" s="1"/>
  <c r="L2368" i="1" a="1"/>
  <c r="L2368" i="1" s="1"/>
  <c r="L2369" i="1" a="1"/>
  <c r="L2369" i="1" s="1"/>
  <c r="L2370" i="1" a="1"/>
  <c r="L2370" i="1" s="1"/>
  <c r="L2371" i="1" a="1"/>
  <c r="L2371" i="1" s="1"/>
  <c r="L2372" i="1" a="1"/>
  <c r="L2372" i="1" s="1"/>
  <c r="L2373" i="1" a="1"/>
  <c r="L2373" i="1" s="1"/>
  <c r="L2374" i="1" a="1"/>
  <c r="L2374" i="1" s="1"/>
  <c r="L2375" i="1" a="1"/>
  <c r="L2375" i="1" s="1"/>
  <c r="L2376" i="1" a="1"/>
  <c r="L2376" i="1" s="1"/>
  <c r="L2377" i="1" a="1"/>
  <c r="L2377" i="1" s="1"/>
  <c r="L2378" i="1" a="1"/>
  <c r="L2378" i="1" s="1"/>
  <c r="L2379" i="1" a="1"/>
  <c r="L2379" i="1" s="1"/>
  <c r="L2380" i="1" a="1"/>
  <c r="L2380" i="1" s="1"/>
  <c r="L2381" i="1" a="1"/>
  <c r="L2381" i="1" s="1"/>
  <c r="L2382" i="1" a="1"/>
  <c r="L2382" i="1" s="1"/>
  <c r="L2383" i="1" a="1"/>
  <c r="L2383" i="1" s="1"/>
  <c r="L2384" i="1" a="1"/>
  <c r="L2384" i="1" s="1"/>
  <c r="L2385" i="1" a="1"/>
  <c r="L2385" i="1" s="1"/>
  <c r="L2386" i="1" a="1"/>
  <c r="L2386" i="1" s="1"/>
  <c r="L2387" i="1" a="1"/>
  <c r="L2387" i="1" s="1"/>
  <c r="L2388" i="1" a="1"/>
  <c r="L2388" i="1" s="1"/>
  <c r="L2389" i="1" a="1"/>
  <c r="L2389" i="1" s="1"/>
  <c r="L2390" i="1" a="1"/>
  <c r="L2390" i="1" s="1"/>
  <c r="L2391" i="1" a="1"/>
  <c r="L2391" i="1" s="1"/>
  <c r="L2392" i="1" a="1"/>
  <c r="L2392" i="1" s="1"/>
  <c r="L2393" i="1" a="1"/>
  <c r="L2393" i="1" s="1"/>
  <c r="L2394" i="1" a="1"/>
  <c r="L2394" i="1" s="1"/>
  <c r="L2395" i="1" a="1"/>
  <c r="L2395" i="1" s="1"/>
  <c r="L2396" i="1" a="1"/>
  <c r="L2396" i="1" s="1"/>
  <c r="L2397" i="1" a="1"/>
  <c r="L2397" i="1" s="1"/>
  <c r="L2398" i="1" a="1"/>
  <c r="L2398" i="1" s="1"/>
  <c r="L2399" i="1" a="1"/>
  <c r="L2399" i="1" s="1"/>
  <c r="L2400" i="1" a="1"/>
  <c r="L2400" i="1" s="1"/>
  <c r="L2401" i="1" a="1"/>
  <c r="L2401" i="1" s="1"/>
  <c r="L2402" i="1" a="1"/>
  <c r="L2402" i="1" s="1"/>
  <c r="L2403" i="1" a="1"/>
  <c r="L2403" i="1" s="1"/>
  <c r="L2404" i="1" a="1"/>
  <c r="L2404" i="1" s="1"/>
  <c r="L2405" i="1" a="1"/>
  <c r="L2405" i="1" s="1"/>
  <c r="L2406" i="1" a="1"/>
  <c r="L2406" i="1" s="1"/>
  <c r="L2407" i="1" a="1"/>
  <c r="L2407" i="1" s="1"/>
  <c r="L2408" i="1" a="1"/>
  <c r="L2408" i="1" s="1"/>
  <c r="L2409" i="1" a="1"/>
  <c r="L2409" i="1" s="1"/>
  <c r="L2410" i="1" a="1"/>
  <c r="L2410" i="1" s="1"/>
  <c r="L2411" i="1" a="1"/>
  <c r="L2411" i="1" s="1"/>
  <c r="L2412" i="1" a="1"/>
  <c r="L2412" i="1" s="1"/>
  <c r="L2413" i="1" a="1"/>
  <c r="L2413" i="1" s="1"/>
  <c r="L2414" i="1" a="1"/>
  <c r="L2414" i="1" s="1"/>
  <c r="L2415" i="1" a="1"/>
  <c r="L2415" i="1" s="1"/>
  <c r="L2416" i="1" a="1"/>
  <c r="L2416" i="1" s="1"/>
  <c r="L2417" i="1" a="1"/>
  <c r="L2417" i="1" s="1"/>
  <c r="L2418" i="1" a="1"/>
  <c r="L2418" i="1" s="1"/>
  <c r="L2419" i="1" a="1"/>
  <c r="L2419" i="1" s="1"/>
  <c r="L2420" i="1" a="1"/>
  <c r="L2420" i="1" s="1"/>
  <c r="L2421" i="1" a="1"/>
  <c r="L2421" i="1" s="1"/>
  <c r="L2422" i="1" a="1"/>
  <c r="L2422" i="1" s="1"/>
  <c r="L2423" i="1" a="1"/>
  <c r="L2423" i="1" s="1"/>
  <c r="L2424" i="1" a="1"/>
  <c r="L2424" i="1" s="1"/>
  <c r="L2425" i="1" a="1"/>
  <c r="L2425" i="1" s="1"/>
  <c r="L2426" i="1" a="1"/>
  <c r="L2426" i="1" s="1"/>
  <c r="L2427" i="1" a="1"/>
  <c r="L2427" i="1" s="1"/>
  <c r="L2428" i="1" a="1"/>
  <c r="L2428" i="1" s="1"/>
  <c r="L2429" i="1" a="1"/>
  <c r="L2429" i="1" s="1"/>
  <c r="L2430" i="1" a="1"/>
  <c r="L2430" i="1" s="1"/>
  <c r="L2431" i="1" a="1"/>
  <c r="L2431" i="1" s="1"/>
  <c r="L2432" i="1" a="1"/>
  <c r="L2432" i="1" s="1"/>
  <c r="L2433" i="1" a="1"/>
  <c r="L2433" i="1" s="1"/>
  <c r="L2434" i="1" a="1"/>
  <c r="L2434" i="1" s="1"/>
  <c r="L2435" i="1" a="1"/>
  <c r="L2435" i="1" s="1"/>
  <c r="L2436" i="1" a="1"/>
  <c r="L2436" i="1" s="1"/>
  <c r="L2437" i="1" a="1"/>
  <c r="L2437" i="1" s="1"/>
  <c r="L2438" i="1" a="1"/>
  <c r="L2438" i="1" s="1"/>
  <c r="L2439" i="1" a="1"/>
  <c r="L2439" i="1" s="1"/>
  <c r="L2440" i="1" a="1"/>
  <c r="L2440" i="1" s="1"/>
  <c r="L2441" i="1" a="1"/>
  <c r="L2441" i="1" s="1"/>
  <c r="L2442" i="1" a="1"/>
  <c r="L2442" i="1" s="1"/>
  <c r="L2443" i="1" a="1"/>
  <c r="L2443" i="1" s="1"/>
  <c r="L2444" i="1" a="1"/>
  <c r="L2444" i="1" s="1"/>
  <c r="L2445" i="1" a="1"/>
  <c r="L2445" i="1" s="1"/>
  <c r="L2446" i="1" a="1"/>
  <c r="L2446" i="1" s="1"/>
  <c r="L2447" i="1" a="1"/>
  <c r="L2447" i="1" s="1"/>
  <c r="L2448" i="1" a="1"/>
  <c r="L2448" i="1" s="1"/>
  <c r="L2449" i="1" a="1"/>
  <c r="L2449" i="1" s="1"/>
  <c r="L2450" i="1" a="1"/>
  <c r="L2450" i="1" s="1"/>
  <c r="L2451" i="1" a="1"/>
  <c r="L2451" i="1" s="1"/>
  <c r="L2452" i="1" a="1"/>
  <c r="L2452" i="1" s="1"/>
  <c r="L2453" i="1" a="1"/>
  <c r="L2453" i="1" s="1"/>
  <c r="L2454" i="1" a="1"/>
  <c r="L2454" i="1" s="1"/>
  <c r="L2455" i="1" a="1"/>
  <c r="L2455" i="1" s="1"/>
  <c r="L2456" i="1" a="1"/>
  <c r="L2456" i="1" s="1"/>
  <c r="L2457" i="1" a="1"/>
  <c r="L2457" i="1" s="1"/>
  <c r="L2458" i="1" a="1"/>
  <c r="L2458" i="1" s="1"/>
  <c r="L2459" i="1" a="1"/>
  <c r="L2459" i="1" s="1"/>
  <c r="L2460" i="1" a="1"/>
  <c r="L2460" i="1" s="1"/>
  <c r="L2461" i="1" a="1"/>
  <c r="L2461" i="1" s="1"/>
  <c r="L2462" i="1" a="1"/>
  <c r="L2462" i="1" s="1"/>
  <c r="L2463" i="1" a="1"/>
  <c r="L2463" i="1" s="1"/>
  <c r="L2464" i="1" a="1"/>
  <c r="L2464" i="1" s="1"/>
  <c r="L2465" i="1" a="1"/>
  <c r="L2465" i="1" s="1"/>
  <c r="L2466" i="1" a="1"/>
  <c r="L2466" i="1" s="1"/>
  <c r="L2467" i="1" a="1"/>
  <c r="L2467" i="1" s="1"/>
  <c r="L2468" i="1" a="1"/>
  <c r="L2468" i="1" s="1"/>
  <c r="L2469" i="1" a="1"/>
  <c r="L2469" i="1" s="1"/>
  <c r="L2470" i="1" a="1"/>
  <c r="L2470" i="1" s="1"/>
  <c r="L2471" i="1" a="1"/>
  <c r="L2471" i="1" s="1"/>
  <c r="L2472" i="1" a="1"/>
  <c r="L2472" i="1" s="1"/>
  <c r="L2473" i="1" a="1"/>
  <c r="L2473" i="1" s="1"/>
  <c r="L2474" i="1" a="1"/>
  <c r="L2474" i="1" s="1"/>
  <c r="L2475" i="1" a="1"/>
  <c r="L2475" i="1" s="1"/>
  <c r="L2476" i="1" a="1"/>
  <c r="L2476" i="1" s="1"/>
  <c r="L2477" i="1" a="1"/>
  <c r="L2477" i="1" s="1"/>
  <c r="L2478" i="1" a="1"/>
  <c r="L2478" i="1" s="1"/>
  <c r="L2479" i="1" a="1"/>
  <c r="L2479" i="1" s="1"/>
  <c r="L2480" i="1" a="1"/>
  <c r="L2480" i="1" s="1"/>
  <c r="L2481" i="1" a="1"/>
  <c r="L2481" i="1" s="1"/>
  <c r="L2482" i="1" a="1"/>
  <c r="L2482" i="1" s="1"/>
  <c r="L2483" i="1" a="1"/>
  <c r="L2483" i="1" s="1"/>
  <c r="L2484" i="1" a="1"/>
  <c r="L2484" i="1" s="1"/>
  <c r="L2485" i="1" a="1"/>
  <c r="L2485" i="1" s="1"/>
  <c r="L2486" i="1" a="1"/>
  <c r="L2486" i="1" s="1"/>
  <c r="L2487" i="1" a="1"/>
  <c r="L2487" i="1" s="1"/>
  <c r="L2488" i="1" a="1"/>
  <c r="L2488" i="1" s="1"/>
  <c r="L2489" i="1" a="1"/>
  <c r="L2489" i="1" s="1"/>
  <c r="L2490" i="1" a="1"/>
  <c r="L2490" i="1" s="1"/>
  <c r="L2491" i="1" a="1"/>
  <c r="L2491" i="1" s="1"/>
  <c r="L2492" i="1" a="1"/>
  <c r="L2492" i="1" s="1"/>
  <c r="L2493" i="1" a="1"/>
  <c r="L2493" i="1" s="1"/>
  <c r="L2494" i="1" a="1"/>
  <c r="L2494" i="1" s="1"/>
  <c r="L2495" i="1" a="1"/>
  <c r="L2495" i="1" s="1"/>
  <c r="L2496" i="1" a="1"/>
  <c r="L2496" i="1" s="1"/>
  <c r="L2497" i="1" a="1"/>
  <c r="L2497" i="1" s="1"/>
  <c r="L2498" i="1" a="1"/>
  <c r="L2498" i="1" s="1"/>
  <c r="L2499" i="1" a="1"/>
  <c r="L2499" i="1" s="1"/>
  <c r="L2500" i="1" a="1"/>
  <c r="L2500" i="1" s="1"/>
  <c r="L2501" i="1" a="1"/>
  <c r="L2501" i="1" s="1"/>
  <c r="L2502" i="1" a="1"/>
  <c r="L2502" i="1" s="1"/>
  <c r="L2503" i="1" a="1"/>
  <c r="L2503" i="1" s="1"/>
  <c r="L2504" i="1" a="1"/>
  <c r="L2504" i="1" s="1"/>
  <c r="L2505" i="1" a="1"/>
  <c r="L2505" i="1" s="1"/>
  <c r="L2506" i="1" a="1"/>
  <c r="L2506" i="1" s="1"/>
  <c r="L2507" i="1" a="1"/>
  <c r="L2507" i="1" s="1"/>
  <c r="L2508" i="1" a="1"/>
  <c r="L2508" i="1" s="1"/>
  <c r="L2509" i="1" a="1"/>
  <c r="L2509" i="1" s="1"/>
  <c r="L2510" i="1" a="1"/>
  <c r="L2510" i="1" s="1"/>
  <c r="L2511" i="1" a="1"/>
  <c r="L2511" i="1" s="1"/>
  <c r="L2512" i="1" a="1"/>
  <c r="L2512" i="1" s="1"/>
  <c r="L2513" i="1" a="1"/>
  <c r="L2513" i="1" s="1"/>
  <c r="L2514" i="1" a="1"/>
  <c r="L2514" i="1" s="1"/>
  <c r="L2515" i="1" a="1"/>
  <c r="L2515" i="1" s="1"/>
  <c r="L2516" i="1" a="1"/>
  <c r="L2516" i="1" s="1"/>
  <c r="L2517" i="1" a="1"/>
  <c r="L2517" i="1" s="1"/>
  <c r="L2518" i="1" a="1"/>
  <c r="L2518" i="1" s="1"/>
  <c r="L2519" i="1" a="1"/>
  <c r="L2519" i="1" s="1"/>
  <c r="L2520" i="1" a="1"/>
  <c r="L2520" i="1" s="1"/>
  <c r="L2521" i="1" a="1"/>
  <c r="L2521" i="1" s="1"/>
  <c r="L2522" i="1" a="1"/>
  <c r="L2522" i="1" s="1"/>
  <c r="L2523" i="1" a="1"/>
  <c r="L2523" i="1" s="1"/>
  <c r="L2524" i="1" a="1"/>
  <c r="L2524" i="1" s="1"/>
  <c r="L2525" i="1" a="1"/>
  <c r="L2525" i="1" s="1"/>
  <c r="L2526" i="1" a="1"/>
  <c r="L2526" i="1" s="1"/>
  <c r="L2527" i="1" a="1"/>
  <c r="L2527" i="1" s="1"/>
  <c r="L2528" i="1" a="1"/>
  <c r="L2528" i="1" s="1"/>
  <c r="L2529" i="1" a="1"/>
  <c r="L2529" i="1" s="1"/>
  <c r="L2530" i="1" a="1"/>
  <c r="L2530" i="1" s="1"/>
  <c r="L2531" i="1" a="1"/>
  <c r="L2531" i="1" s="1"/>
  <c r="L2532" i="1" a="1"/>
  <c r="L2532" i="1" s="1"/>
  <c r="L2533" i="1" a="1"/>
  <c r="L2533" i="1" s="1"/>
  <c r="L2534" i="1" a="1"/>
  <c r="L2534" i="1" s="1"/>
  <c r="L2535" i="1" a="1"/>
  <c r="L2535" i="1" s="1"/>
  <c r="L2536" i="1" a="1"/>
  <c r="L2536" i="1" s="1"/>
  <c r="L2537" i="1" a="1"/>
  <c r="L2537" i="1" s="1"/>
  <c r="L2538" i="1" a="1"/>
  <c r="L2538" i="1" s="1"/>
  <c r="L2539" i="1" a="1"/>
  <c r="L2539" i="1" s="1"/>
  <c r="L2540" i="1" a="1"/>
  <c r="L2540" i="1" s="1"/>
  <c r="L2541" i="1" a="1"/>
  <c r="L2541" i="1" s="1"/>
  <c r="L2542" i="1" a="1"/>
  <c r="L2542" i="1" s="1"/>
  <c r="L2543" i="1" a="1"/>
  <c r="L2543" i="1" s="1"/>
  <c r="L2544" i="1" a="1"/>
  <c r="L2544" i="1" s="1"/>
  <c r="L2545" i="1" a="1"/>
  <c r="L2545" i="1" s="1"/>
  <c r="L2546" i="1" a="1"/>
  <c r="L2546" i="1" s="1"/>
  <c r="L2547" i="1" a="1"/>
  <c r="L2547" i="1" s="1"/>
  <c r="L2548" i="1" a="1"/>
  <c r="L2548" i="1" s="1"/>
  <c r="L2549" i="1" a="1"/>
  <c r="L2549" i="1" s="1"/>
  <c r="L2550" i="1" a="1"/>
  <c r="L2550" i="1" s="1"/>
  <c r="L2551" i="1" a="1"/>
  <c r="L2551" i="1" s="1"/>
  <c r="L2552" i="1" a="1"/>
  <c r="L2552" i="1" s="1"/>
  <c r="L2553" i="1" a="1"/>
  <c r="L2553" i="1" s="1"/>
  <c r="L2554" i="1" a="1"/>
  <c r="L2554" i="1" s="1"/>
  <c r="L2555" i="1" a="1"/>
  <c r="L2555" i="1" s="1"/>
  <c r="L2556" i="1" a="1"/>
  <c r="L2556" i="1" s="1"/>
  <c r="L2557" i="1" a="1"/>
  <c r="L2557" i="1" s="1"/>
  <c r="L2558" i="1" a="1"/>
  <c r="L2558" i="1" s="1"/>
  <c r="L2559" i="1" a="1"/>
  <c r="L2559" i="1" s="1"/>
  <c r="L2560" i="1" a="1"/>
  <c r="L2560" i="1" s="1"/>
  <c r="L2561" i="1" a="1"/>
  <c r="L2561" i="1" s="1"/>
  <c r="L2562" i="1" a="1"/>
  <c r="L2562" i="1" s="1"/>
  <c r="L2563" i="1" a="1"/>
  <c r="L2563" i="1" s="1"/>
  <c r="L2564" i="1" a="1"/>
  <c r="L2564" i="1" s="1"/>
  <c r="L2565" i="1" a="1"/>
  <c r="L2565" i="1" s="1"/>
  <c r="L2566" i="1" a="1"/>
  <c r="L2566" i="1" s="1"/>
  <c r="L2567" i="1" a="1"/>
  <c r="L2567" i="1" s="1"/>
  <c r="L2568" i="1" a="1"/>
  <c r="L2568" i="1" s="1"/>
  <c r="L2569" i="1" a="1"/>
  <c r="L2569" i="1" s="1"/>
  <c r="L2570" i="1" a="1"/>
  <c r="L2570" i="1" s="1"/>
  <c r="L2571" i="1" a="1"/>
  <c r="L2571" i="1" s="1"/>
  <c r="L2572" i="1" a="1"/>
  <c r="L2572" i="1" s="1"/>
  <c r="L2573" i="1" a="1"/>
  <c r="L2573" i="1" s="1"/>
  <c r="L2574" i="1" a="1"/>
  <c r="L2574" i="1" s="1"/>
  <c r="L2575" i="1" a="1"/>
  <c r="L2575" i="1" s="1"/>
  <c r="L2576" i="1" a="1"/>
  <c r="L2576" i="1" s="1"/>
  <c r="L2577" i="1" a="1"/>
  <c r="L2577" i="1" s="1"/>
  <c r="L2578" i="1" a="1"/>
  <c r="L2578" i="1" s="1"/>
  <c r="L2579" i="1" a="1"/>
  <c r="L2579" i="1" s="1"/>
  <c r="L2580" i="1" a="1"/>
  <c r="L2580" i="1" s="1"/>
  <c r="L2581" i="1" a="1"/>
  <c r="L2581" i="1" s="1"/>
  <c r="L2582" i="1" a="1"/>
  <c r="L2582" i="1" s="1"/>
  <c r="L2583" i="1" a="1"/>
  <c r="L2583" i="1" s="1"/>
  <c r="L2584" i="1" a="1"/>
  <c r="L2584" i="1" s="1"/>
  <c r="L2585" i="1" a="1"/>
  <c r="L2585" i="1" s="1"/>
  <c r="L2586" i="1" a="1"/>
  <c r="L2586" i="1" s="1"/>
  <c r="L2587" i="1" a="1"/>
  <c r="L2587" i="1" s="1"/>
  <c r="L2588" i="1" a="1"/>
  <c r="L2588" i="1" s="1"/>
  <c r="L2589" i="1" a="1"/>
  <c r="L2589" i="1" s="1"/>
  <c r="L2590" i="1" a="1"/>
  <c r="L2590" i="1" s="1"/>
  <c r="L2591" i="1" a="1"/>
  <c r="L2591" i="1" s="1"/>
  <c r="L2592" i="1" a="1"/>
  <c r="L2592" i="1" s="1"/>
  <c r="L2593" i="1" a="1"/>
  <c r="L2593" i="1" s="1"/>
  <c r="L2594" i="1" a="1"/>
  <c r="L2594" i="1" s="1"/>
  <c r="L2595" i="1" a="1"/>
  <c r="L2595" i="1" s="1"/>
  <c r="L2596" i="1" a="1"/>
  <c r="L2596" i="1" s="1"/>
  <c r="L2597" i="1" a="1"/>
  <c r="L2597" i="1" s="1"/>
  <c r="L2598" i="1" a="1"/>
  <c r="L2598" i="1" s="1"/>
  <c r="L2599" i="1" a="1"/>
  <c r="L2599" i="1" s="1"/>
  <c r="L2600" i="1" a="1"/>
  <c r="L2600" i="1" s="1"/>
  <c r="L2601" i="1" a="1"/>
  <c r="L2601" i="1" s="1"/>
  <c r="L2602" i="1" a="1"/>
  <c r="L2602" i="1" s="1"/>
  <c r="L2603" i="1" a="1"/>
  <c r="L2603" i="1" s="1"/>
  <c r="L2604" i="1" a="1"/>
  <c r="L2604" i="1" s="1"/>
  <c r="L2605" i="1" a="1"/>
  <c r="L2605" i="1" s="1"/>
  <c r="L2606" i="1" a="1"/>
  <c r="L2606" i="1" s="1"/>
  <c r="L2607" i="1" a="1"/>
  <c r="L2607" i="1" s="1"/>
  <c r="L2608" i="1" a="1"/>
  <c r="L2608" i="1" s="1"/>
  <c r="L2609" i="1" a="1"/>
  <c r="L2609" i="1" s="1"/>
  <c r="L2610" i="1" a="1"/>
  <c r="L2610" i="1" s="1"/>
  <c r="L2611" i="1" a="1"/>
  <c r="L2611" i="1" s="1"/>
  <c r="L2612" i="1" a="1"/>
  <c r="L2612" i="1" s="1"/>
  <c r="L2613" i="1" a="1"/>
  <c r="L2613" i="1" s="1"/>
  <c r="L2614" i="1" a="1"/>
  <c r="L2614" i="1" s="1"/>
  <c r="L2615" i="1" a="1"/>
  <c r="L2615" i="1" s="1"/>
  <c r="L2616" i="1" a="1"/>
  <c r="L2616" i="1" s="1"/>
  <c r="L2617" i="1" a="1"/>
  <c r="L2617" i="1" s="1"/>
  <c r="L2618" i="1" a="1"/>
  <c r="L2618" i="1" s="1"/>
  <c r="L2619" i="1" a="1"/>
  <c r="L2619" i="1" s="1"/>
  <c r="L2620" i="1" a="1"/>
  <c r="L2620" i="1" s="1"/>
  <c r="L2621" i="1" a="1"/>
  <c r="L2621" i="1" s="1"/>
  <c r="L2622" i="1" a="1"/>
  <c r="L2622" i="1" s="1"/>
  <c r="L2623" i="1" a="1"/>
  <c r="L2623" i="1" s="1"/>
  <c r="L2624" i="1" a="1"/>
  <c r="L2624" i="1" s="1"/>
  <c r="L2625" i="1" a="1"/>
  <c r="L2625" i="1" s="1"/>
  <c r="L2626" i="1" a="1"/>
  <c r="L2626" i="1" s="1"/>
  <c r="L2627" i="1" a="1"/>
  <c r="L2627" i="1" s="1"/>
  <c r="L2628" i="1" a="1"/>
  <c r="L2628" i="1" s="1"/>
  <c r="L2629" i="1" a="1"/>
  <c r="L2629" i="1" s="1"/>
  <c r="L2630" i="1" a="1"/>
  <c r="L2630" i="1" s="1"/>
  <c r="L2631" i="1" a="1"/>
  <c r="L2631" i="1" s="1"/>
  <c r="L2632" i="1" a="1"/>
  <c r="L2632" i="1" s="1"/>
  <c r="L2633" i="1" a="1"/>
  <c r="L2633" i="1" s="1"/>
  <c r="L2634" i="1" a="1"/>
  <c r="L2634" i="1" s="1"/>
  <c r="L2635" i="1" a="1"/>
  <c r="L2635" i="1" s="1"/>
  <c r="L2636" i="1" a="1"/>
  <c r="L2636" i="1" s="1"/>
  <c r="L2637" i="1" a="1"/>
  <c r="L2637" i="1" s="1"/>
  <c r="L2638" i="1" a="1"/>
  <c r="L2638" i="1" s="1"/>
  <c r="L2639" i="1" a="1"/>
  <c r="L2639" i="1" s="1"/>
  <c r="L2640" i="1" a="1"/>
  <c r="L2640" i="1" s="1"/>
  <c r="L2641" i="1" a="1"/>
  <c r="L2641" i="1" s="1"/>
  <c r="L2642" i="1" a="1"/>
  <c r="L2642" i="1" s="1"/>
  <c r="L2643" i="1" a="1"/>
  <c r="L2643" i="1" s="1"/>
  <c r="L2644" i="1" a="1"/>
  <c r="L2644" i="1" s="1"/>
  <c r="L2645" i="1" a="1"/>
  <c r="L2645" i="1" s="1"/>
  <c r="L2646" i="1" a="1"/>
  <c r="L2646" i="1" s="1"/>
  <c r="L2647" i="1" a="1"/>
  <c r="L2647" i="1" s="1"/>
  <c r="L2648" i="1" a="1"/>
  <c r="L2648" i="1" s="1"/>
  <c r="L2649" i="1" a="1"/>
  <c r="L2649" i="1" s="1"/>
  <c r="L2650" i="1" a="1"/>
  <c r="L2650" i="1" s="1"/>
  <c r="L2651" i="1" a="1"/>
  <c r="L2651" i="1" s="1"/>
  <c r="L2652" i="1" a="1"/>
  <c r="L2652" i="1" s="1"/>
  <c r="L2653" i="1" a="1"/>
  <c r="L2653" i="1" s="1"/>
  <c r="L2654" i="1" a="1"/>
  <c r="L2654" i="1" s="1"/>
  <c r="L2655" i="1" a="1"/>
  <c r="L2655" i="1" s="1"/>
  <c r="L2656" i="1" a="1"/>
  <c r="L2656" i="1" s="1"/>
  <c r="L2657" i="1" a="1"/>
  <c r="L2657" i="1" s="1"/>
  <c r="L2658" i="1" a="1"/>
  <c r="L2658" i="1" s="1"/>
  <c r="L2659" i="1" a="1"/>
  <c r="L2659" i="1" s="1"/>
  <c r="L2660" i="1" a="1"/>
  <c r="L2660" i="1" s="1"/>
  <c r="L2661" i="1" a="1"/>
  <c r="L2661" i="1" s="1"/>
  <c r="L2662" i="1" a="1"/>
  <c r="L2662" i="1" s="1"/>
  <c r="L2663" i="1" a="1"/>
  <c r="L2663" i="1" s="1"/>
  <c r="L2664" i="1" a="1"/>
  <c r="L2664" i="1" s="1"/>
  <c r="L2665" i="1" a="1"/>
  <c r="L2665" i="1" s="1"/>
  <c r="L2666" i="1" a="1"/>
  <c r="L2666" i="1" s="1"/>
  <c r="L2667" i="1" a="1"/>
  <c r="L2667" i="1" s="1"/>
  <c r="L2668" i="1" a="1"/>
  <c r="L2668" i="1" s="1"/>
  <c r="L2669" i="1" a="1"/>
  <c r="L2669" i="1" s="1"/>
  <c r="L2670" i="1" a="1"/>
  <c r="L2670" i="1" s="1"/>
  <c r="L2671" i="1" a="1"/>
  <c r="L2671" i="1" s="1"/>
  <c r="L2672" i="1" a="1"/>
  <c r="L2672" i="1" s="1"/>
  <c r="L2673" i="1" a="1"/>
  <c r="L2673" i="1" s="1"/>
  <c r="L2674" i="1" a="1"/>
  <c r="L2674" i="1" s="1"/>
  <c r="L2675" i="1" a="1"/>
  <c r="L2675" i="1" s="1"/>
  <c r="L2676" i="1" a="1"/>
  <c r="L2676" i="1" s="1"/>
  <c r="L2677" i="1" a="1"/>
  <c r="L2677" i="1" s="1"/>
  <c r="L2678" i="1" a="1"/>
  <c r="L2678" i="1" s="1"/>
  <c r="L2679" i="1" a="1"/>
  <c r="L2679" i="1" s="1"/>
  <c r="L2680" i="1" a="1"/>
  <c r="L2680" i="1" s="1"/>
  <c r="L2681" i="1" a="1"/>
  <c r="L2681" i="1" s="1"/>
  <c r="L2682" i="1" a="1"/>
  <c r="L2682" i="1" s="1"/>
  <c r="L2683" i="1" a="1"/>
  <c r="L2683" i="1" s="1"/>
  <c r="L2684" i="1" a="1"/>
  <c r="L2684" i="1" s="1"/>
  <c r="L2685" i="1" a="1"/>
  <c r="L2685" i="1" s="1"/>
  <c r="L2686" i="1" a="1"/>
  <c r="L2686" i="1" s="1"/>
  <c r="L2687" i="1" a="1"/>
  <c r="L2687" i="1" s="1"/>
  <c r="L2688" i="1" a="1"/>
  <c r="L2688" i="1" s="1"/>
  <c r="L2689" i="1" a="1"/>
  <c r="L2689" i="1" s="1"/>
  <c r="L2690" i="1" a="1"/>
  <c r="L2690" i="1" s="1"/>
  <c r="L2691" i="1" a="1"/>
  <c r="L2691" i="1" s="1"/>
  <c r="L2692" i="1" a="1"/>
  <c r="L2692" i="1" s="1"/>
  <c r="L2693" i="1" a="1"/>
  <c r="L2693" i="1" s="1"/>
  <c r="L2694" i="1" a="1"/>
  <c r="L2694" i="1" s="1"/>
  <c r="L2695" i="1" a="1"/>
  <c r="L2695" i="1" s="1"/>
  <c r="L2696" i="1" a="1"/>
  <c r="L2696" i="1" s="1"/>
  <c r="L2697" i="1" a="1"/>
  <c r="L2697" i="1" s="1"/>
  <c r="L2698" i="1" a="1"/>
  <c r="L2698" i="1" s="1"/>
  <c r="L2699" i="1" a="1"/>
  <c r="L2699" i="1" s="1"/>
  <c r="L2700" i="1" a="1"/>
  <c r="L2700" i="1" s="1"/>
  <c r="L2701" i="1" a="1"/>
  <c r="L2701" i="1" s="1"/>
  <c r="L2702" i="1" a="1"/>
  <c r="L2702" i="1" s="1"/>
  <c r="L2703" i="1" a="1"/>
  <c r="L2703" i="1" s="1"/>
  <c r="L2704" i="1" a="1"/>
  <c r="L2704" i="1" s="1"/>
  <c r="L2705" i="1" a="1"/>
  <c r="L2705" i="1" s="1"/>
  <c r="L2706" i="1" a="1"/>
  <c r="L2706" i="1" s="1"/>
  <c r="L2707" i="1" a="1"/>
  <c r="L2707" i="1" s="1"/>
  <c r="L2708" i="1" a="1"/>
  <c r="L2708" i="1" s="1"/>
  <c r="L2709" i="1" a="1"/>
  <c r="L2709" i="1" s="1"/>
  <c r="L2710" i="1" a="1"/>
  <c r="L2710" i="1" s="1"/>
  <c r="L2711" i="1" a="1"/>
  <c r="L2711" i="1" s="1"/>
  <c r="L2712" i="1" a="1"/>
  <c r="L2712" i="1" s="1"/>
  <c r="L2713" i="1" a="1"/>
  <c r="L2713" i="1" s="1"/>
  <c r="L2714" i="1" a="1"/>
  <c r="L2714" i="1" s="1"/>
  <c r="L2715" i="1" a="1"/>
  <c r="L2715" i="1" s="1"/>
  <c r="L2716" i="1" a="1"/>
  <c r="L2716" i="1" s="1"/>
  <c r="L2717" i="1" a="1"/>
  <c r="L2717" i="1" s="1"/>
  <c r="L2718" i="1" a="1"/>
  <c r="L2718" i="1" s="1"/>
  <c r="L2719" i="1" a="1"/>
  <c r="L2719" i="1" s="1"/>
  <c r="L2720" i="1" a="1"/>
  <c r="L2720" i="1" s="1"/>
  <c r="L2721" i="1" a="1"/>
  <c r="L2721" i="1" s="1"/>
  <c r="L2722" i="1" a="1"/>
  <c r="L2722" i="1" s="1"/>
  <c r="L2723" i="1" a="1"/>
  <c r="L2723" i="1" s="1"/>
  <c r="L2724" i="1" a="1"/>
  <c r="L2724" i="1" s="1"/>
  <c r="L2725" i="1" a="1"/>
  <c r="L2725" i="1" s="1"/>
  <c r="L2726" i="1" a="1"/>
  <c r="L2726" i="1" s="1"/>
  <c r="L2727" i="1" a="1"/>
  <c r="L2727" i="1" s="1"/>
  <c r="L2728" i="1" a="1"/>
  <c r="L2728" i="1" s="1"/>
  <c r="L2729" i="1" a="1"/>
  <c r="L2729" i="1" s="1"/>
  <c r="L2730" i="1" a="1"/>
  <c r="L2730" i="1" s="1"/>
  <c r="L2731" i="1" a="1"/>
  <c r="L2731" i="1" s="1"/>
  <c r="L2732" i="1" a="1"/>
  <c r="L2732" i="1" s="1"/>
  <c r="L2733" i="1" a="1"/>
  <c r="L2733" i="1" s="1"/>
  <c r="L2734" i="1" a="1"/>
  <c r="L2734" i="1" s="1"/>
  <c r="L2735" i="1" a="1"/>
  <c r="L2735" i="1" s="1"/>
  <c r="L2736" i="1" a="1"/>
  <c r="L2736" i="1" s="1"/>
  <c r="L2737" i="1" a="1"/>
  <c r="L2737" i="1" s="1"/>
  <c r="L2738" i="1" a="1"/>
  <c r="L2738" i="1" s="1"/>
  <c r="L2739" i="1" a="1"/>
  <c r="L2739" i="1" s="1"/>
  <c r="L2740" i="1" a="1"/>
  <c r="L2740" i="1" s="1"/>
  <c r="L2741" i="1" a="1"/>
  <c r="L2741" i="1" s="1"/>
  <c r="L2742" i="1" a="1"/>
  <c r="L2742" i="1" s="1"/>
  <c r="L2743" i="1" a="1"/>
  <c r="L2743" i="1" s="1"/>
  <c r="L2744" i="1" a="1"/>
  <c r="L2744" i="1" s="1"/>
  <c r="L2745" i="1" a="1"/>
  <c r="L2745" i="1" s="1"/>
  <c r="L2746" i="1" a="1"/>
  <c r="L2746" i="1" s="1"/>
  <c r="L2747" i="1" a="1"/>
  <c r="L2747" i="1" s="1"/>
  <c r="L2748" i="1" a="1"/>
  <c r="L2748" i="1" s="1"/>
  <c r="L2749" i="1" a="1"/>
  <c r="L2749" i="1" s="1"/>
  <c r="L2750" i="1" a="1"/>
  <c r="L2750" i="1" s="1"/>
  <c r="L2751" i="1" a="1"/>
  <c r="L2751" i="1" s="1"/>
  <c r="L2752" i="1" a="1"/>
  <c r="L2752" i="1" s="1"/>
  <c r="L2753" i="1" a="1"/>
  <c r="L2753" i="1" s="1"/>
  <c r="L2754" i="1" a="1"/>
  <c r="L2754" i="1" s="1"/>
  <c r="L2755" i="1" a="1"/>
  <c r="L2755" i="1" s="1"/>
  <c r="L2756" i="1" a="1"/>
  <c r="L2756" i="1" s="1"/>
  <c r="L2757" i="1" a="1"/>
  <c r="L2757" i="1" s="1"/>
  <c r="L2758" i="1" a="1"/>
  <c r="L2758" i="1" s="1"/>
  <c r="L2759" i="1" a="1"/>
  <c r="L2759" i="1" s="1"/>
  <c r="L2760" i="1" a="1"/>
  <c r="L2760" i="1" s="1"/>
  <c r="L2761" i="1" a="1"/>
  <c r="L2761" i="1" s="1"/>
  <c r="L2762" i="1" a="1"/>
  <c r="L2762" i="1" s="1"/>
  <c r="L2763" i="1" a="1"/>
  <c r="L2763" i="1" s="1"/>
  <c r="L2764" i="1" a="1"/>
  <c r="L2764" i="1" s="1"/>
  <c r="L2765" i="1" a="1"/>
  <c r="L2765" i="1" s="1"/>
  <c r="L2766" i="1" a="1"/>
  <c r="L2766" i="1" s="1"/>
  <c r="L2767" i="1" a="1"/>
  <c r="L2767" i="1" s="1"/>
  <c r="L2768" i="1" a="1"/>
  <c r="L2768" i="1" s="1"/>
  <c r="L2769" i="1" a="1"/>
  <c r="L2769" i="1" s="1"/>
  <c r="L2770" i="1" a="1"/>
  <c r="L2770" i="1" s="1"/>
  <c r="L2771" i="1" a="1"/>
  <c r="L2771" i="1" s="1"/>
  <c r="L2772" i="1" a="1"/>
  <c r="L2772" i="1" s="1"/>
  <c r="L2773" i="1" a="1"/>
  <c r="L2773" i="1" s="1"/>
  <c r="L2774" i="1" a="1"/>
  <c r="L2774" i="1" s="1"/>
  <c r="L2775" i="1" a="1"/>
  <c r="L2775" i="1" s="1"/>
  <c r="L2776" i="1" a="1"/>
  <c r="L2776" i="1" s="1"/>
  <c r="L2777" i="1" a="1"/>
  <c r="L2777" i="1" s="1"/>
  <c r="L2778" i="1" a="1"/>
  <c r="L2778" i="1" s="1"/>
  <c r="L2779" i="1" a="1"/>
  <c r="L2779" i="1" s="1"/>
  <c r="L2780" i="1" a="1"/>
  <c r="L2780" i="1" s="1"/>
  <c r="L2781" i="1" a="1"/>
  <c r="L2781" i="1" s="1"/>
  <c r="L2782" i="1" a="1"/>
  <c r="L2782" i="1" s="1"/>
  <c r="L2783" i="1" a="1"/>
  <c r="L2783" i="1" s="1"/>
  <c r="L2784" i="1" a="1"/>
  <c r="L2784" i="1" s="1"/>
  <c r="L2785" i="1" a="1"/>
  <c r="L2785" i="1" s="1"/>
  <c r="L2786" i="1" a="1"/>
  <c r="L2786" i="1" s="1"/>
  <c r="L2787" i="1" a="1"/>
  <c r="L2787" i="1" s="1"/>
  <c r="L2788" i="1" a="1"/>
  <c r="L2788" i="1" s="1"/>
  <c r="L2789" i="1" a="1"/>
  <c r="L2789" i="1" s="1"/>
  <c r="L2790" i="1" a="1"/>
  <c r="L2790" i="1" s="1"/>
  <c r="L2791" i="1" a="1"/>
  <c r="L2791" i="1" s="1"/>
  <c r="L2792" i="1" a="1"/>
  <c r="L2792" i="1" s="1"/>
  <c r="L2793" i="1" a="1"/>
  <c r="L2793" i="1" s="1"/>
  <c r="L2794" i="1" a="1"/>
  <c r="L2794" i="1" s="1"/>
  <c r="L2795" i="1" a="1"/>
  <c r="L2795" i="1" s="1"/>
  <c r="L2796" i="1" a="1"/>
  <c r="L2796" i="1" s="1"/>
  <c r="L2797" i="1" a="1"/>
  <c r="L2797" i="1" s="1"/>
  <c r="L2798" i="1" a="1"/>
  <c r="L2798" i="1" s="1"/>
  <c r="L2799" i="1" a="1"/>
  <c r="L2799" i="1" s="1"/>
  <c r="L2800" i="1" a="1"/>
  <c r="L2800" i="1" s="1"/>
  <c r="L2801" i="1" a="1"/>
  <c r="L2801" i="1" s="1"/>
  <c r="L2802" i="1" a="1"/>
  <c r="L2802" i="1" s="1"/>
  <c r="L2803" i="1" a="1"/>
  <c r="L2803" i="1" s="1"/>
  <c r="L2804" i="1" a="1"/>
  <c r="L2804" i="1" s="1"/>
  <c r="L2805" i="1" a="1"/>
  <c r="L2805" i="1" s="1"/>
  <c r="L2806" i="1" a="1"/>
  <c r="L2806" i="1" s="1"/>
  <c r="L2807" i="1" a="1"/>
  <c r="L2807" i="1" s="1"/>
  <c r="L2808" i="1" a="1"/>
  <c r="L2808" i="1" s="1"/>
  <c r="L2809" i="1" a="1"/>
  <c r="L2809" i="1" s="1"/>
  <c r="L2810" i="1" a="1"/>
  <c r="L2810" i="1" s="1"/>
  <c r="L2811" i="1" a="1"/>
  <c r="L2811" i="1" s="1"/>
  <c r="L2812" i="1" a="1"/>
  <c r="L2812" i="1" s="1"/>
  <c r="L2813" i="1" a="1"/>
  <c r="L2813" i="1" s="1"/>
  <c r="L2814" i="1" a="1"/>
  <c r="L2814" i="1" s="1"/>
  <c r="L2815" i="1" a="1"/>
  <c r="L2815" i="1" s="1"/>
  <c r="L2816" i="1" a="1"/>
  <c r="L2816" i="1" s="1"/>
  <c r="L2817" i="1" a="1"/>
  <c r="L2817" i="1" s="1"/>
  <c r="L2818" i="1" a="1"/>
  <c r="L2818" i="1" s="1"/>
  <c r="L2819" i="1" a="1"/>
  <c r="L2819" i="1" s="1"/>
  <c r="L2820" i="1" a="1"/>
  <c r="L2820" i="1" s="1"/>
  <c r="L2821" i="1" a="1"/>
  <c r="L2821" i="1" s="1"/>
  <c r="L2822" i="1" a="1"/>
  <c r="L2822" i="1" s="1"/>
  <c r="L2823" i="1" a="1"/>
  <c r="L2823" i="1" s="1"/>
  <c r="L2824" i="1" a="1"/>
  <c r="L2824" i="1" s="1"/>
  <c r="L2825" i="1" a="1"/>
  <c r="L2825" i="1" s="1"/>
  <c r="L2826" i="1" a="1"/>
  <c r="L2826" i="1" s="1"/>
  <c r="L2827" i="1" a="1"/>
  <c r="L2827" i="1" s="1"/>
  <c r="L2828" i="1" a="1"/>
  <c r="L2828" i="1" s="1"/>
  <c r="L2829" i="1" a="1"/>
  <c r="L2829" i="1" s="1"/>
  <c r="L2830" i="1" a="1"/>
  <c r="L2830" i="1" s="1"/>
  <c r="L2831" i="1" a="1"/>
  <c r="L2831" i="1" s="1"/>
  <c r="L2832" i="1" a="1"/>
  <c r="L2832" i="1" s="1"/>
  <c r="L2833" i="1" a="1"/>
  <c r="L2833" i="1" s="1"/>
  <c r="L2834" i="1" a="1"/>
  <c r="L2834" i="1" s="1"/>
  <c r="L2835" i="1" a="1"/>
  <c r="L2835" i="1" s="1"/>
  <c r="L2" i="1" a="1"/>
  <c r="L2" i="1" s="1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5" i="3"/>
  <c r="Q6" i="3"/>
  <c r="R6" i="3"/>
  <c r="Q7" i="3"/>
  <c r="R7" i="3"/>
  <c r="Q8" i="3"/>
  <c r="R8" i="3" s="1"/>
  <c r="Q9" i="3"/>
  <c r="R9" i="3" s="1"/>
  <c r="Q10" i="3"/>
  <c r="R10" i="3"/>
  <c r="Q11" i="3"/>
  <c r="R11" i="3"/>
  <c r="Q12" i="3"/>
  <c r="R12" i="3"/>
  <c r="Q13" i="3"/>
  <c r="R13" i="3" s="1"/>
  <c r="Q14" i="3"/>
  <c r="R14" i="3"/>
  <c r="Q15" i="3"/>
  <c r="R15" i="3"/>
  <c r="Q16" i="3"/>
  <c r="R16" i="3"/>
  <c r="Q17" i="3"/>
  <c r="R17" i="3" s="1"/>
  <c r="Q18" i="3"/>
  <c r="R18" i="3"/>
  <c r="Q19" i="3"/>
  <c r="R19" i="3"/>
  <c r="Q20" i="3"/>
  <c r="R20" i="3"/>
  <c r="Q21" i="3"/>
  <c r="R21" i="3" s="1"/>
  <c r="Q22" i="3"/>
  <c r="R22" i="3"/>
  <c r="Q23" i="3"/>
  <c r="R23" i="3"/>
  <c r="Q24" i="3"/>
  <c r="R24" i="3"/>
  <c r="Q25" i="3"/>
  <c r="R25" i="3" s="1"/>
  <c r="Q26" i="3"/>
  <c r="R26" i="3"/>
  <c r="Q27" i="3"/>
  <c r="R27" i="3"/>
  <c r="Q28" i="3"/>
  <c r="R28" i="3"/>
  <c r="Q29" i="3"/>
  <c r="R29" i="3" s="1"/>
  <c r="Q30" i="3"/>
  <c r="R30" i="3"/>
  <c r="Q5" i="3"/>
  <c r="R5" i="3" s="1"/>
  <c r="C2056" i="2"/>
  <c r="D205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<sst xmlns="http://schemas.openxmlformats.org/spreadsheetml/2006/main" count="33979" uniqueCount="5798">
  <si>
    <t>domain</t>
  </si>
  <si>
    <t>spf_category</t>
  </si>
  <si>
    <t>spf_raw</t>
  </si>
  <si>
    <t>dkim_found</t>
  </si>
  <si>
    <t>dmarc_policy</t>
  </si>
  <si>
    <t>dmarc_raw</t>
  </si>
  <si>
    <t>bimi</t>
  </si>
  <si>
    <t>bimi_logo_url</t>
  </si>
  <si>
    <t>ormsby-rhodes.ie</t>
  </si>
  <si>
    <t>minus</t>
  </si>
  <si>
    <t>v=spf1 ip4:185.2.5.95 include:spf.protection.outlook.com -all</t>
  </si>
  <si>
    <t>no</t>
  </si>
  <si>
    <t>cluid.ie</t>
  </si>
  <si>
    <t>tilde</t>
  </si>
  <si>
    <t>v=spf1 ip4:5.149.235.189 ip4:95.83.236.19 ip4:95.83.236.20 ip4:89.100.126.130 ip4:212.17.32.37 ip4:52.164.121.112 ip4:13.69.249.254 a:cluidserver.pointblank.ie include:spf.protection.outlook.com include:spf.eu.exclaimer.net include:_spf.psm.knowbe4.c" "om ip4:23.21.109.197 ip4:23.21.109.212 ip4:52.49.201.246 ip4:52.49.201.246 ip4:147.160.167.0/26 ~all</t>
  </si>
  <si>
    <t>yes</t>
  </si>
  <si>
    <t>quarantine</t>
  </si>
  <si>
    <t>v=DMARC1; p=quarantine; pct=100; rua=mailto:dmarc_agg@vali.email; ruf=mailto:jmongan@cluid.ie; fo=1</t>
  </si>
  <si>
    <t>coru.ie</t>
  </si>
  <si>
    <t>v=spf1 mx ip4:137.191.239.45 include:spf.protection.outlook.com a:mail1.coru.ie a:partnerspf.rmmservice.com ~all</t>
  </si>
  <si>
    <t>none</t>
  </si>
  <si>
    <t>v=DMARC1; p=none;</t>
  </si>
  <si>
    <t>nmbi.ie</t>
  </si>
  <si>
    <t>v=spf1 mx a ip4:5.61.115.48/28 include:nw005.com include:spf.protection.outlook.com include:spf.sendinblue.com include:spf.mailjet.com include:mailgun.org -all</t>
  </si>
  <si>
    <t>v=DMARC1; p=quarantine; sp=none; rua=mailto:dmarc@nmbi.ie!10m,mailto:dmarc@nmbi.ie; ruf=mailto:dmarc@nmbi.ie!10m; rf=afrf; pct=100; ri=86400;</t>
  </si>
  <si>
    <t>ifa.ie</t>
  </si>
  <si>
    <t>v=spf1 mx ip4:81.17.244.62 ip4:78.137.160.212 include:spf.mandrillapp.com include:spf.protection.outlook.com ~all</t>
  </si>
  <si>
    <t>mtas.ie</t>
  </si>
  <si>
    <t>v=spf1 include:spf.protection.outlook.com -all</t>
  </si>
  <si>
    <t>irishjobs.ie</t>
  </si>
  <si>
    <t>v=spf1 include:stepstone.com include:mcxplatform.de a:dc3.bigmachines.com ip4:18.196.229.239 ip4:3.121.95.49 ip4:208.73.7.175 include:_spf.salesforce.com -all</t>
  </si>
  <si>
    <t>v=DMARC1; p=none; rua=mailto:e3805f1a6f24587@rep.dmarcanalyzer.com; ruf=mailto:e3805f1a6f24587@for.dmarcanalyzer.com; fo=1</t>
  </si>
  <si>
    <t>priorityplacements.ie</t>
  </si>
  <si>
    <t>v=spf1 include:spf.protection.outlook.com include:eu.mailgun.org -all</t>
  </si>
  <si>
    <t>servisource.ie</t>
  </si>
  <si>
    <t>v=spf1 include:spf.protection.outlook.com include:sendgrid.net ip4:212.54.130.143 include:servers.mcsv.net include:_spf.salesforce.com include:_spf.123formbuilder.com include:_spf.arlo.co ~all</t>
  </si>
  <si>
    <t>v=DMARC1; p=none; rua=mailto:dmarc_agg@vali.email</t>
  </si>
  <si>
    <t>wrightcover.ie</t>
  </si>
  <si>
    <t>v=spf1 include:_netblocks.mimecast.com ip4:77.107.241.132 a:mailanyone.net a:remote.wrightcover.ie include:spf.protection.outlook.com include:spf.mailjet.com -all</t>
  </si>
  <si>
    <t>v=DMARC1; p=none; rua=mailto:dmarc_agg@vali.email; ruf=mailto:dmarc.forensics@wrightcover.ie; sp=none; fo=1</t>
  </si>
  <si>
    <t>fotawildlife.ie</t>
  </si>
  <si>
    <t>v=spf1 mx a include:spf.protection.outlook.com include:spf.antispamcloud.com include:spf.ess.de.barracudanetworks.com -all</t>
  </si>
  <si>
    <t>v=DMARC1; p=none; rua=mailto:rua@dmarc.brevo.com</t>
  </si>
  <si>
    <t>fltc.ie</t>
  </si>
  <si>
    <t>v=spf1 a mx ip4:89.101.237.110 ip4:213.94.221.65 ip4:205.201.133.57 ip4:213.94.221.67 ip4:52.178.140.205 ip4:31.193.1.160 ip4:31.193.1.161 include:servers.mcsv.net include:spf.protection.outlook.com  ~all</t>
  </si>
  <si>
    <t>v=DMARC1; p=quarantine;</t>
  </si>
  <si>
    <t>hyc.ie</t>
  </si>
  <si>
    <t>v=spf1 include:spf.protection.outlook.com include:servers.mcsv.net include:e2ma.net ip4:95.83.247.217 -all</t>
  </si>
  <si>
    <t>v=DMARC1; p=none; rua=mailto:gary@hyc.ie;</t>
  </si>
  <si>
    <t>luttrellstowncastleresort.com</t>
  </si>
  <si>
    <t>claremorristennisclub.com</t>
  </si>
  <si>
    <t>v=spf1 -all</t>
  </si>
  <si>
    <t>fmi.ie</t>
  </si>
  <si>
    <t>v=spf1 include:spf.protection.outlook.com a:spf.psi-fusion.com -all</t>
  </si>
  <si>
    <t>reject</t>
  </si>
  <si>
    <t>v=DMARC1; p=reject; pct=100; adkim=s; aspf=s; sp=reject; fo=1; rf=afrf; ri=86400; rua=mailto:dmarc@fmi.ie; ruf=mailto:dmarc@fmi.ie;</t>
  </si>
  <si>
    <t>jwt.com</t>
  </si>
  <si>
    <t>v=spf1 ip4:204.10.135.8 ip4:137.117.86.137 include:spfx.jwt.com include:spf.protection.outlook.com include:amazonses.com include:_spf.emailcampaigns.net include:servers.mcsv.net ~all</t>
  </si>
  <si>
    <t>v=DMARC1; p=reject; pct=100; fo=1; adkim=r; aspf=r; rua=mailto:dmarc_rua@emaildefense.proofpoint.com,mailto:dmarmsgs@jwt.com; ruf=mailto:dmarc_ruf@emaildefense.proofpoint.com</t>
  </si>
  <si>
    <t>pkf.ie</t>
  </si>
  <si>
    <t>v=spf1 include:spf.protection.outlook.com include:eu.zeptomail.net include:45303191.spf08.hubspotemail.net include:spf.exclaimer.net include:spf.smtp2go.com include:spf.turbo-smtp.com include:spf.clikitmedia.com include:usermail.zohocreator.eu include:eu." "zcsend.net -all</t>
  </si>
  <si>
    <t>theflyingenterprise.com</t>
  </si>
  <si>
    <t>brazenhead.com</t>
  </si>
  <si>
    <t>halfwayhousedublin.com</t>
  </si>
  <si>
    <t>oneillspubdublin.com</t>
  </si>
  <si>
    <t>v=spf1 a include:spf.blacknight.ie  ~all</t>
  </si>
  <si>
    <t>bobbybyrnes.ie</t>
  </si>
  <si>
    <t>v=spf1 include:spf.protection.outlook.com  -all</t>
  </si>
  <si>
    <t>brubakers.ie</t>
  </si>
  <si>
    <t>barsquare.ie</t>
  </si>
  <si>
    <t>carzone.ie</t>
  </si>
  <si>
    <t>v=spf1 include:spf.protection.outlook.com include:eu._netblocks.mimecast.com include:_spf.salesforce.com ip4:185.43.125.61 -all</t>
  </si>
  <si>
    <t>v=DMARC1; p=reject; fo=1; rua=mailto:dmarc_agg@auth.returnpath.net; ruf=mailto:dmarc_afrf@auth.returnpath.net</t>
  </si>
  <si>
    <t>edco.ie</t>
  </si>
  <si>
    <t>v=spf1 include:spf.edco.ie -all</t>
  </si>
  <si>
    <t>v=DMARC1; p=reject; rua=mailto:d2457e076b15997@rep.dmarcanalyzer.com; ruf=mailto:d2457e076b15997@for.dmarcanalyzer.com; fo=1;</t>
  </si>
  <si>
    <t>mooneyboats.ie</t>
  </si>
  <si>
    <t>v=spf1 a:dispatch-eu.ppe-hosted.com include:spf.protection.outlook.com include:amazonses.com -all include:mailgun.org ~all</t>
  </si>
  <si>
    <t>v=DMARC1; p=reject; sp=reject; adkim=s; aspf=s; fo=1; pct=50; rua=mailto:dmarcreports@mooneyboats.ie; ruf=mailto:dmarcreports@mooneyboats.ie</t>
  </si>
  <si>
    <t>globalshares.com</t>
  </si>
  <si>
    <t>v=spf1 include:spf.protection.outlook.com include:email.chargebee.com include:_spf.createsend.com include:_spf.salesforce.com ~all</t>
  </si>
  <si>
    <t>v=DMARC1; p=reject; sp=reject; fo=1; ri=3600; rua=mailto:sec_dmarc@globalshares.com; ruf=mailto:sec_dmarc@globalshares.com</t>
  </si>
  <si>
    <t>qpark.ie</t>
  </si>
  <si>
    <t>rpcredit.ie</t>
  </si>
  <si>
    <t>marygearychildcare.ie</t>
  </si>
  <si>
    <t>v=spf1 include:spf.protection.outlook.com include:wpdatacenter.com -all</t>
  </si>
  <si>
    <t>walshwaste.com</t>
  </si>
  <si>
    <t>v=spf1 include:spf.protection.outlook.com include:spf.topsec.com include:shops.shopify.com include:_spf.elasticemail.com ip4:3.251.232.128 ip4:13.38.202.32 ip4:83.70.177.131 -all</t>
  </si>
  <si>
    <t>v=DMARC1; p=quarantine; pct=100; rua=mailto:dmarc@zenotec.ie; ruf=mailto:dmarc@zenotec.ie; fo=1</t>
  </si>
  <si>
    <t>stericyclegxpsystems.com</t>
  </si>
  <si>
    <t>cumnor.ie</t>
  </si>
  <si>
    <t>v=spf1 ip4:93.95.81.142 include:spf.protection.outlook.com -all</t>
  </si>
  <si>
    <t>mcgintyoshea.ie</t>
  </si>
  <si>
    <t>v=spf1 ip4:93.95.85.34 include:spf.protection.outlook.com ~all</t>
  </si>
  <si>
    <t>v=DMARC1; p=none; rua=mailto:dmarcreports@mcgintyoshea.ie;</t>
  </si>
  <si>
    <t>csea.ie</t>
  </si>
  <si>
    <t>v=spf1 a mx ip4:89.101.148.249/29 include:csea.ie include:spf.protection.outlook.com include:spf.eu.exclaimer.net include:spf.messagelabs.com ~all</t>
  </si>
  <si>
    <t>v=DMARC1; p=none; rua=mailto:postmaster@csea.ie; ruf=mailto:postmaster@csea.ie; fo=1</t>
  </si>
  <si>
    <t>garlandconsultancy.com</t>
  </si>
  <si>
    <t>v=spf1 include:spf.protection.outlook.com include:arctechpro.com include:_spf.createsend.com -all</t>
  </si>
  <si>
    <t>v=DMARC1; p=none; rua=mailto:info@garlandconsultancy.com</t>
  </si>
  <si>
    <t>colas.ie</t>
  </si>
  <si>
    <t>v=spf1 include:spf1.speig.fr include:spf2.speig.fr include:spf3.speig.fr include:spf4.speig.fr -all</t>
  </si>
  <si>
    <t>jodireland.com</t>
  </si>
  <si>
    <t>v=spf1 include:_spf.google.com include:_8bebbd256f3eaddbc783e2d96955ced6.spf.dnssmarthost.net ~all</t>
  </si>
  <si>
    <t>v=dmarc1; p=none;</t>
  </si>
  <si>
    <t>keatingconstruction.ie</t>
  </si>
  <si>
    <t>v=spf1 ip4:185.43.232.206 include:spf.antispamcloud.com ip4:78.137.164.82 a mx ~all</t>
  </si>
  <si>
    <t>bannon.ie</t>
  </si>
  <si>
    <t>v=spf1 include:_netblocks.mimecast.com include:cmail1.com include:_spf.createsend.com include:asp-spf1.yardi.com include:asp-spf2.yardi.com ~all</t>
  </si>
  <si>
    <t>v=DMARC1; p=none; rua=mailto:7e410ab55013444@rep.dmarcanalyzer.com; ruf=mailto:7e410ab55013444@for.dmarcanalyzer.com; fo=1;</t>
  </si>
  <si>
    <t>colliers.com</t>
  </si>
  <si>
    <t>v=spf1 include:%{ir}.%{v}.%{d}.spf.has.pphosted.com ~all</t>
  </si>
  <si>
    <t>v=DMARC1; p=reject; fo=1; rua=mailto:dmarc_rua@emaildefense.proofpoint.com; ruf=mailto:dmarc_ruf@emaildefense.proofpoint.com;</t>
  </si>
  <si>
    <t>conneelybuilders.ie</t>
  </si>
  <si>
    <t>gaietyschool.com</t>
  </si>
  <si>
    <t>v=spf1 +a +mx +a:it36.siteground.eu  include:gaietyschool.com.spf.auto.dnssmarthost.net ~all</t>
  </si>
  <si>
    <t>v=DMARC1; p=none; aspf=r; adkim=r;</t>
  </si>
  <si>
    <t>afilias.info</t>
  </si>
  <si>
    <t>v=spf1 include:pw7or2j8w4.powerspf.com ~all</t>
  </si>
  <si>
    <t>v=DMARC1; p=none; rua=mailto:mb6wv3ayfl@rua.powerdmarc.com; ruf=mailto:mb6wv3ayfl@ruf.powerdmarc.com; fo=1;</t>
  </si>
  <si>
    <t>magnetnetworks.com</t>
  </si>
  <si>
    <t>v=spf1 ip4:82.33.246.106/32 ip4:85.91.0.0/21 ip4:212.17.32.0/26 ip4:34.249.234.126/32 include:spf.protection.outlook.com include:salesforce.com include:et._spf.pardot.com ~all</t>
  </si>
  <si>
    <t>mtld.mobi</t>
  </si>
  <si>
    <t>websense.com</t>
  </si>
  <si>
    <t>v=spf1 ip4:204.15.64.0/21 ip4:204.14.232.0/21 ip4:202.129.242.0/25 ip4:195.244.16.20/32 ip4:195.244.16.42/32 include:mailcontrol.com " " include:cust-spf.exacttarget.com include:spf.braintreegateway.com include:_bhcc.websense.com include:mktomail.com include:_spf.vsn.voltage.com include:_spf.salesforce.com ~all</t>
  </si>
  <si>
    <t>v=DMARC1;p=quarantine;pct=100;rua=mailto:dmarc-reports@websense.com;ruf=mailto:dmarc-failures@websense.com</t>
  </si>
  <si>
    <t>sonru.com</t>
  </si>
  <si>
    <t>tonykirwanplanthire.ie</t>
  </si>
  <si>
    <t>v=spf1 include:spf.protection.outlook.com include:spf1.emailsecurity.app -all</t>
  </si>
  <si>
    <t>v=DMARC1;p=none;sp=none;adkim=r;aspf=r;pct=100;fo=0;rf=afrf;ri=86400</t>
  </si>
  <si>
    <t>parkwest.ie</t>
  </si>
  <si>
    <t>v=spf1 ip4:194.37.255.0/24 ip4:91.198.224.0/24  include:spf.protection.outlook.com include:outbound-smtp14.blacknight.com include:spf.topsec.com -all</t>
  </si>
  <si>
    <t>stauntons.ie</t>
  </si>
  <si>
    <t>v=spf1 a mx a:vms1.getonline.ie ~all</t>
  </si>
  <si>
    <t>v=DMARC1; p=none</t>
  </si>
  <si>
    <t>smcc.ie</t>
  </si>
  <si>
    <t>v=spf1 include:mail.zendesk.com include:em4453.smcc.ie include:em8797.smcc.ie include:_spf.psm.knowbe4.com include:spf.protection.outlook.com include:spf.exclaimer.net include:spf-00779101.pphosted.com -all</t>
  </si>
  <si>
    <t>v=DMARC1; p=quarantine</t>
  </si>
  <si>
    <t>donohoedrinks.com</t>
  </si>
  <si>
    <t>v=spf1  ip4:83.71.203.1 ip4:195.7.41.97  include:spf.protection.outlook.com -all</t>
  </si>
  <si>
    <t>v=DMARC1; p=quarantine; rua=mailto:it@donohoedrinks.com; sp=quarantine; aspf=r;</t>
  </si>
  <si>
    <t>naturgy.ie</t>
  </si>
  <si>
    <t>wfl.ie</t>
  </si>
  <si>
    <t>v=spf1 ip4:159.235.227.193 include:spf.protection.outlook.com -all</t>
  </si>
  <si>
    <t>v=DMARC1; p=reject; sp=none; fo=1; pct=100;</t>
  </si>
  <si>
    <t>ctsgroup.ie</t>
  </si>
  <si>
    <t>v=spf1 a:mail.ctsgroup.ie ip4:86.43.73.9 ip4:93.107.121.35 ip4:89.106.141.206 include:spf.topsec.com include:spf.protection.outlook.com include:spf1.emailsecurity.app ~all</t>
  </si>
  <si>
    <t>v=DMARC1; p=quarantine; rua=mailto:5ca671dd@mxtoolbox.DMARC-report.com,mailto:5ca671dd@mxtoolbox.dmarc-report.com; ruf=mailto:5ca671dd@forensics.DMARC-report.com,mailto:5ca671dd@forensics.dmarc-report.com; fo=1</t>
  </si>
  <si>
    <t>pqe.ie</t>
  </si>
  <si>
    <t xml:space="preserve">v=DMARC1; p=quarantine </t>
  </si>
  <si>
    <t>fehilytimoney.ie</t>
  </si>
  <si>
    <t>ocsireland.com</t>
  </si>
  <si>
    <t>v=spf1 include:spf.protection.outlook.com include:_spf.salesforce.com ~all</t>
  </si>
  <si>
    <t>v=DMARC1; p=quarantine; pct=100; rua=mailto:cee87cbe@in.mailhardener.com</t>
  </si>
  <si>
    <t>bmce.ie</t>
  </si>
  <si>
    <t>v=spf1 ip4:89.101.125.242 include:spf.protection.outlook.com include:spf.mtaroutes.com ip4:78.153.218.39 ip6:2a01:a8:dc3:323:0:0:0:228 ~all</t>
  </si>
  <si>
    <t>v=DMARC1; p=none; pct=100; fo=1; ri=3600; ruf=mailto:admin@bmce.ie;</t>
  </si>
  <si>
    <t>instantupright.com</t>
  </si>
  <si>
    <t>v=spf1 ip4:89.33.236.40 ip4:217.156.86.170 +a +mx +ip4:157.90.207.158 +ip4:148.251.17.126 +ip4:89.46.6.12 +ip4:31.14.12.93 +ip4:188.34.132.206 +include:spf.protection.outlook.com ~all</t>
  </si>
  <si>
    <t>wme.ie</t>
  </si>
  <si>
    <t>v=spf1 ip4:88.81.127.118 a:spamtitan.aniar.ie include:spf.protection.outlook.com -all</t>
  </si>
  <si>
    <t>mds-int.net</t>
  </si>
  <si>
    <t>sepam.com</t>
  </si>
  <si>
    <t>v=spf1 include:spf.protection.outlook.com include:_spf.bullhornmail.com -all</t>
  </si>
  <si>
    <t>v=DMARC1;p=none;pct=100;rua=mailto:itadmin@sepam.com;ruf=mailto:itadmin@sepam.com;ri=86400;aspf=r;adkim=r;fo=1</t>
  </si>
  <si>
    <t>tullowoil.com</t>
  </si>
  <si>
    <t>v=spf1 ip4:146.177.56.171 include:spf.protection.outlook.com include:_spf.psm.knowbe4.com a:b.spf.service-now.com a:c.spf.service-now.com a:d.spf.service-now.com -all</t>
  </si>
  <si>
    <t>v=DMARC1; p=reject; rua=mailto:l5cepqur@ag.eu.dmarcadvisor.com; ruf=mailto:dmarcforensics@tullowoil.com;</t>
  </si>
  <si>
    <t>astonswealth.ie</t>
  </si>
  <si>
    <t>duffandphelps.com</t>
  </si>
  <si>
    <t>v=spf1 ip4:148.163.138.138 ip4:148.163.134.147 include:usb._netblocks.mimecast.com include:sharepointonline.com include:mail.zendesk.com -all</t>
  </si>
  <si>
    <t>v=DMARC1; p=reject; fo=1; rua=mailto:61d8746384f3986@rep.dmarcanalyzer.com; ruf=mailto:61d8746384f3986@for.dmarcanalyzer.com</t>
  </si>
  <si>
    <t>firstderivatives.com</t>
  </si>
  <si>
    <t>v=spf1 ip4:80.169.143.229 ip4:203.169.11.2 ip4:208.100.16.170 ip4:70.42.76.5 ip4:147.154.189.0/24 include:spf.protection.outlook.com include:aspmx.pardot.com include:_spf.google.com include:spf_c.oraclecloud.com ~all</t>
  </si>
  <si>
    <t xml:space="preserve">v=DMARC1; p=none; pct=100; fo=1; ri=3600; rua=mailto:8d431987@inbox.ondmarc.com; ruf=mailto:8d431987@inbox.ondmarc.com; </t>
  </si>
  <si>
    <t>genevatrading.com</t>
  </si>
  <si>
    <t>v=spf1 include:spf.protection.outlook.com include:spf-002ca501.pphosted.com ip4:38.32.97.155/32 ip4:184.105.249.139/32 -all</t>
  </si>
  <si>
    <t>v=DMARC1;p=reject;pct=100;rua=mailto:6d73ab12dd@rua.easydmarc.us;ruf=mailto:6d73ab12dd@ruf.easydmarc.us;ri=86400;fo=1;</t>
  </si>
  <si>
    <t>oranmorelodgehotel.ie</t>
  </si>
  <si>
    <t>v=spf1 ip4:185.43.232.196 ip4:78.137.164.92 ip4:78.137.164.122 +a +mx +include:relay.mailchannels.net ~all</t>
  </si>
  <si>
    <t>aquadome.ie</t>
  </si>
  <si>
    <t>v=spf1 +a +mx include:aquadome.ie.spf.auto.dnssmarthost.net ~all</t>
  </si>
  <si>
    <t>auraleisure.ie</t>
  </si>
  <si>
    <t>v=spf1 include:spf.reg365.net include:_spf.elasticemail.com ~all</t>
  </si>
  <si>
    <t>v=DMARC1;p=none;</t>
  </si>
  <si>
    <t>whitford.ie</t>
  </si>
  <si>
    <t>v=spf1 ip4:190.180.144.248 ip4:91.136.49.205 ip4:86.41.245.112 include:spf.protection.outlook.com include:netaffinity.net -all</t>
  </si>
  <si>
    <t>connectgroup.ie</t>
  </si>
  <si>
    <t>v=spf1 ip4:190.180.145.98 ip4:190.180.145.25 a mx include:relay.mailchannels.net ~all</t>
  </si>
  <si>
    <t>v=DMARC1;p=quarantine;pct=100</t>
  </si>
  <si>
    <t>alltrans.ie</t>
  </si>
  <si>
    <t>v=spf1 ip4:185.108.130.131 +a +mx +ip4:78.31.104.234 include:8338112.spf03.hubspotemail.net include:spf.protection.outlook.com include:spf.eu.signature365.net -all</t>
  </si>
  <si>
    <t>v=DMARC1; p=none; fo=1; rua=mailto:rua+alltrans.ie@dmarc.barracudanetworks.com; ruf=mailto:ruf+alltrans.ie@dmarc.barracudanetworks.com</t>
  </si>
  <si>
    <t>harbourinternationalfreight.com</t>
  </si>
  <si>
    <t>superiorexpress.ie</t>
  </si>
  <si>
    <t>v=spf1 ip4:46.4.83.175 ip4:162.144.32.188 ip4:139.162.201.221 ip4:77.104.129.94 ip4:86.47.96.190 include:spf.protection.outlook.com -all</t>
  </si>
  <si>
    <t>mis</t>
  </si>
  <si>
    <t>v=DMARC1; p= quarantine; sp=none; fo=1; pct=100;</t>
  </si>
  <si>
    <t>cosgravetransport.com</t>
  </si>
  <si>
    <t>v=spf1 a mx include:spf.elive.net include:spf.protection.outlook.com -all</t>
  </si>
  <si>
    <t>v=DMARC1; p=none; rua=mailto:support@paqit.com;</t>
  </si>
  <si>
    <t>cmdltd.ie</t>
  </si>
  <si>
    <t>v=spf1 include:spf.protection.outlook.com include:spf1.cmdltd.metakeeper.com include:_spf.elasticemail.com -all</t>
  </si>
  <si>
    <t>wrightsofmarino.com</t>
  </si>
  <si>
    <t>cuhcpc.ie</t>
  </si>
  <si>
    <t>v=spf1 include:spf.hornetsecurity.com ip4:82.141.252.58 ~all</t>
  </si>
  <si>
    <t>corkfertilitycentre.com</t>
  </si>
  <si>
    <t>v=spf1 +a +mx  include:spf.protection.outlook.com ip4:89.101.214.6 ip4:89.100.116.153 -all</t>
  </si>
  <si>
    <t>stjamesprivateclinic.com</t>
  </si>
  <si>
    <t>aiseiri.ie</t>
  </si>
  <si>
    <t>v=spf1 include:spf.protection.outlook.com include:spf.ess.de.barracudanetworks.com ~all</t>
  </si>
  <si>
    <t>v=DMARC1; p=quarantine; rua=mailto:dmarc-reports@aiseiri.ie; ruf=mailto:dmarc-failures@aiseiri.ie; sp=none; aspf=r;</t>
  </si>
  <si>
    <t>thekeoghpractice.ie</t>
  </si>
  <si>
    <t>partnershipcork.ie</t>
  </si>
  <si>
    <t>v=spf1 mx a ip4:194.125.128.221 ip4:77.107.206.59 include:_spf.snwlhostedeu.com include:spf.protection.outlook.com ~all</t>
  </si>
  <si>
    <t>dldc.org</t>
  </si>
  <si>
    <t>dbei.gov.ie</t>
  </si>
  <si>
    <t>v=DMARC1; p=reject; pct=100; fo=1; ri=3600; rua=mailto:bfa65a29@inbox.ondmarc.com; ruf=mailto:bfa65a29@inbox.ondmarc.com;</t>
  </si>
  <si>
    <t>doras.org</t>
  </si>
  <si>
    <t>v=spf1 a mx include:_spf.mlsend.com include:spf.protection.outlook.com ~all</t>
  </si>
  <si>
    <t>v=DMARC1; p=quarantine; sp=quarantine</t>
  </si>
  <si>
    <t>southmayo.com</t>
  </si>
  <si>
    <t>breifnecollege.ie</t>
  </si>
  <si>
    <t>v=spf1 include:spf.protection.outlook.com include:spf.dcsnet.ie -all</t>
  </si>
  <si>
    <t>v=DMARC1; p=reject; rua=mailto:dmarcsupport@breifnecollege.ie</t>
  </si>
  <si>
    <t>loretocavan.ie</t>
  </si>
  <si>
    <t>v=spf1 include:spf.protection.outlook.com include:loretocavan.ie.spf.auto.dnssmarthost.net -all</t>
  </si>
  <si>
    <t>ashton.ie</t>
  </si>
  <si>
    <t>v=spf1 include:spf.protection.outlook.com include:spf.brevo.com -all</t>
  </si>
  <si>
    <t>bishopstowncs.ie</t>
  </si>
  <si>
    <t>v=spf1 include:spf.reg365.net ~all</t>
  </si>
  <si>
    <t>boherbuecs.com</t>
  </si>
  <si>
    <t>colaisteanphiarsaigh.ie</t>
  </si>
  <si>
    <t>colaistetreasa.com</t>
  </si>
  <si>
    <t>v=spf1 include:_spf.mail.hostinger.com ~all</t>
  </si>
  <si>
    <t>loretofermoy.ie</t>
  </si>
  <si>
    <t>northpres.ie</t>
  </si>
  <si>
    <t>deelecollege.ie</t>
  </si>
  <si>
    <t>v=spf1 ip4:190.180.145.98 ip4:190.180.145.89 ip4:91.136.49.195 +a +mx +ip4:207.55.255.4 ~all</t>
  </si>
  <si>
    <t>ardscoilrisdublin.ie</t>
  </si>
  <si>
    <t>assumptionwalkinstown.ie</t>
  </si>
  <si>
    <t>blakestowncs.ie</t>
  </si>
  <si>
    <t>v=spf1 include:_spf.google.com include:spf.protection.outlook.com include:servers.mcsv.net include:teamworkdesk.com ~all</t>
  </si>
  <si>
    <t>cbcmonkstown.ie</t>
  </si>
  <si>
    <t>v=spf1 include:_spf.google.com ~all</t>
  </si>
  <si>
    <t>clonkeencollege.ie</t>
  </si>
  <si>
    <t>v=spf1 +a +mx +ip4:185.224.198.57 +ip4:217.78.1.157 +include:spf.protection.outlook.com -all</t>
  </si>
  <si>
    <t>colaisteeanna.ie</t>
  </si>
  <si>
    <t>v=spf1 mx ip4:89.101.164.123 include:spf.protection.outlook.com -all</t>
  </si>
  <si>
    <t>holyfaithclontarf.com</t>
  </si>
  <si>
    <t>loretohighschool.com</t>
  </si>
  <si>
    <t>v=spf1 ip4:78.153.209.30 include:spf.protection.outlook.com include:spf.blacknight.ie -alll</t>
  </si>
  <si>
    <t>v=DMARC1;p=quarantine;sp=none;adkim=r;aspf=r;pct=100;rf=afrf;ri=86400</t>
  </si>
  <si>
    <t>mountsackville.ie</t>
  </si>
  <si>
    <t>v=spf1 +a +mx +ip4:78.31.107.104 +include:relay.mailchannels.net +ip4:109.200.26.186 +include:spf.protection.outlook.com exists:%{i}._spf.inkyphishfence.com ~all</t>
  </si>
  <si>
    <t>oatlands.ie</t>
  </si>
  <si>
    <t>stcolumbas.ie</t>
  </si>
  <si>
    <t>v=spf1 a mx ip4:185.224.198.155 ip4:185.224.198.249 ip4:87.42.190.134 include:_spf.google.com include:_spf.createsend.com ~all</t>
  </si>
  <si>
    <t>stfintanshs.ie</t>
  </si>
  <si>
    <t>stjosephsrush.ie</t>
  </si>
  <si>
    <t>v=spf1 a mx ptr ip4:46.244.12.15 include:spf.protection.outlook.com ~all</t>
  </si>
  <si>
    <t>stkevinscollege.com</t>
  </si>
  <si>
    <t>v=spf1 a mx include:spf.blacknight.ie include:spf.protection.outlook.com ~all</t>
  </si>
  <si>
    <t>stkevinscc.ie</t>
  </si>
  <si>
    <t>v=spf1 include:spf.protection.outlook.com include:spf.dcsnet.ie  -all</t>
  </si>
  <si>
    <t>stpaulscollege.ie</t>
  </si>
  <si>
    <t>v=spf1 a include:spf.blacknight.com include:spf.protection.outlook.com -all</t>
  </si>
  <si>
    <t>straphaelas.ie</t>
  </si>
  <si>
    <t>v=spf1 87.42.112.137/24 include:spf.protection.outlook.com -all</t>
  </si>
  <si>
    <t>v=DMARC1; p=quarantine; sp=reject;</t>
  </si>
  <si>
    <t>teresian.ie</t>
  </si>
  <si>
    <t>v=spf1 include:spf.protection.outlook.com mx:schoolmail.aladdin.ie ~all</t>
  </si>
  <si>
    <t>colaisteiognaid.ie</t>
  </si>
  <si>
    <t>v=spf1 +ip4:66.206.3.250  ip4:23.111.150.226 ip4:185.62.37.155 +a +mx +ip4:54.36.17.64 include:spf.protection.outlook.com +include:colaisteiognaid.ie ~all</t>
  </si>
  <si>
    <t>taylorshill.ie</t>
  </si>
  <si>
    <t>colaistenasceilge.ie</t>
  </si>
  <si>
    <t>prestralee.ie</t>
  </si>
  <si>
    <t>v=spf1 include:spf.protection.outlook.com include:prestralee.ie.spf.auto.dnssmarthost.net -all</t>
  </si>
  <si>
    <t>ardscoilrathangan.ie</t>
  </si>
  <si>
    <t>athycollege.ie</t>
  </si>
  <si>
    <t>stmaryscollegenaas.ie</t>
  </si>
  <si>
    <t>cbskilkenny.ie</t>
  </si>
  <si>
    <t>v=spf1 a include:_spf.google.com include:spf.blacknight.com ~all</t>
  </si>
  <si>
    <t>heywood.ie</t>
  </si>
  <si>
    <t>portlaoisecollege.ie</t>
  </si>
  <si>
    <t>v=DMARC1; p=quarantine; pct=100; rua=mailto:ict@loetb.ie</t>
  </si>
  <si>
    <t>carrickcs.ie</t>
  </si>
  <si>
    <t>v=DMARC1; p=quarantine; adkim=r; aspf=r; rua=mailto:dmarc_rua@onsecureserver.net;</t>
  </si>
  <si>
    <t>cbssextonstreet.ie</t>
  </si>
  <si>
    <t>v=DMARC1; p=none; rua=dmarc-reports@cbssextonstreet.ie</t>
  </si>
  <si>
    <t>colaistenanonagle.ie</t>
  </si>
  <si>
    <t>v=spf1 +a +mx +a:mail.colaistenanonagle.ie  ip4:78.47.221.220 ip4:88.208.193.106 ip4:83.138.8.86 include:spf.protection.outlook.com ~all</t>
  </si>
  <si>
    <t>hazelc.ie</t>
  </si>
  <si>
    <t>moynecs.ie</t>
  </si>
  <si>
    <t>v=spf1 ip4:185.43.232.189 +mx +a +ip4:78.137.164.99 +include:spf.antispamcloud.com -all</t>
  </si>
  <si>
    <t>dgs.ie</t>
  </si>
  <si>
    <t>v=spf1 +a +ip4:87.232.32.223 +ip4:91.216.241.100 +include:relay.mailchannels.net +include:spf.protection.outlook.com -all</t>
  </si>
  <si>
    <t>v=DMARC1;  p=none; rua=mailto:f2a8355cebbb4e10ba0a19190fc8aa17@dmarc-reports.cloudflare.net</t>
  </si>
  <si>
    <t>ballyhauniscs.ie</t>
  </si>
  <si>
    <t>davittcollege.com</t>
  </si>
  <si>
    <t>v=spf1 include:spf.protection.outlook.com include:spf.topsec.com -all</t>
  </si>
  <si>
    <t>v=DMARC1;p=reject;sp=reject;rua=mailto:211a5a2e44@rua.easydmarc.eu;ruf=mailto:211a5a2e44@ruf.easydmarc.eu;fo=1</t>
  </si>
  <si>
    <t>gortnorabbey.ie</t>
  </si>
  <si>
    <t>v=spf1 +a +mx +ip4:91.210.235.155 include:spf.webhostingireland.ie ~all</t>
  </si>
  <si>
    <t>beaufortcollege.ie</t>
  </si>
  <si>
    <t>loretonavan.ie</t>
  </si>
  <si>
    <t>invercollege.ie</t>
  </si>
  <si>
    <t>v=DMARC1; p=reject; rua=mailto:dmarcsupport@invercollege.ie</t>
  </si>
  <si>
    <t>bccns.ie</t>
  </si>
  <si>
    <t>colaistechoilmtullamore.ie</t>
  </si>
  <si>
    <t>killinaschool.ie</t>
  </si>
  <si>
    <t>colaistechiarainathlone.ie</t>
  </si>
  <si>
    <t>rosconvent.ie</t>
  </si>
  <si>
    <t>v=spf1 a include:spf.blacknight.ie ~all</t>
  </si>
  <si>
    <t>cbshighschoolclonmel.ie</t>
  </si>
  <si>
    <t>cbsthurles.ie</t>
  </si>
  <si>
    <t>v=spf1 include:spf.protection.outlook.com include:authsmtp.com -all</t>
  </si>
  <si>
    <t>ourladystemplemore.ie</t>
  </si>
  <si>
    <t>v=spf1 ip4:185.43.232.17 include:spf.webhostingireland.ie +ip4:81.17.241.121 +include:spf.protection.outlook.com -all</t>
  </si>
  <si>
    <t>stdeclans.com</t>
  </si>
  <si>
    <t>mullingarcc.ie</t>
  </si>
  <si>
    <t>ramsgrangecommunityschool.ie</t>
  </si>
  <si>
    <t>dominicanwicklow.net</t>
  </si>
  <si>
    <t>glenartcollege.ie</t>
  </si>
  <si>
    <t>presbray.com</t>
  </si>
  <si>
    <t>richardsonsfoods.ie</t>
  </si>
  <si>
    <t>v=spf1 +a +mx +ip4:91.210.235.75 include:spf.webhostingireland.ie ~all</t>
  </si>
  <si>
    <t>rathsallagh.com</t>
  </si>
  <si>
    <t>v=spf1 include:_spf.google.com include:netaffinity.net include:authsmtp.com include:guestline.net include:roomlynx.net ~all</t>
  </si>
  <si>
    <t>v=DMARC1; p=none; pct=100; fo=1</t>
  </si>
  <si>
    <t>stedmundsburyhosp.com</t>
  </si>
  <si>
    <t>bailiehotel.com</t>
  </si>
  <si>
    <t>castlehotel.ie</t>
  </si>
  <si>
    <t>v=spf1 include:spf.protection.outlook.com include:_spf.bookassist.com include:guestline.net include:roomlynx.net -all</t>
  </si>
  <si>
    <t>castlemartyrresort.ie</t>
  </si>
  <si>
    <t>v=spf1 ip4:93.95.81.66 ip4:20.26.217.83 include:spf.protection.outlook.com include:spf.synxis.com include:email2.guestfolio.net include:spf.guestjoy.com include:sendgrid.net ~all</t>
  </si>
  <si>
    <t>v=DMARC1; p=none; fo=1;</t>
  </si>
  <si>
    <t>commodorehotel.ie</t>
  </si>
  <si>
    <t>v=spf1 include:spf.protection.outlook.com include:netaffinity.net -all</t>
  </si>
  <si>
    <t>themontenottehotel.com</t>
  </si>
  <si>
    <t>v=spf1 ip4:86.47.248.161 include:spf.protection.outlook.com include:_spf.bookassist.com a:mail.mindaclient.com -all</t>
  </si>
  <si>
    <t>tridenthotel.com</t>
  </si>
  <si>
    <t>v=spf1 include:eu._netblocks.mimecast.com include:spf.protection.outlook.com include:spf.messagelabs.com -all</t>
  </si>
  <si>
    <t>ballyliffinlodge.com</t>
  </si>
  <si>
    <t>clanreehotel.com</t>
  </si>
  <si>
    <t>v=spf1 include:_spf.google.com include:netaffinity.net ~all</t>
  </si>
  <si>
    <t>abbeyhoteldonegal.com</t>
  </si>
  <si>
    <t>millparkhotel.com</t>
  </si>
  <si>
    <t>carlsonrezidor.com</t>
  </si>
  <si>
    <t>dheaddresscitywest.com</t>
  </si>
  <si>
    <t>fitzsimonshotel.com</t>
  </si>
  <si>
    <t>jackson-court.ie</t>
  </si>
  <si>
    <t>lucanspahotel.ie</t>
  </si>
  <si>
    <t>v=spf1 mx a ip4:89.101.198.6 include:spf.protection.outlook.com include:netaffinity.net -all</t>
  </si>
  <si>
    <t>mercantilehotel.ie</t>
  </si>
  <si>
    <t>v=spf1 include:lpqt0po9p3.powerspf.com include:netaffinity.net -all</t>
  </si>
  <si>
    <t>v=DMARC1; p=reject; rua=mailto:beefr04q77@rua.powerdmarc.com; ruf=mailto:beefr04q77@ruf.powerdmarc.com; pct=100; fo=0:1:d:s;</t>
  </si>
  <si>
    <t>metrohoteldublin.com</t>
  </si>
  <si>
    <t>v=spf1 include:spf.protection.outlook.com include:netaffinity.net include:sendgrid.net  ~all</t>
  </si>
  <si>
    <t>v=DMARC1; p=quarantine; pct=100; fo=1</t>
  </si>
  <si>
    <t>premgroup.com</t>
  </si>
  <si>
    <t>v=spf1 include:spf.flexmail.eu include:spf.protection.outlook.com include:servers.mcsv.net include:spf.exclaimer.net include:_spf.salesforce.com ip4:69.164.84.0/24 ip4:65.79.172.0/27 ip4:216.245.190.192/27 ip4:129.152.34.0/28 ip4:160.34.200.0/28 ip4:129.1" "52.162.176/28 ip4:160.34.216.0/28 ip4:160.34.38.32/27 ip4:130.35.1.1/32 ip4:138.1.127.97/32 ip4:147.154.118.178/32 ip4:147.154.9.86/32 ip4:138.1.52.50/32 ip4:147.154.25.123/32 ip4:147.154.153.87/32 ip4:138.1.67.161/32 ip4:138.1.65.17/32 ip4:147.154.96.78/" "32 ip4:147.154.103.202/32 ip4:147.154.110.197/32 ip4:192.29.151.17/32 ip4:192.29.149.57/32 ip4:192.29.210.71/32 ip4:192.29.208.181/32 ip4:192.29.201.11/32 ip4:192.29.194.52/32 ip4:147.154.229.183/32 ip4:147.154.224.142/32 ip4:147.154.236.253/32 ip4:128.17" "7.144.7/32 ip4:128.177.144.190/31 ip4:128.177.154.7/32 ip4:128.177.154.190/31 ip4:65.216.181.5/32 ip4:65.221.28.5/32 ip4:213.70.228.37/30 ip4:194.14.5.235/32 ip4:195.122.184.14/32 -all</t>
  </si>
  <si>
    <t>v=DMARC1; p=reject; rua=mailto:coreilly@premgroup.com; ruf=mailto:coreilly@premgroup.com; sp=reject; aspf=s; ri=86400</t>
  </si>
  <si>
    <t>whitesandshotel.ie</t>
  </si>
  <si>
    <t>v=spf1 include:_spf.google.com include:guestline.net include:roomlynx.net ~all</t>
  </si>
  <si>
    <t>abbeyglen.ie</t>
  </si>
  <si>
    <t>v=spf1 a:mail.anu.net a:spamtitan.anu.net a:ams2-c7-1.anuhosting.net include:_spf.google.com include:spf.sendingservice.net -all</t>
  </si>
  <si>
    <t>ballynahinch-castle.com</t>
  </si>
  <si>
    <t>v=spf1 include:outlook.com ~all</t>
  </si>
  <si>
    <t>clybaunhotel.ie</t>
  </si>
  <si>
    <t>v=spf1 a mx include:spf.irishdomains.com include:netaffinity.net include:spf.protection.outlook.com include:sendgrid.net -all</t>
  </si>
  <si>
    <t>glenlo.com</t>
  </si>
  <si>
    <t>imperialhotelgalway.ie</t>
  </si>
  <si>
    <t>v=spf1 a:spf.webtrade.ie mx include:netaffinity.net include:guestline.net include:roomlynx.net include:spf.protection.outlook.com -all</t>
  </si>
  <si>
    <t>maldronhotelsandyroadgalway.com</t>
  </si>
  <si>
    <t>renvyle.com</t>
  </si>
  <si>
    <t>v=spf1 include:_spf.google.com include:_spf.bookassist.com ~all</t>
  </si>
  <si>
    <t>thehousehotel.ie</t>
  </si>
  <si>
    <t>v=spf1 include:spamtitan.tierneys.ie include:spf.reg365.net include:spf.mandrillapp.com include:spf.protection.outlook.com -all</t>
  </si>
  <si>
    <t>ladygregoryhotel.ie</t>
  </si>
  <si>
    <t>westwoodhousehotel.com</t>
  </si>
  <si>
    <t>ardnasidhe.com</t>
  </si>
  <si>
    <t>v=DMARC1; p=none; sp=none; aspf=s; fo=1;rua=mailto:dmarc_rua@emaildefense.proofpoint.com; ruf=mailto:dmarc_ruf@emaildefense.proofpoint.com</t>
  </si>
  <si>
    <t>parkkenmare.com</t>
  </si>
  <si>
    <t>v=spf1 include:guestline.net include:roomlynx.net include:spf.synxis.com include:spf.protection.outlook.com include:spf.mtasv.net include:secureserver.net -all</t>
  </si>
  <si>
    <t>v=DMARC1; p=none; rua=mailto:08e2ee1be1bb410d89b1cb364fcfa891@dmarc-reports.cloudflare.net,mailto:dmarkreporting@parkkenmare.com</t>
  </si>
  <si>
    <t>grandhoteltralee.com</t>
  </si>
  <si>
    <t>ospreyhotel.ie</t>
  </si>
  <si>
    <t>rivercourthotel.com</t>
  </si>
  <si>
    <t>v=spf1 a ip4:40.95.65.65 include:spf.protection.outlook.com include:netaffinity.net include:email2.guestfolio.net ~all</t>
  </si>
  <si>
    <t>kilkennyhibernianhotel.com</t>
  </si>
  <si>
    <t>v=spf1 mx include:netaffinity.net include:_spf.wire.threatspike.com include:spf.protection.outlook.com a:mail.mindaclient.com -all</t>
  </si>
  <si>
    <t>loughrynn.ie</t>
  </si>
  <si>
    <t>v=spf1 include:spf.protection.outlook.com include:authsmtp.com include:sendgrid.net include:mailgun.org include:spf.topsec.com -all</t>
  </si>
  <si>
    <t>absolutehotel.com</t>
  </si>
  <si>
    <t>v=spf1 include:spf.protection.outlook.com include:oracleindustry.com include:spf_3a.oracleindustry.com include:*.oracleindustry.com -all</t>
  </si>
  <si>
    <t>greenhillsgroup.com</t>
  </si>
  <si>
    <t>v=spf1 mx a include:netaffinity.net include:spf.protection.outlook.com -all</t>
  </si>
  <si>
    <t>limerickcityhotel.ie</t>
  </si>
  <si>
    <t>v=spf1 include:spf.protection.outlook.com a mx include:netaffinity.net +ip4:66.206.3.250 +ip4:23.111.150.226 ~all</t>
  </si>
  <si>
    <t>devoninnhotel.ie</t>
  </si>
  <si>
    <t>savoylimerick.com</t>
  </si>
  <si>
    <t>v=spf1 include:spf.protection.outlook.com ip4:84.116.36.16 include:spf.exclaimer.net include:netaffinity.net include:guestline.net include:spf.resdiary.com -all</t>
  </si>
  <si>
    <t>v=DMARC1; p=quarantine; rua=mailto:altaf@savoylimerick.com; ruf=mailto:altaf@savoylimerick.com; sp=none;</t>
  </si>
  <si>
    <t>boynevalleyhotel.ie</t>
  </si>
  <si>
    <t>v=spf1 include:spf.protection.outlook.com include:_spf.bookassist.com -all</t>
  </si>
  <si>
    <t>broadhavenbay.com</t>
  </si>
  <si>
    <t>v=spf1 include:_spf.google.com include:spf.protection.outlook.com include:netaffinity.net ~all</t>
  </si>
  <si>
    <t>v=DMARC1; p=quarantine; fo=1; rua=mailto:dmarc_reports@broadhavenbay.com; ruf=mailto:dmarc_reports@broadhavenbay.com</t>
  </si>
  <si>
    <t>theellisonhotel.ie</t>
  </si>
  <si>
    <t>v=spf1 include:spf.protection.outlook.com include:netaffinity.net ~all</t>
  </si>
  <si>
    <t>westportplazahotel.ie</t>
  </si>
  <si>
    <t>v=spf1 include:spf.newsletter.ie include:spf.mandrillapp.com include:spf.protection.outlook.com -all</t>
  </si>
  <si>
    <t>theglencarnhotel.ie</t>
  </si>
  <si>
    <t>pierheadhotel.ie</t>
  </si>
  <si>
    <t>theglasshouse.ie</t>
  </si>
  <si>
    <t>question</t>
  </si>
  <si>
    <t>v=spf1 include:spf.protection.outlook.com include:servers.mcsv.net include:netaffinity.net ?all</t>
  </si>
  <si>
    <t>cahirhousehotel.ie</t>
  </si>
  <si>
    <t>carraighotel.com</t>
  </si>
  <si>
    <t>v=DMARC1; p=none; rua=mailto:noel@solveit.ie; ruf=mailto:noel@solveit.ie; fo=1</t>
  </si>
  <si>
    <t>dooleys-hotel.ie</t>
  </si>
  <si>
    <t>fitzwiltonhotel.ie</t>
  </si>
  <si>
    <t>v=spf1 include:spf.protection.outlook.com include:netaffinity.net ip4:95.83.230.162 include:spf.newsletter.ie include:spf.blacknight.com include:mail.smtp2go.com ~all</t>
  </si>
  <si>
    <t>v=DMARC1; p=none; rua=mailto:dmarc@lantech.uriports.com; ruf=mailto:dmarc@lantech.uriports.com; fo=1:d:s</t>
  </si>
  <si>
    <t>goldcoastgolfresort.com</t>
  </si>
  <si>
    <t>v=spf1 include:spf.protection.outlook.com  +a +mx -all</t>
  </si>
  <si>
    <t>osheas-hotel.com</t>
  </si>
  <si>
    <t>v=spf1 +a +mx +a:stgmail.dmacmedia.ie -all</t>
  </si>
  <si>
    <t>v=DMARC1</t>
  </si>
  <si>
    <t>majestic-hotel.ie</t>
  </si>
  <si>
    <t>v=spf1 a mx ip4:84.51.238.228/25 ip4:84.51.238.227/25 include:netaffinity.net ip4:78.153.205.192/27 ~all</t>
  </si>
  <si>
    <t>shamrocklodgehotel.ie</t>
  </si>
  <si>
    <t>v=spf1 include:spf.protection.outlook.com include:spf.reg365.net -all</t>
  </si>
  <si>
    <t>hotelcurracloe.com</t>
  </si>
  <si>
    <t>v=spf1 include:_spf.protonmail.ch ~all</t>
  </si>
  <si>
    <t>seafieldhotel.com</t>
  </si>
  <si>
    <t>v=spf1 mx a:mail.seafieldhotel.com include:mailanyone.net ip6:2001:978:2a01:0:6:0:1089:1092 include:spf.protection.outlook.com include:netaffinity.net include:authsmtp.com include:sendgrid.net ~all</t>
  </si>
  <si>
    <t>esplanadehotel.ie</t>
  </si>
  <si>
    <t>grandhotel.ie</t>
  </si>
  <si>
    <t>whoward.eu</t>
  </si>
  <si>
    <t>v=spf1 a include:spf.protection.outlook.com -all</t>
  </si>
  <si>
    <t>ckt.ie</t>
  </si>
  <si>
    <t>v=spf1 a include:spf.protection.outlook.com a:servers.mcsv.net a:mail.ckt.ie -all</t>
  </si>
  <si>
    <t>kennedys-law.com</t>
  </si>
  <si>
    <t>v=spf1 include:eu._netblocks.mimecast.com include:spf-uk.vx-email.com include:docebosaas.com a:b.spf.service-now.com a:c.spf.service-now.com a:d.spf.service-now.com -all</t>
  </si>
  <si>
    <t>v=DMARC1; p=reject; rua=mailto:d51658bb6f81247@rep.dmarcanalyzer.com; ruf=mailto:d51658bb6f81247@for.dmarcanalyzer.com; fo=1;</t>
  </si>
  <si>
    <t>tipperarylibraries.ie</t>
  </si>
  <si>
    <t>harvestfinancial.ie</t>
  </si>
  <si>
    <t>v=DMARC1; p=reject; rua=mailto:dmarc_rua@emaildefense.proofpoint.com; ruf=mailto:dmarc_ruf@emaildefense.proofpoint.com; fo=1;</t>
  </si>
  <si>
    <t>intesasanpaololife.ie</t>
  </si>
  <si>
    <t>v=spf1 include:spf.intesasanpaolo.com include:spf.protection.outlook.com -all</t>
  </si>
  <si>
    <t>v=DMARC1; p=quarantine; fo=1; pct=100; ri=3600; rua=mailto:intesa-sanpaolo@rua.dmp.cisco.com; ruf=mailto:intesa-sanpaolo@ruf.dmp.cisco.com</t>
  </si>
  <si>
    <t>odonovaneng.ie</t>
  </si>
  <si>
    <t>v=spf1 include:spf.protection.outlook.com include:spf.mailspamprotection.com include:odonovaneng.ie.spf.auto.dnssmarthost.net -all</t>
  </si>
  <si>
    <t>cartow.ie</t>
  </si>
  <si>
    <t>odrem.ie</t>
  </si>
  <si>
    <t>v=spf1 ip4:217.115.115.25 +mx +a +a:spf.webtrade.ie include:spf.protection.outlook.com include:relay.mailchannels.net include:asp-spf1.yardi.com  include:eu.transmail.net include:spf.zoho.eu include:spf.ess.de.barracudanetworks.com ~allinclude:user.zohobo" "okings.eu</t>
  </si>
  <si>
    <t>v=DMARC1; p=none; rua=mailto:it-monitor@odpm.ie</t>
  </si>
  <si>
    <t>theiveaghtrust.ie</t>
  </si>
  <si>
    <t>v=spf1 include:spf1.emailsecurity.app include:spf.protection.outlook.com -all</t>
  </si>
  <si>
    <t>v=DMARC1; p=quarantine; pct=50</t>
  </si>
  <si>
    <t>cellars.ie</t>
  </si>
  <si>
    <t>gibneysteel.com</t>
  </si>
  <si>
    <t>seerys.ie</t>
  </si>
  <si>
    <t>v=spf1 ip4:194.165.184.231 include:spf.topsec.com include:spf.protection.outlook.com include:spf.ess.barracudanetworks.com include:spf.ess.de.barracudanetworks.com -all</t>
  </si>
  <si>
    <t>v=DMARC1; p=quarantine; rua=mailto:dmarc-reports@seerys.ie; ruf=mailto:dmarc-failures@seerys.ie; sp=none; aspf=r;</t>
  </si>
  <si>
    <t>dinkinsbakery.com</t>
  </si>
  <si>
    <t>v=spf1 a include:spf.blacknight.ie include:spf.protection.outlook.com include:mailgun.org ~all</t>
  </si>
  <si>
    <t>cresthaven.ie</t>
  </si>
  <si>
    <t>v=spf1 +a +mx +ip4:78.153.200.194 +include:spf.protection.outlook.com -all</t>
  </si>
  <si>
    <t>duconconcrete.com</t>
  </si>
  <si>
    <t>cementaid.ie</t>
  </si>
  <si>
    <t>accuris-networks.com</t>
  </si>
  <si>
    <t>callpageboy.ie</t>
  </si>
  <si>
    <t>v=spf1 a mx ip4:83.70.177.138 ip4:82.141.228.162 ip4:5.149.169.209 ip4:83.71.171.193 ip4:83.174.183.150 include:spf.protection.outlook.com include:amazonses.com -all</t>
  </si>
  <si>
    <t>convergint.com</t>
  </si>
  <si>
    <t>v=spf1 include:spf.protection.outlook.com include:spf1.convergint.com include:spf2.convergint.com -all</t>
  </si>
  <si>
    <t>v=DMARC1; p=reject; rua=mailto:zmxenhn4@ag.dmarcian.com; ruf=mailto:zmxenhn4@fr.dmarcian.com; pct=100;</t>
  </si>
  <si>
    <t>traka.ie</t>
  </si>
  <si>
    <t>v=DMARC1; p=reject; rua=mailto:c617a603d59c866@rep.dmarcanalyzer.com; ruf=mailto:c617a603d59c866@for.dmarcanalyzer.com; pct=100; fo=1</t>
  </si>
  <si>
    <t>tunstallemergencyresponse.ie</t>
  </si>
  <si>
    <t>v=spf1 +a +mx +a:ukm36.siteground.biz  include:tunstallemergencyresponse.ie.spf.auto.dnssmarthost.net ~all</t>
  </si>
  <si>
    <t>shepherdsecurity.ie</t>
  </si>
  <si>
    <t>calnan.ie</t>
  </si>
  <si>
    <t>v=spf1 ip4:91.216.241.2 include:relay.mailchannels.net +a +mx +ip4:217.199.187.190 +include:spf.protection.outlook.com +include:sendgrid.net -all</t>
  </si>
  <si>
    <t>doorfix.ie</t>
  </si>
  <si>
    <t>v=spf1 include:_spf_customer.mailwall.com -all</t>
  </si>
  <si>
    <t>elfc.com</t>
  </si>
  <si>
    <t>v=spf1 ip4:87.120.240.162/32 ip4:87.120.240.163/32 ip4:87.120.240.166/32 ip4:31.193.216.246/32 ip4:83.70.146.193/32 include:spf.protection.outlook.com include:spf.mandrillapp.com include:servers.mcsv.net include:_netblocks.mimecast.com -all</t>
  </si>
  <si>
    <t>v=DMARC1; p=reject; rua=mailto:dmarc.reports@elfc.com</t>
  </si>
  <si>
    <t>icsltd.ie</t>
  </si>
  <si>
    <t>v=spf1 ip4:93.107.164.183 include:spf.protection.outlook.com -all</t>
  </si>
  <si>
    <t>prophotonix.com</t>
  </si>
  <si>
    <t>v=spf1 include:spf.protection.outlook.com include:aspmx.pardot.com include:spf.emailsignatures365.com  include:spfa.cpmails.com ip4:212.147.129.75 ip4:216.17.79.152 ~all</t>
  </si>
  <si>
    <t>v=DMARC1; p=none; pct=100; rua=mailto:re+dnrazz1xeh4@dmarc.postmarkapp.com; sp=none; aspf=r;</t>
  </si>
  <si>
    <t>te.com</t>
  </si>
  <si>
    <t>v=spf1 redirect=48i79tr9._spf._d.mim.ec</t>
  </si>
  <si>
    <t>v=DMARC1; p=reject; rua=mailto:52d1bf7cee2d365@rep.dmarcanalyzer.com; ruf=mailto:52d1bf7cee2d365@for.dmarcanalyzer.com; fo=1;</t>
  </si>
  <si>
    <t>hccl.ie</t>
  </si>
  <si>
    <t>tipperaryglass.ie</t>
  </si>
  <si>
    <t>v=spf1 +a +ip4:35.214.80.219 include:_spf.mailspamprotection.com +ip4:83.70.176.96 +ip4:86.43.86.55 include:spf.protection.outlook.com include:authsmtp.com -all</t>
  </si>
  <si>
    <t>quiptech.com</t>
  </si>
  <si>
    <t>v=spf1 include:spf.protection.outlook.com include:_spf_cd.spamtitan.com include:4602553.spf10.hubspotemail.net include:5837445.spf02.hubspotemail.net mx a ip4:62.77.187.217 ip4:173.236.35.52 include:spf.mandrillapp.com include:spf-westeu.emailsignatures36" "5.com include:spf-eu.emailsignatures365.com -all</t>
  </si>
  <si>
    <t>v=DMARC1; p=reject; rua=mailto:dmarc@quiptech.com; aspf=r;</t>
  </si>
  <si>
    <t>paganini.ie</t>
  </si>
  <si>
    <t>v=spf1 include:spf.protection.outlook.com include:spf.graphedia.ie -all</t>
  </si>
  <si>
    <t>camfil.ie</t>
  </si>
  <si>
    <t>v=spf1 ip4:192.176.163.12/32 ip4:192.176.163.254/32 ip4:203.106.234.247/32 ip4:173.251.20.104/32 ip4:64.238.211.94/32 include:spf.protection.outlook.com include:customers.clickdimensions.com include:_spf.staysecuregroup.com ~all</t>
  </si>
  <si>
    <t>v=DMARC1; p=none; rua=mailto:vqnx7ch8@ag.eu.dmarcadvisor.com;</t>
  </si>
  <si>
    <t>fitzgeraldkitchens.com</t>
  </si>
  <si>
    <t>v=spf1 +a +mx +ip4:217.115.115.31 +include:relay.mailchannels.net +ip4:35.214.120.112 +include:_spf.mailspamprotection.com ~all</t>
  </si>
  <si>
    <t>brandwellgroup.com</t>
  </si>
  <si>
    <t>broderickbros.ie</t>
  </si>
  <si>
    <t>v=spf1 include:spfa.mailendo.com include:spf.protection.outlook.com ip4:23.102.16.255 ip4:23.101.63.165 -all</t>
  </si>
  <si>
    <t>v=DMARC1; p=reject; rua=mailto:dmarc@broderickbros.ie;</t>
  </si>
  <si>
    <t>westgrovehotel.com</t>
  </si>
  <si>
    <t>v=spf1 include:spf.protection.outlook.com include:netaffinity.net include:authsmtp.com -all</t>
  </si>
  <si>
    <t>mchc.ie</t>
  </si>
  <si>
    <t>v=spf1 ip4:89.101.65.130 include:spf.protection.outlook.com -all</t>
  </si>
  <si>
    <t>kilkennylimestone.com</t>
  </si>
  <si>
    <t>v=spf1 ip4:194.78.7.52/32 ip4:194.78.12.34/32 include:spf.protection.outlook.com include:spfrerouting.xink.io include:spf.de-1.a.mimecastprotect.com -all</t>
  </si>
  <si>
    <t>v=DMARC1;p=reject;rua=mailto:dmarc@kilkennylimestone.com;ruf=mailto:dmarc.ruf@kilkennylimestone.com;fo=1;</t>
  </si>
  <si>
    <t>keaneymedical.com</t>
  </si>
  <si>
    <t>v=spf1 ip4:213.190.156.39 ip4:89.100.203.146 ip4:217.115.118.160 include:spf.hornetsecurity.com include:spf.protection.outlook.com -all</t>
  </si>
  <si>
    <t>v=DMARC1; p=reject; sp=reject; adkim=s; aspf=s; pct=100;</t>
  </si>
  <si>
    <t>asgard.ie</t>
  </si>
  <si>
    <t>v=DMARC1; p=quarantine; rua=mailto:dmarc_agg@vali.email;</t>
  </si>
  <si>
    <t>oxygen-care.com</t>
  </si>
  <si>
    <t>foxbros.ie</t>
  </si>
  <si>
    <t>v=spf1 a include:spf.protection.outlook.com include:spf.graphedia.ie -all</t>
  </si>
  <si>
    <t>cross-group.org</t>
  </si>
  <si>
    <t>v=spf1 a mx include:spf.protection.outlook.com include:_spf.salesforce.com ip4:142.93.35.76 ip4:62.232.136.170 ip4:93.94.112.230 a:mail.cross-refrig.ie include:spf.hornetsecurity.com -all</t>
  </si>
  <si>
    <t>v=DMARC1; p=quarantine; pct=100; rua=mailto:postmaster@cross-group.org;</t>
  </si>
  <si>
    <t>edpac.com</t>
  </si>
  <si>
    <t>v=DMARC1; p=none; pct=100; rua=mailto:re+d0vu7qmb5cn@dmarc.postmarkapp.com; ruf=mailto:dmarc.reports@munters.com; fo=1;</t>
  </si>
  <si>
    <t>cec.ie</t>
  </si>
  <si>
    <t>v=spf1 include:spf.protection.outlook.com include:_spf_cd.spamtitan.com include:mail.zendesk.com include:spf.mandrillapp.com mx a ip4:62.77.187.217 ip4:77.235.50.232 ip4:173.236.35.50 -all</t>
  </si>
  <si>
    <t>v=DMARC1; p=quarantine; rua=mailto:dmarc@cec.ie; aspf=s;</t>
  </si>
  <si>
    <t>storefit.com</t>
  </si>
  <si>
    <t>bizquip.ie</t>
  </si>
  <si>
    <t>v=spf1 a:exchange.bizquip.ie ip4:45.145.103.81 ip4:185.216.77.180  ip4:193.120.173.194 ip4:178.17.36.18 include:sendgrid.net include:spf.protection.outlook.com include:icm-software.co.uk include:spf.constantcontact.com include:spf.eu.exclaimer.net ~a" "ll</t>
  </si>
  <si>
    <t>v=DMARC1; p=quarantine; aspf=s;</t>
  </si>
  <si>
    <t>twl.ie</t>
  </si>
  <si>
    <t>v=spf1 ip4:217.115.124.157 include:spf.protection.outlook.com -all</t>
  </si>
  <si>
    <t>fogartyconcrete.ie</t>
  </si>
  <si>
    <t>furlongflooring.com</t>
  </si>
  <si>
    <t>v=spf1 include:amazonses.com include:eu._netblocks.mimecast.com include:spf.protection.outlook.com include:spf.razorblue.net.uk ip4:205.201.128.0/20 ip4:198.2.128.0/18 ip4:148.105.0.0/16 -all</t>
  </si>
  <si>
    <t>v=DMARC1; p=none; rua=mailto:dmarc@furlongflooring.com; ruf=mailto:dmarc@furlongflooring.com; fo=1</t>
  </si>
  <si>
    <t>essexfordjoinery.com</t>
  </si>
  <si>
    <t>v=spf1 include:spf.protection.outlook.com include:essexfordjoinery.com.spf.auto.dnssmarthost.net -all</t>
  </si>
  <si>
    <t>reynaers.ie</t>
  </si>
  <si>
    <t>v=DMARC1; p=reject; rua=mailto:dmarc_agg@vali.email;</t>
  </si>
  <si>
    <t>senatorwindows.ie</t>
  </si>
  <si>
    <t>v=spf1 ip4:185.178.69.243 ip4:185.178.69.25 ip4:82.141.230.229 ip4:185.2.66.183 include:spf.protection.outlook.com a:www.senatorwindows.ie include:spf.graphedia.ie -all</t>
  </si>
  <si>
    <t>v=DMARC1; p=quarantine; rua=mailto:9ffqjarb@ag.eu.dmarcian.com; ruf=mailto:9ffqjarb@fr.eu.dmarcian.com; fo=1; aspf=r; adkim=r</t>
  </si>
  <si>
    <t>caterway.ie</t>
  </si>
  <si>
    <t>v=spf1 a:159.253.225.83 include:_spf.google.com ~all</t>
  </si>
  <si>
    <t>v=DMARC1; p=none; rua=mailto:dmarc@istsystems.uriports.com; ruf=mailto:dmarc@istsystems.uriports.com; fo=1:d:s</t>
  </si>
  <si>
    <t>foodcentral.eu</t>
  </si>
  <si>
    <t>v=spf1 mx ip4:77.75.97.180 ip4:52.212.46.127/32 include:spf.protection.outlook.com include:spf.uk.exclaimer.net -all</t>
  </si>
  <si>
    <t>v=DMARC1; p=reject; adkim=s; aspf=s; rua=mailto:9vcyy61emh@rua.powerdmarc.com; ruf=mailto:9vcyy61emh@ruf.powerdmarc.com; pct=100; fo=1;</t>
  </si>
  <si>
    <t>vidaliving.com</t>
  </si>
  <si>
    <t>v=spf1 include:spf.protection.outlook.com include:mailsenders.netsuite.com include:_spf.elasticemail.com include:spf1.emailsecurity.app include:spf.stackmail.com include:_spf.eu.sparkpostmail.com -all</t>
  </si>
  <si>
    <t>v=DMARC1; p=none; rua=mailto:administrator@vidaliving.com; ruf=mailto:administrator@vidaliving.com; fo=0:1:d:s</t>
  </si>
  <si>
    <t>photo-me.com</t>
  </si>
  <si>
    <t>v=spf1 mx  a:mail-server.kis.fr a:mx-corporate.photo-me.eu a:quarantaine.photomaton.fr include:_spf.google.com  include:spf.mandrillapp.com  ip4:213.131.182.34 include:msgfocus.com ~all include:spf.dixa.io ~all</t>
  </si>
  <si>
    <t>campionpumps.com</t>
  </si>
  <si>
    <t>campion.ie</t>
  </si>
  <si>
    <t>v=spf1 include:sendersrv.com ?all</t>
  </si>
  <si>
    <t>lennox.ie</t>
  </si>
  <si>
    <t>accuscience.ie</t>
  </si>
  <si>
    <t>v=spf1 include:spf.protection.outlook.com ~all</t>
  </si>
  <si>
    <t>v=DMARC1;  p=none; rua=mailto:0ad500f8a93e4e008abfbaecb8565685@dmarc-reports.cloudflare.net</t>
  </si>
  <si>
    <t>marcobeveragesystems.com</t>
  </si>
  <si>
    <t>v=spf1 include:%{i}._ip.%{h}._ehlo.%{d}._spf.vali.email ~all</t>
  </si>
  <si>
    <t>v=DMARC1; p=reject; sp=reject; rua=mailto:dmarc_agg@vali.email,mailto:211a5a2e44@rua.easydmarc.eu; ruf=mailto:211a5a2e44@ruf.easydmarc.eu; fo=1</t>
  </si>
  <si>
    <t>cavanbox.ie</t>
  </si>
  <si>
    <t>euroflex.ie</t>
  </si>
  <si>
    <t>v=spf1 ip4:185.43.232.11 include:spf.webhostingireland.ie mx include:spf.protection.outlook.com ip4:81.17.241.214 ~all</t>
  </si>
  <si>
    <t>v=DMARC1;p=reject;rua=mailto:1472b967b4@rua.easydmarc.us;ruf=mailto:1472b967b4@ruf.easydmarc.us;fo=1</t>
  </si>
  <si>
    <t>canon.ie</t>
  </si>
  <si>
    <t>v=spf1 include:canon-emea.com -all</t>
  </si>
  <si>
    <t>v=DMARC1; p=reject; rua=mailto:1559aaadaeb7147@rep.dmarcanalyzer.com; ruf=mailto:1559aaadaeb7147@for.dmarcanalyzer.com; fo=1;</t>
  </si>
  <si>
    <t>fos.ie</t>
  </si>
  <si>
    <t>v=spf1 include:spf.protection.outlook.com a mx ip4:193.8.241.218 include:servers.icm-marketingportal.com -all</t>
  </si>
  <si>
    <t>abbott.com</t>
  </si>
  <si>
    <t>v=DMARC1; p=reject; fo=1; rua=mailto:dmarc_rua@emaildefense.proofpoint.com; ruf=mailto:dmarc_ruf@emaildefense.proofpoint.com</t>
  </si>
  <si>
    <t>ricesteele.com</t>
  </si>
  <si>
    <t>v=spf1 a -all</t>
  </si>
  <si>
    <t>rms.ie</t>
  </si>
  <si>
    <t>embankment.ie</t>
  </si>
  <si>
    <t>v=spf1 include:spf.protection.outlook.com ?all</t>
  </si>
  <si>
    <t>unitedcaps.com</t>
  </si>
  <si>
    <t>v=spf1 include:spf.protection.outlook.com include:unitedcaps.onmicrosoft.com include:protection.outlook.com  include:spf.eu.exclaimer.net ip4:217.31.73.243 -all</t>
  </si>
  <si>
    <t>v=DMARC1;p=none;pct=100;rua=mailto:IT-EmailSecurity-3f56e5c0b5874d1a95f95f2fdc627d72@unitedcaps.zoom.us;ruf=mailto:IT-EmailSecurity-3f56e5c0b5874d1a95f95f2fdc627d72@unitedcaps.zoom.us</t>
  </si>
  <si>
    <t>begleys.ie</t>
  </si>
  <si>
    <t>v=spf1 mx include:cmail1.com include:spf.protection.outlook.com include:spf.emailsignatures365.com ~all</t>
  </si>
  <si>
    <t>wholefoodswholesale.ie</t>
  </si>
  <si>
    <t>wrightsofhowth.com</t>
  </si>
  <si>
    <t>4aceswholesale.ie</t>
  </si>
  <si>
    <t>greenfieldfoods.ie</t>
  </si>
  <si>
    <t>v=spf1 ip4:80.249.246.174 include:spf.protection.outlook.com include:spf.topsec.com -all</t>
  </si>
  <si>
    <t>pettreats.ie</t>
  </si>
  <si>
    <t>v=spf1 include:spf.protection.outlook.com mx +a include:relay.mailchannels.net ~all</t>
  </si>
  <si>
    <t>mcdonogh.ie</t>
  </si>
  <si>
    <t>v=spf1 ip4:86.43.85.128 include:spf.protection.outlook.com ip4:212.78.228.74 -all</t>
  </si>
  <si>
    <t>flemingmedical.ie</t>
  </si>
  <si>
    <t>v=spf1 include:mailgun.org include:spf.messagelabs.com include:servers.mcsv.net include:sendgrid.net include:spf.protection.outlook.com include:spf.elive.net -all</t>
  </si>
  <si>
    <t>v=DMARC1; p=quarantine; fo=1; pct=100; rua=mailto:dmarc@flemingmedical.ie; ruf=mailto:dmarc@flemingmedical.ie;</t>
  </si>
  <si>
    <t>irema.com</t>
  </si>
  <si>
    <t>gallagherbros.ie</t>
  </si>
  <si>
    <t>arignafuels.ie</t>
  </si>
  <si>
    <t>v=spf1 ip4:95.45.250.217 include:spf.protection.outlook.com -all</t>
  </si>
  <si>
    <t>thehelix.ie</t>
  </si>
  <si>
    <t>aillweecave.ie</t>
  </si>
  <si>
    <t>v=spf1 ip4:78.137.164.79 ip4:91.102.80.14 include:spf.protection.outlook.com -all</t>
  </si>
  <si>
    <t>blarneycastle.ie</t>
  </si>
  <si>
    <t>awac.com</t>
  </si>
  <si>
    <t>v=spf1 include:spf-00186d01.pphosted.com  include:_spf.salesforce.com include:spf.protection.outlook.com include:_spf.mitracloud.com include:_spf.highradius.com include:pr.highradius.com include:e2ma.net a:c.spf.service-now.com ~all</t>
  </si>
  <si>
    <t>axiscapital.com</t>
  </si>
  <si>
    <t>v=spf1 exists:%{i}._i.%{d}._d.espf.agari-dns.net include:%{d}.f1.spf-protect.agari-dns.net -all</t>
  </si>
  <si>
    <t>v=DMARC1; p=reject; fo=1; ri=3600; rua=mailto:axis-capital@rua.agari.com; ruf=mailto:axis-capital@ruf.agari.com</t>
  </si>
  <si>
    <t>renre.com</t>
  </si>
  <si>
    <t>v=spf1 include:eu._netblocks.mimecast.com include:spf.protection.outlook.com include:servers.mcsv.net a:dispatch-us.ppe-hosted.com a:dispatch-eu.ppe-hosted.com ip4:63.71.13.0/24 ip4:63.71.14.0/24 ip4:63.71.15.0/24 " "ip4:67.231.152.0/24 ip4:67.231.153.0/24 ip4:67.231.154.0/24 ip4:67.231.155.0/24 ip4:67.231.156.0/24 ip4:67.231.144.0/24 ip4:67.231.145.0/24 ip4:67.231.146.0/24 ip4:67.231.147.0/24 ip4:67.231.148.0/24 " "ip4:67.231.149.0/24  ip4:148.163.128.0/19 ip4:91.209.104.0/24 ip4:91.207.212.0/24 ip4:91.207.213.0/24 ip4:62.209.50.0/24 ip4:62.209.51.0/24 ip4:185.132.180.0/24 ip4:185.132.181.0/24 ip4:185.132.182.0/24 " "ip4:185.132.183.0/24 ip4:185.183.28.0/22 ip4:164.109.28.253/32 ip4:164.109.107.24/32 ip4:54.173.107.179/32 ip4:52.6.190.130/32 ip4:54.172.129.181/32 ip4:164.109.107.24/32 " "ip4:199.30.236.0/24 ip4:91.209.6.0/24 ip4:199.30.236.0/22 ip4:207.195.176.0/20 ip4:68.232.140.79 ip4:68.232.140.57 ip4:68.232.135.234 ip4:68.232.135.235 " "ip4:199.255.192.0/22 ip4:199.127.232.0/22 ip4:54.240.0.0/18 ip4:69.169.224.0/20 ip4:23.249.208.0/20 ip4:23.251.224.0/19 ip4:76.223.176.0/20 ip4:54.240.64.0/19 ip4:54.240.96.0/19 ip4:52.82.172.0/22 ip4:76.223.128.0/19 -all</t>
  </si>
  <si>
    <t>v=DMARC1; p=reject; rua=mailto:dce820792adf497@rep.dmarcanalyzer.com; ruf=mailto:dce820792adf497@for.dmarcanalyzer.com; aspf=s; fo=1;</t>
  </si>
  <si>
    <t>aimcashandcarry.ie</t>
  </si>
  <si>
    <t>traditionalcheese.ie</t>
  </si>
  <si>
    <t>glenisk.com</t>
  </si>
  <si>
    <t>v=spf1 ip4:83.138.8.118 include:relay.mailchannels.net include:spf.protection.outlook.com ~all</t>
  </si>
  <si>
    <t>caseyconcrete.ie</t>
  </si>
  <si>
    <t>v=spf1 include:spf.protection.outlook.com include:scanscope.net -all</t>
  </si>
  <si>
    <t>leisureworldcork.com</t>
  </si>
  <si>
    <t>v=spf1 include:legendware.co.uk include:spf.mandrillapp.com include:_spf.google.com ~all</t>
  </si>
  <si>
    <t>v=DMARC1;p=quarantine;pct=100;rua=mailto:60aa190da5@rua.easydmarc.eu;ruf=mailto:60aa190da5@ruf.easydmarc.eu;fo=1; sp=quarantine; adkim=s; aspf=s</t>
  </si>
  <si>
    <t>arena7.ie</t>
  </si>
  <si>
    <t>v=spf1 include:emailsrvr.com ~all</t>
  </si>
  <si>
    <t>cherryorchardequinecentre.ie</t>
  </si>
  <si>
    <t>curragh.ie</t>
  </si>
  <si>
    <t>v=spf1 exists:%{i}.spf.acme.iphmx.com ip4:137.191.244.169 ip4:139.138.61.113 ip4:139.138.61.197 ip4:139.138.36.15 ip4:139.138.36.238 include:spf.protection.outlook.com include:spf2.tibus.net -all</t>
  </si>
  <si>
    <t>mccreerycleaning.ie</t>
  </si>
  <si>
    <t>v=spf1 ip4:185.43.232.194 ip4:78.137.164.94 +a +mx +ip4:78.137.164.229 include:spf.protection.outlook.com ~all</t>
  </si>
  <si>
    <t>celticrosshotel.com</t>
  </si>
  <si>
    <t>allinghamarmshotel.ie</t>
  </si>
  <si>
    <t>theclarence.ie</t>
  </si>
  <si>
    <t>v=spf1 include:spf.protection.outlook.com include:spf.eu.exclaimer.net include:oracleindustry.com include:microsdc.com mx a -all</t>
  </si>
  <si>
    <t>southcourthotel.com</t>
  </si>
  <si>
    <t>v=spf1 include:spamtitan.tierneys.ie include:spf.protection.outlook.com -all</t>
  </si>
  <si>
    <t>goreyshoppingcentre.ie</t>
  </si>
  <si>
    <t>alliance-francaise.ie</t>
  </si>
  <si>
    <t>v=spf1 include:spf.protection.outlook.com include:servers.mcsv.net ip4:194.46.205.161 ~all</t>
  </si>
  <si>
    <t>v=DMARC1; p=none; rua=mailto:postmaster@alliance-francaise.ie; ruf=mailto:postmaster@alliance-francaise.ie</t>
  </si>
  <si>
    <t>atlaslanguageschool.com</t>
  </si>
  <si>
    <t>v=DMARC1;  p=none; rua=mailto:ad5ef38d5c0c4fc5af4c8570e8920e40@dmarc-reports.cloudflare.net</t>
  </si>
  <si>
    <t>sandfordlanguages.ie</t>
  </si>
  <si>
    <t>v=spf1 ip4:95.216.111.60 ip6:2a01:4f9:2b:4a9::698:f4da ip4:95.216.8.51 ip6:2a01:4f9:2a:84c::2 ip4:139.59.169.192 ip6:2a03:b0c0:1:d0::c13:b001 +include:_spf.google.com ~all</t>
  </si>
  <si>
    <t>v=DMARC1; p=reject; rua=mailto:83e992e4131d544@rep.dmarcanalyzer.com; ruf=mailto:83e992e4131d544@for.dmarcanalyzer.com; sp=none; fo=1;</t>
  </si>
  <si>
    <t>dmwap.ie</t>
  </si>
  <si>
    <t>innalabs.com</t>
  </si>
  <si>
    <t>v=spf1 ip4:31.216.232.154 ip4:213.133.70.74 include:spf.protection.outlook.com -all</t>
  </si>
  <si>
    <t>v=DMARC1;p=quarantine;rua=mailto:dmarc_agg@vali.email;ruf=mailto:dmarc_agg@vali.email;pct=100;fo=0:1;rf=afrf;ri=86400;sp=none</t>
  </si>
  <si>
    <t>1cu.ie</t>
  </si>
  <si>
    <t>v=spf1 mx a:mail.1cu.ie a:mail.fscu.ie include:_spf.sonicsecuremail.eu include:spf.protection.outlook.com include:_spf.snwlhostedeu.com include:spf.mailjet.com include:spf.cuonline.well-it.com ip4:89.101.232.18 ip4:80.233.127.247 ip4:173.240.221.13 -all</t>
  </si>
  <si>
    <t>v=DMARC1; p=none; rua=mailto:dmarc@1cu.ie,mailto:rua@dmarc.brevo.com; ruf=mailto:dmarc@1cu.ie; fo=1</t>
  </si>
  <si>
    <t>creditunionplus.ie</t>
  </si>
  <si>
    <t>v=spf1 include:spf.protection.outlook.com include:spf.mtasv.net include:spf.cuonline.well-it.com include:spf.mailjet.com include:spf.eu.exclaimer.net include:spf.newsletter.ie -all</t>
  </si>
  <si>
    <t>v=DMARC1; p=none; rua=mailto:it-team@creditunionplus.ie; ruf=mailto:it-team@creditunionplus.ie; fo=1; adkim=r; aspf=r; rf=afrf; sp=none</t>
  </si>
  <si>
    <t>alturacu.ie</t>
  </si>
  <si>
    <t>v=spf1 include:myfreshworks.com include:spf.protection.outlook.com include:spf.mandrillapp.com include:amazonses.com include:spf.newsletter.ie -all</t>
  </si>
  <si>
    <t>v=DMARC1; p=none; rua=mailto:5c7388fcbd82.a@dmarcinput.com; ruf=mailto:5c7388fcbd82.f@dmarcinput.com; fo=1</t>
  </si>
  <si>
    <t>wexfordcreditunion.ie</t>
  </si>
  <si>
    <t>v=spf1 mx ip4:86.43.68.83 ip4:45.94.72.67 ip4:86.41.245.186 include:_spf.sonicsecuremail.com include:_spf.sonicsecuremail.eu include:_spf.snwlhostedeu.com include:spf.protection.outlook.com include:spf.cuonline.well-it.com include:spf.mailjet.com -all</t>
  </si>
  <si>
    <t>v=DMARC1;  p=none; rua=mailto:3ad1ce5667054cc1802444f27c22f884@dmarc-reports.cloudflare.net</t>
  </si>
  <si>
    <t>ie.oliver.agency</t>
  </si>
  <si>
    <t>pdvisual.ie</t>
  </si>
  <si>
    <t>playprint.com</t>
  </si>
  <si>
    <t>enernoc.com</t>
  </si>
  <si>
    <t>fireseal.ie</t>
  </si>
  <si>
    <t>v=spf1 include:spf.protection.outlook.com include:spf.smtp2go.com -all</t>
  </si>
  <si>
    <t>v=DMARC1; p=quarantine; fo=1; rua=mailto:dmarc@fireseal.ie; ruf=mailto:dmarc@fireseal.ie;</t>
  </si>
  <si>
    <t>sanofi-aventis.com</t>
  </si>
  <si>
    <t>v=spf1 include:spf-a.sanofi.com include:spf-c.sanofi.com include:spf.protection.outlook.com include:de._netblocks.mimecast.com include:us._netblocks.mimecast.com ~all</t>
  </si>
  <si>
    <t>v=DMARC1; p=quarantine; rua=mailto:093b247be21b620@rep.dmarcanalyzer.com; ruf=mailto:093b247be21b620@for.dmarcanalyzer.com; fo=1;</t>
  </si>
  <si>
    <t>ie.pattersonpumps.com</t>
  </si>
  <si>
    <t>writechltd.com</t>
  </si>
  <si>
    <t>crowleycarbon.com</t>
  </si>
  <si>
    <t>v=spf1 include:spf.mtasv.net include:_spf.google.com include:mail.zendesk.com  include:6472707.spf07.hubspotemail.net include:amazonses.com  include:spf_c.oracle.com include:spf_a.oracle.com  ~all</t>
  </si>
  <si>
    <t>v=DMARC1; rua=mailto:dmarc-reports@crowleycarbon.com; p=none; sp=none; adkim=r ; aspf=r</t>
  </si>
  <si>
    <t>verde.ie</t>
  </si>
  <si>
    <t>3m.com</t>
  </si>
  <si>
    <t>v=spf1 include:%{ir}.%{v}.%{d}.spf.has.pphosted.com -all</t>
  </si>
  <si>
    <t>v=DMARC1; p=quarantine; fo=1; rua=mailto:dmarc_rua@emaildefense.proofpoint.com; ruf=mailto:dmarc_ruf@emaildefense.proofpoint.com;</t>
  </si>
  <si>
    <t>11890.ie</t>
  </si>
  <si>
    <t>gmss.ie</t>
  </si>
  <si>
    <t>v=spf1 include:spf.protection.outlook.com include:_spf.elasticemail.com ~all</t>
  </si>
  <si>
    <t>pitneybowes.ie</t>
  </si>
  <si>
    <t>spicers.ie</t>
  </si>
  <si>
    <t>v=spf1 ip4:194.151.190.162 ip4:130.117.253.164 include:eu._netblocks.mimecast.com include:emsd1.com -all</t>
  </si>
  <si>
    <t>v=DMARC1; p=reject; pct=100; rua=mailto:xw1m59yr@ag.us.dmarcian.com;</t>
  </si>
  <si>
    <t>theofficecentre.ie</t>
  </si>
  <si>
    <t>westgatefoundation.ie</t>
  </si>
  <si>
    <t>v=spf1 ip4:185.199.220.81 include:_spf.google.com include:relay.k.io ~all</t>
  </si>
  <si>
    <t>castlehomecare.ie</t>
  </si>
  <si>
    <t>exchangehouse.ie</t>
  </si>
  <si>
    <t>lycs.ie</t>
  </si>
  <si>
    <t>macrobuilding.ie</t>
  </si>
  <si>
    <t>v=spf1 a mx include:spf.irishdomains.com</t>
  </si>
  <si>
    <t>oxfamireland.org</t>
  </si>
  <si>
    <t>"v=spf1 mx a     include:spf.protection.outlook.com  include:spf.mandrillapp.com include:sendgrid.net include:_spf.eu.messagegears.net include:customer.clickdimensions.com</t>
  </si>
  <si>
    <t>ancosan.ie</t>
  </si>
  <si>
    <t>v=spf1 include:sendgrid.net include:spf.protection.outlook.com include:spf.zoho.eu include:eu.transmail.net include:servers.mcsv.net -all</t>
  </si>
  <si>
    <t>inspirewellbeing.ie</t>
  </si>
  <si>
    <t>daon.com</t>
  </si>
  <si>
    <t>v=spf1 ip4:77.75.100.150 ip4:110.145.205.30 include:spf.protection.outlook.com include:8526146.spf03.hubspotemail.net include:sendgrid.net include:relay.mailchannels.net include:_spf.salesforce.com ~all</t>
  </si>
  <si>
    <t>v=DMARC1;p=reject;rua=mailto:dmarc-aggregate@daon.com;ruf=mailto:dmarc-forensics@daon.com;</t>
  </si>
  <si>
    <t>ellucian.com</t>
  </si>
  <si>
    <t>v=spf1 redirect=b2z771vc._spf._d.mim.ec</t>
  </si>
  <si>
    <t>v=DMARC1; p=reject; sp=none; rua=mailto:176efc8c0f93656@rep.dmarcanalyzer.com; ruf=mailto:176efc8c0f93656@for.dmarcanalyzer.com; fo=1;</t>
  </si>
  <si>
    <t>labgroup.com</t>
  </si>
  <si>
    <t>v=spf1 mx ip4:185.202.251.0/27 ip4:92.42.179.103 include:labgroup.net include:servers.mcsv.net include:_spf.salesforce.com -all</t>
  </si>
  <si>
    <t>v=DMARC1; p=quarantine; pct=100; ruf=mailto:dmarc@labgroup.com; rua=mailto:dmarc@labgroup.com; adkim=r; aspf=r</t>
  </si>
  <si>
    <t>oracle.com</t>
  </si>
  <si>
    <t>v=spf1 include:spf_s.oracle.com include:spf_r.oracle.com include:spf_c.oraclecloud.com include:spf_x.oracle.com include:spf_z.oracle.com include:stspg-customer.com ~all</t>
  </si>
  <si>
    <t>v=DMARC1;p=reject;rua=mailto:dmarc_rua@emaildefense.proofpoint.com;ruf=mailto:dmarc_ruf@emaildefense.proofpoint.com;fo=1</t>
  </si>
  <si>
    <t>waterfordtechnologies.com</t>
  </si>
  <si>
    <t>v=spf1 include:zoho.com include:zcsend.net include:spf.protection.outlook.com ip4:78.153.205.203 -all</t>
  </si>
  <si>
    <t>v=DMARC1; p=quarantine; rua=mailto:dmarcrua@waterfordtechnologies.com; ruf=mailto:dmarcruf@waterfordtechnologies.com</t>
  </si>
  <si>
    <t>carlowprecast.com</t>
  </si>
  <si>
    <t>danmorrissey.com</t>
  </si>
  <si>
    <t>priorityconstruction.ie</t>
  </si>
  <si>
    <t>drumderryagg.ie</t>
  </si>
  <si>
    <t>"v=spf1 +a +mx +include:spf.myhost.ie ~all"</t>
  </si>
  <si>
    <t>stamptransport.ie</t>
  </si>
  <si>
    <t>v=spf1 include:spf.reg365.net include:reflexion.net ~all</t>
  </si>
  <si>
    <t>cd-group.ie</t>
  </si>
  <si>
    <t>v=spf1 mx a ip4:81.149.208.176/32 ip4:90.155.123.227/32 a:stan.tibus.net include:tibus.net a:dispatch-eu.ppe-hosted.com include:eu._netblocks.mimecast.com ~all</t>
  </si>
  <si>
    <t>greaneyglass.com</t>
  </si>
  <si>
    <t>v=spf1 +a +ip4:93.107.177.181 +ip4:85.119.248.0/22 +ip4:66.206.3.250 include:spf.protection.outlook.com include:spf.ess.de.barracudanetworks.com ~all</t>
  </si>
  <si>
    <t>ipf.ie</t>
  </si>
  <si>
    <t>v=spf1 ip4:192.0.78.208 ip4:192.0.78.137 ip4:86.47.44.47 include:spf.protection.outlook.com include:_spf.automattic.com a:server1.bis-platform.com -all</t>
  </si>
  <si>
    <t>v=DMARC1;p=quarantine;sp=reject;pct=100</t>
  </si>
  <si>
    <t>clarionconsulting.com</t>
  </si>
  <si>
    <t>planetpayment.com</t>
  </si>
  <si>
    <t>v=spf1 a mx ip4:185.82.241.36 ip4:77.75.78.0/23 ip4:77.75.76.0/23 ip4:52.215.69.98 ip4:35.176.183.125 ip4:208.78.47.0/24 ip4:208.78.44.0/24 ip4:208.78.45.0/24 ip4:208.78.46.0/24 ip6:2a02:598::/32 include:spf.eu.exclaimer.net include:spf.protection.outlook" ".com include:_spf.salesforce.com include:sendgrid.net include:stspg-customer.com -all</t>
  </si>
  <si>
    <t>v=DMARC1; p=none; fo=1; rua=mailto:dmarc_agg@planetpayment.com;ruf=mailto:dmarc_afrf@planetpayment.com</t>
  </si>
  <si>
    <t>ashdowncontrolsgroup.com</t>
  </si>
  <si>
    <t>v=spf1 ip4:31.193.221.178 include:spf.protection.outlook.com Include:spf.topsec.com -all</t>
  </si>
  <si>
    <t>thedx.ie</t>
  </si>
  <si>
    <t>v=spf1 include:_netblocks.mimecast.com ~all</t>
  </si>
  <si>
    <t>v=DMARC1; p=reject; rua=mailto:156cdf5e0adb438@rep.dmarcanalyzer.com; ruf=mailto:156cdf5e0adb438@for.dmarcanalyzer.com; fo=1;</t>
  </si>
  <si>
    <t>dalc.ie</t>
  </si>
  <si>
    <t>v=spf1 +a +mx +ip4:77.235.57.23    +ip4:176.126.168.90 ~all</t>
  </si>
  <si>
    <t>v=DMARC1; p=quarantine; rua=mailto:admin2@dalc.ie; pct=100; ri=345600; adkim=s; aspf=s</t>
  </si>
  <si>
    <t>hpcglobal.ie</t>
  </si>
  <si>
    <t>v=spf1 include:servers.mcsv.net  include:_netblocks.mimecast.com ~all</t>
  </si>
  <si>
    <t>instituteofeducation.ie</t>
  </si>
  <si>
    <t xml:space="preserve">v=spf1 ip4:139.59.183.158 ip4:144.126.228.116 include:_spf.google.com include:spf.protection.outlook.com include:_spf.psm.knowbe4.com include:spf1.formassembly.com -all </t>
  </si>
  <si>
    <t>v=DMARC1;p=none;sp=none;pct=100;adkim=r;aspf=r;rua=mailto:italerts@instituteofeducation.ie;ruf=mailto:italerts@instituteofeducation.ie;ri=86400;fo=1</t>
  </si>
  <si>
    <t>millwardbrown.com</t>
  </si>
  <si>
    <t>v=spf1 include:spf.protection.outlook.com include:_spf.grpitsrv.com include:aspmx.pardot.com include:servers.mcsv.net ip4:202.92.101.238 ip4:103.22.209.0/24 ~all</t>
  </si>
  <si>
    <t>v=DMARC1; p=reject;sp=reject; rua=mailto:dmarc_agg@vali.email</t>
  </si>
  <si>
    <t>olivesafety.ie</t>
  </si>
  <si>
    <t>v=spf1 include:_spf.google.com include:amazonses.com ~all</t>
  </si>
  <si>
    <t>skillsoft.com</t>
  </si>
  <si>
    <t>v=spf1 ip4:65.121.228.0/24 ip4:67.132.9.0/24 ip4:62.180.27.27 ip4:185.92.37.57 ip4:52.170.185.240/29 ip4:50.31.156.96/27 ip4:104.245.209.192/26 ip4:170.52.45.1 ip4:208.117.49.186 ip4:192.190.135.11 ip4:192.190.135.12 include:_spf.qualtrics.com" " include:spf.protection.outlook.com include:spfva.skillsoft.com include:spfmessagelabs.skillsoft.com include:emsd1.com -all</t>
  </si>
  <si>
    <t>v=DMARC1; p=quarantine; pct=100; rua=mailto:dmarc@skillsoft.com</t>
  </si>
  <si>
    <t>weecare.ie</t>
  </si>
  <si>
    <t>v=spf1 ip4:185.43.232.221 ip4:78.137.164.67 +a +mx +ip4:78.137.164.121 +ip4:80.76.197.188/32 +ip4:78.137.164.72 +include:spf.antispamcloud.com +include:spf-ip.tdrnetworks.com ~all</t>
  </si>
  <si>
    <t>scoiltriest.ie</t>
  </si>
  <si>
    <t>stcolumbasgns.ie</t>
  </si>
  <si>
    <t>v=spf1 ip4:185.199.220.55 a mx ip4:77.72.4.74 include:relay.k.io ~all</t>
  </si>
  <si>
    <t>holyfamilysns.ie</t>
  </si>
  <si>
    <t>\009 v=DMARC1; p=none;</t>
  </si>
  <si>
    <t>ladyswellns.ie</t>
  </si>
  <si>
    <t>stfiachrasjns.com</t>
  </si>
  <si>
    <t>stlukesns.ie</t>
  </si>
  <si>
    <t>v=spf1 +a +mx +ip4:217.115.115.247 include:relay.mailchannels.net ~all</t>
  </si>
  <si>
    <t>stmarksjs.ie</t>
  </si>
  <si>
    <t>stthomas.ie</t>
  </si>
  <si>
    <t>junior.renmoreschool.com</t>
  </si>
  <si>
    <t>v=spf1 ip4:162.55.130.111 include:_spf.svrsh.com ip4:91.210.235.20 include:spf.webhostingireland.ie +a +mx ~all</t>
  </si>
  <si>
    <t>scoileointrali.com</t>
  </si>
  <si>
    <t>kilcullenns.org</t>
  </si>
  <si>
    <t>monaleenns.ie</t>
  </si>
  <si>
    <t>stvincentslisnagry.com</t>
  </si>
  <si>
    <t>sjns.ie</t>
  </si>
  <si>
    <t>ststephensns.ie</t>
  </si>
  <si>
    <t>stlaurences.ie</t>
  </si>
  <si>
    <t>meathchronicle.ie</t>
  </si>
  <si>
    <t>norfishltd.com</t>
  </si>
  <si>
    <t>v=spf1 include:spf.protection.outlook.com a include:spf.blacknight.ie -all</t>
  </si>
  <si>
    <t>morgansfinefish.com</t>
  </si>
  <si>
    <t>v=spf1 include:spf.protection.outlook.com +ip4:78.153.200.26 ~all</t>
  </si>
  <si>
    <t>ballonmeats.ie</t>
  </si>
  <si>
    <t>v=spf1 a:dispatch-eu.ppe-hosted.com ~all</t>
  </si>
  <si>
    <t>glenaine.ie</t>
  </si>
  <si>
    <t>v=spf1 ip4:89.125.255.132 ip4:185.138.113.156 include:spf.protection.outlook.com -all</t>
  </si>
  <si>
    <t>v=DMARC1; p=none; fo=1; rua=mailto:rua+glenaine.ie@dmarc.barracudanetworks.com; ruf=mailto:ruf+glenaine.ie@dmarc.barracudanetworks.com</t>
  </si>
  <si>
    <t>cpmire.com</t>
  </si>
  <si>
    <t>v=spf1 include:_spf.oneomnicom.com include:c7be9a0cp2ur.24-kwueeaw.gbr112.bnc.salesforce.com -all</t>
  </si>
  <si>
    <t>v=DMARC1; p=reject; rua=mailto:rc7yjbis@ag.us.dmarcian.com;</t>
  </si>
  <si>
    <t>epislon.com</t>
  </si>
  <si>
    <t>netaffinity.com</t>
  </si>
  <si>
    <t>v=spf1 include:spf.mandrillapp.com include:spf.protection.outlook.com include:stspg-customer.com include:servers.mcsv.net include:6755466.spf06.hubspotemail.net include:netaffinity.net -all</t>
  </si>
  <si>
    <t>v=DMARC1;p=none;sp=none;pct=100;fo=1;rua=mailto:dmarc_reports@netaffinity.com;ruf=mailto:dmarc_reports@netaffinity.com</t>
  </si>
  <si>
    <t>bdflood.com</t>
  </si>
  <si>
    <t>96fm.ie</t>
  </si>
  <si>
    <t>v=spf1 include:_spf.google.com include:spf-00596a01.pphosted.com include:spf-00596a01.pphosted.com ~all</t>
  </si>
  <si>
    <t>lmfm.ie</t>
  </si>
  <si>
    <t>v=spf1 include:spf.protection.outlook.com include:_spf.google.com include:spf-00596a01.pphosted.com include:spf2.tibus.net -all</t>
  </si>
  <si>
    <t>lafferty.ie</t>
  </si>
  <si>
    <t>v=spf1 ip4:38.84.192.41 ip4:206.71.173.245 include:spf.protection.outlook.com include:spf.emailsignatures365.com include:us._netblocks.mimecast.com include:servers.mcsv.net include:edgepilot.com include:appriver.com  include:spf.exclaimer.net -all</t>
  </si>
  <si>
    <t>v=DMARC1; p=none; sp=none; ri=86400</t>
  </si>
  <si>
    <t>fsm.ie</t>
  </si>
  <si>
    <t>v=spf1 ip4:66.147.236.60 ip4:66.147.230.105 include:spf.protection.outlook.com +a +mx +ip4:66.147.237.67 +ip4:159.253.133.76 +ip4:5.10.78.75 ~all</t>
  </si>
  <si>
    <t>oman.ie</t>
  </si>
  <si>
    <t>v=DMARC1; p=quarantine; adkim=s; aspf=s</t>
  </si>
  <si>
    <t>cabmotors.com</t>
  </si>
  <si>
    <t>lydon.eu</t>
  </si>
  <si>
    <t>navanhireanddiy.ie</t>
  </si>
  <si>
    <t>v=spf1 +a +mx +ip4:35.214.20.116 include:_spf.mailspamprotection.com ~all</t>
  </si>
  <si>
    <t>arkphire.com</t>
  </si>
  <si>
    <t>v=spf1 include:spf.protection.outlook.com include:spf.newsletter.ie include:sendgrid.net include:spf.exclaimer.net a:b.spf.service-now.com a:c.spf.service-now.com" " a:d.spf.service-now.com ip4:89.101.10.97/28 ip4:89.101.25.177/29 ip4:82.141.240.128/26 ip4:82.141.241.224/27 -all</t>
  </si>
  <si>
    <t>v=DMARC1; p=none; rua=mailto:e3dcfdf78abc146@rep.dmarcanalyzer.com,mailto:dmarc@arkphire.com; ruf=mailto:e3dcfdf78abc146@for.dmarcanalyzer.com,mailto:dmarc@arkphire.com; fo=1; pct=100</t>
  </si>
  <si>
    <t>berendsen.ie</t>
  </si>
  <si>
    <t>v=spf1 ip4:77.107.237.83 ip4:52.232.61.92 include:spf.protection.outlook.com -all</t>
  </si>
  <si>
    <t>avivastadium.ie</t>
  </si>
  <si>
    <t>v=spf1 include:spf.protection.outlook.com include:spf.hornetsecurity.com include:_spf.psm.knowbe4.com include:spf-4.inkyphishfence.com -all</t>
  </si>
  <si>
    <t>v=DMARC1; p=reject; rua=mailto:avivaadmin@avivastadium.ie,mailto:dmarc_rua@emaildefense.proofpoint.com; ruf=mailto:avivaadmin@avivastadium.ie,mailto:dmarc_ruf@emaildefense.proofpoint.com; sp=reject; ri=3600; rf=afrf; adkim=r; aspf=r; fo=1;</t>
  </si>
  <si>
    <t>ogradycranehire.ie</t>
  </si>
  <si>
    <t>logicalis.com</t>
  </si>
  <si>
    <t>v=spf1 include:_spf.salesforce.com include:spf.protection.outlook.com include:amazonses.com include:4794662.spf10.hubspotemail.net -all</t>
  </si>
  <si>
    <t xml:space="preserve">v=DMARC1; p=reject; pct=100; rua=mailto:yydei0ub@ag.eu.dmarcian.com,mailto:dmarcreports@uk.logicalis.com; ruf=mailto:yydei0ub@fr.eu.dmarcian.com,mailto:dmarcreports@uk.logicalis.com; fo=1; </t>
  </si>
  <si>
    <t>irishliftservices.ie</t>
  </si>
  <si>
    <t>v=spf1 include:_spf.irishliftservices_ie._d.easydmarc.pro ~all</t>
  </si>
  <si>
    <t>v=DMARC1;p=quarantine;pct=100;rua=mailto:3938f110be@rua.easydmarc.eu;ruf=mailto:3938f110be@ruf.easydmarc.eu;fo=1;</t>
  </si>
  <si>
    <t>arris.com</t>
  </si>
  <si>
    <t>v=spf1 exists:%{i}.spf.commscope.iphmx.com ip4:198.135.207.215 ip4:198.135.207.230 ip4:198.135.207.129 ip4:216.234.147.109 ip4:216.234.147.12 ip4:216.234.147.37 ip4:216.234.147.17 ip4:216.234.144.41 ip4:198.90.68.141 ip4:198.90.68.142 ip4:198.90.68.143" " include:et._spf.pardot.com include:mktomail.com include:spf.protection.outlook.com -all</t>
  </si>
  <si>
    <t>v=DMARC1; p=none; rua=mailto:ryafobpc@ag.us.dmarcian.com;</t>
  </si>
  <si>
    <t>nicb.ie</t>
  </si>
  <si>
    <t>v=spf1 ip6:fd1b:212c:a5f9::/48 -all</t>
  </si>
  <si>
    <t>novartis.ie</t>
  </si>
  <si>
    <t>teachaltra.ie</t>
  </si>
  <si>
    <t>brindleymanor.net</t>
  </si>
  <si>
    <t>beechtree.ie</t>
  </si>
  <si>
    <t>harveyhealthcare.ie</t>
  </si>
  <si>
    <t>v=spf1 include:spf.protection.outlook.com mx a -all</t>
  </si>
  <si>
    <t>hazelhallnursinghome.ie</t>
  </si>
  <si>
    <t>lougherrilnursinghome.ie</t>
  </si>
  <si>
    <t>v=spf1 +a +mx +ip4:109.237.24.70 ~all</t>
  </si>
  <si>
    <t>drumbearnursinghome.ie</t>
  </si>
  <si>
    <t>ferbanenursinghome.ie</t>
  </si>
  <si>
    <t>drumderrig.com</t>
  </si>
  <si>
    <t>plus</t>
  </si>
  <si>
    <t>v=spf1 +a +mx +all</t>
  </si>
  <si>
    <t>silverstreamhealthcare.com</t>
  </si>
  <si>
    <t>v=spf1 +a +mx +include:spf.myhost.ie ~all</t>
  </si>
  <si>
    <t>shannaghbay.ie</t>
  </si>
  <si>
    <t>v=spf1 mx a include:spf.avova.ie -all</t>
  </si>
  <si>
    <t>abbeylandsnursinghome.com</t>
  </si>
  <si>
    <t>v=spf1 +a +mx +a:web2.iseek.host ip4:78.153.205.192/27 ~all</t>
  </si>
  <si>
    <t>burgerking.ie</t>
  </si>
  <si>
    <t>cafeenseine.ie</t>
  </si>
  <si>
    <t>v=spf1 include:asr3vew3b2.powerspf.com -all</t>
  </si>
  <si>
    <t>https://hostedbimi.com/16771/1a193f1d-c062-4e79-9f8b-56f8efe50d0a.svg</t>
  </si>
  <si>
    <t>cafejava.ie</t>
  </si>
  <si>
    <t>fowlers.ie</t>
  </si>
  <si>
    <t>beresfordhotelifsc.com</t>
  </si>
  <si>
    <t>v=spf1 a include:spf.blacknight.ie include:_spf.bookassist.com ~all</t>
  </si>
  <si>
    <t>v=DMARC1; p=reject; rua=mailto:admin@beresfordhotelifsc.ie;</t>
  </si>
  <si>
    <t>marcopierrewhite.ie</t>
  </si>
  <si>
    <t>v=spf1 a include:_spf.google.com ~all</t>
  </si>
  <si>
    <t>liffeyvalley.ie</t>
  </si>
  <si>
    <t>v=spf1 +a +mx -all</t>
  </si>
  <si>
    <t>thealexhotel.ie</t>
  </si>
  <si>
    <t>v=spf1 include:ireshotels.com include:spf.protection.outlook.com include:_spf.prod.hydra.sophos.com -all</t>
  </si>
  <si>
    <t>sabadublin.com</t>
  </si>
  <si>
    <t>v=spf1 a mx\194\160include:spf.ess.de.barracudanetworks.com\194\160~all</t>
  </si>
  <si>
    <t>thunderroadcafe.ie</t>
  </si>
  <si>
    <t>wagamama.ie</t>
  </si>
  <si>
    <t>v=spf1 ip4:83.206.208.128/25 ip4:81.252.92.0/23 ip4:86.64.210.0/23 include:spf.protection.outlook.com mx a -all" "ftjnfpuqhnpotn1pc6gt2hremu" "MS=ms83239902" "facebook-domain-verification=ht7h405c9ggnyegaokxk4g0hwxxwxp</t>
  </si>
  <si>
    <t>mcswiggans.com</t>
  </si>
  <si>
    <t>campagne.ie</t>
  </si>
  <si>
    <t>rackethallhotel.com</t>
  </si>
  <si>
    <t>v=spf1 a mx include:netaffinity.net -all</t>
  </si>
  <si>
    <t>spar.ie</t>
  </si>
  <si>
    <t>v=spf1 a mx ip4:185.2.66.37 include:spf.mandrillapp.com ~all</t>
  </si>
  <si>
    <t>mchughgroup.ie</t>
  </si>
  <si>
    <t>v=spf1 ip4:108.128.211.214 +a +mx ~all</t>
  </si>
  <si>
    <t>v=DMARC1; p=quarantine; sp=none; rua=mailto:DMARC@mchughgroup.ie!10m,mailto:dmarc_agg@vali.email; ruf=mailto:DMARC@mchughgroup.ie!10m; rf=afrf; pct=100; ri=86400;</t>
  </si>
  <si>
    <t>soundstore.ie</t>
  </si>
  <si>
    <t>v=spf1 +a +mx include:spf.protection.outlook.com include:relay.mailchannels.net include:spf.elive.net ip4:185.53.174.129 ip4:87.76.21.56 -all</t>
  </si>
  <si>
    <t>v=DMARC1; p=none; pct=100</t>
  </si>
  <si>
    <t>thebookcentre.ie</t>
  </si>
  <si>
    <t>v=spf1 +ip4:80.93.29.16 +include:spf.smtp2go.com ?all</t>
  </si>
  <si>
    <t>mondelez.ie</t>
  </si>
  <si>
    <t>odeaandco.ie</t>
  </si>
  <si>
    <t>v=spf1 include:eu._netblocks.mimecast.com include:spf.protection.outlook.com include:spf.razorblue.net.uk -all</t>
  </si>
  <si>
    <t>v=DMARC1; p=none; rua=mailto:dmarc@odeaandco.ie; ruf=mailto:dmarc@odeaandco.ie; fo=1</t>
  </si>
  <si>
    <t>nextdirectory.ie</t>
  </si>
  <si>
    <t>v=spf1 include:_u.nextdirectory.ie._spf.smart.ondmarc.com -all</t>
  </si>
  <si>
    <t>v=DMARC1; p=reject; pct=100; sp=reject; rua=mailto:b47e7205@inbox.ondmarc.com; ruf=mailto:b47e7205@inbox.ondmarc.com; adkim=r; aspf=r; fo=0; rf=afrf; ri=3600</t>
  </si>
  <si>
    <t>abercrombie.com</t>
  </si>
  <si>
    <t>v=spf1 ip4:8.25.72.77 ip4:8.25.72.78 ip4:74.214.24.253 include:spf.mandrillapp.com include:mailgun.org include:spf.ess.barracudanetworks.com include:_spf.wpvip.com include:spf-0026d501.pphosted.com ~all</t>
  </si>
  <si>
    <t>v=DMARC1;p=reject;fo=1;" "rua=mailto:DomainMgr@abercrombie.com;" "ruf=mailto:DomainMgr@abercrombie.com</t>
  </si>
  <si>
    <t>tonyconnolly.com</t>
  </si>
  <si>
    <t>v=spf1 +ip4:78.129.221.13 +include:spf.protection.outlook.com -all</t>
  </si>
  <si>
    <t>dominicsmithelectrical.com</t>
  </si>
  <si>
    <t>kalgroup.ie</t>
  </si>
  <si>
    <t>schuh.ie</t>
  </si>
  <si>
    <t>v=spf1 include:amazonses.com -all</t>
  </si>
  <si>
    <t>v=DMARC1; p=none; rua=mailto:Alerts_Mail@schuh.co.uk</t>
  </si>
  <si>
    <t>kenblack.ie</t>
  </si>
  <si>
    <t>v=spf1 a mx include:spf.protection.outlook.com -all</t>
  </si>
  <si>
    <t>toplinedoyles.ie</t>
  </si>
  <si>
    <t>telfords.ie</t>
  </si>
  <si>
    <t>v=spf1 mx ip4:54.229.13.162 ip4:82.147.18.199/32 ip4:54.246.177.122/32 ip4:89.101.136.230/32 ip4:162.13.46.88/32 ip4:23.102.29.87 include:spf.protection.outlook.com include:spf.smtp2go.com include:dotmailer.co.uk include:amazonses.com -all</t>
  </si>
  <si>
    <t>v=DMARC1; p=reject; rua=mailto:220de43055e1045@rep.dmarcanalyzer.com; ruf=mailto:220de43055e1045@for.dmarcanalyzer.com; fo=1;</t>
  </si>
  <si>
    <t>kavanaghmeatsireland.com</t>
  </si>
  <si>
    <t>towerrecords.ie</t>
  </si>
  <si>
    <t>v=spf1 include:sendgrid.net include:apm-internet.net include:spf.protection.outlook.com ~all</t>
  </si>
  <si>
    <t>v=DMARC1; p=none;rua@dmarc.brevo.com</t>
  </si>
  <si>
    <t>greatoutdoors.ie</t>
  </si>
  <si>
    <t>v=spf1 +ip4:104.27.188.218 +ip4:68.66.213.144 +ip4:68.66.213.14 +ip4:159.253.225.211 include:_spf.salesforce.com include:servers.mcsv.net include:sendgrid.net include:spf.mandrillapp.com include:spf.protection.outlook.com include:mailgun.org -all</t>
  </si>
  <si>
    <t>v=DMARC1; p=quarantine; ruf=mailto:kis0mjof@fr.dmarcian-eu.com; sp=none; fo=1; pct=1;</t>
  </si>
  <si>
    <t>phloor.ie</t>
  </si>
  <si>
    <t>v=spf1 ip4:109.228.40.149 include:spf.protection.outlook.com -all</t>
  </si>
  <si>
    <t>v=DMARC1; p=none; rua=mailto:dmarc@phloor.ie; ruf=mailto:dmarc@phloor.ie;</t>
  </si>
  <si>
    <t>giftvouchershop.ie</t>
  </si>
  <si>
    <t>v=spf1 ip4:82.195.139.240/28 ip4:212.78.239.160/28 ip4:178.250.117.178 ip4:178.250.118.210 include:spf.protection.outlook.com ?all</t>
  </si>
  <si>
    <t>v=DMARC1; p=none; rua=mailto:DL-O4A-ITTeam@bhnetwork.com; pct=25;</t>
  </si>
  <si>
    <t>tilemerchant.ie</t>
  </si>
  <si>
    <t>v=spf1 mx a ip4:93.113.111.163 ip4:149.86.101.211 ip4:149.86.101.210 include:_spf.google.com include:mailgun.org include:spf.tilemerchant.hypernode.io ~all</t>
  </si>
  <si>
    <t>v=DMARC1;  p=none; rua=mailto:63f7a5b8f82548eab4253fc44c08ac57@dmarc-reports.cloudflare.net</t>
  </si>
  <si>
    <t>gilmores.ie</t>
  </si>
  <si>
    <t>opel.ie</t>
  </si>
  <si>
    <t>v=spf1 include:spf.hornetsecurity.com include:spf.protection.outlook.com -all</t>
  </si>
  <si>
    <t>alhayesmotors.com</t>
  </si>
  <si>
    <t>v=spf1 include:_spf.google.com include:_spf.netdirector.auto ~all</t>
  </si>
  <si>
    <t>v=DMARC1;p=quarantine ;pct=100;rua=mailto:reports@alhayesmotors.com;ruf=mailto:reports@alhayesmotors.com;aspf=r;adkim=r;</t>
  </si>
  <si>
    <t>motorpark.ie</t>
  </si>
  <si>
    <t>downeys.ie</t>
  </si>
  <si>
    <t>v=spf1 include:spf.protection.outlook.com ip4:89.100.204.26 -all</t>
  </si>
  <si>
    <t>briangeary.ie</t>
  </si>
  <si>
    <t>lyonsoflimerick.com</t>
  </si>
  <si>
    <t>v=spf1 include:spf.protection.outlook.com ip4:82.141.209.26 ip4:83.70.200.150 ip4:83.70.203.169 ip4:185.202.18.215 ip4:192.162.217.90 include:_spf.netdirector.auto -all</t>
  </si>
  <si>
    <t>westwardscania.com</t>
  </si>
  <si>
    <t>v=spf1 a:smtp.cvrt.ie include:authsmtp.com include:teknosell.com include:spf.messagelabs.com include:spf.protection.outlook.com ~all</t>
  </si>
  <si>
    <t>bolands.com</t>
  </si>
  <si>
    <t>v=spf1 a:outbound-smtp26.blacknight.com ip4:89.100.140.209 include:spf1.emailsecurity.app include:spf.protection.outlook.com include:spf.mailanyone.net -all</t>
  </si>
  <si>
    <t>dennehycommercials.com</t>
  </si>
  <si>
    <t>breentrans.com</t>
  </si>
  <si>
    <t>v=spf1 include:spf.mailanyone.net include:spf.protection.outlook.com ip4:37.128.193.132 -all</t>
  </si>
  <si>
    <t>thegalteegroup.ie</t>
  </si>
  <si>
    <t>v=spf1 include:spf.topsec.com include:spf.protection.outlook.com include:spf1.emailsecurity.app -all</t>
  </si>
  <si>
    <t>v=DMARC1; p=none; rua=mailto:455a33e4@mxtoolbox.dmarc-report.com; ruf=mailto:455a33e4@forensics.dmarc-report.com; fo=1</t>
  </si>
  <si>
    <t>rhenus.com</t>
  </si>
  <si>
    <t>v=spf1 include:_spf.rhenus_com._d.easydmarc.pro -all</t>
  </si>
  <si>
    <t>v=DMARC1;p=reject;sp=reject;pct=100;rua=mailto:a14f106890@rua.easydmarc.eu;ri=86400;aspf=s;adkim=s;</t>
  </si>
  <si>
    <t>https://assets.easydmarc.com/0286193727/bimi-rhenus-com-e076977e.svg</t>
  </si>
  <si>
    <t>kcchardware.com</t>
  </si>
  <si>
    <t>sligoairport.com</t>
  </si>
  <si>
    <t>v=spf1 ip4:185.43.232.239 +mx +a +ip4:78.137.164.56 +include:spf.antispamcloud.com ~all</t>
  </si>
  <si>
    <t>shopequipment.ie</t>
  </si>
  <si>
    <t>v=spf1 a mx ip4:91.136.48.22 include:spf.topsec.com -all</t>
  </si>
  <si>
    <t>eri.ucc.ie</t>
  </si>
  <si>
    <t>frscaher.ie</t>
  </si>
  <si>
    <t>radiocabs.ie</t>
  </si>
  <si>
    <t>v=spf1 ip4:190.180.144.237 ip4:207.55.255.20 +a +mx ~all</t>
  </si>
  <si>
    <t>stfanahans.ie</t>
  </si>
  <si>
    <t>v=DMARC1;p=reject;sp=reject</t>
  </si>
  <si>
    <t>stmarys.ie</t>
  </si>
  <si>
    <t>eirecomposites.com</t>
  </si>
  <si>
    <t>v=spf1 a mx ip4:83.70.181.31 include:spf.protection.outlook.com include:spf.blacknight.ie -all</t>
  </si>
  <si>
    <t>hewittcollege.com</t>
  </si>
  <si>
    <t>balbriggancommunitycollege.com</t>
  </si>
  <si>
    <t>greenhillscollege.ie</t>
  </si>
  <si>
    <t>v=spf1 include:spf.protection.outlook.com include:spf.dcsnet.ie ip4:142.132.206.101 -all</t>
  </si>
  <si>
    <t>dcuincorporation.ie</t>
  </si>
  <si>
    <t>scfe.ie</t>
  </si>
  <si>
    <t>v=spf1 include:spf.protection.outlook.com include:spf.dcsnet.ie  ip4:87.38.115.3 -all</t>
  </si>
  <si>
    <t>gurteencollege.ie</t>
  </si>
  <si>
    <t>v=spf1 ip4:213.133.69.62 ip4:52.31.29.196 ip4:172.25.1.15 ip4:157.90.28.58 include:spf.elluciancloud.com include:spf.protection.outlook.com ~all</t>
  </si>
  <si>
    <t>carlsonwagonlit.ie</t>
  </si>
  <si>
    <t>aig.com</t>
  </si>
  <si>
    <t>v=spf1 ip4:167.247.86.9 ip4:167.247.86.11 exists:%{i}._i.%{d}._d.espf.agari.com include:%{d}.ac.spf-protect.agari.com -all</t>
  </si>
  <si>
    <t>v=DMARC1; p=reject; fo=1; ri=3600; rua=mailto:aig@rua.agari.com; ruf=mailto:aig@ruf.agari.com</t>
  </si>
  <si>
    <t>kerrycoaches.com</t>
  </si>
  <si>
    <t>oconnellgroup.ie</t>
  </si>
  <si>
    <t>v=spf1 include:spf.protection.outlook.com ip4:84.203.181.54 ~all</t>
  </si>
  <si>
    <t>v=DMARC1; p=none; fo=1; rua=mailto:rua+oconnellgroup.ie@dmarc.barracudanetworks.com; ruf=mailto:ruf+oconnellgroup.ie@dmarc.barracudanetworks.com</t>
  </si>
  <si>
    <t>shs-group.co.uk</t>
  </si>
  <si>
    <t>v=spf1 ip4:194.168.219.43 ip4:95.154.206.87 include:eu._netblocks.mimecast.com include:spf.protection.outlook.com -all</t>
  </si>
  <si>
    <t>kemptechnologies.com</t>
  </si>
  <si>
    <t>v=spf1 include:docebosaas.com include:mktomail.com include:mail.zendesk.com include:spf.protection.outlook.com include:_spf.salesforce.com include:sendgrid.net include:_spf.kemptechnologies.com include:us._netblocks.mimecast.com -all</t>
  </si>
  <si>
    <t>v=DMARC1; p=none; rua=mailto:c503e53751ee581@rep.dmarcanalyzer.com; ruf=mailto:c503e53751ee581@for.dmarcanalyzer.com; fo=1;</t>
  </si>
  <si>
    <t>mull-coop.com</t>
  </si>
  <si>
    <t>v=spf1 ip4:190.180.145.25 +a +mx +include:spf.dub1.servername.online ~all</t>
  </si>
  <si>
    <t>sandisk.com</t>
  </si>
  <si>
    <t>v=spf1 include:spf1.sandisk.com include:spf2.sandisk.com include:spf3.sandisk.com include:spf4.sandisk.com include:amazonses.com include:spf5.sandisk.com include:spf.mandrillapp.com include:_spf.salesforce.com ~all</t>
  </si>
  <si>
    <t>v=DMARC1; p=quarantine; pct=100;rua=mailto:8xkq3jdr@ag.dmarcian.com,mailto:sndk-dmarc-rua@sandisk.com; ruf=mailto:sndk-dmarc-ruf@sandisk.com; rf=afrf; ri=7200</t>
  </si>
  <si>
    <t>eirespan.com</t>
  </si>
  <si>
    <t>prepveg.ie</t>
  </si>
  <si>
    <t>excel-industries.com</t>
  </si>
  <si>
    <t>v=spf1 mx ip4:185.122.133.78 ip4:83.70.152.89 ip4:83.70.152.90 ip4:185.32.253.199 ip4:185.32.253.174 include:spf1.emailsecurity.app include:spf.protection.outlook.com include:spf.ers.ie -all</t>
  </si>
  <si>
    <t>ibs.ie</t>
  </si>
  <si>
    <t>univet.ie</t>
  </si>
  <si>
    <t>v=spf1 mx a ip4:93.90.117.1/24 ip4:93.90.115.1/24 include:spf.blacknight.ie include:spf.protection.outlook.com -all</t>
  </si>
  <si>
    <t>recordati.ie</t>
  </si>
  <si>
    <t>v=spf1 a mx ip4:91.230.96.13 include:mailcontrol.com include:spf.protection.outlook.com ~all</t>
  </si>
  <si>
    <t>v=DMARC1; p=none; rua=mailto:dmarc.rua@recordati.com; ruf=mailto:dmarc.ruf@recordati.com; fo=1;</t>
  </si>
  <si>
    <t>medsurgical.ie</t>
  </si>
  <si>
    <t>clonmelhealthcare.com</t>
  </si>
  <si>
    <t>v=DMARC1; p=reject; pct=100; fo=1; ri=3600; rua=mailto:9b1c90e3@inbox.ondmarc.com; ruf=mailto:9b1c90e3@inbox.ondmarc.com</t>
  </si>
  <si>
    <t>jhmcloughlin.com</t>
  </si>
  <si>
    <t>v=spf1 mx a ip4:83.70.158.185 a:mail.jhmcloughlin.com a:smtp1r.cp.blacknight.com -all</t>
  </si>
  <si>
    <t>jps.ie</t>
  </si>
  <si>
    <t>v=spf1 +mx +a +ip4:103.26.141.202 ~all</t>
  </si>
  <si>
    <t>dpl.ie</t>
  </si>
  <si>
    <t>v=spf1 ip4:89.101.198.154 ip4:213.94.201.241 include:spf.protection.outlook.com -all</t>
  </si>
  <si>
    <t>v=DMARC1; p=none; rua=mailto:alerts@dpl.ie; ruf=mailto:alerts@dpl.ie; fo=1</t>
  </si>
  <si>
    <t>sigroofing.ie</t>
  </si>
  <si>
    <t>v=DMARC1; p=none; rua=mailto:21e415078983506@rep.dmarcanalyzer.com; ruf=mailto:21e415078983506@for.dmarcanalyzer.com; fo=1;</t>
  </si>
  <si>
    <t>tjomahony.ie</t>
  </si>
  <si>
    <t>v=spf1 a:spamtitan.datapac.com a:spamtitan1.datapac.com include:_spf_cd.spamtitan.com include:spf.protection.outlook.com ip4:43.228.184.6 ip4:103.47.204.4 ip4:103.2.140.82 ip4:103.2.143.7 ip4:45.79.238.223 ip4:172.105.254.10 ip4:185.220.63.95 -all</t>
  </si>
  <si>
    <t>v=DMARC1; p=quarantine; rua=mailto:a888a4c669bc47d993ea4b0c64425376@dmarc-reports.cloudflare.net;</t>
  </si>
  <si>
    <t>wogans.ie</t>
  </si>
  <si>
    <t>v=spf1 include:spf.protection.outlook.com include:spf.smtp2go.com include:spf-esec.heimdalsecurity.com -all</t>
  </si>
  <si>
    <t>morrisdiy.com</t>
  </si>
  <si>
    <t>v=spf1 ip4:212.126.46.17/32 ip4:89.100.252.82/32 ip4:79.98.163.81/32 ip4:91.210.235.24 ip4:185.201.18.57 ip4:52.100.13.209 ip4:52.100.20.221 ip4:142.0.177.133 include:spf.turbo-smtp.com" " include:spf.protection.outlook.com include:sendgrid.net include:email-od.com include:amazonses.com ~all</t>
  </si>
  <si>
    <t>v=DMARC1;p=none;sp=none;pct=100;rua=mailto:dmarkerrors@morrisdiy.com;ruf=mailto:dmarkerrors@morrisdiy.com;ri=86400;aspf=r;adkim=r;fo=1</t>
  </si>
  <si>
    <t>durtynellys.ie</t>
  </si>
  <si>
    <t>v=spf1 include:spf.protection.outlook.com include:spf.resdiary.com -all</t>
  </si>
  <si>
    <t>bamcontractors.ie</t>
  </si>
  <si>
    <t>v=spf1 include:bamcontractors.ie._nspf.vali.email include:%{i}._ip.%{h}._ehlo.%{d}._spf.vali.email ~all</t>
  </si>
  <si>
    <t>v=DMARC1; p=reject; rua=mailto:dmarc_agg@vali.email</t>
  </si>
  <si>
    <t>darraglynnnursinghome.com</t>
  </si>
  <si>
    <t>v=spf1 +a +mx +ip4:91.210.232.155 include:spf.webhostingireland.ie ~all</t>
  </si>
  <si>
    <t>dbschenker.ie</t>
  </si>
  <si>
    <t>jdsfoods.ie</t>
  </si>
  <si>
    <t>v=spf1 include:_spf.spamtitan.com include:_spf_cd.spamtitan.com -all</t>
  </si>
  <si>
    <t>v=DMARC1; p=quarantine; pct=25; fo=1; rua=mailto:postmaster@jdsfoods.ie; ruf=mailto:postmaster@jdsfoods.ie</t>
  </si>
  <si>
    <t>silverkey.net</t>
  </si>
  <si>
    <t>annabeg.ie</t>
  </si>
  <si>
    <t>cafesol.ie</t>
  </si>
  <si>
    <t>v=DMARC1; p=quarantine; pct=100; rua=mailto:re+j0wcxgivxui@dmarc.postmarkapp.com; sp=none; aspf=r;</t>
  </si>
  <si>
    <t>denismahony.ie</t>
  </si>
  <si>
    <t>v=spf1 ip4:212.147.209.22 ip4:85.222.130.224/28 ip4:176.52.217.18 ip4:89.204.208.221 include:spf1.emailsecurity.app include:spf.protection.outlook.com include:_spf.salesforce.com include:_spf.google.com +a:cloud1.dmacmedia.ie -all</t>
  </si>
  <si>
    <t>ecocem.ie</t>
  </si>
  <si>
    <t>v=spf1 mx a ip4:169.50.169.84 ip4:5.149.170.50 ip4:83.70.137.190 ip4:91.103.5.139 ip4:89.101.154.73 ip4:79.170.244.50 ip4:217.78.1.63 ip4:144.2.241.171 include:spf.protection.outlook.com include:spf.mailanyone.net include:sendgrid.net " "include:spf.irishdom" "ains.com include:s" "pf.mandrillapp.com ~all</t>
  </si>
  <si>
    <t>geogelec.com</t>
  </si>
  <si>
    <t>goalglobal.org</t>
  </si>
  <si>
    <t>gogginstransport.ie</t>
  </si>
  <si>
    <t>agency.ie</t>
  </si>
  <si>
    <t>jccatering.ie</t>
  </si>
  <si>
    <t>marsh.com</t>
  </si>
  <si>
    <t>v=spf1 include:marsh.com._nspf.vali.email include:%{i}._ip.%{h}._ehlo.%{d}._spf.vali.email include:ncapp02.com ~all</t>
  </si>
  <si>
    <t>v=DMARC1; p=reject; rua=mailto:dmarc_agg@vali.email; fo=1; ri=3600</t>
  </si>
  <si>
    <t>serfac.ie</t>
  </si>
  <si>
    <t>v=spf1 +a +mx +a:ams15.siteground.eu  include:serfac.ie.spf.auto.dnssmarthost.net ~all</t>
  </si>
  <si>
    <t>sheridanscheesemongers.com</t>
  </si>
  <si>
    <t>v=spf1 include:spf.protection.outlook.com +ip4:78.153.205.203 ~all</t>
  </si>
  <si>
    <t>sundayworld.com</t>
  </si>
  <si>
    <t>v=spf1 include:mailgun.org include:spf.protection.outlook.com ~all</t>
  </si>
  <si>
    <t>v=DMARC1; p=reject; pct=100; fo=1; ri=3600; rua=mailto:13dbc9fb@inbox.ondmarc.com;ruf=mailto:13dbc9fb@inbox.ondmarc.com;</t>
  </si>
  <si>
    <t>thecastle-hotel.ie</t>
  </si>
  <si>
    <t>townlink.ie</t>
  </si>
  <si>
    <t>v=spf1 ip4:144.2.242.121 ip4:89.101.223.2 ip4:212.126.59.52 ip4:93.107.119.112 include:spf.emailsignatures365.com include:spf.protection.outlook.com -all</t>
  </si>
  <si>
    <t>v=DMARC1; p=reject; pct=100;</t>
  </si>
  <si>
    <t>triangle.ie</t>
  </si>
  <si>
    <t>v=spf1 ip4:195.27.3.4 ip4:195.27.3.7 mx a ptr a:aspmx.pardot.com include:spf.protection.outlook.com include:14487469.spf01.hubspotemail.net ~all</t>
  </si>
  <si>
    <t>v=DMARC1;p=none;sp=none;pct=100;rua=mailto:57ebc7336d@rua.easydmarc.eu,mailto:dmarcreport@triangle.ie!10m,mailto:dmarc_agg@vali.email;ruf=mailto:57ebc7336d@ruf.easydmarc.eu;ri=86400;aspf=r;adkim=r;fo=1</t>
  </si>
  <si>
    <t>westsidepress.com</t>
  </si>
  <si>
    <t>v=spf1 include:spf.protection.outlook.com include:spf.blacknight.ie include:sendgrid.net a:dispatch-eu.ppe-hosted.com -all include:mailgun.org ~all</t>
  </si>
  <si>
    <t>v=DMARC1; p=reject; sp=reject; adkim=s; aspf=s; fo=1; pct=50; rua=mailto:dmarcreports@westsidepress.com; ruf=mailto:dmarcreports@westsidepress.com</t>
  </si>
  <si>
    <t>winroy.ie</t>
  </si>
  <si>
    <t>v=spf1 ip4:190.180.145.98 mx include:spf.elive.net include:spf.protection.outlook.com -all</t>
  </si>
  <si>
    <t>campusaccommodation.ie</t>
  </si>
  <si>
    <t>v=spf1 +ip4:66.206.3.250  ip4:23.111.150.226 ip4:192.124.249.113 +a +mx +ip4:185.62.37.155 include:netaffinity.net include:netaffinity.com ~all</t>
  </si>
  <si>
    <t>mapfreassistance.ie</t>
  </si>
  <si>
    <t>friendsofable.ie</t>
  </si>
  <si>
    <t>killarneycourthotel.com</t>
  </si>
  <si>
    <t>v=spf1 ip4:91.210.235.23 include:spf.webhostingireland.ie ip4:86.47.38.123 include:spf.protection.outlook.com include:_spf.bookassist.com -all</t>
  </si>
  <si>
    <t>jhfitzpatrick.ie</t>
  </si>
  <si>
    <t>v=spf1 include:spf.protection.outlook.com ip4:89.204.213.51 -all</t>
  </si>
  <si>
    <t>v=DMARC1; p=none; fo=1; rua=mailto:1512e7904ab44d51a7d3981c9b6abbcb@dmarc-reports.cloudflare.net,mailto:rua+jhfitzpatrick.ie@dmarc.barracudanetworks.com; ruf=mailto:ruf+jhfitzpatrick.ie@dmarc.barracudanetworks.com</t>
  </si>
  <si>
    <t>vei.ie</t>
  </si>
  <si>
    <t>v=spf1 include:spf-ipv4.vei.ie include:spf-ipv6.vei.ie include:spf.protection.outlook.com include:amazonses.com include:turbo-smtp.com include:spf.mailjet.com include:143443666.spf04.hubspotemail.net ~all</t>
  </si>
  <si>
    <t>v=DMARC1; p=none; pct=100; rua=mailto:re+rl5ifipinjs@dmarc.postmarkapp.com; sp=none; aspf=r;</t>
  </si>
  <si>
    <t>curranalu.ie</t>
  </si>
  <si>
    <t>v=spf1 +ip4:66.206.3.250 include:spf.protection.outlook.com -all</t>
  </si>
  <si>
    <t>frankhogan.ie</t>
  </si>
  <si>
    <t>webtm.ie</t>
  </si>
  <si>
    <t>martinfoodequip.com</t>
  </si>
  <si>
    <t>v=spf1 ip4:162.241.218.166 a mx include:websitewelcome.com ~all</t>
  </si>
  <si>
    <t>colemanelectronics.ie</t>
  </si>
  <si>
    <t>v=spf1 a mx include:spf.protection.outlook.com include:_spf.elasticemail.com -all</t>
  </si>
  <si>
    <t>v=DMARC1; p=none; sp=none; adkim=r; aspf=r; rua=mailto:watchdog2@watchdog.kevlarr.io;</t>
  </si>
  <si>
    <t>wyatthotel.com</t>
  </si>
  <si>
    <t>v=spf1 ip4:92.51.242.107 include:netaffinity.net include:oracleindustry.com include:mandrillapp.com ~all</t>
  </si>
  <si>
    <t>bellinterhouse.com</t>
  </si>
  <si>
    <t>v=spf1 include:spf.protection.outlook.com include:netaffinity.net include:authsmtp.com include:spfa.cpmails.com include:spf.resdiary.com include:servers.mcsv.net include:guestline.net include:roomlynx.net -all</t>
  </si>
  <si>
    <t>v=DMARC1; p=reject; pct=100; fo=1; ri=3600; rua=mailto:3fb8dd5c@inbox.ondmarc.com; ruf=mailto:3fb8dd5c@inbox.ondmarc.com;</t>
  </si>
  <si>
    <t>headfortarms.ie</t>
  </si>
  <si>
    <t>v=spf1 include:spf.guestjoy.com include:netaffinity.net include:sendgrid.net include:spf.protection.outlook.com -all</t>
  </si>
  <si>
    <t>mckeon.ie</t>
  </si>
  <si>
    <t>v=spf1 include:spf.protection.outlook.com include:25584591.spf08.hubspotemail.net -all</t>
  </si>
  <si>
    <t>taskltd.ie</t>
  </si>
  <si>
    <t>v=spf1 ip4:5.77.32.219 ip4:151.236.51.84 ip4:213.175.204.54 +a +mx ~all</t>
  </si>
  <si>
    <t>tpwhelehan.ie</t>
  </si>
  <si>
    <t>v=spf1 a:spf.webtrade.ie a:mail1.uniphar.ie ip4:89.101.228.97  include:spf.protection.outlook.com ~all</t>
  </si>
  <si>
    <t>clcu.ie</t>
  </si>
  <si>
    <t>v=spf1 mx a:mailon.spamtitan.com include:spf.protection.outlook.com include:servers.mcsv.net ip4:188.166.22.194 -all</t>
  </si>
  <si>
    <t>v=DMARC1; p=quarantine; rua=mailto:dmarc@mtcsolutions.ie; fo=1</t>
  </si>
  <si>
    <t>midlands103.com</t>
  </si>
  <si>
    <t>v=spf1 include:mfg.siteprotect.com ~all</t>
  </si>
  <si>
    <t>surecom.ie</t>
  </si>
  <si>
    <t>v=spf1 ip4:5.149.174.97 include:spf.protection.outlook.com include:spf.ess.de.barracudanetworks.com ~all</t>
  </si>
  <si>
    <t>thevikinghotelwaterford.ie</t>
  </si>
  <si>
    <t>ing.com</t>
  </si>
  <si>
    <t>v=spf1 include:_spf.ing.net include:spf1.fraedom.com include:mailplus.nl include:slvmcp.nl ip4:89.20.160.55 ip4:78.136.53.254 ip4:95.138.135.251 ip4:92.52.81.2 ip4:146.148.26.249" " ip4:83.231.160.128/26 ip4:212.187.169.64/26 ip4:192.254.112.185 ip4:83.217.248.35 ip4:170.207.39.152/31 ip4:170.207.37.144/31 -all</t>
  </si>
  <si>
    <t>v=DMARC1;" "p=reject;rua=mailto:Global.Mail.DMARC@ing.com,mailto:ejdvezzq@ag.dmarcian-eu.com,mailto:dmarc.feedback@ing.nl</t>
  </si>
  <si>
    <t>certificationeurope.com</t>
  </si>
  <si>
    <t>v=spf1 include:sendersrv.com +mx +a +ip4:217.78.2.46 +ip4:89.185.145.185 +ip4:89.185.136.227 +ip4:185.224.198.13 include:spf.protection.outlook.com include:spf.mandrillapp.com include:amazonses.com include:7608942.spf07.hubspotemail.net " " include:spf.uk.exclaimer.net -all</t>
  </si>
  <si>
    <t>alsaa.ie</t>
  </si>
  <si>
    <t>v=spf1 redirect=_stvgkusm5.sdmarc.net</t>
  </si>
  <si>
    <t>v=DMARC1; p=none; pct=100; rua=mailto:a.tvgkusm5@sdmarc.net</t>
  </si>
  <si>
    <t>assumptionjns.com</t>
  </si>
  <si>
    <t>stjohnsrathmullen.scoilnet.ie</t>
  </si>
  <si>
    <t>croninco.ie</t>
  </si>
  <si>
    <t>v=spf1 include:spf.protection.outlook.com ip4:89.101.247.66/32 include:croninco.ie include:in.mailjet.com -all</t>
  </si>
  <si>
    <t>gov.uk</t>
  </si>
  <si>
    <t>v=DMARC1;p=reject;sp=none;np=reject;adkim=s;aspf=s;fo=1;rua=mailto:dmarc-rua@dmarc.service.gov.uk</t>
  </si>
  <si>
    <t>maloneoregan.ie</t>
  </si>
  <si>
    <t>northsidepartnership.ie</t>
  </si>
  <si>
    <t>staidans.ie</t>
  </si>
  <si>
    <t>v=DMARC1; p=reject; rua=mailto:dmarcsupport@staidans.ie</t>
  </si>
  <si>
    <t>dcscork.ie</t>
  </si>
  <si>
    <t>loretowexford.com</t>
  </si>
  <si>
    <t>irelandseyeonline.com</t>
  </si>
  <si>
    <t>lifecu.ie</t>
  </si>
  <si>
    <t>v=spf1 v=spf1 include:spf.protection.outlook.com include:eu._netblocks.mimecast.com ip4:83.71.221.29 ip4:86.44.17.120 a:mail.well-it.com include:spf.mtasv.net include:which50-email.com include:amazonses.com ip4:35.214.219.126 ip4:35.214.203.200 include:sp" "f.mailjet.com include:lifecu.ie.spf.auto.dnssmarthost.net include:spf.smtp2go.com -all</t>
  </si>
  <si>
    <t>v=DMARC1; p=none; fo=1; rua=mailto:dmarc_reports@lifecu.ie; ruf=mailto:dmarc_reports@lifecu.ie</t>
  </si>
  <si>
    <t>quadient.com</t>
  </si>
  <si>
    <t>v=spf1 include:eu._netblocks.mimecast.com include:spf.protection.outlook.com include:spf.mailjet.com include:aspmx.pardot.com include:legacy.quadient.com ~all</t>
  </si>
  <si>
    <t>v=DMARC1;p=reject;sp=none;pct=100;rua=mailto:67a6853d7c@rua.easydmarc.us;ruf=mailto:67a6853d7c@ruf.easydmarc.us;fo=1;</t>
  </si>
  <si>
    <t>esri-ireland.ie</t>
  </si>
  <si>
    <t>v=spf1 include:spf.protection.outlook.com include:_spf.messagegears.net include:_spf.salesforce.com include:_spf.psm.knowbe4.com include:_spf.dayforcehcm.com -all</t>
  </si>
  <si>
    <t>v=DMARC1; p=quarantine; fo=1; pct=100; sp=quarantine; rua=mailto:dmarc_agg@vali.email; ruf=mailto:jsidwell@esriuk.com</t>
  </si>
  <si>
    <t>typetec.ie</t>
  </si>
  <si>
    <t>v=spf1 include:smtp.smileback.com include:spf.protection.outlook.com include:spf.myconnectwise.net ip4:198.244.177.159 -all</t>
  </si>
  <si>
    <t>v=DMARC1; p=none; rua=mailto:administrator@typetecgo.onmicrosoft.com; ruf=mailto:administrator@typetecgo.onmicrosoft.com; fo=1</t>
  </si>
  <si>
    <t>riverstownns.ie</t>
  </si>
  <si>
    <t>olocschool.ie</t>
  </si>
  <si>
    <t>v=spf1 +a +mx +a:c57950.sgvps.net  include:olocschool.ie.spf.auto.dnssmarthost.net ~all</t>
  </si>
  <si>
    <t>stannesthecurragh.ie</t>
  </si>
  <si>
    <t>kilcooleprimaryschool.ie</t>
  </si>
  <si>
    <t>ballinderrynursinghome.com</t>
  </si>
  <si>
    <t>bmw.ie</t>
  </si>
  <si>
    <t>v=spf1 include:spf.protection.outlook.com exists:%{i}.spf.bmwgroup.com -all</t>
  </si>
  <si>
    <t>v=DMARC1; p=reject; rua=mailto:bgm.aggregate@bmwgroup.com; ruf=mailto:bgm.forensic@bmwgroup.com</t>
  </si>
  <si>
    <t>sinnottautos.ie</t>
  </si>
  <si>
    <t>jvtierney.ie</t>
  </si>
  <si>
    <t>rathminescollege.ie</t>
  </si>
  <si>
    <t>miflues.ie</t>
  </si>
  <si>
    <t>tilestyle.ie</t>
  </si>
  <si>
    <t>v=spf1 ip4:185.32.255.186 ip4:23.227.38.65 ip4:40.107.104.78 ip4:198.2.190.164 include:spf.eu.exclaimer.net include:tilestylebm.onmicrosoft.com include:spf.protection.outlook.com ~all</t>
  </si>
  <si>
    <t>v=DMARC1; p=none; rua=mailto:313449450a664abdb36f0eb4148893d1@dmarc-reports.cloudflare.net;</t>
  </si>
  <si>
    <t>busyfingerscreche.ie</t>
  </si>
  <si>
    <t>v=spf1 +a +mx +ip4:217.115.119.32 +include:spf.protection.outlook.com -all</t>
  </si>
  <si>
    <t>v=DMARC1; p=reject; pct=100</t>
  </si>
  <si>
    <t>isk.ie</t>
  </si>
  <si>
    <t>v=spf1 ip4:91.210.235.11 include:spf.webhostingireland.ie include:spf.protection.outlook.com -all</t>
  </si>
  <si>
    <t>delasalle.ie</t>
  </si>
  <si>
    <t>v=spf1 +include:relay.mailchannels.net include:_spf.google.com ~all</t>
  </si>
  <si>
    <t>loretocollegemullingar.com</t>
  </si>
  <si>
    <t>v=spf1 +a +mx +ip4:35.214.132.134 include:_spf.mailspamprotection.com ~all</t>
  </si>
  <si>
    <t>mercykilbeggan.ie</t>
  </si>
  <si>
    <t>v=spf1 a mx include:spf.antispamcloud.com ip4:78.137.164.61 ~all</t>
  </si>
  <si>
    <t>impactirl.ie</t>
  </si>
  <si>
    <t>v=spf1 ip4:86.43.79.161 ip4:81.136.225.25 ip4:213.79.59.238 ip4:185.202.19.91 include:_spf.psm.knowbe4.com include:spf.protection.outlook.com ~all</t>
  </si>
  <si>
    <t>illistrin.town.ie</t>
  </si>
  <si>
    <t>holyfamilyjns.ie</t>
  </si>
  <si>
    <t>stcolmcilles.org</t>
  </si>
  <si>
    <t>stjosephstullamore.ie</t>
  </si>
  <si>
    <t>v=spf1 +a +mx +ip4:35.242.133.245 ~all</t>
  </si>
  <si>
    <t>stt.ie</t>
  </si>
  <si>
    <t>bish.ie</t>
  </si>
  <si>
    <t>shstullamore.ie</t>
  </si>
  <si>
    <t>v=spf1 +a +mx +include:spf.myhost.ie include:spf.protection.outlook.com ~all</t>
  </si>
  <si>
    <t>v=DMARC1; p=quarantine; rua=mailto:ofe@shstullamore.ie; ruf=mailto:ofe@shstullamore.ie; sp=none; fo=1;</t>
  </si>
  <si>
    <t>nrch.ie</t>
  </si>
  <si>
    <t>v=spf1 include:spf.protection.outlook.com include:mailanyone.net -all</t>
  </si>
  <si>
    <t>cilprecision.ie</t>
  </si>
  <si>
    <t>abbeyhealthcare.ie</t>
  </si>
  <si>
    <t>theaddressconnolly.com</t>
  </si>
  <si>
    <t>v=spf1 +a +mx +ip4:81.17.241.117 include:spf.webhostingireland.ie include:spf.mandrillapp.com ~all</t>
  </si>
  <si>
    <t>seai.ie</t>
  </si>
  <si>
    <t>v=spf1 ip4:137.191.235.70 include:spf.topsec.com include:spf.protection.outlook.com +ip4:52.209.222.127 include:servers.mcsv.net include:mailgun.org include:amazonses.com -all</t>
  </si>
  <si>
    <t>v=DMARC1;p=quarantine;rua=mailto:dmarc_agg@vali.email,mailto:dmarc@seai.ie;ruf=mailto:dmarc@seai.ie.;fo=1;sp=none;</t>
  </si>
  <si>
    <t>bpps.ie</t>
  </si>
  <si>
    <t>iosef.ie</t>
  </si>
  <si>
    <t>v=spf1 +a +mx +ip4:78.137.164.91 ?all</t>
  </si>
  <si>
    <t>greenparknursinghome.ie</t>
  </si>
  <si>
    <t>louthleaderpartnership.ie</t>
  </si>
  <si>
    <t>mindshareworld.com</t>
  </si>
  <si>
    <t>v=spf1 include:spf.groupm.com include:servers.mcsv.net include:customers.clickdimensions.com ~all</t>
  </si>
  <si>
    <t>v=DMARC1; p=reject; pct=100; fo=1; adkim=r; aspf=r; rua=mailto:dmarc_rua@emaildefense.proofpoint.com; ruf=mailto:dmarc_ruf@emaildefense.proofpoint.com</t>
  </si>
  <si>
    <t>internalresults.com</t>
  </si>
  <si>
    <t>v=spf1 redirect=b33zuv7x._spf._d.mim.ec</t>
  </si>
  <si>
    <t>v=DMARC1; p=reject; rua=mailto:12e5197a2ddb458@rep.dmarcanalyzer.com; ruf=mailto:12e5197a2ddb458@for.dmarcanalyzer.com; fo=1;</t>
  </si>
  <si>
    <t>redfaire.com</t>
  </si>
  <si>
    <t>v=spf1 +a +mx +ip4:185.181.116.70 +include:spf.protection.outlook.com +include:servers.mcsv.net include:26234856.spf04.hubspotemail.net include:authsmtp.com +include:rp.oracleemaildelivery.com</t>
  </si>
  <si>
    <t>mmd.ie</t>
  </si>
  <si>
    <t>v=spf1 a mx ip4:185.47.147.134 include:spf.protection.outlook.com include:mailgun.org -all</t>
  </si>
  <si>
    <t>maclochlainn.ie</t>
  </si>
  <si>
    <t>scotiacapital.com</t>
  </si>
  <si>
    <t>v=spf1 exists:%{i}._i.%{d}._d.espf.dmp.cisco.com include:%{d}.16.spf-protect.dmp.cisco.com -all</t>
  </si>
  <si>
    <t>v=DMARC1; p=reject; fo=1; ri=3600; rua=mailto:scotiabank@rua.dmp.cisco.com; ruf=mailto:scotiabank@ruf.dmp.cisco.com</t>
  </si>
  <si>
    <t>sca.com</t>
  </si>
  <si>
    <t>v=spf1 ip4:46.16.232.108 ip4:193.235.12.212 ip4:193.235.12.213 include:spf.protection.outlook.com include:spf1.emarketeer.com include:_vsp.oderland.com include:_spf-dc2.successfactors.com include:sendgrid.net include:servers.mcsv.net -all</t>
  </si>
  <si>
    <t>v=DMARC1; p=none; rua=mailto:dmarc_agg@vali.email;</t>
  </si>
  <si>
    <t>eetc.ie</t>
  </si>
  <si>
    <t>v=spf1 +a +mx +ip4:185.43.232.188 include:spf.antispamcloud.com ~all</t>
  </si>
  <si>
    <t>cbscarlow.ie</t>
  </si>
  <si>
    <t>balcs.ie</t>
  </si>
  <si>
    <t>v=spf1 ip4:190.180.144.232 ip4:91.136.49.203 include:spf.protection.outlook.com +ip4:207.55.255.4 -all</t>
  </si>
  <si>
    <t>pbc-cork.ie</t>
  </si>
  <si>
    <t>movillecc.ie</t>
  </si>
  <si>
    <t>glentiescomp.com</t>
  </si>
  <si>
    <t>v=spf1 ip4:83.138.8.86 ip4:83.138.8.113 include:spf.protection.outlook.com -all</t>
  </si>
  <si>
    <t>deansrathcommunitycollege.ie</t>
  </si>
  <si>
    <t>gonzaga.ie</t>
  </si>
  <si>
    <t>v=spf1 include:spf.protection.outlook.com ip4:89.101.231.2 ip4:87.38.200.2 -all</t>
  </si>
  <si>
    <t>holychildcommunityschool.ie</t>
  </si>
  <si>
    <t>mercycoolock.ie</t>
  </si>
  <si>
    <t>olschool.ie</t>
  </si>
  <si>
    <t>stmichaelscollege.com</t>
  </si>
  <si>
    <t>hrc.ie</t>
  </si>
  <si>
    <t>confeycollege.org</t>
  </si>
  <si>
    <t>cpckilcullen.com</t>
  </si>
  <si>
    <t>glenstal.ie</t>
  </si>
  <si>
    <t>villiers-school.com</t>
  </si>
  <si>
    <t>v=spf1 ip4:190.180.145.25 ip4:190.180.145.113 ip4:207.55.255.20 include:spf.protection.outlook.com -all</t>
  </si>
  <si>
    <t>v=DMARC1; p=none; sp=none; rua=mailto:itsystems@villiers-school.com</t>
  </si>
  <si>
    <t>droghedacbs.ie</t>
  </si>
  <si>
    <t>stmarysds.ie</t>
  </si>
  <si>
    <t>MS=ms35513928 v=spf1 include:spf.protection.outlook.com include:spf.antispamcloud.com -all</t>
  </si>
  <si>
    <t>v=DMARC1; p=reject; sp=reject; pct=100; rua=mailto:TaraLearning@stmarysds.ie; ruf=mailto:TaraLearning@stmarysds.ie;</t>
  </si>
  <si>
    <t>ocarolancollege.ie</t>
  </si>
  <si>
    <t>cti-clonmel.ie</t>
  </si>
  <si>
    <t>stmarysnenagh.ie</t>
  </si>
  <si>
    <t>mercywaterford.com</t>
  </si>
  <si>
    <t>v=spf1 ip4:96.127.128.194 +a +mx +ip4:108.163.227.58 +ip4:108.163.227.59 +ip4:108.163.227.62 ~all</t>
  </si>
  <si>
    <t>cbsmullingar.ie</t>
  </si>
  <si>
    <t>colaistebride.ie</t>
  </si>
  <si>
    <t>eastvillage.ie</t>
  </si>
  <si>
    <t>roomex.com</t>
  </si>
  <si>
    <t>v=spf1 include:%{d}.97.spf-protect.dmp.cisco.com exists:%{i}._i.%{d}._d.espf.dmp.cisco.com -all</t>
  </si>
  <si>
    <t>v=DMARC1; p=quarantine; fo=1; ri=3600; rua=mailto:fleetcor-technologies@rua.agari.com; ruf=mailto:fleetcor-technologies@ruf.agari.com</t>
  </si>
  <si>
    <t>barberstowncastle.ie</t>
  </si>
  <si>
    <t>v=spf1 ip4:83.71.146.82 include:spf.topsec.com include:spf.protection.outlook.com include:authsmtp.com include:netaffinity.net ~all</t>
  </si>
  <si>
    <t>doolyshotel.com</t>
  </si>
  <si>
    <t>allspace.ie</t>
  </si>
  <si>
    <t>v=spf1 ip4:94.127.101.1 include:eu._netblocks.mimecast.com ~all</t>
  </si>
  <si>
    <t>v=DMARC1;p=none;sp=none;pct=100;rua=mailto:dmarc@portakabin.com;ruf=mailto:dmarc@portakabin.com;ri=86400;aspf=r;adkim=r;fo=1</t>
  </si>
  <si>
    <t>chep.com</t>
  </si>
  <si>
    <t>flahavans.com</t>
  </si>
  <si>
    <t>v=spf1 mx ip4:86.43.114.32 ip4:212.17.61.118 ip4:78.153.205.203 a:web3.iseek.host a:gran.netsource.ie include:spf1.emailsecurity.app include:spf.protection.outlook.com include:_spf.createsend.com ~all</t>
  </si>
  <si>
    <t>v=DMARC1; p=quarantine; rua=mailto:7bcc17c9@mxtoolbox.dmarc-report.com; ruf=mailto:7bcc17c9@forensics.dmarc-report.com; fo=1; pct=10</t>
  </si>
  <si>
    <t>boran.ie</t>
  </si>
  <si>
    <t>v=spf1 include:spf.protection.outlook.com include:_spf.google.com ip4:93.107.166.134 ip4:185.190.205.38 ip4:185.190.205.41 ip4:82.152.39.50 ip4:93.107.176.57 ip4:193.57.217.228 ip4:185.32.252.248 ip4:91.85.32.151 ip4:80.229.189.164 ip4:80.229.212.29 -all</t>
  </si>
  <si>
    <t>v=DMARC1; p=reject; rua=mailto:dmarc@boran.com; ruf=mailto:dmarc@boran.com</t>
  </si>
  <si>
    <t>megazyme.com</t>
  </si>
  <si>
    <t>v=spf1 include:email.freshdesk.com include:spf-005ee901.pphosted.com -all</t>
  </si>
  <si>
    <t>v=DMARC1; p=quarantine; rua=mailto:kis0mjof@ag.dmarcian-eu.com; ruf=mailto:kis0mjof@fr.dmarcian-eu.com; sp=none; fo=1; pct=1;</t>
  </si>
  <si>
    <t>premierfish.ie</t>
  </si>
  <si>
    <t>v=spf1" "include:spf.protection.outlook.com" "-all</t>
  </si>
  <si>
    <t>mcgraths.ie</t>
  </si>
  <si>
    <t>v=spf1 ip4:178.16.207.46 include:spf.topsec.com include:spf.protection.outlook.com  -all</t>
  </si>
  <si>
    <t>v=DMARC1; p=none; rua=mailto:DMARC@mcgraths.ie; aspf=s;</t>
  </si>
  <si>
    <t>keeganquarries.com</t>
  </si>
  <si>
    <t>v=spf1 include:spf.protection.outlook.com include:spf.topsec.com ~all</t>
  </si>
  <si>
    <t>v=DMARC1; p=reject</t>
  </si>
  <si>
    <t>tinakilly.ie</t>
  </si>
  <si>
    <t>v=spf1 a mx ip4:194.163.137.11 ~all</t>
  </si>
  <si>
    <t>v=DMARC1; p=quarantine; sp=quarantine;</t>
  </si>
  <si>
    <t>turnersprinting.com</t>
  </si>
  <si>
    <t>ncri.ie</t>
  </si>
  <si>
    <t>v=spf1 redirect=_s1lx2tte2.sdmarc.net</t>
  </si>
  <si>
    <t>v=DMARC1; p=none; pct=100; rua=mailto:a.1lx2tte2@sdmarc.net</t>
  </si>
  <si>
    <t>headway.ie</t>
  </si>
  <si>
    <t>v=spf1 ip4:213.94.192.42 ip4:213.94.192.41 include:spf.protection.outlook.com -all</t>
  </si>
  <si>
    <t>soft-ex.net</t>
  </si>
  <si>
    <t>v=spf1 mx ip4:193.120.166.35 include:spf.protection.outlook.com -all</t>
  </si>
  <si>
    <t>v=DMARC1;p=reject;rua=mailto:5e749ec92e@rua.easydmarc.com,mailto:itsupport@soft-ex.net;ruf=mailto:5e749ec92e@rua.easydmarc.com;fo=1</t>
  </si>
  <si>
    <t>sysco-software.com</t>
  </si>
  <si>
    <t>v=DMARC1; p=quarantine; pct=100</t>
  </si>
  <si>
    <t>terminalfour.com</t>
  </si>
  <si>
    <t>v=spf1 include:spf2.terminalfour.com include:spf.hornetsecurity.com include:_spf.mlsend.com include:spf-eu.emailsignatures365.com include:spf.protection.outlook.com include:139505422.spf01.hubspotemail.net ~all</t>
  </si>
  <si>
    <t>v=DMARC1; p=none; pct=100; rua=mailto:re+gbbizxfyv8g@dmarc.postmarkapp.com; sp=none; aspf=r;</t>
  </si>
  <si>
    <t>tangotelecom.com</t>
  </si>
  <si>
    <t>intelligo.ie</t>
  </si>
  <si>
    <t>v=spf1 ip4:62.13.147.77 ip4:149.5.40.136 ip4:87.192.160.73 ip4:149.71.161.153 include:spf.protection.outlook.com include:authsmtp.com include:relays.webhost-mail.com -all</t>
  </si>
  <si>
    <t>thermodial.ie</t>
  </si>
  <si>
    <t>v=spf1 ip4:52.236.20.0/22 include:spf.protection.outlook.com include:spf-eu.emailsignatures365.com include:spf1.emailsecurity.app -all</t>
  </si>
  <si>
    <t>v=DMARC1; p=quarantine; rua=mailto:syncitdmarcreports@cuskensyncit.ie; ruf=mailto:syncitdmarcreports@cuskensyncit.ie; pct=50;</t>
  </si>
  <si>
    <t>guidedogs.ie</t>
  </si>
  <si>
    <t>v=spf1 a mx ip4:86.47.36.232/32 ip4:86.47.52.101/32 ip4:78.143.145.190 include:mta.pentagoncomputers.com include:spf.protection.outlook.com include:spf.ess.de.barracudanetworks.com include:spf.mandrillapp.com -all</t>
  </si>
  <si>
    <t>v=DMARC1; p=quarantine; rua=mailto:dmarc-reports@guidedogs.ie; ruf=mailto:dmarc-failures@guidedogs.ie; sp=none; aspf=r;</t>
  </si>
  <si>
    <t>sharavogue.ie</t>
  </si>
  <si>
    <t>v=spf1 a mx</t>
  </si>
  <si>
    <t>athartadhg.ie</t>
  </si>
  <si>
    <t>saintmarks.ie</t>
  </si>
  <si>
    <t>mercyconventprimarynaas.com</t>
  </si>
  <si>
    <t>scoilaonghusa.ie</t>
  </si>
  <si>
    <t>stfergalsnsbray.ie</t>
  </si>
  <si>
    <t>wardfish.com</t>
  </si>
  <si>
    <t>v=spf1 include:spf.protection.outlook.com +include:evie.wurkservers.com  -all</t>
  </si>
  <si>
    <t>barrystea.ie</t>
  </si>
  <si>
    <t>v=spf1 include:outlook.com include:servers.mcsv.net include:mailgun.org ~all</t>
  </si>
  <si>
    <t>v=DMARC1; p=quarantine; rua=mailto:dmarc@ufgsumyx.uriports.com; ruf=mailto:dmarc@ufgsumyx.uriports.com; fo=1:d:s</t>
  </si>
  <si>
    <t>farmersjournal.ie</t>
  </si>
  <si>
    <t>v=spf1 a mx ip4:5.149.174.219 ip4:46.22.136.28 ip4:5.149.174.221 ip4:5.149.174.222 ip4:52.209.60.130 ip4:46.22.138.149 ip4:46.22.135.85 ip4:46.22.135.84 include:amazonses.com " "include:o365.crossware.co.nz include:spf.mailjet.com include:spf.mandrillapp.com include:spf.protection.outlook.com include:24904274.spf01.hubspotemail.net ~all</t>
  </si>
  <si>
    <t>v=DMARC1; p=none; rua=mailto:aggrep@farmersjournal.ie;</t>
  </si>
  <si>
    <t>radiokerry.ie</t>
  </si>
  <si>
    <t>v=spf1 ip4:213.94.193.158 ~all</t>
  </si>
  <si>
    <t>v=DMARC1; p=reject; pct=100; rua=mailto:71afbb4d@in.mailhardener.com; aspf=r; fo=1</t>
  </si>
  <si>
    <t>clifftownhouse.com</t>
  </si>
  <si>
    <t>woodiesdiy.com</t>
  </si>
  <si>
    <t>v=spf1 ip4:82.147.18.199/32 include:spf.protection.outlook.com ?all</t>
  </si>
  <si>
    <t>claremarts.ie</t>
  </si>
  <si>
    <t>agrigear.ie</t>
  </si>
  <si>
    <t>v=spf1 ip4:80.249.249.248 ip4:185.253.124.134 include:spf.protection.outlook.com -all</t>
  </si>
  <si>
    <t>v=DMARC1; p=quarantine; rua=mailto:cinnte@agrigear.ie;</t>
  </si>
  <si>
    <t>clareyouthservice.org</t>
  </si>
  <si>
    <t>v=spf1 include:spf.protection.outlook.com ip4:34.251.246.197/32 ip4:34.254.147.8/32 -all</t>
  </si>
  <si>
    <t>cavanaghs.com</t>
  </si>
  <si>
    <t>v=spf1 include:spf.protection.outlook.com include:spf.mandrillapp.com include:authsmtp.com -all</t>
  </si>
  <si>
    <t>maldronhotellimerick.com</t>
  </si>
  <si>
    <t>monasterboice-inn.ie</t>
  </si>
  <si>
    <t>avvio.com</t>
  </si>
  <si>
    <t>v=spf1 +a +mx +ip4:62.138.231.0/25 +ip4:217.115.118.14 +include:spf.protection.outlook.com exists:%{i}.spf.hc5098-53.iphmx.com -all</t>
  </si>
  <si>
    <t>v=DMARC1; p=none; aspf=r;</t>
  </si>
  <si>
    <t>ccrcork.com</t>
  </si>
  <si>
    <t>scoildara.ie</t>
  </si>
  <si>
    <t>elephantandcastle.ie</t>
  </si>
  <si>
    <t>v=spf1 include:spf.protection.outlook.com include:spf.exclaimer.net include:servers.mcsv.net mx a -all</t>
  </si>
  <si>
    <t>avenuemouldsolutions.ie</t>
  </si>
  <si>
    <t>acumenandtrust.com</t>
  </si>
  <si>
    <t>v=spf1 a include:spf.blacknight.ie include:spf.protection.outlook.com -all</t>
  </si>
  <si>
    <t>v=DMARC1; p=quarantine; sp=none; rua=mailto:dmarc@acumenandtrust.com!10m; ruf=mailto:dmarc@acumenandtrust.com!10m; rf=afrf; pct=100; ri=86400</t>
  </si>
  <si>
    <t>frg.ie</t>
  </si>
  <si>
    <t>stnessans.ie</t>
  </si>
  <si>
    <t>handm.com</t>
  </si>
  <si>
    <t>fridays.ie</t>
  </si>
  <si>
    <t>stpatscs.com</t>
  </si>
  <si>
    <t>hsl.ie</t>
  </si>
  <si>
    <t>v=spf1 include:amazonses.com include:spf.protection.outlook.com ip4:84.39.235.25 ip4:84.39.235.30 ip4:95.45.223.10/32 ip4:158.255.228.72/29 ip4:157.96.36.176/28 ip4:195.14.68.113 ip4:83.166.177.33/29 ip4:157.96.42.241/29 include:_spf.salesforce.com i" "nclude:spf.topsec.com -all</t>
  </si>
  <si>
    <t>v=DMARC1; p=quarantine; rua=mailto:dmarc.reports@hsl.ie; ruf=mailto:dmarc.reports@hsl.ie; fo=1; aspf=r;</t>
  </si>
  <si>
    <t>saintbrigids.ie</t>
  </si>
  <si>
    <t>v=spf1 a mx include:_spf.google.com -all</t>
  </si>
  <si>
    <t>mysticalrose.ie</t>
  </si>
  <si>
    <t>v=spf1 +a +mx +ip4:78.137.164.103 +ip4:185.43.232.185 +include:spf.protection.outlook.com -all</t>
  </si>
  <si>
    <t>lakesnursinghome.com</t>
  </si>
  <si>
    <t>islamireland.ie</t>
  </si>
  <si>
    <t>v=spf1 ip4:178.79.170.171 ip6:2a01:7e00::f03c:91ff:fe73:28a9 include:_spf.google.com include:spf.protection.outlook.com ~all</t>
  </si>
  <si>
    <t>corketb.ie</t>
  </si>
  <si>
    <t>v=spf1 include:spf.protection.outlook.com Include:spf.dcsnet.ie ip4:78.153.208.244 ip4:193.178.97.237/32 ip4:193.1.31.2/32 ip4:91.210.232.152 ip4:193.120.143.138 a:mail.esat-x.com ip4:193.120.143.134 a:mail01.mail.esat-x.com ip4:193.120.143.70 a:mail02.ma" "il.esat-x.com ip4:193.120.142.176 a:mail03.mail.esat-x.com a:mail04.mail.esat-x.com -all</t>
  </si>
  <si>
    <t>gaa.ie</t>
  </si>
  <si>
    <t>v=spf1 include:spf.protection.outlook.com ip4:212.78.241.41 ip4:89.185.145.185 ip4:194.46.129.99 ip4:52.213.128.155 ip4:212.108.93.10 ip4:192.254.118.86 ip4:84.23.11.0/27 ip4:92.51.245.37 ip4:205.201.128.0/20 ip4:198.2.128.0/18 ip4:148.105.8.0/21 ip4:216." "34.99.11/32 ip4:216.34.99.12/30 ip4:216.34.99.16/30 ip4:46.22.142.67 include:_spf.createsend.com include:mail.zendesk.com include:_spf.emailcampaigns.net include:spf.zoho.eu ~all</t>
  </si>
  <si>
    <t>v=DMARC1; p=quarantine; sp=quarantine; rua=mailto:dmarc_agg@vali.email;</t>
  </si>
  <si>
    <t>hea.ie</t>
  </si>
  <si>
    <t>v=spf1 ip4:193.1.200.58 include:spf.protection.outlook.com -all</t>
  </si>
  <si>
    <t>v=DMARC1; p=reject; pct=25; rua=mailto:dmarc.agg.reports@hea.ie,mailto:0af754660aa7778@rep.dmarcanalyzer.com; ruf=mailto:dmarc.for.reports@hea.ie,mailto:0af754660aa7778@for.dmarcanalyzer.com; rf=afrf; sp=reject; adkim=s; aspf=s; fo=0:1:d:s</t>
  </si>
  <si>
    <t>iob.ie</t>
  </si>
  <si>
    <t>v=spf1 ip4:193.1.10.82 include:spf.protection.outlook.com include:_spf.123formbuilder.com -all</t>
  </si>
  <si>
    <t>creditunion.ie</t>
  </si>
  <si>
    <t>v=spf1 a mx:creditunion.ie ip4:149.72.180.197 ip4:80.93.18.146 include:sendgrid.net include:spf.protection.outlook.com include:spf.newsletter.ie include:_spf.intacct.com -all</t>
  </si>
  <si>
    <t>v=DMARC1; p=quarantine; rua=mailto:alerts@creditunion.ie; ruf=mailto:alerts@creditunion.ie; fo=1; pct=100</t>
  </si>
  <si>
    <t>adecco.ie</t>
  </si>
  <si>
    <t>v=spf1 include:adecco.net ~all</t>
  </si>
  <si>
    <t>v=DMARC1; p=none; rua=mailto:2cd9750f0d9c816@rep.dmarcanalyzer.com; ruf=mailto:2cd9750f0d9c816@for.dmarcanalyzer.com; fo=1;</t>
  </si>
  <si>
    <t>brightwater.ie</t>
  </si>
  <si>
    <t>v=spf1 ip4:5.149.175.214 ip4:185.151.30.139 ip4:23.21.122.59 ip4:217.173.110.138 ip4:80.169.137.178 ip4:80.169.42.78 include:spf.protection.outlook.com include:spf.stackmail.com include:_spf.bullhornmail.com ~all</t>
  </si>
  <si>
    <t>hastings.ie</t>
  </si>
  <si>
    <t>v=spf1 include:spf.hastings.ie include:spf.protection.outlook.com include:appliedexch.co.uk include:27003876.spf10.hubspotemail.net -all</t>
  </si>
  <si>
    <t>sinnfein.ie</t>
  </si>
  <si>
    <t>mandate.ie</t>
  </si>
  <si>
    <t>v=spf1 ip4:89.101.215.114 ip4:83.70.148.21 ip4:54.229.15.170 ip4:54.229.15.217 include:spf.protection.outlook.com ~all</t>
  </si>
  <si>
    <t>v=DMARC1;p=none;sp=none;adkim=r;aspf=r;pct=100;fo=0;rf=afrf;ri=86400;rua=mailto:dmarc@mandate.ie;ruf=mailto:dmarc@mandate.ie</t>
  </si>
  <si>
    <t>shamrockgiftcompany.com</t>
  </si>
  <si>
    <t>v=spf1 include:_u.shamrockgiftcompany.com._spf.smart.ondmarc.com ~all</t>
  </si>
  <si>
    <t>v=DMARC1; p=reject; pct=100; sp=none; rua=mailto:c63b3432@inbox.ondmarc.com; ruf=mailto:c63b3432@inbox.ondmarc.com; adkim=r; aspf=r; fo=1; rf=afrf; ri=3600</t>
  </si>
  <si>
    <t>arcbar.net</t>
  </si>
  <si>
    <t>gibneys.com</t>
  </si>
  <si>
    <t>theturkshead.ie</t>
  </si>
  <si>
    <t>huntsmaninn.com</t>
  </si>
  <si>
    <t>judgeroybeans.ie</t>
  </si>
  <si>
    <t>v=spf1 +mx +a include:relay.mailchannels.net include:spf.protection.outlook.com -all</t>
  </si>
  <si>
    <t>folens.ie</t>
  </si>
  <si>
    <t>v=spf1 redirect=36n6flym._spf._d.mim.ec</t>
  </si>
  <si>
    <t>v=DMARC1; p=none; rua=mailto:54a376bb9d9a811@rep.dmarcanalyzer.com; ruf=mailto:54a376bb9d9a811@for.dmarcanalyzer.com; fo=1;</t>
  </si>
  <si>
    <t>thestar.ie</t>
  </si>
  <si>
    <t>v=spf1 mx a ip4:89.101.141.133/32 ip4:83.71.187.128/25 include:servers.mcsv.net include:spf.protection.outlook.com include:_spf.google.com ~all</t>
  </si>
  <si>
    <t>ria.ie</t>
  </si>
  <si>
    <t>v=spf1 a include:_spf.google.com include:_spf.salesforce.com include:spf.protection.outlook.com ip4:104.18.25.107 ip4:104.18.24.107 -all</t>
  </si>
  <si>
    <t>v=DMARC1; p=none; rua=mailto:vsihdl8e@ag.eu.dmarcian.com, mailto:dmarc@ria.ie</t>
  </si>
  <si>
    <t>smithandwilliamson.com</t>
  </si>
  <si>
    <t>v=spf1 ip4:51.140.55.43 ip4:52.142.188.230 ip4:213.212.85.72 ip4:89.206.230.178 ip4:94.236.83.186 ip4:205.201.135.18 ip4:198.2.183.130 ip4:51.140.37.132 ip4:51.141.5.228 include:emailsrvr.com include:sent-via.netsuite.com include:spf.protection.outlook.co" "m -all</t>
  </si>
  <si>
    <t>v=DMARC1; p=reject; rua=mailto:rbfhjr9g@ag.eu.dmarcian.com</t>
  </si>
  <si>
    <t>waterman-moylan.ie</t>
  </si>
  <si>
    <t>v=spf1 a include:spf.protection.outlook.com ip4:78.153.223.185 -all</t>
  </si>
  <si>
    <t>v=DMARC1;p=none;sp=none;rua=mailto:211a5a2e44@rua.easydmarc.eu;ruf=mailto:211a5a2e44@ruf.easydmarc.eu;fo=1</t>
  </si>
  <si>
    <t>exyte.net</t>
  </si>
  <si>
    <t>v=spf1 ip4:98.67.210.56 ip4:83.125.118.202 ip4:62.209.53.67 ip4:62.180.26.76 ip4:158.177.171.75 include:emailsrvr.com include:_spf.papirfly.net include:successfactors.eu include:spf.planoncloud.com include:spf.protection.outlook.com include:_spf.mailout.m" "ms-support.de -all</t>
  </si>
  <si>
    <t>v=DMARC1; p=none; rua=mailto:b30a3b28cf9f235@rep.dmarcanalyzer.com; ruf=mailto:b30a3b28cf9f235@for.dmarcanalyzer.com; sp=none; fo=1</t>
  </si>
  <si>
    <t>zehnacker.ie</t>
  </si>
  <si>
    <t>v=DMARC1; p=reject;</t>
  </si>
  <si>
    <t>patentsoffice.ie</t>
  </si>
  <si>
    <t>greenstar.ie</t>
  </si>
  <si>
    <t>v=spf1 include:spf.protection.outlook.com include:spf.eu.exclaimer.net include:%{ir}.%{v}.%{d}.spf.has.pphosted.com ~all</t>
  </si>
  <si>
    <t>v=DMARC1; p=none; fo=1; rua=mailto:dmarc_rua@emaildefense.proofpoint.com; ruf=mailto:dmarc_ruf@emaildefense.proofpoint.com</t>
  </si>
  <si>
    <t>werswaste.ie</t>
  </si>
  <si>
    <t>ryanhanley.ie</t>
  </si>
  <si>
    <t>v=spf1 ip4:109.106.104.58 ip4:109.106.104.59 include:spf.protection.outlook.com -all</t>
  </si>
  <si>
    <t>v=DMARC1;p=reject;sp=reject;pct=100;rua=mailto:it.services@ryanhanley.ie;ruf=mailto:it.services@ryanhanley.ie;ri=86400;aspf=r;adkim=r;fo=1;</t>
  </si>
  <si>
    <t>jonscivil.ie</t>
  </si>
  <si>
    <t>v=DMARC1; p=none; rua=mailto:dmarc@jonscivil.ie; ruf=mailto:dmarc@jonscivil.ie; fo=1;</t>
  </si>
  <si>
    <t>clonmelent.com</t>
  </si>
  <si>
    <t>v=spf1 ip4:89.204.209.180 include:spf.protection.outlook.com include:spf-eu.emailsignatures365.com -all</t>
  </si>
  <si>
    <t>v=DMARC1;p=reject;rua=mailto:mprice@clonmelent.com;ruf=mailto:mprice@clonmelent.com</t>
  </si>
  <si>
    <t>worldnetpayments.com</t>
  </si>
  <si>
    <t>cooleydistillery.com</t>
  </si>
  <si>
    <t>swillygroup.com</t>
  </si>
  <si>
    <t>v=spf1 +a +mx include:swillygroup.com.spf.auto.dnssmarthost.net ~all</t>
  </si>
  <si>
    <t>haroldeng.ie</t>
  </si>
  <si>
    <t>v=spf1 mx a include:spf.protection.outlook.com  a:cato1.haroldeng.ie a:cato2.haroldeng.ie a:wan1.haroldeng.ie  -all</t>
  </si>
  <si>
    <t>pomaritime.com</t>
  </si>
  <si>
    <t>v=spf1 ip4:151.253.32.100 include:spf.protection.outlook.com include:spf.UAE.exclaimer.net include:spf_c.oraclecloud.com include:spfa.cpmails.com -all</t>
  </si>
  <si>
    <t>v=DMARC1; p=quarantine; pct=100; fo=1; rua=mailto:testsp@pomaritime.com;ruf=mailto:testsp@pomaritime.com;adkim=s; aspf=s</t>
  </si>
  <si>
    <t>aqssolutions.ie</t>
  </si>
  <si>
    <t>v=spf1 ip4:89.184.56.32 include:servers.mcsv.net include:spf.protection.outlook.com -all</t>
  </si>
  <si>
    <t>bretland.ie</t>
  </si>
  <si>
    <t>v=spf1 ip4:212.126.59.52 ip4:51.75.186.21 include:spf.protection.outlook.com -all</t>
  </si>
  <si>
    <t>advancecleaners.ie</t>
  </si>
  <si>
    <t>corribgas.com</t>
  </si>
  <si>
    <t>v=spf1 include:_spf.shell.com include:spf.protection.outlook.com -all</t>
  </si>
  <si>
    <t>v=DMARC1; p=quarantine; sp=reject; fo=1; pct=100; ruf=mailto:SITI-Cyberdefence-DMARC-Analysis@shell.com; rua=mailto:SITI-Cyberdefence-DMARC-Analysis@shell.com</t>
  </si>
  <si>
    <t>sligosouthernhotel.ie</t>
  </si>
  <si>
    <t>brltd.ie</t>
  </si>
  <si>
    <t>v=spf1 ip4:178.250.112.162 ip4:31.193.222.107 ip4:31.193.216.138 ip4:51.104.182.221 include:spf.protection.outlook.com include:spf.exclaimer.net include:spf.spark.co.uk include:spf.smtp2go.com include:spf2.accessacloud.com -all</t>
  </si>
  <si>
    <t>dcc.ie</t>
  </si>
  <si>
    <t>v=spf1 include:spf.protection.outlook.com include:spf.exclaimer.net include:eu._netblocks.mimecast.com include:33fae9.workshop-spf.net include:spfa.cpmails.com ip4:130.214.193.85 ip4:54.154.155.148 ip4:149.72.175.120 ip4:93.158.205.135 ip4:94.236.52.134 i" "p4:94.236.52.140 ip4:94.236.52.134 ip4:192.254.120.230 ip4:4.245.247.234 ip4:98.71.77.91 -all</t>
  </si>
  <si>
    <t>v=DMARC1; p=reject; rua=mailto:support@dcc.ie,mailto:dmarc_agg@vali.email; ruf=mailto:support@dcc.ie; sp=none; ri=86400</t>
  </si>
  <si>
    <t>jpryan.ie</t>
  </si>
  <si>
    <t>jryanhaulage.ie</t>
  </si>
  <si>
    <t>chartermedical.ie</t>
  </si>
  <si>
    <t>v=spf1 include:spf.protection.outlook.com ip4:84.203.225.142 include:mailgun.org include:spf.topsec.com -all</t>
  </si>
  <si>
    <t>v=DMARC1;p=reject;sp=reject;pct=100;rua=mailto:ed324e1168@rua.easydmarc.eu,mailto:dmarc@chartermedical.ie;ruf=mailto:ed324e1168@ruf.easydmarc.eu,mailto:dmarc@chartermedical.ie;ri=3600;aspf=r;adkim=r;fo=1</t>
  </si>
  <si>
    <t>sims.ie</t>
  </si>
  <si>
    <t>v=spf1 ip4:203.52.166.225 ip4:54.153.131.110 ip4:54.66.252.242 ip4:87.232.49.106 include:spf.protection.outlook.com include:spf-00515701.pphosted.com include:_spf.salesforce.com include:spf1.formassembly.com include:sendgrid.net -all</t>
  </si>
  <si>
    <t>tullowcommunityschool.ie</t>
  </si>
  <si>
    <t>bailieborocs.ie</t>
  </si>
  <si>
    <t>v=DMARC1; p=reject; rua=mailto:dmarcsupport@bailieborocs.ie</t>
  </si>
  <si>
    <t>stpatrickscomprehensive.ie</t>
  </si>
  <si>
    <t>clonakiltycc.ie</t>
  </si>
  <si>
    <t>v=spf1 ip4:207.55.255.4 include:spf.dcsnet.ie include:spf.protection.outlook.com -all</t>
  </si>
  <si>
    <t>mayfieldcs.ie</t>
  </si>
  <si>
    <t>smgsblarney.ie</t>
  </si>
  <si>
    <t>ccbs.ie</t>
  </si>
  <si>
    <t>errigalcollege.ie</t>
  </si>
  <si>
    <t>v=spf1 +a +mx -all +a:web16.webcore.cloud</t>
  </si>
  <si>
    <t>loretomilford.com</t>
  </si>
  <si>
    <t>sainteunans.com</t>
  </si>
  <si>
    <t>cus.ie</t>
  </si>
  <si>
    <t>v=DMARC1; p=quarantine; rua=mailto:mail-monitor@cus.ie</t>
  </si>
  <si>
    <t>loretothegreen.ie</t>
  </si>
  <si>
    <t>v=DMARC1; p=reject; rua=mailto:DMARC@loretothegreen.ie; ruf=mailto:DMARC@loretothegreen.ie; pct=100; fo=0; adkim=s; aspf=s;</t>
  </si>
  <si>
    <t>loretofoxrock.ie</t>
  </si>
  <si>
    <t>manorhouseschool.com</t>
  </si>
  <si>
    <t>v=spf1 ip4:89.101.195.202 a:fep14.mx.upcmail.net include:spf.protection.outlook.com -all</t>
  </si>
  <si>
    <t>mountanville.ie</t>
  </si>
  <si>
    <t>v=spf1 ip4:87.38.24.6 include:ptr.edu.ie include:spf.protection.outlook.com -all</t>
  </si>
  <si>
    <t>pcd07.ie</t>
  </si>
  <si>
    <t>stlouishighschool.ie</t>
  </si>
  <si>
    <t>tiernans.ie</t>
  </si>
  <si>
    <t>galwaycc.ie</t>
  </si>
  <si>
    <t>gortcs.com</t>
  </si>
  <si>
    <t>v=DMARC1; p=quarantine; rua=mailto:DMARC@gortcs.com;</t>
  </si>
  <si>
    <t>presheadford.ie</t>
  </si>
  <si>
    <t>salerno.ie</t>
  </si>
  <si>
    <t>causewaycs.ie</t>
  </si>
  <si>
    <t>tarbertcomprehensive.ie</t>
  </si>
  <si>
    <t>v=spf1 +a +mx +a:ukm30.siteground.biz  include:tarbertcomprehensive.ie.spf.auto.dnssmarthost.net ~all</t>
  </si>
  <si>
    <t>ardscoil.ie</t>
  </si>
  <si>
    <t>ktcs.ie</t>
  </si>
  <si>
    <t>loretokk.ie</t>
  </si>
  <si>
    <t>v=spf1 mx a ip4:77.104.140.175 a:c20173.sgvps.net ?all</t>
  </si>
  <si>
    <t>desmondcollege.ie</t>
  </si>
  <si>
    <t>thomondcommunitycollege.ie</t>
  </si>
  <si>
    <t>scoilmhuirelongford.ie</t>
  </si>
  <si>
    <t>ardeecommunityschool.ie</t>
  </si>
  <si>
    <t>ballinrobecommunityschool.ie</t>
  </si>
  <si>
    <t>stmarysballina.ie</t>
  </si>
  <si>
    <t>mercynavan.ie</t>
  </si>
  <si>
    <t>bhc.ie</t>
  </si>
  <si>
    <t>v=DMARC1; p=reject; rua=mailto:dmarcsupport@bhc.ie</t>
  </si>
  <si>
    <t>stnathys.com</t>
  </si>
  <si>
    <t>ursulinecollegesligo.ie</t>
  </si>
  <si>
    <t>v=spf1 ip4:104.248.81.172 include:spf.protection.outlook.com -all</t>
  </si>
  <si>
    <t>ccr.ie</t>
  </si>
  <si>
    <t>v=spf1 +a +mx +ip4:91.210.235.235 include:spf.webhostingireland.ie ~all</t>
  </si>
  <si>
    <t>cpr.ie</t>
  </si>
  <si>
    <t>staugustines.ie</t>
  </si>
  <si>
    <t>stpaulswaterford.ie</t>
  </si>
  <si>
    <t>whs.ie</t>
  </si>
  <si>
    <t>v=spf1 include:spf.protection.outlook.com</t>
  </si>
  <si>
    <t>bridgetowncollege.ie</t>
  </si>
  <si>
    <t>v=spf1 ip4:137.191.247.218 include:spf.protection.outlook.com -all</t>
  </si>
  <si>
    <t>kingsbridgeprivatehospital.ie</t>
  </si>
  <si>
    <t>fallshotel.ie</t>
  </si>
  <si>
    <t>v=spf1 a mx a:mail1.eircom.net include:spf.elive.net include:netaffinity.net include:authsmtp.com include:spf.protection.outlook.com include:sendgrid.net -all</t>
  </si>
  <si>
    <t>claytonhotelcorkcity.com</t>
  </si>
  <si>
    <t>midletonpark.com</t>
  </si>
  <si>
    <t>v=spf1 a mx include:netaffinity.net include:spf.protection.outlook.com  a:mail.mindaclient.com -all</t>
  </si>
  <si>
    <t>v=DMARC1; p=quarantine; fo=1; rua=mailto:dmarc@midletonpark.com;  ruf=mailto:dmarc@midletonpark.com; pct=100</t>
  </si>
  <si>
    <t>blarneyhotel.ie</t>
  </si>
  <si>
    <t>themetropolehotel.ie</t>
  </si>
  <si>
    <t>v=spf1 include:spf.protection.outlook.com include:email2.guestfolio.net ip4:83.147.183.82 ip4:78.137.139.178 ip4:62.138.231.0/25 include:guestline.net include:roomlynx.net include:netaffinity.net -all</t>
  </si>
  <si>
    <t>v=DMARC1; p=none; fo=1; rua=mailto:rua+themetropolehotel.ie@dmarc.barracudanetworks.com; ruf=mailto:ruf+themetropolehotel.ie@dmarc.barracudanetworks.com</t>
  </si>
  <si>
    <t>thebeacon.com</t>
  </si>
  <si>
    <t>trinitycityhotel.com</t>
  </si>
  <si>
    <t>v=spf1 include:oracleindustry.com include:spf.protection.outlook.com include:spf.mandrillapp.com include:_spf.bookassist.com -all</t>
  </si>
  <si>
    <t>v=DMARC1; p=quarantine; pct=100; rua=mailto:dmarc@trinitycityhotel.com; ruf=mailto:dmarc@trinitycityhotel.com</t>
  </si>
  <si>
    <t>ballyseedecastle.com</t>
  </si>
  <si>
    <t>hotelkillarney.ie</t>
  </si>
  <si>
    <t>v=DMARC1; p=none; rua=mailto:cf0ef2d5d47945a58110295a02bc8648@dmarc-reports.cloudflare.net,mailto:dmarc_agg@vali.email;</t>
  </si>
  <si>
    <t>therosehotel.com</t>
  </si>
  <si>
    <t>v=spf1 include:spf.protection.outlook.com include:netaffinity.net include:guestline.net include:roomlynx.net a:mail.yourdomain.com a:mail.mindaclient.com include:spf.premiersoftware.co.uk -all</t>
  </si>
  <si>
    <t>castledurrow.com</t>
  </si>
  <si>
    <t>kilmurrylodge.com</t>
  </si>
  <si>
    <t>\009v=spf1 include:spf.protection.outlook.com -all</t>
  </si>
  <si>
    <t>knockhousehotel.ie</t>
  </si>
  <si>
    <t>trimcastlehotel.com</t>
  </si>
  <si>
    <t>v=spf1 include:spf.protection.outlook.com include:email2.guestfolio.net include:netaffinity.net -all</t>
  </si>
  <si>
    <t>ballykisteenhotel.com</t>
  </si>
  <si>
    <t>horseandjockeyhotel.com</t>
  </si>
  <si>
    <t>v=spf1 ip4:91.216.241.100 include:relay.mailchannels.net include:spf.protection.outlook.com include:netaffinity.net -all</t>
  </si>
  <si>
    <t>bloomfieldhousehotel.ie</t>
  </si>
  <si>
    <t>wineport.ie</t>
  </si>
  <si>
    <t>v=DMARC1; p=quarantine; pct=100; rua=mailto:d@rua.agari.com; ruf=mailto:d@ruf.agari.com; fo=1</t>
  </si>
  <si>
    <t>amberspringshotel.ie</t>
  </si>
  <si>
    <t>v=spf1 a mx include:spf.protection.outlook.com include:netaffinity.net include:authsmtp.com ~all</t>
  </si>
  <si>
    <t>maldronhotelwexford.com</t>
  </si>
  <si>
    <t>millracehotel.com</t>
  </si>
  <si>
    <t>parkviewhotel.ie</t>
  </si>
  <si>
    <t>v=spf1 include:spf.protection.outlook.com include:netaffinity.net include:mail.techosting.dk -all</t>
  </si>
  <si>
    <t>dermotcasey.com</t>
  </si>
  <si>
    <t>v=spf1 a include:spf.blacknight.com include:spf.protection.outlook.com ip4:82.141.233.57 -all</t>
  </si>
  <si>
    <t>v=DMARC1; p=none; fo=1; rua=mailto:rua+dermotcasey.com@dmarc.barracudanetworks.com; ruf=mailto:ruf+dermotcasey.com@dmarc.barracudanetworks.com</t>
  </si>
  <si>
    <t>whitneymoore.ie</t>
  </si>
  <si>
    <t>v=spf1 include:_spf.createsend.com include:spf.protection.outlook.com include:ba4aab80-spf.mta.getcheckrecipient.com -all</t>
  </si>
  <si>
    <t>v=DMARC1; p=quarantine; rua=mailto:dmarc@whitneymoore.ie; ruf=mailto:dmarc@whitneymoore.ie; sp=quarantine; fo=1;</t>
  </si>
  <si>
    <t>anglo-irish.com</t>
  </si>
  <si>
    <t>v=spf1 ip4:78.143.142.178 mx a:mailon.spamtitan.com include:spf.protection.outlook.com -all</t>
  </si>
  <si>
    <t>v=DMARC1; p=quarantine; rua=mailto:dmarc@mtcsolutions.ie</t>
  </si>
  <si>
    <t>honeywell.com</t>
  </si>
  <si>
    <t>v=spf1 ip4:199.64.176.32/29 ip4:199.64.34.142/31 include:spf.protection.outlook.com include:mktomail.com include:_spf.salesforce.com include:spf.mandrillapp.com include:spf_c.oraclecloud.com include:_spf1.honeywell.com -all</t>
  </si>
  <si>
    <t>v=DMARC1; p=reject; sp=none; adkim=r; aspf=r; fo=1; pct=100; rf=afrf; ri=3600; rua=mailto:SVXSOARDEV@honeywell.com; ruf=mailto:SVXSOARDEV@honeywell.com</t>
  </si>
  <si>
    <t>dennisontrailers.com</t>
  </si>
  <si>
    <t>v=spf1 ip4:149.13.248.73 include:spf.protection.outlook.com include:spfa.mailendo.com -all</t>
  </si>
  <si>
    <t>v=DMARC1; p=quarantine; pct=100; rua=mailto:administrator@dennisontrailers.com; ruf=mailto:administrator@dennisontrailers.com</t>
  </si>
  <si>
    <t>stapletons.ie</t>
  </si>
  <si>
    <t>ceramicx.com</t>
  </si>
  <si>
    <t>v=spf1 include:spf.protection.outlook.com include:spf-00373502.pphosted.com include:spf.mandrillapp.com include:sendersrv.com -all</t>
  </si>
  <si>
    <t>v=DMARC1; p=none; fo=1; rua=mailto:1pmvbucl@ag.eu.dmarcadvisor.com,mailto:rua@nibe.se; ruf=mailto:1pmvbucl@fr.eu.dmarcadvisor.com,mailto:ruf@nibe.se</t>
  </si>
  <si>
    <t>crowley.ie</t>
  </si>
  <si>
    <t>bertonerimarble.com</t>
  </si>
  <si>
    <t>asi.ie</t>
  </si>
  <si>
    <t>spectrumtelecom.ie</t>
  </si>
  <si>
    <t>swannetgundry.com</t>
  </si>
  <si>
    <t>cmfdistribution.com</t>
  </si>
  <si>
    <t>v=spf1 include:spf.protection.outlook.com a;dispatch-us.ppe-hosted.com ~all</t>
  </si>
  <si>
    <t>v=DMARC1; p=none; fo=1</t>
  </si>
  <si>
    <t>vending.ie</t>
  </si>
  <si>
    <t>v=spf1 ip4:212.17.52.202 ip4:213.94.224.168/29 ip4:83.70.207.60 ip4:5.134.94.2/22 include:spf.protection.outlook.com -all</t>
  </si>
  <si>
    <t>techno-path.com</t>
  </si>
  <si>
    <t>henley.ie</t>
  </si>
  <si>
    <t>v=spf1 ip4:91.216.241.2 include:relay.mailchannels.net include:_spf_cd.spamtitan.com +a +mx +ip4:89.101.22.140 +include:spf.protection.outlook.com ~all</t>
  </si>
  <si>
    <t>silent-aire.com</t>
  </si>
  <si>
    <t>v=spf1 include:_spf.prod.hydra.sophos.com include:spf.emailsignatures365.com include:mail.strategicos.com include:_spf.salesforce.com ~all</t>
  </si>
  <si>
    <t>v=DMARC1; p=reject; sp=reject; fo=1; rua=mailto:jci@rua.agari.com; ruf=mailto:jci@ruf.agari.com</t>
  </si>
  <si>
    <t>iosystems.ie</t>
  </si>
  <si>
    <t>patodonnell.com</t>
  </si>
  <si>
    <t>v=spf1 ip4:92.51.192.62 include:spf.protection.outlook.com include:mailgun.org -all</t>
  </si>
  <si>
    <t>v=DMARC1; p=reject; pct=100; rua=mailto:7e5acdec@mxtoolbox.dmarc-report.com,mailto:rua@patodonnell.com; ruf=mailto:7e5acdec@forensics.dmarc-report.com,mailto:ruf@patodonnell.com</t>
  </si>
  <si>
    <t>acmeblinds.ie</t>
  </si>
  <si>
    <t>hickeyfabrics.ie</t>
  </si>
  <si>
    <t>v=spf1 ip4:5.149.168.201 include:spf.protection.outlook.com -all</t>
  </si>
  <si>
    <t>cardiac-services.com</t>
  </si>
  <si>
    <t>v=spf1 ip4:93.94.119.196 ip4:82.198.141.134 ip4:40.113.11.237 include:spf.protection.outlook.com -all</t>
  </si>
  <si>
    <t>v=DMARC1; p=none; rua=mailto:DMARCreports@unipharmedtech.com; pct=20;</t>
  </si>
  <si>
    <t>hospira.com</t>
  </si>
  <si>
    <t>v=spf1 a mx a:clopine.com.au include:_spfmta.pfizer.com include:spf.boardbooks.com -all</t>
  </si>
  <si>
    <t>v=DMARC1; p=none; fo=1; rua=mailto:dmarc_rua@emaildefense.proofpoint.com,mailto:dmarc.rua@pfizer.com; ruf=mailto:dmarc_ruf@emaildefense.proofpoint.com,mailto:dmarc.ruf@pfizer.com</t>
  </si>
  <si>
    <t>dwew.ie</t>
  </si>
  <si>
    <t>noelcduggan.com</t>
  </si>
  <si>
    <t>bsbsystem.com</t>
  </si>
  <si>
    <t>leonardengineering.ie</t>
  </si>
  <si>
    <t>sfengineering.ie</t>
  </si>
  <si>
    <t>crystalair.ie</t>
  </si>
  <si>
    <t>v=spf1 include:servers.mcsv.net include:de._netblocks.mimecast.com -all</t>
  </si>
  <si>
    <t>v=DMARC1; p=none; rua=mailto:jonathan@vital.ie;</t>
  </si>
  <si>
    <t>seandoylewindows.ie</t>
  </si>
  <si>
    <t>brennanco.ie</t>
  </si>
  <si>
    <t>v=spf1 ip4:162.241.244.103 include:spf.smtp2go.com include:spf.EU.exclaimer.net include:spf.protection.outlook.com include:_spf.smtp.com include:_spf.salesforce.com -all</t>
  </si>
  <si>
    <t>houseofireland.com</t>
  </si>
  <si>
    <t>v=spf1 include:servers.mcsv.net ?all</t>
  </si>
  <si>
    <t>styletex.ie</t>
  </si>
  <si>
    <t>v=spf1 a:mail2.eircom.net ip4:62.77.165.241 ip4:89.101.210.2 include:spf.protection.outlook.com include:spf.topsec.com -all</t>
  </si>
  <si>
    <t>colortrend.ie</t>
  </si>
  <si>
    <t>gpmi.ie</t>
  </si>
  <si>
    <t>v=spf1 include:spf.protection.outlook.com include:spf.iptor.com -all</t>
  </si>
  <si>
    <t>novostrat.com</t>
  </si>
  <si>
    <t>v=spf1 include:de._netblocks.mimecast.com -all</t>
  </si>
  <si>
    <t>v=DMARC1; p=reject; rua=mailto:postmaster@novostrat.com</t>
  </si>
  <si>
    <t>lyreco.com</t>
  </si>
  <si>
    <t>v=spf1 include:spf-0032ca01.pphosted.com include:mail.zendesk.com include:_spf.salesforce.com a:mailrelay.staples-solutions.com a:mailrelay.lyreco.com ~all</t>
  </si>
  <si>
    <t>v=DMARC1; p=reject; fo=1; rua=mailto:dmarc_rua@emaildefense.proofpoint.com,mailto:parsedmarc@lyreco.com; ruf=mailto:dmarc_ruf@emaildefense.proofpoint.com</t>
  </si>
  <si>
    <t>yvesrocher.fr</t>
  </si>
  <si>
    <t>v=spf1 mx a:yrnet.com ~all</t>
  </si>
  <si>
    <t>carbon.ie</t>
  </si>
  <si>
    <t>v=spf1 ip4:167.99.35.96 include:spf.protection.outlook.com ~all</t>
  </si>
  <si>
    <t>v=DMARC1; p=quarantine; rua=mailto:dmarcreports@carbon.ie; ruf=mailto:dmarcreports@carbon.ie;</t>
  </si>
  <si>
    <t>leo-pharma.com</t>
  </si>
  <si>
    <t>v=spf1" " include:spf.protection.outlook.com" " include:_spf-i.cegedim.fr" " include:_spf-dc33.sapsf.eu" " include:_spf.anpdm.com" " include:_spf.salesforce.com" " ip4:185.158.206.75" " ip4:155.137.68.254" " ip4:155.137.0.15" " ip4:155.137.69.185" " ip4:155.137.230.3" " ip4:155.137.230.81" " ip4:94.236.52.134" " ip4:46.243.56.31" " ip4:155.137.68.191" " ip4:148.139.0.2" " ip4:192.138.111.10" " ip4:155.137.69.215" " ip4:155.137.69.216" " ip4:40.107.21.123" " ip4:195.68.96.88" " ip4:195.68.96.89" " ip4:195.68.96.90" " ip4:195.68.96.91" " ip4:195.68.96.92" " ip4:195.68.96.93" " ip4:195.68.96.94" " ip4:217.16.102.72" " ip4:217.16.102.73" " ip4:217.16.110.81" " ip4:68.232.139.59" " ip4:68.232.139.86" " ip4:68.232.133.143" " ip4:68.232.133.144" " ip4:195.68.96.95" " ip4:91.201.201.14" " ip4:193.36.148.132" " ip4:109.247.64.53" " ip4:170.102.144.39" " ip4:170.102.144.42" " include:amazonses.com" " -all</t>
  </si>
  <si>
    <t>v=DMARC1; p=reject; rua=mailto:6ymgai1o@ag.eu.dmarcadvisor.com;</t>
  </si>
  <si>
    <t>mcdonnellpaints.ie</t>
  </si>
  <si>
    <t>v=spf1 include:spf.protection.outlook.com include:spf.exclaimer.net -all</t>
  </si>
  <si>
    <t>ipsen.com</t>
  </si>
  <si>
    <t>v=spf1 include:spf1.ipsen.com include:spf2.ipsen.com -all</t>
  </si>
  <si>
    <t>v=DMARC1; p=reject; rua=mailto:uvc9r2is@ag.dmarcian-eu.com; ruf=mailto:uvc9r2is@fr.dmarcian-eu.com; fo=1;</t>
  </si>
  <si>
    <t>southernmilling.ie</t>
  </si>
  <si>
    <t>v=spf1 include:eu._netblocks.mimecast.com include:outbound.mailhop.org ip4:93.107.45.99 ip4:84.203.183.150 -all</t>
  </si>
  <si>
    <t>thomasflynnandsons.ie</t>
  </si>
  <si>
    <t>javarepublic.com</t>
  </si>
  <si>
    <t>v=spf1 include:_spf.mlsend.com include:spf.protection.outlook.com include:_spf.salesforce.com include:servers.mcsv.net include:spf.mandrillapp.com include:shops.shopify.com -all</t>
  </si>
  <si>
    <t>curleysqualityfoods.com</t>
  </si>
  <si>
    <t>v=spf1 include:secureserver.net -all</t>
  </si>
  <si>
    <t>v=DMARC1; p=none; rua=mailto:dmarc1@curleysqualityfoods.com,mailto:bdab701a@mxtoolbox.dmarc-report.com; ruf=mailto:dmarc2@curleysqualityfoods.com,mailto:bdab701a@forensics.dmarc-report.com</t>
  </si>
  <si>
    <t>theculinaryfoodgroup.com</t>
  </si>
  <si>
    <t>v=spf1 include:eu._netblocks.mimecast.com include:spf.protection.outlook.com include:spf.mandrillapp.com ip4:109.70.209.139 ip4:193.120.143.0/24 ip4:193.120.142.176 +a:dawnfarms.dmacmedia.ie -all</t>
  </si>
  <si>
    <t>v=DMARC1; p=none; sp=none; fo=1; rua=mailto:dmarc@theculinaryfoodgroup.com; ruf=mailto:dmarc@theculinaryfoodgroup.com; pct=100;</t>
  </si>
  <si>
    <t>collegeproteins.ie</t>
  </si>
  <si>
    <t>epicom.ie</t>
  </si>
  <si>
    <t>v=spf1 ip4:82.141.225.53 include:spf.protection.outlook.com -all</t>
  </si>
  <si>
    <t>cannonhygiene.ie</t>
  </si>
  <si>
    <t>v=spf1 include:_spf.google.com include:spf.protection.outlook.com include:_spf.rentokil-initial.com -all</t>
  </si>
  <si>
    <t>v=DMARC1;p=reject;pct=100;fo=1;ri=3600;rua=mailto:da7e8798@inbox.ondmarc.com</t>
  </si>
  <si>
    <t>glenpatrick.com</t>
  </si>
  <si>
    <t>esitechgroup.com</t>
  </si>
  <si>
    <t>v=spf1 include:spf1.esitechgroup.com include:spf2.esitechgroup.com include:spf3.esitechgroup.com -all</t>
  </si>
  <si>
    <t>v=DMARC1; p=reject; sp=reject; rua=mailto:633ed8c4b1caa@ag.eu.dmarcly.com; fo=1;</t>
  </si>
  <si>
    <t>schuf.ie</t>
  </si>
  <si>
    <t>v=spf1 include:spf.protection.outlook.com mx ip4:217.140.82.210/28 ip4:91.103.3.0/29 ip4:103.58.67.67/29 ip4:103.99.149.74/28 ip4:70.91.9.33/30 -all</t>
  </si>
  <si>
    <t>nielsen.com</t>
  </si>
  <si>
    <t>v=spf1 redirect=nielsenmedia.com</t>
  </si>
  <si>
    <t>v=DMARC1; p=quarantine; sp=reject; rua=mailto:dmarcian.aggregate@nielsenmedia.com; ruf=mailto:dmarcian.forensic@nielsenmedia.com; fo=1;</t>
  </si>
  <si>
    <t>movies-at.ie</t>
  </si>
  <si>
    <t>v=spf1 include:spf.protection.outlook.com include:servers.mcsv.net include:sparkpostmail.com ~all</t>
  </si>
  <si>
    <t>museum.ie</t>
  </si>
  <si>
    <t>v=spf1 include:mailcontrol.com include:servers.mcsv.net include:sendgrid.net ip4:137.191.245.53 -all</t>
  </si>
  <si>
    <t>v=DMARC1; p=quarantine; sp=none; rua=mailto:re+422772d9e3f1@inbound.dmarcdigests.com; pct=100; ruf=mailto:emailreports@museum.ie;</t>
  </si>
  <si>
    <t>powerscourt.com</t>
  </si>
  <si>
    <t>hibernianaviva.ie</t>
  </si>
  <si>
    <t>odon.com</t>
  </si>
  <si>
    <t>mcgroup.ie</t>
  </si>
  <si>
    <t>castleoaks.ie</t>
  </si>
  <si>
    <t>v=spf1 include:spf.protection.outlook.com include:mailgun.org -all</t>
  </si>
  <si>
    <t>v=DMARC1; p=quarantine; rua=mailto:8b3700aba2aa640@rep.dmarcanalyzer.com; ruf=mailto:8b3700aba2aa640@for.dmarcanalyzer.com; sp=none; fo=1;</t>
  </si>
  <si>
    <t>mardykearena.com</t>
  </si>
  <si>
    <t>v=spf1 include:mailgun.org ~all</t>
  </si>
  <si>
    <t>silkenthomas.com</t>
  </si>
  <si>
    <t>v=spf1 include:spf.protection.outlook.com include:spf.resdiary.com include:sendgrid.net ip4:89.101.37.10 ip4:89.101.75.14 -all</t>
  </si>
  <si>
    <t>schorman.ie</t>
  </si>
  <si>
    <t>v=spf1 ip4:185.122.133.227/32 include:spf.protection.outlook.com -all</t>
  </si>
  <si>
    <t>viennawoodshotel.com</t>
  </si>
  <si>
    <t>v=spf1 ip4:93.107.237.236 ip4:159.253.225.234 include:spf.protection.outlook.com include:netaffinity.net include:authsmtp.com -all</t>
  </si>
  <si>
    <t>v=DMARC1; p=none; fo=1; rua=mailto:rua+viennawoodshotel.com@dmarc.barracudanetworks.com; ruf=mailto:ruf+viennawoodshotel.com@dmarc.barracudanetworks.com</t>
  </si>
  <si>
    <t>rds.ie</t>
  </si>
  <si>
    <t>v=spf1 include:spf.protection.outlook.com include:servers.mcsv.net include:email1.kayako.com include:emaileuc.freshdesk.com ip4:178.162.1.176 ip4:54.246.220.150 ip4:54.246.224.90 ip4:165.84.219.70 ip4:165.84.219.3 -all</t>
  </si>
  <si>
    <t>abbeycourt.ie</t>
  </si>
  <si>
    <t>v=spf1 include:spf.protection.outlook.com ip4:34.251.246.197/32 ip4:34.254.147.8/32 ip4:212.54.131.21 ip4:5.133.183.35 ip4:5.133.183.39 include:netaffinity.net include:spf.guestjoy.com include:_spf.siteminder.com include:authsmtp.com -all</t>
  </si>
  <si>
    <t>dunboynecollege.ie</t>
  </si>
  <si>
    <t>bakertillyhb.ie</t>
  </si>
  <si>
    <t>v=spf1 ip4:109.237.24.70 include:spf.protection.outlook.com -all</t>
  </si>
  <si>
    <t>v=DMARC1; p=reject; sp=reject; rua=mailto:scanner@bakertillyhb.ie</t>
  </si>
  <si>
    <t>carnegroup.com</t>
  </si>
  <si>
    <t>v=spf1 mx ip4:209.202.128.38 ip4:40.127.137.63 ip4:204.15.171.6 ip4:72.85.155.85 ip4:198.37.153.11 ip4:194.124.5.144 ip4:212.2.165.162 ip4:81.17.245.217 include:spf.newsletter.ie include:spf.protection.outlook.com include:sparkpostmail.com include:servers" ".mcsv.net include:_spf.salesforce.com include:_spf.intacct.com include:139842026.spf06.hubspotemail.net -all</t>
  </si>
  <si>
    <t>v=DMARC1; p=quarantine; fo=1</t>
  </si>
  <si>
    <t>kbiglobalinvestors.com</t>
  </si>
  <si>
    <t>v=spf1 mx a:eu._netblocks.mimecast.com  a:spf.protection.outlook.com  a: ~all</t>
  </si>
  <si>
    <t>fineprint.ie</t>
  </si>
  <si>
    <t>v=spf1 include:spf.protection.outlook.com include:spf.mailjet.com ~all</t>
  </si>
  <si>
    <t>v=DMARC1; p=quarantine; rua=mailto:dmarc.reports@fineprint.ie</t>
  </si>
  <si>
    <t>hmrc.ucc.ie</t>
  </si>
  <si>
    <t>igsl.ie</t>
  </si>
  <si>
    <t>v=spf1 +a +mx +ip4:35.214.182.106  include:igsl.ie.spf.auto.dnssmarthost.net  include:_spf.google.com ~all</t>
  </si>
  <si>
    <t>peninsula-ie.com</t>
  </si>
  <si>
    <t>v=spf1 include:mktomail.com include:spf.peninsula-uk.com -all</t>
  </si>
  <si>
    <t>v=DMARC1; p=reject; rua=mailto:659537621e2e5@ag.eu.dmarcly.com; ruf=mailto:659537621e2e5@fo.eu.dmarcly.com; sp=reject; fo=1;</t>
  </si>
  <si>
    <t>iihealthfoods.com</t>
  </si>
  <si>
    <t>v=spf1 include:spf.tmes.trendmicro.com include:spf.hes.trendmicro.com ~all</t>
  </si>
  <si>
    <t>dosco.ie</t>
  </si>
  <si>
    <t>v=DMARC1; p=none; pct=100;</t>
  </si>
  <si>
    <t>codex.ie</t>
  </si>
  <si>
    <t>v=spf1 include:spf-eu.emailsignatures365.com include:spf.protection.outlook.com -all</t>
  </si>
  <si>
    <t>v=DMARC1; p=reject; ruf=mailto:italerts@codexltd.com</t>
  </si>
  <si>
    <t>cldc.ie</t>
  </si>
  <si>
    <t>v=spf1 include:_spf.mlsend.com include:spf.reg365.net include:spf.protection.outlook.com ~all</t>
  </si>
  <si>
    <t>galwayhospice.ie</t>
  </si>
  <si>
    <t>v=spf1 +a +mx +ip4:23.111.150.194 +ip4:23.111.150.197 +ip4:78.153.201.30 +ip4:89.101.248.193 +ip4:89.100.139.106 +ip4:86.43.81.242 include:server2-mail.martecweb.com +include:spf.protection.outlook.com ~all</t>
  </si>
  <si>
    <t>v=DMARC1; p=quarantine; adkim=r; aspf=r;</t>
  </si>
  <si>
    <t>lssc.ie</t>
  </si>
  <si>
    <t>moorehaven.ie</t>
  </si>
  <si>
    <t>v=spf1 include:spf.protection.outlook.com ip4:78.153.205.202 -all</t>
  </si>
  <si>
    <t>v=DMARC1; p=quarantine; sp=reject; pct=100; adkim=s; aspf=s; rua=mailto:reports@moorehaven.ie; ri=84600</t>
  </si>
  <si>
    <t>fdys.com</t>
  </si>
  <si>
    <t>qumas.com</t>
  </si>
  <si>
    <t>careworks.ie</t>
  </si>
  <si>
    <t>v=spf1 a mx include:mailcontrol.com include:spf.protection.outlook.com -all</t>
  </si>
  <si>
    <t>v=DMARC1;p=none;pct=100;rua=mailto:dmarcreports@oneadvanced.com;ruf=mailto:dmarcreports@oneadvanced.com;ri=86400;fo=1;</t>
  </si>
  <si>
    <t>online.cdkglobal.com</t>
  </si>
  <si>
    <t>ihsmarkit.com</t>
  </si>
  <si>
    <t>v=spf1 ip4:148.163.148.100 ip4:148.163.152.37 include:_spfihsm1.ihsmarkit.com include:_spfihsm2.ihsmarkit.com include:ipreomail.com include:_spf.salesforce.com include:spf.protection.outlook.com ~all</t>
  </si>
  <si>
    <t>v=DMARC1; p=none; fo=1; ri=3600; rua=mailto:dmarc_rua@emaildefense.proofpoint.com; ruf=mailto:dmarc_ruf@emaildefense.proofpoint.com</t>
  </si>
  <si>
    <t>softco.com</t>
  </si>
  <si>
    <t>v=spf1 include:eu._netblocks.mimecast.com include:spf.exclaimer.net include:amazonses.com include:emaileuc.freshservice.com include:4912815.spf05.hubspotemail.net ip4:89.101.136.253 -all</t>
  </si>
  <si>
    <t>v=DMARC1;p=quarantine;sp=none;pct=100;rua=mailto:60301163b4@rua.easydmarc.eu;ruf=mailto:60301163b4@ruf.easydmarc.eu;fo=1</t>
  </si>
  <si>
    <t>sentenial.com</t>
  </si>
  <si>
    <t>v=spf1 mx a ip4:154.50.192.130/32 ip4:154.50.192.138/32 a:kcp-prd-smtp01.sentenial.com a:sent-prod-smtp1.sentenial.com include:spf.smtp2go.com include:_spf.google.com -all</t>
  </si>
  <si>
    <t>v=DMARC1; p=quarantine; sp=quarantine; pct=100; rua=mailto:sentenial_dmarc_monitor@sentenial.com; ruf=mailto:sentenial_dmarc_alert@sentenial.com;</t>
  </si>
  <si>
    <t>jsmccarthy.ie</t>
  </si>
  <si>
    <t>v=spf1 include:spf.protection.outlook.com include:eu._netblocks.mimecast.com ip4:149.71.163.138 ip4:149.71.163.139 ip4:149.71.163.140 ip4:149.71.163.141 ip4:109.70.210.123 ip4:109.70.210.124 ip4:52.236.150.44 ip4:52.157.225.153 mx -all</t>
  </si>
  <si>
    <t>killarneyplaza.com</t>
  </si>
  <si>
    <t>v=spf1 a mx include:netaffinity.net include:spf.protection.outlook.com ip4:82.141.235.96 ip4:192.162.217.194 ip4:34.251.246.197/32 ip4:34.254.147.8/32 include:authsmtp.com include:sendgrid.net ~all</t>
  </si>
  <si>
    <t>v=DMARC1; p=none; rua=mailto:paq@killarneyplaza.com; ruf=mailto:paq@killarneyplaza.com; fo=1</t>
  </si>
  <si>
    <t>muckrosspark.com</t>
  </si>
  <si>
    <t>v=spf1 include:email2.guestfolio.net include:spf.protection.outlook.com include:spf.mandrillapp.com a:mail.mindaclient.com include:authsmtp.com include:_spf.wire.threatspike.com -all</t>
  </si>
  <si>
    <t>v=DMARC1; p-none;</t>
  </si>
  <si>
    <t>generalmonitors.com</t>
  </si>
  <si>
    <t>rcpi.ie</t>
  </si>
  <si>
    <t>v=spf1 ip4:52.158.115.248 ip4:82.195.133.139 ip4:52.158.115.251 include:spf.protection.outlook.com include:cyberriskaware.com ip4:192.254.120.51 ip4:168.245.104.162 include:cvent-planner.com ip4:216.230.14.229 ip4:216.230.14.231 ip4:216.230.14.230" " ip4:216.230.14.237 ip4:91.197.235.71 include:spf.elluciancloud.com include:amazonses.com include:139632817.spf08.hubspotemail.net -all</t>
  </si>
  <si>
    <t>v=DMARC1; p=quarantine; adkim=s; aspf=s; fo=1; rua=mailto:abuse@rcpi.ie; ruf=mailto:abuse@rcpi.ie</t>
  </si>
  <si>
    <t>scoilnioclais.ie</t>
  </si>
  <si>
    <t>v=spf1 include:spf.protection.outlook.com -all include:spf.reg365.net ~all</t>
  </si>
  <si>
    <t>scoiloilibheir.ie</t>
  </si>
  <si>
    <t>stanthonys.ie</t>
  </si>
  <si>
    <t>v=spf1 a:_spf.google.com include:wpdatacenter.com ~all</t>
  </si>
  <si>
    <t>woodlandns.ie</t>
  </si>
  <si>
    <t>v=spf1 +a +mx +ip4:35.214.235.181  include:woodlandns.ie.spf.auto.dnssmarthost.net ~all</t>
  </si>
  <si>
    <t>kilians.com</t>
  </si>
  <si>
    <t>stpatrickskk.scoilnet.ie</t>
  </si>
  <si>
    <t>markwatch.ie</t>
  </si>
  <si>
    <t>paragonsecurity.ie</t>
  </si>
  <si>
    <t>brinks.com</t>
  </si>
  <si>
    <t>v=spf1 redirect=3hr97omd._spf._d.mim.ec</t>
  </si>
  <si>
    <t>v=DMARC1; p=quarantine; fo=1; ri=3600; rua=mailto:7f812de85701566@rep.dmarcanalyzer.com; ruf=mailto:7f812de85701566@for.dmarcanalyzer.com</t>
  </si>
  <si>
    <t>dorans.ie</t>
  </si>
  <si>
    <t>kishfish.ie</t>
  </si>
  <si>
    <t>v=spf1 ip4:185.43.232.4 include:spf.webhostingireland.ie +mx +ip4:78.153.201.122 +include:spf1.emailsecurity.app +include:spf.protection.outlook.com ~all</t>
  </si>
  <si>
    <t>rockabill.ie</t>
  </si>
  <si>
    <t>tomra.com</t>
  </si>
  <si>
    <t>v=spf1" " a" " ip4:62.92.2.128/26" " ip4:79.161.39.128/27" " ip4:65.51.117.224/27" " ip4:159.183.71.243" " include:spf.protection.outlook.com" " include:spf.emailsignatures365.com" " include:4847902.spf07.hubspotemail.net" " include:amazonses.com" " include:emaileuc.freshservice.com" " -all</t>
  </si>
  <si>
    <t>v=DMARC1; p=reject; rua=mailto:dmarcreports@tomra.com;</t>
  </si>
  <si>
    <t>irishfishproducts.com</t>
  </si>
  <si>
    <t>qkmeats.com</t>
  </si>
  <si>
    <t>v=spf1 include:eu._netblocks.mimecast.com include:spf.protection.outlook.com ip4:109.70.209.139 ip4:193.120.143.0/24 ip4:193.120.142.176  +a:queally.dmacmedia.ie -all</t>
  </si>
  <si>
    <t>v=DMARC1; p=none; sp=none; fo=1; rua=mailto:dmarc@qkmeats.com; ruf=mailto:dmarc@qkmeats.com; pct=100;</t>
  </si>
  <si>
    <t>tbwa-dublin.com</t>
  </si>
  <si>
    <t>v=spf1 include:relay.mailchannels.net -all</t>
  </si>
  <si>
    <t>newspread.ie</t>
  </si>
  <si>
    <t>v=spf1 ip4:185.43.125.61 ip4:83.71.187.233 ip4:89.101.141.135 ip4:83.71.187.253 ip4:89.101.157.129 ip4:5.61.115.64/28 include:mailgun.org include:spf.protection.outlook.com -all include:spf.protection.outlook.com -all</t>
  </si>
  <si>
    <t>oceanfm.ie</t>
  </si>
  <si>
    <t>v=spf1 a include:spf.blacknight.ie ~all include:_spf.google.com ~all</t>
  </si>
  <si>
    <t>juddmonte.com</t>
  </si>
  <si>
    <t>v=spf1 mx include:eu._netblocks.mimecast.com include:sent-via.netsuite.com include:_spf.salesforce.com include:spf.uk.exclaimer.net include:spf.protection.outlook.com -all</t>
  </si>
  <si>
    <t>v=DMARC1; p=reject; rua=mailto:8yp0nuadz0@rua.powerdmarc.com; ruf=mailto:8yp0nuadz0@ruf.powerdmarc.com; pct=100; fo=1;</t>
  </si>
  <si>
    <t>https://app.powerbimi.com/54964/ea0ed01d-c244-4ed9-9100-642bc8b92d98.svg</t>
  </si>
  <si>
    <t>glassco.ie</t>
  </si>
  <si>
    <t>visitdublin.com</t>
  </si>
  <si>
    <t>v=spf1 include:u18456835.wl086.sendgrid.net -all</t>
  </si>
  <si>
    <t>hertz.ie</t>
  </si>
  <si>
    <t>mcguirehaulage.com</t>
  </si>
  <si>
    <t>v=spf1 ip4:95.83.242.244 include:spf.protection.outlook.com -all</t>
  </si>
  <si>
    <t>jlbradshaw.ie</t>
  </si>
  <si>
    <t>adhesivesresearch.com</t>
  </si>
  <si>
    <t>lero.ie</t>
  </si>
  <si>
    <t>v=spf1 include:spf.protection.outlook.com include:sendgrid.net include:143758070.spf08.hubspotemail.net ip4:193.1.102.160 ip4:193.1.101.155 ip4:193.1.101.156 ip4:193.1.102.174 ~all</t>
  </si>
  <si>
    <t>v=DMARC1; p=none; rua=mailto:dmarc_reporting@ul.ie;</t>
  </si>
  <si>
    <t>brccork.com</t>
  </si>
  <si>
    <t>cramerscourt.ie</t>
  </si>
  <si>
    <t>careforme.ie</t>
  </si>
  <si>
    <t>v=spf1 ip4:35.214.245.130 +a include:_spf.google.com a:hmail.jitbit.com a:hmail2.jitbit.com -all</t>
  </si>
  <si>
    <t>tlcnursing.ie</t>
  </si>
  <si>
    <t>allenfield.ie</t>
  </si>
  <si>
    <t>sonas.ie</t>
  </si>
  <si>
    <t>v=spf1 +a +mx +ip4:213.199.46.4 +ip4:213.199.46.4 include:mailgun.org ~all</t>
  </si>
  <si>
    <t>baileysnursinghome.com</t>
  </si>
  <si>
    <t>carluccios.com</t>
  </si>
  <si>
    <t>v=spf1 include:spf.protection.outlook.com include:_spf.bigcommerce.com include:shops.shopify.com include:spf.cm.puzzel.com -all</t>
  </si>
  <si>
    <t>murraysbarandgrill.ie</t>
  </si>
  <si>
    <t>thechurch.ie</t>
  </si>
  <si>
    <t>v=spf1 a ip4:217.78.0.66 include:spf.protection.outlook.com -all</t>
  </si>
  <si>
    <t>droppingwell.com</t>
  </si>
  <si>
    <t>mccambridges.com</t>
  </si>
  <si>
    <t>lordkenmares.com</t>
  </si>
  <si>
    <t>joycessupermarket.ie</t>
  </si>
  <si>
    <t>completecuisine.com</t>
  </si>
  <si>
    <t>primark.com</t>
  </si>
  <si>
    <t>v=spf1 ip4:194.165.190.12 ip4:62.128.204.105 ip4:109.169.13.3 ip4:109.169.13.4 ip4:109.169.13.12 ip4:194.216.214.90 ip4:194.216.214.91 ip4:194.216.214.92 ip4:216.244.123.132 ip4:216.244.123.134 ip4:193.120.224.97 ip4:193.120.224.98 mx include:spf.protecti" "on.outlook.com include:mailgun.org include:_spf-dc55.sapsf.eu ~all</t>
  </si>
  <si>
    <t>v=DMARC1; p=quarantine; rua=mailto:bstnx4lf@ag.dmarcian-eu.com</t>
  </si>
  <si>
    <t>fashionflo.ie</t>
  </si>
  <si>
    <t>v=spf1 a:s1.pikiware.com a:s4.pikiware.com include:spf.protection.outlook.com include:spf.mailanyone.net -all</t>
  </si>
  <si>
    <t xml:space="preserve">v=DMARC1; p=none; fo=1; </t>
  </si>
  <si>
    <t>harverynorman.ie</t>
  </si>
  <si>
    <t>rathwood.com</t>
  </si>
  <si>
    <t>v=spf1 mx a include:mailgun.org include:_spf.google.com include:mail.zendesk.com ~all</t>
  </si>
  <si>
    <t>mcloughlins.ie</t>
  </si>
  <si>
    <t>stakelums.ie</t>
  </si>
  <si>
    <t>v=spf1 include:spf.protection.outlook.com include:amazonses.com ~all</t>
  </si>
  <si>
    <t>culcita.ie</t>
  </si>
  <si>
    <t>granningaxles.ie</t>
  </si>
  <si>
    <t>v=DMARC1;p=none;fo=1;rua=mailto:granningaxles_ie_agg@mailwall.com;ruf=mailto:granningaxles_ie_afrf@mailwall.com</t>
  </si>
  <si>
    <t>airsprings.com</t>
  </si>
  <si>
    <t>audicentre.ie</t>
  </si>
  <si>
    <t>v=spf1 ip4:194.74.144.217/32  include:spf.protection.outlook.com include:spf-eu.emailsignatures365.com -all</t>
  </si>
  <si>
    <t>v=DMARC1; p=reject; fo=0;</t>
  </si>
  <si>
    <t>windsor.ie</t>
  </si>
  <si>
    <t>v=spf1 mx a include:spf1.emailsecurity.app include:spf.protection.outlook.com include:spf.exclaimer.net include:spf.hornetsecurity.com include:_spf.carusseldwt.com ~all</t>
  </si>
  <si>
    <t>v=DMARC1; p=none; rua=mailto:dmarcreports@windsor.ie</t>
  </si>
  <si>
    <t>hsd.ie</t>
  </si>
  <si>
    <t>v=spf1 +a +mx +a:web1.iseek.host +a:mail.darklite.ie ip4:78.153.205.192/27 ~all</t>
  </si>
  <si>
    <t>goldcrop.ie</t>
  </si>
  <si>
    <t>pearsecollege.ie</t>
  </si>
  <si>
    <t>dife.info</t>
  </si>
  <si>
    <t>v=spf1 ip6:fdcf:abda:4154::/48 -all</t>
  </si>
  <si>
    <t>iamu.edu</t>
  </si>
  <si>
    <t>v=spf1 ip4:212.78.224.207 include:spf.protection.outlook.com include:25735957.spf08.hubspotemail.net -all</t>
  </si>
  <si>
    <t>v=DMARC1;p=none;sp=none;adkim=r;aspf=r;pct=100;fo=1;rf=afrf;ri=86400;rua=mailto:dmarcreports@iamu.edu;ruf=mailto:dmarcreports@iamu.edu</t>
  </si>
  <si>
    <t>gti.ie</t>
  </si>
  <si>
    <t>ballinodecollege.com</t>
  </si>
  <si>
    <t>v=spf1 +a +mx +a:control.dmacmedia.ie include:_spf.google.com -all</t>
  </si>
  <si>
    <t>irishwelcometours.com</t>
  </si>
  <si>
    <t>welocalize.com</t>
  </si>
  <si>
    <t>v=spf1 include:spf2.welocalize.com include:spf.protection.outlook.com include:sendgrid.net include:servers.mcsv.net include:cust-spf.exacttarget.com include:mail.zendesk.com include:_spf.salesforce.com include:et._spf.pardot.com -all</t>
  </si>
  <si>
    <t>v=DMARC1; p=quarantine; pct=5; fo=1; rua=mailto:a0027e04@mxtoolbox.dmarc-report.com,mailto:postmaster@welocalize.com; ruf=mailto:a0027e04@forensics.dmarc-report.com</t>
  </si>
  <si>
    <t>https://www.welocalize.com/wp-content/uploads/2023/03/WelocalizeMark.svg</t>
  </si>
  <si>
    <t>dualway.com</t>
  </si>
  <si>
    <t>downeytransport.com</t>
  </si>
  <si>
    <t>jetwash.ie</t>
  </si>
  <si>
    <t>v=spf1 include:spf.protection.outlook.com include:spf.giacomcp.com -all</t>
  </si>
  <si>
    <t>glendimplexireland.com</t>
  </si>
  <si>
    <t>v=spf1 include:spf.messagelabs.com include:email.freshservice.com include:spf.protection.outlook.com A:email.glendimplex.com A:mailer1.glanmail.com -all</t>
  </si>
  <si>
    <t>logstrup.com</t>
  </si>
  <si>
    <t>v=spf1 include:_spf1670.spfprotect.com -all</t>
  </si>
  <si>
    <t>v=DMARC1; p=reject; rua=mailto:5f63040c557e6@dmarc.centerasecurity.com;</t>
  </si>
  <si>
    <t>derrynaflan.com</t>
  </si>
  <si>
    <t>cooneyfurlong.com</t>
  </si>
  <si>
    <t>v=spf1 ip4:91.210.235.90 include:spf.protection.outlook.com a:smtp.wicklowbroadband.com include:spf.mailanyone.net include:spf.ess.de.barracudanetworks.com -all</t>
  </si>
  <si>
    <t>janssen.ie</t>
  </si>
  <si>
    <t>v=spf1 include:%{d}.ce.spf-protect.dmp.cisco.com exists:%{i}._i.%{d}._d.espf.dmp.cisco.com -all</t>
  </si>
  <si>
    <t>v=DMARC1; p=reject; sp=quarantine; fo=1; ri=3600; rua=mailto:jnj@rua.dmp.cisco.com,mailto:jnj@rua.agari.com; ruf=mailto:jnj@ruf.dmp.cisco.com,mailto:jnj@ruf.agari.com</t>
  </si>
  <si>
    <t>servier.com</t>
  </si>
  <si>
    <t>v=spf1 include:spf.protection.outlook.com include:_spf-a.servier.com include:_spf-b.servier.com include:servers.mcsv.net ~all</t>
  </si>
  <si>
    <t>v=DMARC1; p=reject; fo=1; rua=mailto:servier.rua@emailsecurity.merox.io; ruf=mailto:servier.ruf@emailsecurity.merox.io</t>
  </si>
  <si>
    <t>jonesoil.ie</t>
  </si>
  <si>
    <t>v=DMARC1; p=reject; rua=mailto:dmarc@jonesoil.ie</t>
  </si>
  <si>
    <t>grange.ie</t>
  </si>
  <si>
    <t>v=spf1 include:spf.protection.outlook.com include:mailgun.org include:eu.zcsend.net ~all</t>
  </si>
  <si>
    <t>epmooney.ie</t>
  </si>
  <si>
    <t>qualvecom.ie</t>
  </si>
  <si>
    <t>v=spf1 include:spf.protection.outlook.com include:spf1.emailsecurity.app include:spf.blacknight.com include:awses.qualvecom.com -all</t>
  </si>
  <si>
    <t>v=DMARC1; p=reject; fo=1; rua=mailto:rua+qualvecom.ie@dmarc.barracudanetworks.com,mailto:dkgjlkcr@rua.dmarceye.com; ruf=mailto:ruf+qualvecom.ie@dmarc.barracudanetworks.com; ri=86400</t>
  </si>
  <si>
    <t>macneanrestaurant.com</t>
  </si>
  <si>
    <t>v=spf1 include:_spf.mlsend.com a include:spf.blacknight.ie -all</t>
  </si>
  <si>
    <t>barryroeco-op.ie</t>
  </si>
  <si>
    <t>v=spf1 include:spf.protection.outlook.com ip4:212.78.228.74 ip4:84.51.253.158 ?all</t>
  </si>
  <si>
    <t>v=DMARC1;p=reject;sp=none;adkim=r;aspf=r;pct=100;fo=1;rf=afrf;ri=86400;rua=mailto:rua+barryroeco-op.ie@dmarc.barracudanetworks.com;ruf=mailto:ruf+barryroeco-op.ie@dmarc.barracudanetworks.com</t>
  </si>
  <si>
    <t>ecco.com</t>
  </si>
  <si>
    <t>v=spf1 include:_spf6060.spfprotect.com -all</t>
  </si>
  <si>
    <t>v=DMARC1; p=reject; rua=mailto:61766da0c4377@dmarc.centerasecurity.com;</t>
  </si>
  <si>
    <t>commonsinn.com</t>
  </si>
  <si>
    <t>ancosan.com</t>
  </si>
  <si>
    <t>v=spf1 +a +mx +ip4:91.210.232.8 include:spf.webhostingireland.ie +ip4:185.43.232.251 +include:spf.protection.outlook.com -all</t>
  </si>
  <si>
    <t>ct-ireland.ie</t>
  </si>
  <si>
    <t>havok.com</t>
  </si>
  <si>
    <t>v=spf1 ip4:20.82.129.190 ip4:168.61.147.238 ip4:167.220.197.88 ip4:13.93.11.183 ip4:52.175.18.60 ip4:52.161.13.137 ip4:108.142.61.230 ip4:104.208.107.30 ip4:20.82.182.156 ip4:13.78.130.245 ip4:167.220.196.0/23 include:spf.protection.outlook.com include:m" "ail.zendesk.com -all</t>
  </si>
  <si>
    <t>v=DMARC1; p=reject; pct=100; rua=mailto:rua@dmarc.microsoft; ruf=mailto:ruf@dmarc.microsoft; fo=1</t>
  </si>
  <si>
    <t>independent-trustee.com</t>
  </si>
  <si>
    <t>v=spf1 include:spf.protection.outlook.com ip4:83.70.158.18 ip4:162.13.193.54 -all</t>
  </si>
  <si>
    <t>v=DMARC1; p=quarantine;rua=mailto:itfadmin@itcgroup.ie;</t>
  </si>
  <si>
    <t>cranehire-ireland.com</t>
  </si>
  <si>
    <t>menloparkhotel.com</t>
  </si>
  <si>
    <t>v=spf1 ip4:89.101.95.14 include:spf.protection.outlook.com include:netaffinity.net include:amazonses.com a:spamtitan.zenotec.ie -all</t>
  </si>
  <si>
    <t>killarneyavenue.com</t>
  </si>
  <si>
    <t>v=DMARC1; p=none; ruf=mailto:paq@killarneyavenue.com; fua=mailto:dmarc_agg@vali.email; fo=1</t>
  </si>
  <si>
    <t>longfordarms.ie</t>
  </si>
  <si>
    <t>lawlorshotel.com</t>
  </si>
  <si>
    <t>v=spf1 include:netaffinity.net include:spf.protection.outlook.com include:spf1.emailsecurity.app include:spf.mailjet.com include:spf.mandrillapp.com ~all</t>
  </si>
  <si>
    <t>mullingarparkhotel.com</t>
  </si>
  <si>
    <t>v=spf1 a mx include:spf.newsletter.ie include:spf.protection.outlook.com include:oracleindustry.com ~all</t>
  </si>
  <si>
    <t>terradrive.ie</t>
  </si>
  <si>
    <t>v=spf1 a include:spf.blacknight.ie include:_spf.google.com ~all</t>
  </si>
  <si>
    <t>electronicconcepts.ie</t>
  </si>
  <si>
    <t>v=spf1 +a +mx +a:trojanit.dmacmedia.ie -all</t>
  </si>
  <si>
    <t>wallsteel.ie</t>
  </si>
  <si>
    <t>v=spf1 include:mailanyone.net include:spf.protection.outlook.com -all</t>
  </si>
  <si>
    <t>firstglass.ie</t>
  </si>
  <si>
    <t>v=spf1 ip4:185.156.197.105 ip4:159.134.105.121 mx -all</t>
  </si>
  <si>
    <t>v=DMARC1; p=none; pct=100; fo=1; ri=3600; rua=mailto:62f9aae6@inbox.ondmarc.com; ruf=mailto:62f9aae6@inbox.ondmarc.com;</t>
  </si>
  <si>
    <t>eschergroup.com</t>
  </si>
  <si>
    <t>v=spf1 include:spf.protection.outlook.com include:_spf.salesforce.com include:_spf.atlassian.net include:_aspf1.spf05.hubspotemail.net include:et._spf.pardot.com ip4:104.129.83.224/26 -all</t>
  </si>
  <si>
    <t>v=DMARC1;p=reject;sp=reject;pct=100;adkim=r;aspf=r;rua=mailto:egnotifications@eschergroup.com;ruf=mailto:egnotifications@eschergroup.com;ri=86400;fo=1</t>
  </si>
  <si>
    <t>new.ie</t>
  </si>
  <si>
    <t>v=spf1 include:_u.new.ie._spf.smart.ondmarc.com ~all</t>
  </si>
  <si>
    <t>v=DMARC1; p=reject; pct=100; sp=none; rua=mailto:f56fbd93@inbox.ondmarc.com; ruf=mailto:f56fbd93@inbox.ondmarc.com; adkim=r; aspf=r; fo=1; rf=afrf; ri=3600</t>
  </si>
  <si>
    <t>clonmeloil.com</t>
  </si>
  <si>
    <t>v=spf1 include:spf.protection.outlook.com include:turbo-smtp.com -all</t>
  </si>
  <si>
    <t>raywhelan.ie</t>
  </si>
  <si>
    <t>v=spf1 mx ip4:109.123.107.79 mx:mail.raywhelan.ie a:webserver1.bizspacehost.com include:spf.protection.outlook.com include:spf.ess.de.barracudanetworks.com -all</t>
  </si>
  <si>
    <t>stmarkscs.ie</t>
  </si>
  <si>
    <t>v=spf1 ip4:87.36.33.6 include:_spf.google.com ~all</t>
  </si>
  <si>
    <t>filtertek.ie</t>
  </si>
  <si>
    <t>v=spf1 ip4:83.70.176.121 ip4:88.87.175.210 include:spf.protection.outlook.com ~all</t>
  </si>
  <si>
    <t>pensionsauthority.ie</t>
  </si>
  <si>
    <t>v=spf1 mx ip4:137.191.230.130 ip4:137.191.230.131 ip4:137.191.234.164 ip4:137.191.234.165 a:pdr.pensionsauthority.ie a:mail.pensionsauthority.ie a:mail1.pensionsauthority.ie a:mail2.pensionsauthority.ie include:servers.mcsv.net include:spfext.itservi" "ces.gov.ie include:relay.kinstamailservice.com -all</t>
  </si>
  <si>
    <t>consumerhelp.ie</t>
  </si>
  <si>
    <t>thebarofireland.ie</t>
  </si>
  <si>
    <t>horizondigitalprint.com</t>
  </si>
  <si>
    <t>v=spf1 include:spf.protection.outlook.com include:mailchimp.com include:rp.oracleemaildelivery.com include:ap.rp.oracleemaildelivery.com include:eu.rp.oracleemaildelivery.com -all</t>
  </si>
  <si>
    <t>brookhaven.ie</t>
  </si>
  <si>
    <t>assessireland.com</t>
  </si>
  <si>
    <t>v=spf1 ip4:52.208.120.156 include:spf.protection.outlook.com include:spf.reg365.net -all</t>
  </si>
  <si>
    <t>luttrellstown.com</t>
  </si>
  <si>
    <t>libertysrecycling.ie</t>
  </si>
  <si>
    <t>kilcawleyconstruction.com</t>
  </si>
  <si>
    <t>v=spf1 +ip4:66.206.3.250 ip4:23.111.150.199 ip4:86.47.224.51 ip4:86.41.75.208 include:spf.protection.outlook.com include:spf.fusemail.net mx a -all</t>
  </si>
  <si>
    <t>electricalrewinds.ie</t>
  </si>
  <si>
    <t>v=spf1 include:spf.protection.outlook.com mx -all</t>
  </si>
  <si>
    <t>kinsale-energy.ie</t>
  </si>
  <si>
    <t>itwsbi.com</t>
  </si>
  <si>
    <t>v=spf1 include:spf.protection.outlook.com include:notifications.issuetrak.com include:et._spf.pardot.com ip4:209.49.53.10 ip4:24.247.23.98 ~all</t>
  </si>
  <si>
    <t>v=DMARC1; p=quarantine; rua=mailto:dmarc_agg@vali.email</t>
  </si>
  <si>
    <t>wexfordcoco.ie</t>
  </si>
  <si>
    <t>v=spf1 exists:%{i}.spf.hc1696-6.eu.iphmx.com include:spf.protection.outlook.com include:spf.blacknight.com include:_spf.firmstep.com a:extdms.wexfordcoco.ie -all</t>
  </si>
  <si>
    <t>v=DMARC1;p=none;sp=none;adkim=s;rua=mailto:itsecurity@wexfordcoco.ie,mailto:211a5a2e44@rua.easydmarc.eu;ruf=mailto:itsecurity@wexfordcoco.ie,mailto:211a5a2e44@ruf.easydmarc.eu;ri=14400;fo=1</t>
  </si>
  <si>
    <t>enniscommunitycollege.com</t>
  </si>
  <si>
    <t>v=spf1 a mx include:spf.id.ie ~all</t>
  </si>
  <si>
    <t>mountmercy.ie</t>
  </si>
  <si>
    <t>v=spf1 ip4:184.173.239.120 a mx include:websitewelcome.com ~all</t>
  </si>
  <si>
    <t>staidanscork.ie</t>
  </si>
  <si>
    <t>tmscc.ie</t>
  </si>
  <si>
    <t>mountseskincc.ie</t>
  </si>
  <si>
    <t>stdavidscbs.ie</t>
  </si>
  <si>
    <t>v=spf1 ip4:184.173.239.120 ip4:79.170.246.48 ip4:80.93.17.151 a mx include:websitewelcome.com ~all</t>
  </si>
  <si>
    <t>stdominics.ie</t>
  </si>
  <si>
    <t>v=spf1 ip4:200.69.13.100 +a +mx +ip4:78.153.200.188 +ip4:78.153.201.112 +ip4:94.229.76.210 +ip4:77.75.120.18 +ip4:173.194.199.26 +ip4:74.125.141.27 +ip4:173.194.219.26 +ip4:64.233.186.27 ~all</t>
  </si>
  <si>
    <t>stmaryshfcglasnevin.com</t>
  </si>
  <si>
    <t>v=spf1 +a +mx +ip4:83.138.8.111 include:relay.mailchannels.net ~all</t>
  </si>
  <si>
    <t>naascbs.ie</t>
  </si>
  <si>
    <t>v=spf1 include:_spf.google.com +mx +a +ip4:167.235.180.130 ~all</t>
  </si>
  <si>
    <t>v=DMARC1; P=none;</t>
  </si>
  <si>
    <t>stfarnans.ie</t>
  </si>
  <si>
    <t>stwolstans.ie</t>
  </si>
  <si>
    <t>castlecomercs.com</t>
  </si>
  <si>
    <t>eurekasecondaryschool.ie</t>
  </si>
  <si>
    <t>v=spf1 ip4:190.180.145.98 +a +mx +include:spf.dub1.servername.online ~all</t>
  </si>
  <si>
    <t>olss.ie</t>
  </si>
  <si>
    <t>stmarysedenderry.ie</t>
  </si>
  <si>
    <t>summerhillcollege.ie</t>
  </si>
  <si>
    <t>v=spf1 +a +mx +ip4:109.237.24.70 +include:_spf.google.com ~all</t>
  </si>
  <si>
    <t>v=DMARC1; p=reject; rua=mailto:sysadmin@summerhillcollege.ie; ruf=mailto:sysadmin@summerhillcollege.ie; pct=100;</t>
  </si>
  <si>
    <t>newtownschool.ie</t>
  </si>
  <si>
    <t>ourladysbower.com</t>
  </si>
  <si>
    <t>cbcarnew.ie</t>
  </si>
  <si>
    <t>paramounthotel.ie</t>
  </si>
  <si>
    <t>v=spf1 +ip4:91.210.232.40 +include:spf.protection.outlook.com -all</t>
  </si>
  <si>
    <t>radisonhotelgroup.com</t>
  </si>
  <si>
    <t>themorgan.com</t>
  </si>
  <si>
    <t>v=spf1 ip4:81.173.15.74 include:spf.protection.outlook.com include:spf.mandrillapp.com include:_spf.bookassist.com Include:_spf.salesforce.com -all</t>
  </si>
  <si>
    <t>v=DMARC1; p=quarantine; pct=100; rua=mailto:dmarc@themorgan.com; ruf=mailto:dmarc@themorgan.com</t>
  </si>
  <si>
    <t>manorwesthotel.ie</t>
  </si>
  <si>
    <t>v=spf1 ip4:86.43.86.187 include:netaffinity.net include:email2.guestfolio.net include:spf.protection.outlook.com include:sendgrid.net ~all</t>
  </si>
  <si>
    <t>v=DMARC1; p=quarantine; rua=mailto:admin@manorwesthotel.ie;</t>
  </si>
  <si>
    <t>botanicgardens.ie</t>
  </si>
  <si>
    <t>barcouncil.ie</t>
  </si>
  <si>
    <t>royallondon.ie</t>
  </si>
  <si>
    <t>v=spf1 mx a:relay2a-uk.clearswift.net a:relay2a-us.clearswift.net include:spf.protection.outlook.com -all</t>
  </si>
  <si>
    <t>v=DMARC1; p=quarantine; fo=1; ri=3600; rua=mailto:royallondon@rua.agari-eu.com,mailto:DmarcReporting@royallondon.com; ruf=mailto:royallondon@ruf.agari-eu.com,mailto:DmarcFailureReporting@royallondon.com</t>
  </si>
  <si>
    <t>bijurdelimon.com</t>
  </si>
  <si>
    <t>v=spf1 ip4:92.51.204.182 ip4:92.51.204.181 ip4:188.111.40.2 ip4:145.253.161.210 ip4:172.126.121.162 include:spf.protection.outlook.com ~all</t>
  </si>
  <si>
    <t>v=DMARC1;p=reject;sp=reject;pct=100;rua=mailto:7e319f540f37465a9b1698aa477ddc22@dmarc-reports.cloudflare.net;ri=86400;aspf=s;fo=1</t>
  </si>
  <si>
    <t>ventilux.ie</t>
  </si>
  <si>
    <t>v=spf1 redirect=_ser1wtifd.sdmarc.net</t>
  </si>
  <si>
    <t>v=DMARC1; p=reject; pct=100; rua=mailto:a.er1wtifd@sdmarc.net</t>
  </si>
  <si>
    <t>modular.ie</t>
  </si>
  <si>
    <t>chesapeakecorp.com</t>
  </si>
  <si>
    <t>gerflor.com</t>
  </si>
  <si>
    <t>v=spf1 ip4:85.31.192.42/32 ip4:85.31.193.42/32 ip4:85.31.193.7/32 ip4:212.157.146.188/32 ip4:212.208.155.139/32 ip4:134.213.195.176/32 ip4:13.39.123.138/32 ip4:83.206.54.1/32 ip4:194.51.208.105/32 ip4:90.121.196.136/32 ip4:194.51.99.64/32 ip4:" "46.218.252.250/32 ip4:89.227.225.102/32 ip4:89.225.250.206/32 ip4:46.218.130.190/32 ip4:81.1.7.114/32 ip4:205.201.128.0/20 ip4:198.2.128.0/18 ip4:203.209.198.234/32 ip4:61.88.152.129/32 ip4:148.105.0.0/16 ip4:90.85.192.137/32 ip4:194.98.12.196" "/32 ip4:212.208.237.122/32 ip4:212.208.239.38/32 ip4:212.208.238.178/32 ip4:35.157.147.57/32 ip4:35.157.105.252/32 ip4:35.157.111.195/32 ip4:35.157.15.51/32 ip4:105.27.173.198/32 ip4:117.184.170.246/30 ip4:41.140.242.216/32 ip4:80.16.61.24/32 ip4:" "80.155.19.146/29 ip4:212.208.238.82/32 ip4:217.136.171.66/32 ip4:20.79.74.243/32 ip4:2.136.114.230/32 ip4:35.181.156.191/32 ip4:13.36.253.151/32 ip4:3.123.206.219/32 ip4:194.51.207.93/32 ip4:194.98.12.204/32 ip4:194.51.148.88/32 ip4:3.68.129.51" "/32 ip4:90.121.195.81/32 ip4:90.121.194.40/29 ip4:90.121.195.82/32 ip4:90.121.229.45/32 ip4:90.85.192.105/32 ip4:90.121.196.124/32 ip4:194.250.147.102/32 ip4:194.250.63.50/32 ip4:194.51.218.161/32 ip4:50.171.2.154/32 ip4:216.161.228.219" "/32 ip4:194.51.99.97/32 ip4:213.56.133.217/32 ip4:194.51.250.201/32 ip4:194.51.99.65/32 ip4:90.85.76.243" "/32 ip4:68.70.138.34/32 ip4:90.85.216.221/32 ip4:96.93.176.141/32 ip4:213.56.160.41/32 ip4:13.37.91.238/32 ip4:90.115.35.209/32 ip4:184.154.145.202/32 ip4:66.60.118.106/32 ip4:24.37.222.242/32 ip4:194.51.218.160/32 ip4:184.154.87.221" "/32 include:spf.protection.outlook.com include:spfcloud.letsignit.com include:spfa.cpmails.com include:eskerondemand.com include:amazonses.com include:mailers.novius.net -all</t>
  </si>
  <si>
    <t>v=DMARC1; p=none; rua=mailto:dmarc.reports@gerflor.com; ruf=mailto:dmarc.failures@gerflor.com;</t>
  </si>
  <si>
    <t>fff.saint-gobain.com</t>
  </si>
  <si>
    <t>amcor.com</t>
  </si>
  <si>
    <t>v=spf1 include:spf.protection.outlook.com ip4:51.143.2.119 ip4:13.66.130.121 ip4:20.96.2.88 ip4:20.230.234.206 ip4:20.122.27.14 ip4:52.177.186.121 ip4:142.54.44.35/32 ip4:142.54.44.34/32 ip4:142.54.44.33/32 ip4:142.54.44.21/32 ip4:206.164.255.95/32 ip4:20" "8.185.229.0/24 ip4:208.185.235.0/24 ip4:148.59.108.0/23 ip4:148.59.106.0/23 ip4:91.205.116.0/24 ip4:191.242.202.105/32 ip4:59.154.147.162/32 ip4:139.130.187.10/24 ip4:142.54.44.104/32 ip4:206.164.255.72/32 ip4:220.101.55.26/32 ip4:13.94.215.190/32 ip4:40." "86.115.90/32 ip4:149.72.231.47/32 include:2176008.spf02.hubspotemail.net include:spf.bombbomb.email include:eskerondemand.com include:_spf.salesforce.com include:_spf.psm.knowbe4.com include:6af455.workshop-spf.net -all</t>
  </si>
  <si>
    <t>v=DMARC1; p=quarantine; rua=mailto:46glyn2v@ag.eu.dmarcian.com; ruf=mailto:46glyn2v@fr.eu.dmarcian.com; fo=1;</t>
  </si>
  <si>
    <t>avoncourt.com</t>
  </si>
  <si>
    <t>guinness-storehouse.com</t>
  </si>
  <si>
    <t>v=spf1 include:spf.secutix.com ~all</t>
  </si>
  <si>
    <t>muckross-house.ie</t>
  </si>
  <si>
    <t>v=spf1 include:spf.da2.radleys.ie</t>
  </si>
  <si>
    <t>kilkennyormonde.com</t>
  </si>
  <si>
    <t xml:space="preserve">v=spf1 include:spf.guestjoy.com include:spf.newsletter.ie include:spf.protection.outlook.com -all </t>
  </si>
  <si>
    <t>v=DMARC1;p=none;sp=none;pct=100;rua=mailto:dmarcreports@kilkennyormonde.com;ruf=mailto:dmarcreports@kilkennyormonde.com;ri=86400;aspf=r;adkim=r;fo=1;</t>
  </si>
  <si>
    <t>oasisgroup.com</t>
  </si>
  <si>
    <t>v=spf1 include:sendgrid.net include:_spf.salesforce.com include:eu._netblocks.mimecast.com include:spf.protection.outlook.com" " include:aspmx.pardot.com ip4:31.221.83.247 ip4:136.146.0.0/15 ip4:50.31.40.151 ip4:81.149.174.150 ip4:137.116.230.135 ip4:31.221.83.241 ip4:62.13.128.0/24 ip4:62.13.129.128/25 ip4:62.13.136.0/22 ip4:62.13.140.0/22 ip4:62.13.144.0/22" " ip4:62.13.148.0/23 ip4:62.13.150.0/23 ip4:62.13.152.0/23 ip4:72.52.72.32/28 ip4:64.71.149.160/28 ~all</t>
  </si>
  <si>
    <t>creggstone.com</t>
  </si>
  <si>
    <t>kelkin.ie</t>
  </si>
  <si>
    <t>v=spf1 include:spf.protection.outlook.com include:de._netblocks.mimecast.com -all</t>
  </si>
  <si>
    <t>v=DMARC1; p=reject; rua=mailto:655d2a788d66450@rep.dmarcanalyzer.com; ruf=mailto:655d2a788d66450@for.dmarcanalyzer.com; fo=1;</t>
  </si>
  <si>
    <t>coaction.e</t>
  </si>
  <si>
    <t>bmc.com</t>
  </si>
  <si>
    <t>v=DMARC1; p=quarantine; rua=mailto:dmarc_rua@emaildefense.proofpoint.com; ruf=mailto:dmarc_ruf@emaildefense.proofpoint.com; fo=1</t>
  </si>
  <si>
    <t>carrandsons.ie</t>
  </si>
  <si>
    <t>v=spf1 ip4:190.180.145.98 include:spf.protection.outlook.com -all</t>
  </si>
  <si>
    <t>cfp.ie</t>
  </si>
  <si>
    <t>heaneymeats.ie</t>
  </si>
  <si>
    <t>ashmeats.ie</t>
  </si>
  <si>
    <t>v=spf1 include:spf.protection.outlook.com include:spf.emailsignatures365.com -all</t>
  </si>
  <si>
    <t>grove.ie</t>
  </si>
  <si>
    <t>v=spf1 a:dispatch-eu.ppe-hosted.com include:spf.protection.outlook.com include:authsmtp.com -all</t>
  </si>
  <si>
    <t>v=DMARC1; p=none; rua=mailto:administrator@grove.ie;</t>
  </si>
  <si>
    <t>rudds.ie</t>
  </si>
  <si>
    <t>holdenplantrentals.com</t>
  </si>
  <si>
    <t>ictservices.ie</t>
  </si>
  <si>
    <t>v=spf1 include:spf.protection.outlook.com include:autotask.net ~all</t>
  </si>
  <si>
    <t>v=DMARC1; p=reject; fo=1; rua=mailto:DmarcReporting@ictservices.ie; ruf=mailto:DmarcReporting@ictservices.ie</t>
  </si>
  <si>
    <t>stgabrielsnursinghome.ie</t>
  </si>
  <si>
    <t>hm.com</t>
  </si>
  <si>
    <t>v=spf1 include:spf.protection.outlook.com include:%{i}._ip.%{h}._ehlo.%{d}._spf.vali.email ~all</t>
  </si>
  <si>
    <t>https://vmc.digicert.com/96cfc8b7-6d6c-404a-b950-b6456484f912.svg</t>
  </si>
  <si>
    <t>cunninghamlindsey.com</t>
  </si>
  <si>
    <t>v=spf1 mx ip4:199.120.242.71 ip4:12.171.137.71 ip4:64.158.201.20 ip4:64.158.201.21 ip4:199.120.242.53 include:spf.protection.outlook.com include:spf2.sedgwick.com ~all</t>
  </si>
  <si>
    <t>v=DMARC1; p=reject; fo=1; ri=3600; rua=mailto:sedgwick@rua.agari.com; ruf=mailto:sedgwick@ruf.agari.com</t>
  </si>
  <si>
    <t>leaseplan.ie</t>
  </si>
  <si>
    <t>v=spf1 include:_spf-a.iap.socgen.com include:spf.protection.outlook.com exists:%{i}._spf.mta.salesforce.com a:production.eu01.leaseplan.demandware.net a:staging.eu01.leaseplan.demandware.net ip4:193.67.127.2 ip4:193.67.127.69/30 ip4:3.248.9.131 ip4:52.211" ".210.235 ip4:99.81.156.249 -all</t>
  </si>
  <si>
    <t>gardenliving.ie</t>
  </si>
  <si>
    <t>v=spf1 +mx +a +ip4:5.134.14.170 ~all</t>
  </si>
  <si>
    <t>annesullivan.ie</t>
  </si>
  <si>
    <t>v=spf1 include:_spf.google.com include:spf.protection.outlook.com -all</t>
  </si>
  <si>
    <t>wtlireland.com</t>
  </si>
  <si>
    <t>v=spf1 ip4:212.17.56.66 ip4:91.142.103.103 include:spf.protection.outlook.com include:_netblocks.mimecast.com include:sendgrid.net ~all</t>
  </si>
  <si>
    <t>trailfinders.ie</t>
  </si>
  <si>
    <t>ie.rs-online.com</t>
  </si>
  <si>
    <t>basf.com</t>
  </si>
  <si>
    <t>v=spf1 ip4:20.101.12.10 ip4:20.23.134.203  ip4:141.6.2.0/24 ip4:141.6.72.0/24 include:spf.protection.outlook.com include:_trusted.basf.com -all</t>
  </si>
  <si>
    <t>v=DMARC1; p=reject; rua=mailto:dmarc_agg@basf.com</t>
  </si>
  <si>
    <t>gowranabbeynursinghome.com</t>
  </si>
  <si>
    <t>abbeycommunitycollege.com</t>
  </si>
  <si>
    <t>v=spf1 include:spf.protection.outlook.com include:spf.dcsnet.ie include:spf.core.kcetb.ie ip4:87.38.1.130 -all</t>
  </si>
  <si>
    <t>v=DMARC1; p=quarantine; pct=100; rua=mailto:DMARCReports@kcetb.ie; ruf=mailto:DMARCReports@KCETB.ie</t>
  </si>
  <si>
    <t>mercyrochfortbridge.ie</t>
  </si>
  <si>
    <t>teneoholings.com</t>
  </si>
  <si>
    <t>businesspost.ie</t>
  </si>
  <si>
    <t>v=spf1 include:spf.protection.outlook.com include:navigacloud.com include:mandrillapp.com include:mailgun.org include:amazonses.com include:mail.rhs.org.uk ~all</t>
  </si>
  <si>
    <t>v=DMARC1; p=quarantine; rua=mailto:149844757bd94e31a1f692f11fd51abd@dmarc-reports.cloudflare.net;</t>
  </si>
  <si>
    <t>fairfieldnursinghome.com</t>
  </si>
  <si>
    <t>carthagenursinghome.com</t>
  </si>
  <si>
    <t>zipfires.ie</t>
  </si>
  <si>
    <t>stbrendanscsbirr.ie</t>
  </si>
  <si>
    <t>kenmarebayhotel.com</t>
  </si>
  <si>
    <t>v=spf1 ip4:91.210.235.23 include:spf.webhostingireland.ie include:spf.protection.outlook.com include:_spf.bookassist.com include:spf.mailjet.com -all</t>
  </si>
  <si>
    <t>v=DMARC1; p=none; fo=1; rua=mailto:rua+kenmarebayhotel.com@dmarc.barracudanetworks.com; ruf=mailto:ruf+kenmarebayhotel.com@dmarc.barracudanetworks.com</t>
  </si>
  <si>
    <t>johnsonbrothers.ie</t>
  </si>
  <si>
    <t>frangos.ie</t>
  </si>
  <si>
    <t>limerickcivictrust.ie</t>
  </si>
  <si>
    <t>rexxam.ie</t>
  </si>
  <si>
    <t>lindalgroup.com</t>
  </si>
  <si>
    <t>v=spf1 a mx a:lindalgroup.managed-otrs.com ip4:212.184.124.10 ip4:62.134.67.210 include:eskerondemand.com include:spf.mailjet.com include:spf.protection.outlook.com include:spf-00945a01.pphosted.com -all</t>
  </si>
  <si>
    <t>v=DMARC1; p=none; rua=mailto:malware@lindalgroup.com; aspf=s</t>
  </si>
  <si>
    <t>mayoleisurepoint.ie</t>
  </si>
  <si>
    <t>v=spf1 mx a ptr a:mail.iemx.net</t>
  </si>
  <si>
    <t>larkinctr.com</t>
  </si>
  <si>
    <t>v=spf1  ip4:95.45.224.50 ip4:93.94.114.107 ip4:93.94.114.108 mx a:spamtitan.cloud21.ie include:spf.outlook.com ~all</t>
  </si>
  <si>
    <t>munstergroup.com</t>
  </si>
  <si>
    <t>v=spf1 include:de._netblocks.mimecast.com  include:spf.protection.outlook.com ip4:185.224.196.120 ip4:213.190.153.234 include:relay.mailchannels.net ptr:appliedexch.co.uk ~all</t>
  </si>
  <si>
    <t>doccs.ie</t>
  </si>
  <si>
    <t>leinsterrugby.ie</t>
  </si>
  <si>
    <t>v=spf1 include:amazonses.com include:spf.protection.outlook.com include:spf.exclaimer.net include:spf.soticservers.net -all</t>
  </si>
  <si>
    <t>parnellsgaa.ie</t>
  </si>
  <si>
    <t>ijmtimberframe.com</t>
  </si>
  <si>
    <t>omp.ie</t>
  </si>
  <si>
    <t>gill.ie</t>
  </si>
  <si>
    <t>v=spf1 mx a include:spf.protection.outlook.com include:sendgrid.net include:mail.zendesk.com include:amazonses.com include:spf.mandrillapp.com -all</t>
  </si>
  <si>
    <t>v=DMARC1; p=quarantine; pct=1</t>
  </si>
  <si>
    <t>complianceandrisks.com</t>
  </si>
  <si>
    <t>v=spf1 mx ip4:65.98.226.0/25  ip4:52.58.140.192 ip4:149.6.177.90 ip4:154.57.85.0/24 include:_spf.google.com include:mail.zendesk.com</t>
  </si>
  <si>
    <t>v=DMARC1; p=none; pct=95; sp=none</t>
  </si>
  <si>
    <t>dpsgroupglobal.com</t>
  </si>
  <si>
    <t>v=DMARC1; p=reject; rua=mailto:7qwmarcg@ag.dmarcian-eu.com</t>
  </si>
  <si>
    <t>intrum.ie</t>
  </si>
  <si>
    <t>v=spf1 ip4:213.138.147.128/27 ip4:213.138.142.160/27 ip4:213.138.145.0/28 ip4:213.214.158.144/28 -all</t>
  </si>
  <si>
    <t>v=DMARC1;  p=none; rua=mailto:spamreport_aggregate@intrum.com,mailto:dmarc_agg@vali.email;</t>
  </si>
  <si>
    <t>dhkn.ie</t>
  </si>
  <si>
    <t>cuisle.ie</t>
  </si>
  <si>
    <t>enva.com</t>
  </si>
  <si>
    <t>v=spf1 include:spf.protection.outlook.com include:emaileuc.freshservice.com include:subspf.enva.com ~all</t>
  </si>
  <si>
    <t>v=DMARC1; p=reject; rua=mailto:194f0ef7e899056@rep.dmarcanalyzer.com; ruf=mailto:194f0ef7e899056@for.dmarcanalyzer.com; fo=1;</t>
  </si>
  <si>
    <t>bsigroup.com</t>
  </si>
  <si>
    <t>v=DMARC1; p=quarantine; rua=mailto:dmarc_agg@vali.email,mailto:email.abuse@bsigroup.com; ruf=mailto:email.abuse@bsigroup.com; fo=1</t>
  </si>
  <si>
    <t>siac.ie</t>
  </si>
  <si>
    <t>v=spf1 ip4:217.114.166.100 ip4:217.114.166.101 ip4:217.114.166.102 ip4:217.114.166.103 include:spf.protection.outlook.com -all</t>
  </si>
  <si>
    <t>dfl.ie</t>
  </si>
  <si>
    <t>v=DMARC1;p=none;sp=none;pct=100;rua=mailto:dmarcreports@dfl.ie;ruf=mailto:dmarcreports@dfl.ie;ri=86400;aspf=r;adkim=r;fo=1;</t>
  </si>
  <si>
    <t>mythenconstruction.ie</t>
  </si>
  <si>
    <t>v=spf1 a mx include:spf.mailanyone.net include:adana.webhostingireland.ie include:spf.protection.outlook.com -all</t>
  </si>
  <si>
    <t>kiernanelectrical.ie</t>
  </si>
  <si>
    <t>v=spf1 include:spf.protection.outlook.com include:_spf.wpcloud.com -all</t>
  </si>
  <si>
    <t>cosgroveelectrical.ie</t>
  </si>
  <si>
    <t>v=spf1 ip4:190.180.145.25 +a +mx +include:spf.dub1.servername.online include:spf.protection.outlook.com ~all</t>
  </si>
  <si>
    <t>burlingtonengineering.ie</t>
  </si>
  <si>
    <t>v=spf1 ip4:89.101.0.42 ip4:144.2.241.99 include:spf.protection.outlook.com -all</t>
  </si>
  <si>
    <t>rynneng.ie</t>
  </si>
  <si>
    <t>kph.ie</t>
  </si>
  <si>
    <t>prostainlessdesigns.com</t>
  </si>
  <si>
    <t>abec.com</t>
  </si>
  <si>
    <t>v=spf1 include:spf.protection.outlook.com include:_spf.psm.knowbe4.com ip4:4.152.130.49 ip4:23.21.109.197 ip4:23.21.109.212 ip4:20.1.146.51 ip4:20.161.169.216 ip4:20.57.123.62 ip4:147.160.167.0/26 ip4:207.172.197.50 ip4:75.98.96.114 ip4:204.186.231.154 ip" "4:176.52.221.167 ip4:83.147.153.22 ip4:176.52.221.168 ip4:78.137.132.122 ip4:12.14.247.195 include:sendgrid.net include:autotask.net MX -all</t>
  </si>
  <si>
    <t>baysports.ie</t>
  </si>
  <si>
    <t>v=spf1 a mx include:_spf.google.com ip4:195.245.113.145 ~all</t>
  </si>
  <si>
    <t>tarrantinternational.com</t>
  </si>
  <si>
    <t>v=spf1 include:_spf.google.com -all</t>
  </si>
  <si>
    <t>jmc.ie</t>
  </si>
  <si>
    <t>v=spf1 ip4:81.17.251.219 include:spf.protection.outlook.com include:spf.topsec.com include:_spf.caspiomail.com -all</t>
  </si>
  <si>
    <t>servicematters.ie</t>
  </si>
  <si>
    <t>v=spf1 include:spf.protection.outlook.com  include:eu.mailgun.org include:spf.sendinblue.com mx ip4:213.191.226.38 ip4:83.147.149.253 ~all</t>
  </si>
  <si>
    <t>v=DMARC1; p=quarantine; adkim=s; aspf=s;</t>
  </si>
  <si>
    <t>proxybiomedical.com</t>
  </si>
  <si>
    <t>v=spf1 include:spf.protection.outlook.com include:spf.messagelabs.com -all</t>
  </si>
  <si>
    <t>ccpc.ie</t>
  </si>
  <si>
    <t>v=spf1 mx include:spf.topsec.com include:_spf.createsend.com include:mailgun.org include:spf.protection.outlook.com ip4:79.140.128.42 ip4:137.191.224.104 a:ext2.dfa.ie -all</t>
  </si>
  <si>
    <t>lgma.ie</t>
  </si>
  <si>
    <t>v=spf1 include:spf.protection.outlook.com ip4:193.178.1.218 ip4:193.178.30.231 ip4:193.178.1.1 ip4:193.178.7.67 ip4:193.178.7.126 ip4:193.178.30.150 -all</t>
  </si>
  <si>
    <t>colaistemuire.ie</t>
  </si>
  <si>
    <t>bandongrammar.ie</t>
  </si>
  <si>
    <t>cbccork.ie</t>
  </si>
  <si>
    <t>colaisteanchraoibhin.com</t>
  </si>
  <si>
    <t>kinsalecommunityschool.ie</t>
  </si>
  <si>
    <t>saintals.ie</t>
  </si>
  <si>
    <t>colmans.ie</t>
  </si>
  <si>
    <t>v=spf1 mx a:spf.dcsnet.ie include:_spf.google.com ~all</t>
  </si>
  <si>
    <t>avsdonegal.com</t>
  </si>
  <si>
    <t>v=spf1 +a +mx -all +a:control.dmacmedia.ie</t>
  </si>
  <si>
    <t>loretoletterkenny.ie</t>
  </si>
  <si>
    <t>scoilmhuirebuncrana.ie</t>
  </si>
  <si>
    <t>fingalcc.ie</t>
  </si>
  <si>
    <t>v=spf1 include:spf.protection.outlook.com ip4:77.107.211.222 ip4:77.107.210.71 -all</t>
  </si>
  <si>
    <t>firhousecommunitycollege.ie</t>
  </si>
  <si>
    <t>loretoabbeydalkey.com</t>
  </si>
  <si>
    <t>marinocollege.ie</t>
  </si>
  <si>
    <t>palmerstowncs.ie</t>
  </si>
  <si>
    <t>stcolmcilles.ie</t>
  </si>
  <si>
    <t>suttonparkschool.com</t>
  </si>
  <si>
    <t>tallaghtcs.com</t>
  </si>
  <si>
    <t>presathenry.ie</t>
  </si>
  <si>
    <t>colaistechiarain.com</t>
  </si>
  <si>
    <t>ardscoil.com</t>
  </si>
  <si>
    <t>stv.ie</t>
  </si>
  <si>
    <t>v=DMARC1; p=none; rua=mailto:shane@stv.ie</t>
  </si>
  <si>
    <t>stlouiscs.com</t>
  </si>
  <si>
    <t>colaisteduniascaigh.ie</t>
  </si>
  <si>
    <t>v=spf1 mx a include:spf.protection.outlook.com -all</t>
  </si>
  <si>
    <t>v=DMARC1; p=none; ruf=mailto:info@colaisteduniascaigh.ie; rua=mailto:info@colaisteduniascaigh.ie</t>
  </si>
  <si>
    <t>presthurles.ie</t>
  </si>
  <si>
    <t>blackwatercs.com</t>
  </si>
  <si>
    <t>ursw.ie</t>
  </si>
  <si>
    <t>v=DMARC1; p=none; rua=mailto:austin@solveit.ie; ruf=mailto:austin@solveit.ie; fo=1</t>
  </si>
  <si>
    <t>evc.ie</t>
  </si>
  <si>
    <t>fcjbunclody.ie</t>
  </si>
  <si>
    <t>v=spf1 a mx a:mail-lf0-f53.google.com -all</t>
  </si>
  <si>
    <t>loretobray.com</t>
  </si>
  <si>
    <t>v=DMARC1; p=none; rua=mailto:dmarc-reports@</t>
  </si>
  <si>
    <t>stkilianscs.com</t>
  </si>
  <si>
    <t>v=spf1 +a +mx +ip4:217.115.115.75 include:relay.mailchannels.net +ip4:217.115.112.200 +include:spf.protection.outlook.com -all</t>
  </si>
  <si>
    <t>treacyswestcounty.com</t>
  </si>
  <si>
    <t>qualityclonakiltyhotel.com</t>
  </si>
  <si>
    <t>cpireland.com</t>
  </si>
  <si>
    <t>haddingtonhouse.ie</t>
  </si>
  <si>
    <t>v=spf1 ip4:93.107.249.78 ip4:23.83.209.71 ip4:79.170.246.48 include:spf.protection.outlook.com include:servers.mcsv.net include:netaffinity.net ~all</t>
  </si>
  <si>
    <t>gullaneshotel.com</t>
  </si>
  <si>
    <t>v=spf1 include:spf.protection.outlook.com  include:netaffinity.net</t>
  </si>
  <si>
    <t>loughreahotelandspa.com</t>
  </si>
  <si>
    <t>maldronhotelgalway.com</t>
  </si>
  <si>
    <t>thetwelvehotel.ie</t>
  </si>
  <si>
    <t>aghadoeheights.com</t>
  </si>
  <si>
    <t>v=spf1 mx a a:mail.mindaclient.com include:spf.protection.outlook.com -all</t>
  </si>
  <si>
    <t>crowneplazadundalk.ie</t>
  </si>
  <si>
    <t>knockrannyhousehotel.ie</t>
  </si>
  <si>
    <t>mcwilliamparkhotel.ie</t>
  </si>
  <si>
    <t>v=DMARC1; p=none; rua=mailto:admin@mcwilliamparkhotel.onmicrosoft.com</t>
  </si>
  <si>
    <t>hotelminella.com</t>
  </si>
  <si>
    <t>marlfieldhouse.ie</t>
  </si>
  <si>
    <t>v=spf1 include:spf.protection.outlook.com include:netaffinity.net include:guestline.net include:roomlynx.net -all</t>
  </si>
  <si>
    <t>riversideparkhotel.com</t>
  </si>
  <si>
    <t>v=spf1 ip4:83.70.152.173 include:spf.protection.outlook.com include:mailanyone.net include:sendgrid.net include:spf.dotmailer.com include:spfa.cpmails.com include:authsmtp.com ~all</t>
  </si>
  <si>
    <t>treacyshotel.com</t>
  </si>
  <si>
    <t>frkelly.com</t>
  </si>
  <si>
    <t>v=spf1 a ip4:62.77.176.35/32 a:mail.frkelly.ie include:spf.topsec.com include:spf.protection.outlook.com include:mailgun.org include:autotask.net  -all</t>
  </si>
  <si>
    <t>v=DMARC1;p=reject;sp=reject;rua=mailto:211a5a2e44@rua.easydmarc.eu;ruf=mailto:211a5a2e44@ruf.easydmarc.eu;fo=1;</t>
  </si>
  <si>
    <t>tpro.ie</t>
  </si>
  <si>
    <t>kellyprecision.ie</t>
  </si>
  <si>
    <t>v=spf1 ip4:93.107.251.214 include:spf.protection.outlook.com include:spf1.emailsecurity.app -all</t>
  </si>
  <si>
    <t>hilti.ie</t>
  </si>
  <si>
    <t>duolog.com</t>
  </si>
  <si>
    <t>electroautomation.com</t>
  </si>
  <si>
    <t>v=spf1 ip4:79.143.177.30 ip4:5.149.172.10 ip4:5.149.172.11 ip4:78.137.164.238 include:_spf.smtp.com include:psi-fusion.com include:spf.protection.outlook.com include:spf-eu.emailsignatures365.com ip4:199.187.172.0/22 ip4:199.244.72.0/22 ip4:185.228.3" "6.0/22 -all</t>
  </si>
  <si>
    <t>amt-sybex.com</t>
  </si>
  <si>
    <t>v=spf1 ip4:217.68.33.162 \010include:_spf.easit.net include:spf.protection.outlook.com include:mail.zohoanalytics.eu -all</t>
  </si>
  <si>
    <t>v=DMARC1; p=reject; rua=mailto:smb-dmarc-notifications@amt-sybex.com; aspf=r; adkim=r</t>
  </si>
  <si>
    <t>grassland.ie</t>
  </si>
  <si>
    <t>v=spf1 mx a a:mx1.roullier.net include:spf.protection.outlook.com include:spf.fusemail.net include:_spf.salesforce.com -all</t>
  </si>
  <si>
    <t>v=DMARC1; p=quarantine; sp=none; rua=mailto:roullier.rua@emailsecurity.merox.io; adkim=r; aspf=r;</t>
  </si>
  <si>
    <t>shoerack.ie</t>
  </si>
  <si>
    <t>v=spf1 +a include:spf.protection.outlook.com -all</t>
  </si>
  <si>
    <t>myson.ie</t>
  </si>
  <si>
    <t>v=spf1 mx include:spf.protection.outlook.com include:eds-fortinet-01.org.rettigicc.net include:eds-fortinet-o365.org.rettigicc.net -all</t>
  </si>
  <si>
    <t>abb.com</t>
  </si>
  <si>
    <t>v=spf1 include:spf.abb.com ip4:212.108.233.70 ip4:203.19.232.232 ip4:92.52.113.146 ip4:92.52.113.148 include:aspmx.pardot.com include:_spf.anpdm.com ip4:80.80.228.50 include:spf.mandrillapp.com ip4:168.138.226.49 ~all</t>
  </si>
  <si>
    <t>v=DMARC1; p=reject; sp=reject; rua=mailto:dmarc_agg@vali.email,mailto:abbcomdmarcrua@abb.com</t>
  </si>
  <si>
    <t>midcorkpallets.com</t>
  </si>
  <si>
    <t>v=DMARC1; p=none; rua=mailto:steve@dcecomputers.ie;</t>
  </si>
  <si>
    <t>tekno-surgical.com</t>
  </si>
  <si>
    <t>bmr.ie</t>
  </si>
  <si>
    <t>v=DMARC1; p=reject; aspf=s; adkim=s; fo=1</t>
  </si>
  <si>
    <t>welchallyn.com</t>
  </si>
  <si>
    <t>v=spf1 exists:%{i}._i.%{d}._d.espf.agari-dns.net include:%{d}.c4.spf-protect.agari-dns.net -all</t>
  </si>
  <si>
    <t>v=DMARC1; p=reject; fo=1; pct=100; ri=3600; rua=mailto:baxter-international@rua.agari.com; ruf=mailto:baxter-international@ruf.agari.com</t>
  </si>
  <si>
    <t>alucraft.ie</t>
  </si>
  <si>
    <t>v=spf1 include:eu._netblocks.mimecast.com include:spf.protection.outlook.com include:_spf.elasticemail.com ~all</t>
  </si>
  <si>
    <t>v=DMARC1; p=none; rua=mailto:44255f35b13c926@rep.dmarcanalyzer.com; ruf=mailto:44255f35b13c926@for.dmarcanalyzer.com; fo=1;</t>
  </si>
  <si>
    <t>galco.ie</t>
  </si>
  <si>
    <t>v=spf1 mx a ip4:89.101.77.100/29 ip4:173.243.133.118/29 include:spf.cloud.vadesecure.com include:spf.protection.outlook.com include:spf.brevo.com -all</t>
  </si>
  <si>
    <t>v=DMARC1; p=none; rua=mailto:dmarc-reports@galco.ie,mailto:rua@dmarc.brevo.com; ruf=mailto:dmarc-reports@galco.ie; fo=1</t>
  </si>
  <si>
    <t>pressco.ie</t>
  </si>
  <si>
    <t>v=spf1 ip4:81.173.14.227 ip4:31.216.233.150  ip4:93.107.146.47 include:_spf.google.com ~all</t>
  </si>
  <si>
    <t>v=DMARC1; p=quarantine; pct=100; rua=mailto:admin@pressco.ie</t>
  </si>
  <si>
    <t>techrefrigeration.com</t>
  </si>
  <si>
    <t>v=spf1 include:spf.protection.outlook.com include:spf.mailanyone.net  -all</t>
  </si>
  <si>
    <t>glennwood.ie</t>
  </si>
  <si>
    <t>v=spf1 ip4:91.216.241.2 include:relay.mailchannels.net ip4:213.191.225.125 include:spf.seg.trustwave.com include:spf.ess.de.barracudanetworks.com ~all</t>
  </si>
  <si>
    <t>tippo.ie</t>
  </si>
  <si>
    <t>v=spf1 include:spf.protection.outlook.com +ip4:83.138.8.118 ~all</t>
  </si>
  <si>
    <t>weatherglaze.ie</t>
  </si>
  <si>
    <t>v=spf1 ip4:91.210.235.40 include:spf.protection.outlook.com include:spf.webhostingireland.ie include:spf1.emailsecurity.app a mx ip4:193.36.43.30 a:mail.esat.net ?all</t>
  </si>
  <si>
    <t>v=DMARC1; p=quarantine; rua=mailto:6d7837d6@mxtoolbox.dmarc-report.com,mailto:114a4427@mxtoolbox.dmarc-report.com; ruf=mailto:6d7837d6@forensics.dmarc-report.com,mailto:114a4427@forensics.dmarc-report.com; fo=1; pct=5</t>
  </si>
  <si>
    <t>barclay.ie</t>
  </si>
  <si>
    <t>v=spf1 ip4:54.93.38.48 ip4:54.93.37.50 ip4:66.206.3.250 include:spf.messagelabs.com include:spf.protection.outlook.com -all</t>
  </si>
  <si>
    <t>masontechnology.ie</t>
  </si>
  <si>
    <t>v=spf1 ip4:190.180.145.25 +a +mx +include:spf.dub1.servername.online +include:mandrillapp.com ~all</t>
  </si>
  <si>
    <t>standex.com</t>
  </si>
  <si>
    <t>v=spf1 ip4:20.98.2.159 ip4:64.199.197.242 ip4:40.140.222.138 ip4:40.129.96.18 ip4:69.20.38.254 ip4:146.20.166.115 ip4:40.135.100.51 include:spf-008ff001.pphosted.com include:spf.protection.outlook.com -all</t>
  </si>
  <si>
    <t>ugpg2.eu</t>
  </si>
  <si>
    <t>arranchemical.ie</t>
  </si>
  <si>
    <t>v=spf1 mx include:aspmx.pardot.com include:spf.dynect.net include:_spf.salesforce.com include:smtp1.newtonsoftware.com include:spf.protection.outlook.com ~all</t>
  </si>
  <si>
    <t>v=DMARC1; p=none; rua=mailto:dmarcreports@almacgroup.com</t>
  </si>
  <si>
    <t>nomadic-dairy.com</t>
  </si>
  <si>
    <t>blenders.ie</t>
  </si>
  <si>
    <t>v=spf1 include:spf.protection.outlook.com ip4:89.185.148.18 -all</t>
  </si>
  <si>
    <t>v=DMARC1;p=reject;rua=mailto:dmarc@paradyn.ie;ruf=mailto:dmarc@paradyn.ie;fo=1;</t>
  </si>
  <si>
    <t>gleesongroup.ie</t>
  </si>
  <si>
    <t>v=spf1 a:mail0.candcgroup.ie a:mail1.candcgroup.ie a:mail2.candcgroup.ie a:mail3.candcgroup.ie a:mail5.candcgroup.ie a:mail6.candcgroup.ie include:spf.protection.outlook.com -all</t>
  </si>
  <si>
    <t>ifi.ie</t>
  </si>
  <si>
    <t>v=spf1 include:spf.protection.outlook.com include:spf.ess.uk.barracudanetworks.com include:spf1.emailsecurity.app -all</t>
  </si>
  <si>
    <t>v=DMARC1; p=none; rua=mailto:dkgjlkcr@rua.dmarceye.com; fo=1; ri=86400</t>
  </si>
  <si>
    <t>inflightdublin.com</t>
  </si>
  <si>
    <t>telegael.com</t>
  </si>
  <si>
    <t>v=spf1 mx a:mail.telegael.com a:mail1.telegael.com -all</t>
  </si>
  <si>
    <t>v=DMARC1; p=reject; pct=100; rua=mailto:dmarc@telegael.com; ruf=mailto:dmarc_forensic@telegael.com; sp=none; ri=86400</t>
  </si>
  <si>
    <t>glenveaghnationalpark.ie</t>
  </si>
  <si>
    <t>v=DMARC1;p=reject;sp=reject;adkim=s;aspf=s</t>
  </si>
  <si>
    <t>jamesonwhiskey.com</t>
  </si>
  <si>
    <t>v=spf1 include:protection.outlook.com include:shops.shopify.com -all</t>
  </si>
  <si>
    <t>v=DMARC1; p=quarantine; rua=mailto:f69c87f16d2b232@rep.dmarcanalyzer.com; ruf=mailto:f69c87f16d2b232@for.dmarcanalyzer.com; fo=1</t>
  </si>
  <si>
    <t>kylemoreabbey.com</t>
  </si>
  <si>
    <t>v=spf1 include:spf.protection.outlook.com a:cloudmail.ie a mx ip4:78.31.212.101/29 ip4:157.245.66.20 ip4:52.214.200.213 ip4:157.230.20.117 include:spf.mandrillapp.com include:_spf.elasticemail.com -all</t>
  </si>
  <si>
    <t>v=DMARC1; p=none; fo=1; rua=mailto:dmarc@sleepless.ie;ruf=mailto:dmarc@sleepless.ie;rf=afrf;pct=100</t>
  </si>
  <si>
    <t>bandonvale.ie</t>
  </si>
  <si>
    <t>v=spf1 +include:spf.protection.outlook.com +include:relay.mailchannels.net +ip4:212.78.228.74 +ip4:93.95.83.44 +ip4:93.95.83.44 -all</t>
  </si>
  <si>
    <t>v=DMARC1; p=none; fo=1; rua=mailto:rua+bandonvale.ie@dmarc.barracudanetworks.com; ruf=mailto:ruf+bandonvale.ie@dmarc.barracudanetworks.com;</t>
  </si>
  <si>
    <t>ingredientsolutions.net</t>
  </si>
  <si>
    <t>v=spf1 a:magnet1.ingredientsolutions.net ip4:87.198.173.166 ip4:87.198.178.190 include:spf.protection.outlook.com include:authsmtp.com -all</t>
  </si>
  <si>
    <t>aurivo.ie</t>
  </si>
  <si>
    <t>v=spf1 a mx ip4:95.83.227.65 ip4:149.72.231.47 include:spf.protection.outlook.com include:mail.zendesk.com -all</t>
  </si>
  <si>
    <t>v=DMARC1; p=quarantine; rua=mailto:dmarcstats@aurivo.ie; ruf=mailto:dmarcstats@aurivo.ie; pct=100; fo=1;</t>
  </si>
  <si>
    <t>westlodgehotel.ie</t>
  </si>
  <si>
    <t>universityarena.com</t>
  </si>
  <si>
    <t>woodforddolmenhotel.ie</t>
  </si>
  <si>
    <t>v=spf1 include:spf.protection.outlook.com include:authsmtp.com include:netaffinity.net include:guestline.net include:roomlynx.net +ip4:84.203.118.24 -all</t>
  </si>
  <si>
    <t>nch.ie</t>
  </si>
  <si>
    <t>v=spf1 ip4:89.185.136.227 ip4:138.201.167.223 ip4:138.201.167.222 ip4:74.200.12.248/30 include:_spf.audienceview.net include:spf.emailsignatures365.com include:spf.protection.outlook.com -all</t>
  </si>
  <si>
    <t>v=DMARC1;p=none;fo=1;rua=mailto:nch_ie_agg@mailwall.com;ruf=mailto:nch_ie_afrf@mailwall.com</t>
  </si>
  <si>
    <t>nuremore.com</t>
  </si>
  <si>
    <t>v=spf1 a mx ip4:199.16.129.190 ~all</t>
  </si>
  <si>
    <t>leehotels.com</t>
  </si>
  <si>
    <t>v=spf1 include:spf.guestjoy.com include:spf_3a.oracleindustry.com include:spf.protection.outlook.com include:netaffinity.net include:spf.mandrillapp.com -all</t>
  </si>
  <si>
    <t>airfield.ie</t>
  </si>
  <si>
    <t>v=spf1 ip4:46.22.128.101 ip4:46.22.135.205 ip4:185.122.132.173 ip4:89.204.218.1 include:spf.mandrillapp.com include:spf.protection.outlook.com include:spf.mailanyone.net -all</t>
  </si>
  <si>
    <t>jti.com</t>
  </si>
  <si>
    <t>v=spf1 include:spf.protection.outlook.com ip4:194.24.4.18 ip4:194.24.4.19 ip4:194.24.4.25 ip4:93.187.188.229 ip4:93.187.188.230 -all</t>
  </si>
  <si>
    <t>v=DMARC1; p=reject; adkim=s; aspf=s; rua=mailto:1mpftc7i@ag.eu.dmarcian.com; ruf=mailto:1mpftc7i@fr.eu.dmarcian.com; fo=1;</t>
  </si>
  <si>
    <t>https://files.jti.com/pages/bimi/jti-2024.svg</t>
  </si>
  <si>
    <t>mcgowansprint.com</t>
  </si>
  <si>
    <t>v=spf1 include:spf.protection.outlook.com include:spf.mailanyone.net -all</t>
  </si>
  <si>
    <t>chtralee.com</t>
  </si>
  <si>
    <t>v=spf1 include:spf.protection.outlook.com include:amazonses.com include:spf.mandrillapp.com -all</t>
  </si>
  <si>
    <t>specialolympics.ie</t>
  </si>
  <si>
    <t>v=spf1 +a +mx ip4:83.174.189.34 ip4:54.240.51.52 ip4:54.240.51.53 ip4:52.215.88.119 ip4:52.208.179.40 ip4:18.200.179.139 ip4:216.235.196.0/22 ip4:216.235.200.0/21 ip4:205.139.104.0/22 ip4:206.79.6.0/24 ip4:185.217.59.0/24 ip4:8.34.161.0/24 ip4:8.224.10.0/" "24 ip4:213.212.96.64/27 ip4:118.186.64.32/28 ip4:185.81.100.1/22 ip4:192.103.120.1/22 include:servers.mcsv.net include:spf.protection.outlook.com include:autotask.net include:sendgrid.net include:eu._netblocks.mimecast.com -all</t>
  </si>
  <si>
    <t>v=DMARC1; p=quarantine; rua=mailto:webmaster@specialolympics.ie;</t>
  </si>
  <si>
    <t>foundation.ie</t>
  </si>
  <si>
    <t>v=spf1 include:spf.protection.outlook.com include:_spf.createsend.com include:smartsimple.com include:smartsimplemailer.com include:smartsimple.ie v=spf1 include:amazonses.com -all</t>
  </si>
  <si>
    <t>ymca.ie</t>
  </si>
  <si>
    <t>kys.ie</t>
  </si>
  <si>
    <t>moneymate.com</t>
  </si>
  <si>
    <t>v=spf1 redirect=confluence.com</t>
  </si>
  <si>
    <t>v=DMARC1; p=reject; rua=mailto:rdg12nvi@ag.eu.dmarcian.com,mailto:dmarc@confluence.com; ruf=mailto:rdg12nvi@fr.eu.dmarcian.com,mailto:dmarc-fr@confluence.com; fo=1:d:s</t>
  </si>
  <si>
    <t>murex.com</t>
  </si>
  <si>
    <t>v=spf1 ip4:185.197.84.5 exists:%{i}.spf.hc1163-86.c3s2.iphmx.com include:spf.protection.outlook.com include:_spf-sfdc.sapsf.com include:em8340.murex.com include:mktomail.com include:amazonses.com include:u2374998.wl249.sendgrid.net" " ip4:148.139.1.8/29 ip4:148.139.0.8/29 ip4:213.41.98.53 ~all</t>
  </si>
  <si>
    <t>v=DMARC1; p=reject; rua=mailto:qhvwsiub@ag.eu.dmarcadvisor.com;</t>
  </si>
  <si>
    <t>ocuco.com</t>
  </si>
  <si>
    <t>v=spf1 ip4:208.98.208.16 ip4:51.141.40.57 ip4:40.81.120.87 ip4:92.51.244.100 ip4:67.226.180.229 ip4:66.11.85.194 ip4:38.88.67.34 ip4:167.89.1.26 ip4:82.201.109.162 ip4:168.245.44.30 ip4:168.245.26.6 include:et._spf.pardot.com include:_spf.salesforce.com i" "nclude:cust-spf.exacttarget.com include:mailsenders.netsuite.com include:spf.emailsignatures365.com include:spf.protection.outlook.com include:spf.interconnect.nl include:139670173.spf05.hubspotemail.net ~all</t>
  </si>
  <si>
    <t>v=DMARC1; p=none; rua=mailto:dmarcagg@ocuco.com; fo=1</t>
  </si>
  <si>
    <t>csgi.com</t>
  </si>
  <si>
    <t>caps.ie</t>
  </si>
  <si>
    <t>dsgpack.ie</t>
  </si>
  <si>
    <t>v=spf1 include:spf.protection.outlook.com ip4:86.47.119.201 ip4:167.235.180.130 -all</t>
  </si>
  <si>
    <t>anpost.com</t>
  </si>
  <si>
    <t>v=spf1 include:spf.protection.outlook.com include:spf.emailingemfasis.es ip4:52.155.248.80 ip4:52.158.43.182 ip4:167.89.86.131 -all</t>
  </si>
  <si>
    <t>v=DMARC1; p=none; pct=100; ri=86400; rua=mailto:DMARCreport@anpost.ie; adkim=r; aspf=r; sp=none;</t>
  </si>
  <si>
    <t>dias.ie</t>
  </si>
  <si>
    <t>v=spf1 ip4:160.6.33.4/24 ip6:2001:770:60:18::4 mx a:ogma.cp.dias.ie mx:admin.dias.ie mx:celt.dias.ie mx:stp.dias.ie ~all</t>
  </si>
  <si>
    <t>v=DMARC1; p=none; sp=none; adkim=r; aspf=r; rua=mailto:dmarc@dias.ie; ruf=mailto:dmarcf@dias.ie</t>
  </si>
  <si>
    <t>intuition.com</t>
  </si>
  <si>
    <t>v=spf1 mx a:mercury.intuition.com ip4:185.69.215.0/25 ip4:91.199.213.0/24 ip4:159.183.178.17 include:spf.protection.outlook.com include:mailgun.org include:spf.mandrillapp.com include:494176.spf05.hubspotemail.net -all</t>
  </si>
  <si>
    <t>v=DMARC1; p=quarantine; rua=mailto:techadmin@intuition.com,mailto:dmarc_agg@vali.email;</t>
  </si>
  <si>
    <t>wwetbtraining.ie</t>
  </si>
  <si>
    <t>v=spf1 include:spf.blacknight.ie include:spf.protection.outlook.com -all</t>
  </si>
  <si>
    <t>sacredhearthuntstown.weebly.com</t>
  </si>
  <si>
    <t>stops.ie</t>
  </si>
  <si>
    <t>stmartinssps.scoilnet.ie</t>
  </si>
  <si>
    <t>coolcotts.com</t>
  </si>
  <si>
    <t>v=spf1 include:_spf.google.com include:spf.graphedia.ie ~all</t>
  </si>
  <si>
    <t>ccsecurity.ie</t>
  </si>
  <si>
    <t>kerryfish.com</t>
  </si>
  <si>
    <t>v=spf1 +a +mx +ip4:35.214.140.208  include:kerryfish.com.spf.auto.dnssmarthost.net ~all</t>
  </si>
  <si>
    <t>v=DMARC1; p=none; fo=1; rua=mailto:hello@kerryfish.com</t>
  </si>
  <si>
    <t>irishbaconslicers.com</t>
  </si>
  <si>
    <t>imancasing.com</t>
  </si>
  <si>
    <t>allianzdirect.ie</t>
  </si>
  <si>
    <t>v=spf1 mx include:spf.allianz.com ip4:80.93.29.199 ip4:80.93.29.201 ip4:168.114.112.22 ip4:168.114.112.23 ip4:54.229.2.165 ~all</t>
  </si>
  <si>
    <t>v=DMARC1; p=reject; fo=1; ri=3600; rua=mailto:Rua-allianz@allianz.com; ruf=mailto:Ruf-allianz@allianz.com</t>
  </si>
  <si>
    <t>leafletcompany.ie</t>
  </si>
  <si>
    <t>kofintl.com</t>
  </si>
  <si>
    <t>98fm.com</t>
  </si>
  <si>
    <t>v=spf1 include:_u.98fm.com._spf.smart.ondmarc.com ~all</t>
  </si>
  <si>
    <t>fm104.ie</t>
  </si>
  <si>
    <t>v=spf1 include:_spf.google.com include:spf-00596a01.pphosted.com ~all</t>
  </si>
  <si>
    <t>kwd.ie</t>
  </si>
  <si>
    <t>v=spf1 include:spf.protection.outlook.com include:authsmtp.com ip4:51.91.57.125 -all</t>
  </si>
  <si>
    <t>maryfieldnursinghome.ie</t>
  </si>
  <si>
    <t>stclaresnursing.ie</t>
  </si>
  <si>
    <t>asboroughlodge.com</t>
  </si>
  <si>
    <t>cuanchaitrionanursinghome.ie</t>
  </si>
  <si>
    <t>stbrendansvillage.com</t>
  </si>
  <si>
    <t>lawsonhouse.ie</t>
  </si>
  <si>
    <t>kayskitchen.ie</t>
  </si>
  <si>
    <t>thekingshead.ie</t>
  </si>
  <si>
    <t>v=spf1 mx a include:spf.protection.outlook.com a:webmail5.myitdepartment.ie a:incoming4.myitdepartment.ie -all</t>
  </si>
  <si>
    <t>jam.ie</t>
  </si>
  <si>
    <t>v=spf1 include:_spf.mx.cloudflare.net ~all</t>
  </si>
  <si>
    <t>merlinshowering.com</t>
  </si>
  <si>
    <t>v=spf1 ip6:fd9c:d030:168c::/48 -all</t>
  </si>
  <si>
    <t>cevalogistics.com</t>
  </si>
  <si>
    <t>v=spf1 include:spf.protection.outlook.com include:%{ir}.%{v}.%{d}.spf.has.pphosted.com include:spf.happyfox.com ~all</t>
  </si>
  <si>
    <t>v=DMARC1; p=reject; pct=100; rua=mailto:dmarc-reports@cevalogistics.com,mailto:dmarc_rua@emaildefense.proofpoint.com; ruf=mailto:dmarc-reports@cevalogistics.com,mailto:dmarc_ruf@emaildefense.proofpoint.com; fo=1; adkim=r; aspf=r</t>
  </si>
  <si>
    <t>ari.ie</t>
  </si>
  <si>
    <t>v=spf1 ip4:54.77.99.99 ip4:52.19.76.163 ip4:91.214.173.12 include:amazonses.com include:spf.protection.outlook.com -all</t>
  </si>
  <si>
    <t>v=DMARC1; p=none; fo=1; rua=mailto:dmarc_agg@vali.email</t>
  </si>
  <si>
    <t>icbf.com</t>
  </si>
  <si>
    <t>v=spf1 redirect=_seg64u6nf.sdmarc.net</t>
  </si>
  <si>
    <t>v=DMARC1; p=reject; pct=100; rua=mailto:a.eg64u6nf@sdmarc.net</t>
  </si>
  <si>
    <t>https://portal.sendmarc.com/storage/domains/bimi/mU7HhNB8jJKEdjsbPeR6MB41SiNwPUYkT0Yuwhle.svg</t>
  </si>
  <si>
    <t>lynk.ie</t>
  </si>
  <si>
    <t>v=spf1 ip4:178.62.83.234 a:piper.hostireland.com a:mail2.lynk.ie ip4:185.156.198.163 ip4:185.32.255.233 ip4:185.32.255.40 ip4:34.252.91.1 include:amazonses.com include:mailgun.org include:eu.transmail.net include:spf.protection.outlook.com ip4:207.58" ".147.64/28 ip4:216.22.15.224/27 ip4:43.228.184.0/22 ip4:103.47.204.0/22 ip4:103.2.140.0/22 ip4:203.31.36.0/22 ip4:170.10.68.0/22 ip4:198.74.56.28 -all</t>
  </si>
  <si>
    <t>v=DMARC1; p=reject; rua=mailto:5586c3c24b@rep.dmarcanalyzer.com; ruf=mailto:dmarc1@lynk.ie; pct=60; fo=0:1:d:s</t>
  </si>
  <si>
    <t>libertiescollege.ie</t>
  </si>
  <si>
    <t>anecto.com</t>
  </si>
  <si>
    <t>v=spf1 ip4:66.206.3.250 a mx ip4:23.111.150.199 include:spf.protection.outlook.com ~all</t>
  </si>
  <si>
    <t>v=DMARC1; p=quarantine; rua=mailto:dmarc@anecto.com; ruf=mailto:dmarc@anecto.com; fo=1; pct=100; adkim=r; aspf=r</t>
  </si>
  <si>
    <t>medentech.com</t>
  </si>
  <si>
    <t>stangelascollege.ie</t>
  </si>
  <si>
    <t>abbeytravel.ie</t>
  </si>
  <si>
    <t>v=spf1 include:de._netblocks.mimecast.com a:mail.clubtravel.ie a:mail-rs1.clubtravel.ie ip4:162.13.67.43 ip4:46.38.183.30 ip4:83.138.154.78 ip4:162.13.66.166 include:spf.protection.outlook.com include:nw007.com ~all</t>
  </si>
  <si>
    <t>v=DMARC1; p=none; ruf=mailto:dmarc-ruf@abbeytravel.ie; rua=mailto:dmarc-rua@abbeytravel.ie;</t>
  </si>
  <si>
    <t>crystalski.ie</t>
  </si>
  <si>
    <t>v=spf1 include:spf.protection.outlook.com include:amazonses.com -all</t>
  </si>
  <si>
    <t>v=DMARC1; p=reject; pct=100; fo=1; ri=3600; rua=mailto:2256e681@inbox.ondmarc.com; ruf=mailto:2256e681@inbox.ondmarc.com;</t>
  </si>
  <si>
    <t>carrgolf.com</t>
  </si>
  <si>
    <t>v=spf1 include:spf.protection.outlook.com include:19557406.spf04.hubspotemail.net -all</t>
  </si>
  <si>
    <t>v=DMARC1; p=reject; pct=100; rua=mailto:dmarc@carrgolf.com; ruf=mailto:dmarc@carrgolf.com</t>
  </si>
  <si>
    <t>castlecool.ie</t>
  </si>
  <si>
    <t>gmsteel.com</t>
  </si>
  <si>
    <t>donohoedrinks.ie</t>
  </si>
  <si>
    <t>macom.com</t>
  </si>
  <si>
    <t>v=spf1 ip4:63.137.182.78 ip4:35.80.141.6 ip4:44.229.121.55 ip4:148.59.100.16/28 include:spf.sendwordnow.com include:spf.protection.outlook.com include:_netblocks.mimecast.com ~all</t>
  </si>
  <si>
    <t>v=DMARC1; p=none; rua=mailto:c7e63aee1c62462eaea913f78ec72df7@dmarc-reports.cloudflare.net;</t>
  </si>
  <si>
    <t>anord.ie</t>
  </si>
  <si>
    <t>v=spf1 include:spf.protection.outlook.com include:spf-002d6701.pphosted.com include:spf1.anord.ie include:spfa.cpmails.com ip4:205.173.129.112 ip4:158.116.232.202 ip4:158.116.214.70 -all</t>
  </si>
  <si>
    <t>v=DMARC1;p=reject;pct=100;aspf=r</t>
  </si>
  <si>
    <t>londis.ie</t>
  </si>
  <si>
    <t>v=spf1 a mx ip4:185.2.66.37 include:spf.mandrillapp.com include:spf.hornetsecurity.com include:eu-west-1.amazonses.com -all</t>
  </si>
  <si>
    <t>orders.zeuspackaging.com</t>
  </si>
  <si>
    <t>uniphar.ie</t>
  </si>
  <si>
    <t>v=spf1 include:spf-00779101.pphosted.com include:spf.protection.outlook.com include:spf.zohomail360.eu a:mail.uniphar.ie ip4:89.101.228.97 -all</t>
  </si>
  <si>
    <t>v=DMARC1; p=none; rua=mailto:dmarc@uniphar.ie;</t>
  </si>
  <si>
    <t>apexfire.ie</t>
  </si>
  <si>
    <t>v=spf1 ip4:217.115.115.31 include:relay.mailchannels.net ip4:217.115.115.36 ip4:159.183.10.91 ip4:217.115.115.155 ip4:52.240.150.170 ip4:216.55.104.92 ip4:62.255.126.94 include:spf.protection.outlook.com include:_spf.psm.knowbe4.com include:spf.mandrillap" "p.com include:spf.icontroller.eu a:send.lunitehosting.nl -all</t>
  </si>
  <si>
    <t>foamalite.ie</t>
  </si>
  <si>
    <t>v=spf1 include:spf.protection.outlook.com ip4:91.229.170.120 -all</t>
  </si>
  <si>
    <t>glengarriffpark.com</t>
  </si>
  <si>
    <t>keohanereadymix.com</t>
  </si>
  <si>
    <t>beechfieldmanor.com</t>
  </si>
  <si>
    <t>carat.com</t>
  </si>
  <si>
    <t>v=spf1 include:spf1b.carat.com include:eu._netblocks.mimecast.com include:_spf.surveygenerator.com include:spf.onprem.dentsuaegis.com include:spf.protection.outlook.com include:emailsrvr.com ip4:176.34.133.159/32 ip4:52.31.132.175/32 ip4:5.61.115.80/28 -a" "ll</t>
  </si>
  <si>
    <t>v=DMARC1; p=none; rua=mailto:f08515305fb8474@rep.dmarcanalyzer.com; ruf=mailto:f08515305fb8474@for.dmarcanalyzer.com; fo=1;</t>
  </si>
  <si>
    <t>fitzwilliamhotel.com</t>
  </si>
  <si>
    <t>v=spf1 include:spf.protection.outlook.com include:spf.synxis.com include:oracleindustry.com  ip4:151.193.18.41 ip4:89.101.249.89 ip4:89.101.98.209 -all</t>
  </si>
  <si>
    <t>dooleycarrentals.com</t>
  </si>
  <si>
    <t>northgatevehiclehire.ie</t>
  </si>
  <si>
    <t>killarneyparkhotel.ie</t>
  </si>
  <si>
    <t>v=spf1 include:spf.protection.outlook.com ip4:151.193.18.41 ip4:147.154.153.87 ip4:138.1.67.161 ip4:138.1.65.17 include:rezmail.synxis.com include:itxmail.synxis.com include:guestjoy.com include:spf.ireshotels.com include:spf.premiersoftware.co.uk include" ":spf.synxis.com include:spf_3a.oracleindustry.com -all</t>
  </si>
  <si>
    <t>glenbrier.ie</t>
  </si>
  <si>
    <t>v=spf1 ip4:83.138.8.118 include:relay.mailchannels.net include:spf.mailanyone.net include:spf.protection.outlook.com -all</t>
  </si>
  <si>
    <t>heightforhire.com</t>
  </si>
  <si>
    <t>v=spf1 include:spf.protection.outlook.com include:spf.exclaimer.net include:_spf.createsend.com ip4:109.70.215.178 -all</t>
  </si>
  <si>
    <t>newgrangehotel.ie</t>
  </si>
  <si>
    <t>v=spf1 include:eu.guestline.net include:spf.protection.outlook.com mx include:netaffinity.net a:mail.cusackhotels.com -all</t>
  </si>
  <si>
    <t>killeshal.com</t>
  </si>
  <si>
    <t>v=spf1 include:spf.mailjet.com ip4:217.115.123.173 ip4:86.47.214.33 include:spf.protection.outlook.com ~all</t>
  </si>
  <si>
    <t>treacyshotelwaterford.com</t>
  </si>
  <si>
    <t>woodlandshotel.ie</t>
  </si>
  <si>
    <t>v=spf1 ip4:91.210.235.130 include:spf.webhostingireland.ie +a +mx ~all</t>
  </si>
  <si>
    <t>presentationcollegecarlow.com</t>
  </si>
  <si>
    <t>v=spf1 include:spf.protection.outlook.com include:87.40.210.136 include:87.32.4.196 include:87.42.62.130 ~all</t>
  </si>
  <si>
    <t>ward.ie</t>
  </si>
  <si>
    <t>v=spf1 mx a ip4:93.94.119.240/28 ip4:84.45.11.0/24 ip4:52.138.174.3/32 ip4:87.252.209.160/28 include:3840654.spf07.hubspotemail.net include:eu._netblocks.mimecast.com include:spf.protection.outlook.com -all</t>
  </si>
  <si>
    <t>v=DMARC1; p=quarantine; rua=mailto:e146adbe1392694@rep.dmarcanalyzer.com; ruf=mailto:e146adbe1392694@for.dmarcanalyzer.com; sp=quarantine; fo=1</t>
  </si>
  <si>
    <t>cif.ie</t>
  </si>
  <si>
    <t>v=spf1 include:_u.cif.ie._spf.smart.ondmarc.com ~all</t>
  </si>
  <si>
    <t>v=DMARC1; p=reject; pct=100; sp=none; rua=mailto:8c514ca4@inbox.ondmarc.com; ruf=mailto:8c514ca4@inbox.ondmarc.com; adkim=r; aspf=r; fo=0; rf=afrf; ri=3600</t>
  </si>
  <si>
    <t>fitzgibbonsinteriors.ie</t>
  </si>
  <si>
    <t>roche.com</t>
  </si>
  <si>
    <t>v=spf1 redirect=roche.com.hosted.spf-report.com</t>
  </si>
  <si>
    <t>v=DMARC1; p=reject; rua=mailto:88a488cb@mxtoolbox.dmarc-report.com,mailto:dmarc@ayba8dhs.uriports.com; ruf=mailto:88a488cb@forensics.dmarc-report.com,mailto:dmarc@ayba8dhs.uriports.com; fo=1; pct=100</t>
  </si>
  <si>
    <t>protrans.ie</t>
  </si>
  <si>
    <t>v=spf1 +include:relay.mailchannels.net include:spf.protection.outlook.com -all</t>
  </si>
  <si>
    <t>arancandy.com</t>
  </si>
  <si>
    <t>rexelindustrial.ie</t>
  </si>
  <si>
    <t>v=spf1 a mx ip4:82.147.15.84 ip4:5.102.187.6 ip4:203.174.144.1/26 ip4:5.102.187.12 ip4:5.102.187.10 include:spf.protection.outlook.com -all</t>
  </si>
  <si>
    <t>v=DMARC1; p=quarantine; pct=100; rua=mailto:dmarc-REIndustralIE@RexelIndustrial.IE; ruf=mailto:dmarc-REIndustralIE_ruf@RexelIndustrial.IE</t>
  </si>
  <si>
    <t>stjosephsnursinghome.ie</t>
  </si>
  <si>
    <t>todayfm.com</t>
  </si>
  <si>
    <t>v=spf1 include:_u.todayfm.com._spf.smart.ondmarc.com ~all</t>
  </si>
  <si>
    <t>v=DMARC1; p=reject; pct=100; sp=reject; rua=mailto:5352a03e@inbox.eu.redsift.cloud; ruf=mailto:5352a03e@inbox.eu.redsift.cloud; adkim=r; aspf=r; fo=1; rf=afrf; ri=3600</t>
  </si>
  <si>
    <t>reddyarchitecture.com</t>
  </si>
  <si>
    <t>v=spf1 ip4:88.211.77.14 include:spf.protection.outlook.com include:spf.smtp2go.com -all</t>
  </si>
  <si>
    <t>belfrypub.com</t>
  </si>
  <si>
    <t>imi.ie</t>
  </si>
  <si>
    <t>v=spf1 ip4:83.142.230.177 ip4:87.117.199.66 include:eu.mailgun.org include:outlook.com ~all</t>
  </si>
  <si>
    <t>mediacube.ie</t>
  </si>
  <si>
    <t>v=spf1 +a +mx +ip4:35.214.169.65  include:mediacube.ie.spf.auto.dnssmarthost.net ~all</t>
  </si>
  <si>
    <t>ism.ie</t>
  </si>
  <si>
    <t>v=spf1 include:spf.mandrillapp.com include:eu._netblocks.mimecast.com include:sendgrid.net include:mailgun.org include:eu.zcsend.net include:spf.protection.outlook.com include:145786105.spf04.hubspotemail.net ~all</t>
  </si>
  <si>
    <t>electricireland.ie</t>
  </si>
  <si>
    <t>v=spf1 include:amazonses.com ~all</t>
  </si>
  <si>
    <t>v=DMARC1; p=none; pct=100; fo=1; ri=3600; rua=mailto:a4714750@inbox.ondmarc.com,mailto:dmarcnotifications@esb.ie; ruf=mailto:a4714750@inbox.ondmarc.com,mailto:dmarcnotifications@esb.ie;</t>
  </si>
  <si>
    <t>fmservicesgroup.ie</t>
  </si>
  <si>
    <t>v=spf1 include:_spf.hostedemail.com ~all</t>
  </si>
  <si>
    <t>addictionireland.ie</t>
  </si>
  <si>
    <t>v=spf1 a:spf.webtrade.ie include:relay.mailchannels.net ~all</t>
  </si>
  <si>
    <t>nationaltransport.ie</t>
  </si>
  <si>
    <t>v=spf1 a mx a:mail.nationaltransport.ie a:sid.customerminds.com ip4:54.229.2.165 ip4:52.30.130.201 ip4:23.251.238.221 include:spf.protection.outlook.com ip4:134.213.243.206 ip4:137.191.247.149 ~all</t>
  </si>
  <si>
    <t>v=DMARC1; p=quarantine; pct=100; fo=1; rua=mailto:dmarc-reports@nationaltransport.ie; ruf=mailto:dmarc-forensics@nationaltransport.ie</t>
  </si>
  <si>
    <t>kerryetb.ie</t>
  </si>
  <si>
    <t>v=spf1 ip4:83.71.152.33 ip4:137.191.249.74 ip4:212.147.128.121 ip4:86.42.146.97 ip4:137.191.224.102 include:spf.ymlp.com include:spf.dcsnet.ie include:spf1.kerryetb.ie include:spf-eu.emailsignatures365.com include:spf.topsec.com include:spf.protection.out" "look.com -all</t>
  </si>
  <si>
    <t>v=DMARC1;  p=none; rua=mailto:5e550f6b2e2f4d8eae0eb5c2e885b0f2@dmarc-reports.cloudflare.net</t>
  </si>
  <si>
    <t>stcolumbascollege.ie</t>
  </si>
  <si>
    <t>v=spf1 +mx +a +ip4:185.43.232.25 +include:spf.webhostingireland.ie ~all</t>
  </si>
  <si>
    <t>calasanctius.ie</t>
  </si>
  <si>
    <t>patriciansecondary.com</t>
  </si>
  <si>
    <t>mountrathcs.ie</t>
  </si>
  <si>
    <t>crescentsj.com</t>
  </si>
  <si>
    <t>v=spf1 include:spf.protection.outlook.com include:sendgrid.net a mx ip4:51.144.176.17 -all</t>
  </si>
  <si>
    <t xml:space="preserve">v=DMARC1; p=none; </t>
  </si>
  <si>
    <t>johnthebaptistcs.ie</t>
  </si>
  <si>
    <t>brackencourt.ie</t>
  </si>
  <si>
    <t>v=spf1 include:spf.protection.outlook.com include:netaffinity.net include:sendgrid.net -all</t>
  </si>
  <si>
    <t>westcourt.ie</t>
  </si>
  <si>
    <t>thehamlet.ie</t>
  </si>
  <si>
    <t>v=spf1 +mx +a +ip4:184.171.244.113 +include:dimenoc.com ~all</t>
  </si>
  <si>
    <t>abbeyhotel.ie</t>
  </si>
  <si>
    <t>v=spf1 ip4:86.43.116.41 +a +mx include:netaffinity.net include:authsmtp.com include:spf.protection.outlook.com include:netaffinity.net -all</t>
  </si>
  <si>
    <t>unbrako.com</t>
  </si>
  <si>
    <t>v=spf1 redirect=_spf.mailhostbox.com include:spf.protection.outlook.com ~all</t>
  </si>
  <si>
    <t>v=DMARC1; p=none; rua=mailto:c8ad4247@mxtoolbox.dmarc-report.com; ruf=mailto:c8ad4247@forensics.dmarc-report.com; fo=1</t>
  </si>
  <si>
    <t>ovelle.ie</t>
  </si>
  <si>
    <t>v=spf1 ip4:190.180.145.25 include:_spf.google.com ~all</t>
  </si>
  <si>
    <t>prestigefoods.ie</t>
  </si>
  <si>
    <t>mhlcleaning.com</t>
  </si>
  <si>
    <t>v=spf1 mx a include:spf1.tibus.net -all</t>
  </si>
  <si>
    <t>4seasonshotel.ie</t>
  </si>
  <si>
    <t>v=spf1 a:dispatch-eu.ppe-hosted.com include:netaffinity.net include:spf.protection.outlook.com include:authsmtp.com ~all</t>
  </si>
  <si>
    <t>brunswickpress.ie</t>
  </si>
  <si>
    <t>amdocs.com</t>
  </si>
  <si>
    <t>v=spf1 ip4:5.61.115.80/28 ip4:69.150.27.64/26 ip4:202.91.135.67 ip4:202.91.135.133 ip4:193.43.244.133/28" " exists:%{i}.spf.hc834-32.eu.iphmx.com include:_spf.salesforce.com include:mktomail.com include:_spf-dc8.successfactors.com include:spf.mailjet.com include:_spf-dc4.sapsf.com ~all</t>
  </si>
  <si>
    <t>v=DMARC1; p=quarantine; fo=1; pct=0; ri=3600; rua=mailto:amdocs@rua.dmp.cisco.com; ruf=mailto:amdocs@ruf.dmp.cisco.com</t>
  </si>
  <si>
    <t>rangelandfoods.com</t>
  </si>
  <si>
    <t>v=spf1 include:spf.blacknight.com include:spf.protection.outlook.com -all</t>
  </si>
  <si>
    <t>drakelandshouse.com</t>
  </si>
  <si>
    <t>flynnsoflackagh.com</t>
  </si>
  <si>
    <t>kirchhoff.ie</t>
  </si>
  <si>
    <t>toyota.ie</t>
  </si>
  <si>
    <t>v=spf1 mx include:spf.protection.outlook.com include:_spf.salesforce.com include:authsmtp.com -all</t>
  </si>
  <si>
    <t>v=DMARC1; p=quarantine; pct=100; rua=mailto:helpdesk@toyota.ie</t>
  </si>
  <si>
    <t>iveco.com</t>
  </si>
  <si>
    <t>v=spf1 ip4:46.51.192.91  ip4:151.92.0.0/16 ip4:160.220.0.0/16 ip4:151.88.176.0/24 include:spf_out.ivecogroup.com -all</t>
  </si>
  <si>
    <t>v=DMARC1; p=quarantine; fo=1; rua=mailto:dmarc_rua@emaildefense.proofpoint.com; ruf=mailto:dmarc_ruf@emaildefense.proofpoint.com</t>
  </si>
  <si>
    <t>atkins.ie</t>
  </si>
  <si>
    <t>v=spf1 include:spf.protection.outlook.com include:spf.reg365.net include:authsmtp.com ~all</t>
  </si>
  <si>
    <t>tfmltd.com</t>
  </si>
  <si>
    <t>v=spf1 include:spf.protection.outlook.com a:mail.ibcosonline.co.uk include:spf.exclaimer.net IP4:78.40.32.100 IP4:78.40.32.110 IP4:148.252.9.94 -all</t>
  </si>
  <si>
    <t>v=DMARC1; p=quarantine; rua=mailto:dmarcreports@tfmltd.com; ruf=mailto:dmarcreports@tfmltd.com; fo=0; pct=100; adkim=r; aspf=r</t>
  </si>
  <si>
    <t>mincon.com</t>
  </si>
  <si>
    <t>v=DMARC1; p=none; rua=mailto:m365.alerts@mincon.com; ruf=mailto:m365.alerts@mincon.com; fo=1; pct=100</t>
  </si>
  <si>
    <t>bunzl.ie</t>
  </si>
  <si>
    <t>v=DMARC1; p=quarantine; rua=mailto:dmarc_agg@vali.email; fo=1</t>
  </si>
  <si>
    <t>irish-equine-centre.ie</t>
  </si>
  <si>
    <t>glassonlakehouse.ie</t>
  </si>
  <si>
    <t>v=spf1 include:spf.protection.outlook.com include:spf.eu.exclaimer.net include:oracleindustry.com -all</t>
  </si>
  <si>
    <t>isuzu.ie</t>
  </si>
  <si>
    <t>v=DMARC1; p=quarantine; fo=1; rua=mailto:dmarc@isuzu.ie; ruf=mailto:dmarc@isuzu.ie; pct=90</t>
  </si>
  <si>
    <t>irishcranehire.com</t>
  </si>
  <si>
    <t>protectionappeals.ie</t>
  </si>
  <si>
    <t>v=spf1 mx ip4:137.191.252.74 ip4:137.191.252.75 -all</t>
  </si>
  <si>
    <t>osullivansbar.ie</t>
  </si>
  <si>
    <t>v=spf1 ip4:185.43.232.184 a mx include:_spf.google.com include:spf.antispamcloud.com ~all</t>
  </si>
  <si>
    <t>bitc.ie</t>
  </si>
  <si>
    <t>teg.com</t>
  </si>
  <si>
    <t>v=spf1 include:spf.protection.outlook.com +a +mx include:spf.topsec.com -all</t>
  </si>
  <si>
    <t>eisneramper.ie</t>
  </si>
  <si>
    <t>v=spf1 include:spf.protection.outlook.com include:eu._netblocks.mimecast.com -all</t>
  </si>
  <si>
    <t>v=DMARC1;p=reject;sp=reject;pct=100;rua=mailto:cc789e6eee@rua.easydmarc.eu;ruf=mailto:cc789e6eee@ruf.easydmarc.eu;ri=86400;aspf=r;adkim=r;fo=1;</t>
  </si>
  <si>
    <t>colaisteide.ie</t>
  </si>
  <si>
    <t>ezlivinginteriors.com</t>
  </si>
  <si>
    <t>v=spf1 include:spf.sendinblue.com mx a ip4:165.84.208.0/24 include:spf.protection.outlook.com include:spf.exclaimer.net include:spf2.ezlivinginteriors.com include:emailfreshdesk.com include:spf.mailanyone.net include:143502589.spf06.hubspotemail.net ~all</t>
  </si>
  <si>
    <t>v=DMARC1; p=none; sp=none; rua=mailto:dmarc@mailinblue.com!10m; ruf=mailto:dmarc@mailinblue.com!10m; rf=afrf; pct=100; ri=86400</t>
  </si>
  <si>
    <t>jfp.ie</t>
  </si>
  <si>
    <t>miml.ie</t>
  </si>
  <si>
    <t>mrbinman.com</t>
  </si>
  <si>
    <t>v=DMARC1; p=none; rua=mailto:maildmarc@mrbinman.com; ruf=mailto:maildmarc@mrbinman.com; sp=none; ri=86400</t>
  </si>
  <si>
    <t>qrl.ie</t>
  </si>
  <si>
    <t>v=spf1 include:spf.protection.outlook.com ip4:84.51.251.227 ip4:212.78.224.147 a:cloud4.amcsgroup.com include:authsmtp.com -all</t>
  </si>
  <si>
    <t>nostra.ie</t>
  </si>
  <si>
    <t>v=spf1 include:spf.protection.outlook.com include:autotask.net include:eu._netblocks.mimecast.com include:spf.exclaimer.net include:servers.mcsv.net include:6586605.spf03.hubspotemail.net include:spf.smtp2go.com include:spf.mandrillapp.com ip4:205.234.30." "154 ip4:13.69.226.128/25 -all</t>
  </si>
  <si>
    <t>v=DMARC1; p=quarantine; sp=quarantine; rua=mailto:dmarc@nostra.ie; ruf=mailto:dmarc@nostra.ie; fo=1; pct=100</t>
  </si>
  <si>
    <t>asi-revenue.com</t>
  </si>
  <si>
    <t>ksn.ie</t>
  </si>
  <si>
    <t>v=spf1 include:spf.protection.outlook.com include:spf.exclaimer.net include:spf.mandrillapp.com -all</t>
  </si>
  <si>
    <t>v=DMARC1; p=quarantine; rua=mailto:hosting@ksn.ie; ruf=mailto:hosting@ksn.ie; fo=1; pct=75;</t>
  </si>
  <si>
    <t>stewart.ie</t>
  </si>
  <si>
    <t>v=spf1 ip4:66.206.3.250 +a +mx +ip4:206.51.235.130 +ip4:20.26.227.71 +ip4:52.17.45.98 +ip4:52.16.190.81 +ip4:52.30.130.201 +ip4:54.229.2.165 +include:spf.protection.outlook.com -all</t>
  </si>
  <si>
    <t>v=DMARC1;p=quarantine;sp=none;adkim=r;aspf=r;pct=100;fo=0;rf=afrf;ri=86400</t>
  </si>
  <si>
    <t>firstirelandspirits.com</t>
  </si>
  <si>
    <t>v=spf1 include:spf.protection.outlook.com include:spf-uk.emailsignatures365.com include:eu._netblocks.mimecast.com include:_spf.workforceready.eu -all</t>
  </si>
  <si>
    <t>v=DMARC1; p=none; rua=mailto:4c1433119850876@rep.dmarcanalyzer.com; ruf=mailto:4c1433119850876@for.dmarcanalyzer.com; fo=1;</t>
  </si>
  <si>
    <t>edenderrypower.ie</t>
  </si>
  <si>
    <t>v=spf1 include:spf.topsec.com include:nw010.com include:spf.protection.outlook.com ip4:109.70.215.137 -all</t>
  </si>
  <si>
    <t>v=dmarc1; p=none</t>
  </si>
  <si>
    <t>kingmoffatt.com</t>
  </si>
  <si>
    <t>v=spf1 ip4:83.219.42.59 ip4:185.52.92.138 include:turbo-smtp.com include:email.kianda.com include:spf.protection.outlook.com -all</t>
  </si>
  <si>
    <t>v=DMARC1; p=reject; rua=mailto:kpopqbei@ag.dmarcian-eu.com;</t>
  </si>
  <si>
    <t>rwardenburke.com</t>
  </si>
  <si>
    <t>msmeng.ie</t>
  </si>
  <si>
    <t>felectaireland.com</t>
  </si>
  <si>
    <t>inishowengateway.com</t>
  </si>
  <si>
    <t>thekilleshin.com</t>
  </si>
  <si>
    <t>macroomhaulage.com</t>
  </si>
  <si>
    <t>def.ie</t>
  </si>
  <si>
    <t>oreillytransport.ie</t>
  </si>
  <si>
    <t>v=spf1 ip4:185.122.132.45 ip4:185.122.132.65 include:spf.protection.outlook.com ~all</t>
  </si>
  <si>
    <t>flemingtransport.com</t>
  </si>
  <si>
    <t>lottery.ie</t>
  </si>
  <si>
    <t>v=spf1 ip4:217.112.145.162 ip4:217.112.145.163 ip4:154.50.193.18 ip4:168.245.21.201 ip4:185.81.100.0/22 ip4:54.93.78.134 ip4:59.93.137.237 ip4:54.93.151.48 ip4:54.93.154.157 ip4:54.93.162.246 ip4:89.124.244.132 ip4:149.6.4.100 ip4:85.255.23.11 include:spf" ".protection.outlook.com include:mail.zendesk.com include:_spf.psm.knowbe4.com include:spf.mandrillapp.com include:servers.mcsv.net include:spf.eu.signature365.net -all</t>
  </si>
  <si>
    <t>v=DMARC1; p=quarantine; rua=mailto:h9pgmkye@ag.dmarcian.eu; ruf=mailto:h9pgmkye@fr.dmarcian.eu;</t>
  </si>
  <si>
    <t>horizonpharma.com</t>
  </si>
  <si>
    <t>v=spf1 include:servers.mcsv.net include:sendgrid.net include:email.peoplevine.com include:mailgun.org exists:%{i}._spf.mta.salesforce.com include:spf.protection.outlook.com include:spf-003eea01.pphosted.com ~all</t>
  </si>
  <si>
    <t>piab.ie</t>
  </si>
  <si>
    <t>v=spf1 mx ip4:62.77.181.0/24 ip4:137.191.232.16/29 ip4:137.191.224.114/32 ip4:137.191.232.176/28 ip4:193.178.98.68/31 ip4:51.140.50.9/32 include:scanscope.net include:spf.protection.outlook.com ~all</t>
  </si>
  <si>
    <t>v=DMARC1; p=quarantine; pct=100; rua=mailto:dmarc@piab.ie; ruf=mailto:dmarc@piab.ie; fo=1</t>
  </si>
  <si>
    <t>bim.ie</t>
  </si>
  <si>
    <t>v=spf1 ip4:137.191.242.130 mx include:_spf.qp-mail.eu include:spf.protection.outlook.com include:_spf.salesforce.com include:servers.mcsv.net include:spf.stackmail.com -all</t>
  </si>
  <si>
    <t>v=DMARC1; p=quarantine; fo=1; rua=mailto:dmarc_reports@bim.ie; ruf=mailto:dmarc_reports@bim.ie</t>
  </si>
  <si>
    <t>injuriesboard.ie</t>
  </si>
  <si>
    <t>v=spf1 mx ip4:62.77.181.0/24 ip4:137.191.232.16/29 ip4:137.191.224.114/32 ip4:137.191.232.176/28 ip4:193.178.98.68/31 ip4:51.140.50.9/32 include:scanscope.net include:spf.protection.outlook.com -all</t>
  </si>
  <si>
    <t>v=DMARC1; p=none; pct=100; rua=mailto:dmarc@injuriesboard.ie; ruf=mailto:dmarc@injuriesboard.ie; fo=1</t>
  </si>
  <si>
    <t>udaras.ie</t>
  </si>
  <si>
    <t>v=spf1 +a +mx +ip4:137.191.235.213 +include:spf.protection.outlook.com +include:servers.mcsv.net +include:spfss1.udaras.ie -all</t>
  </si>
  <si>
    <t>v=DMARC1; p=quarantine; rua=mailto:dmarc@udaras.ie; ruf=mailto:dmarc@udaras.ie; pct=100;  fo=1;</t>
  </si>
  <si>
    <t>stleoscarlow.ie</t>
  </si>
  <si>
    <t>belvederecollege.ie</t>
  </si>
  <si>
    <t>v=spf1 ip4:10.10.4.24 include:spf.protection.outlook.com include:_spf.intacct.com include:27120253.spf08.hubspotemail.net exists:%{i}._spf.inkyphishfence.com ~all</t>
  </si>
  <si>
    <t>v=DMARC1; p=quarantine; rua=mailto:postmaster.be@belvederecollege.ie;</t>
  </si>
  <si>
    <t>cabinteelycs.ie</t>
  </si>
  <si>
    <t>v=spf1 a include:spf.protection.outlook.com include:spf.blacknight.com -all</t>
  </si>
  <si>
    <t>loretobalbriggan.ie</t>
  </si>
  <si>
    <t>v=spf1 ip4:185.224.198.54 include:_spf.google.com ~all</t>
  </si>
  <si>
    <t>lucancc.ie</t>
  </si>
  <si>
    <t>skerriescommunitycollege.ie</t>
  </si>
  <si>
    <t>saintaugustines.ie</t>
  </si>
  <si>
    <t>stmichaelsfinglas.scoilnet.ie</t>
  </si>
  <si>
    <t>sligogrammarschool.org</t>
  </si>
  <si>
    <t>v=spf1 mx ip4:164.92.217.69 ip4:104.248.81.172 include:relay.mailchannels.net include:spf.protection.outlook.com ~all</t>
  </si>
  <si>
    <t>cashelcommunityschool.ie</t>
  </si>
  <si>
    <t>v=spf1 +a +mx +ip4:81.17.241.121 include:spf.webhostingireland.ie include:_spf.google.com ~all</t>
  </si>
  <si>
    <t>delasallewaterford.com</t>
  </si>
  <si>
    <t>wcfe.ie</t>
  </si>
  <si>
    <t>v=spf1 ip4:162.253.153.85 +a +mx +ip4:162.253.153.83 ~all</t>
  </si>
  <si>
    <t>hotelkilmore.ie</t>
  </si>
  <si>
    <t>bluehavenkinsale.com</t>
  </si>
  <si>
    <t>v=spf1 mx ip4:92.52.113.135 ip4:212.64.131.152 ip4:162.13.103.214 ip4:66.96.128.0/18 include:spf.protection.outlook.com include:netaffinity.net ~all</t>
  </si>
  <si>
    <t>mcgettiganshotel.com</t>
  </si>
  <si>
    <t>claytonhoteldublinairport.com</t>
  </si>
  <si>
    <t>dublinskylonhotel.com</t>
  </si>
  <si>
    <t>v=spf1 a mx ip4:20.76.82.246 ip4:20.76.82.120 ip4:20.50.2.51 ip4:20.76.82.215 ip4:20.76.82.224 ip4:20.76.83.36 ip4:20.76.83.56 include:spf.protection.outlook.com include:netaffinity.net include:sendgrid.net -all</t>
  </si>
  <si>
    <t>dylan.ie</t>
  </si>
  <si>
    <t>v=spf1 include:spf.protection.outlook.com include:amazonses.com ip4:35.192.181.145 ip4:35.222.49.21 ip4:34.132.184.222 ip4:34.69.44.134 ip4:35.223.170.93 ip4:34.86.254.203 ip4:34.85.182.168 ip4:34.145.244.232 ip4:34.150.215.45 ip4:35.245.27.80 " "include:netaffinity.net include:eu.rp.oracleemaildelivery.com -all</t>
  </si>
  <si>
    <t>v=DMARC1; p=reject; rua=mailto:sgraham@dylan.ie; ruf=mailto:sgraham@dylan.ie; sp=reject; aspf=s; ri=86400</t>
  </si>
  <si>
    <t>claregalwayhotel.ie</t>
  </si>
  <si>
    <t>v=spf1 include:guestline.net include:sendgrid.net include:roomlynx.net include:spf.protection.outlook.com include:darwin.krystal.co.uk include:mail1.wpengine.com ip4:52.166.124.85 ip4:20.184.12.41 ip4:149.72.1.66 -all</t>
  </si>
  <si>
    <t>thegalmont.com</t>
  </si>
  <si>
    <t>v=spf1 ip4:89.101.65.89 include:spf.protection.outlook.com include:spf.premiersoftware.co.uk include:spf.mandrillapp.com include:_spf.bookassist.com Include:_spf.salesforce.com -all</t>
  </si>
  <si>
    <t>v=DMARC1; p=quarantine; pct=100; rua=mailto:dmarc@thegalmont.com; ruf=mailto:dmarc@thegalmont.com</t>
  </si>
  <si>
    <t>killarneyinternational.com</t>
  </si>
  <si>
    <t>lyrath.com</t>
  </si>
  <si>
    <t>springhillcourt.com</t>
  </si>
  <si>
    <t>v=spf1 ip4:213.191.226.7 include:spf.protection.outlook.com include:netaffinity.net -all</t>
  </si>
  <si>
    <t>hotelwestport.ie</t>
  </si>
  <si>
    <t>v=spf1 include:spf.protection.outlook.com include:eu._netblocks.mimecast.com include:spf.emailsignatures365.com include:netaffinity.net -all</t>
  </si>
  <si>
    <t>citynorthhotel.com</t>
  </si>
  <si>
    <t>v=spf1 include:spf.protection.outlook.com include:_spf.bookassist.com include:guestline.net -all</t>
  </si>
  <si>
    <t>v=DMARC1; p=none; rua=mailto:admin@citynorthhotel.com; ruf=mailto:dmarc@citynorthhotel.com; sp=none; fo=1;</t>
  </si>
  <si>
    <t>ardboynehotel.com</t>
  </si>
  <si>
    <t>v=spf1 mx a:mail.cusackhotels.com include:spf.protection.outlook.com ip4:86.47.104.18 ip4:159.134.198.135 include:netaffinity.net ~all</t>
  </si>
  <si>
    <t>grevillearmshotel.ie</t>
  </si>
  <si>
    <t>v=spf1 ip4:209.124.66.28 ip4:35.214.241.152 include:spf.supercp.com include:spf.protection.outlook.com -all</t>
  </si>
  <si>
    <t>brandonhousehotel.ie</t>
  </si>
  <si>
    <t>v=spf1 a:mail.brandonhousehotel.ie include:spf.guestjoy.com include:netaffinity.net include:spf.mailanyone.net include:spf.protection.outlook.com include:roomlynx.net ip4:205.201.128.0/20 ip4:198.2.128.0/18 ip4:148.105.8.0/21 ip4:52.166.124.85 ip4:20" ".184.12.41 ip4:149.72.1.66 -all</t>
  </si>
  <si>
    <t>riverbankhousehotel.com</t>
  </si>
  <si>
    <t>v=spf1 include:spf.protection.outlook.com a mx include:netaffinity.net include:spf.blacknight.ie include:spfa.cpmails.com ~all</t>
  </si>
  <si>
    <t>whitfordhousehotel.ie</t>
  </si>
  <si>
    <t>legalaidboard.ie</t>
  </si>
  <si>
    <t>v=spf1 a mx ip4:137.191.230.178 include:spf.protection.outlook.com  -all</t>
  </si>
  <si>
    <t>v=DMARC1; p=reject; pct=0; rua=mailto:6356a653ba@rua.easydmarc.eu; ruf=mailto:6356a653ba@ruf.easydmarc.eu;ri=3600;fo=1</t>
  </si>
  <si>
    <t>wilkergroup.com</t>
  </si>
  <si>
    <t>fwmetals.com</t>
  </si>
  <si>
    <t>v=spf1 mx a:exchange.fwmetals.com a:mail.fwmetals.com a:router.fwmetals.com include:spf.protection.outlook.com include:dnsma.accellion.com include:dnsus1.accellion.com include:dnsus2.accellion.com include:aspmx.pardot.com include:_spf.salesforce.com inclu" "de:_spf.psm.knowbe4.com -all</t>
  </si>
  <si>
    <t>v=DMARC1;  p=none; rua=mailto:a5fc4285a66b4bd09e42313761f54088@dmarc-reports.cloudflare.net</t>
  </si>
  <si>
    <t>info@oconnorsbakery.com</t>
  </si>
  <si>
    <t>thundersbakery.ie</t>
  </si>
  <si>
    <t>flogas.ie</t>
  </si>
  <si>
    <t>v=spf1 include:spf.protection.outlook.com include:emaileuc.freshservice.com include:workforceready.eu include:shops.shopify.com include:sendgrid.net include:spf.mandrillapp.com ip4:149.72.159.162 ip4:104.198.207.207 -all</t>
  </si>
  <si>
    <t>v=DMARC1; p=reject; rua=mailto:fraudalert@flogas.ie; ruf=mailto:fraudalert@flogas.ie; sp=quarantine; ri=86400</t>
  </si>
  <si>
    <t>taylormadeglass.com</t>
  </si>
  <si>
    <t>v=spf1 exists:%{i}.spf.lci1.iphmx.com ip4:68.232.135.248 ip4:68.232.131.51 include:spf.protection.outlook.com -all</t>
  </si>
  <si>
    <t>v=DMARC1; p=none; rua=mailto:db85daabc5b7606@rep.dmarcanalyzer.com; ruf=mailto:db85daabc5b7606@for.dmarcanalyzer.com; sp=none; fo=1;</t>
  </si>
  <si>
    <t>reagecon.com</t>
  </si>
  <si>
    <t>newbridgesilverware.com</t>
  </si>
  <si>
    <t>v=spf1 include:spf.protection.outlook.com include:sg.newbridgesilverware.com include:sendgrid.net include:azurespf.irpcommerce.com -all</t>
  </si>
  <si>
    <t>v=DMARC1;p=none;rua=mailto:dmarcreports@newbridgesilverware.com</t>
  </si>
  <si>
    <t>kubekitchens.ie</t>
  </si>
  <si>
    <t>toyotaforklifts.ie</t>
  </si>
  <si>
    <t>roramotion.com</t>
  </si>
  <si>
    <t>v=spf1 include:spf.protection.outlook.de include:spf.protection.outlook.com -all</t>
  </si>
  <si>
    <t>tmblinds.com</t>
  </si>
  <si>
    <t>v=spf1 include:%{ir}.%{v}.%{d}.spf.has.pphosted.com ip4:78.153.216.58 ip4:149.5.37.42 include:eu._extnetblocks.mimecast.com include:eu._netblocks.mimecast.com include:spf.sendinblue.com include:spf.protection.outlook.com include:spf.fusemail.net incl" "ude:_spf.soluno.se ~all</t>
  </si>
  <si>
    <t>pei.ie</t>
  </si>
  <si>
    <t xml:space="preserve">v=spf1 ip4:68.232.159.152/32 ip4:68.232.151.139/32 include:spf.protection.outlook.com include:spf.ers.ie include:spf.zendesk.com </t>
  </si>
  <si>
    <t>v=DMARC1; p=quarantine; rua=mailto:dmarc_reports@pei.ie;</t>
  </si>
  <si>
    <t>neuravi.com</t>
  </si>
  <si>
    <t>duggansteel.ie</t>
  </si>
  <si>
    <t>harringtonconcrete.ie</t>
  </si>
  <si>
    <t>v=spf1 include:spf.protection.outlook.com include:nes1.nostra.ie ip4:88.81.127.190 include:spf.emailsignatures365.com include:spf.google.com -all</t>
  </si>
  <si>
    <t xml:space="preserve"> v=DMARC1; r=reject</t>
  </si>
  <si>
    <t>ams.ie</t>
  </si>
  <si>
    <t>v=spf1 include:_spf.google.com include:spf.protection.outlook.com include:eu.transmail.net include:mailcontrol.com ~all</t>
  </si>
  <si>
    <t>v=DMARC1;  p=none; rua=mailto:7ab21bb240fe46628997048c1e0f92d2@dmarc-reports.cloudflare.net</t>
  </si>
  <si>
    <t>kingspancentury.com</t>
  </si>
  <si>
    <t>v=spf1 include:spf.kingspan.com ~all</t>
  </si>
  <si>
    <t>bespace.ie</t>
  </si>
  <si>
    <t>v=spf1 include:spf.hornetsecurity.com include:spf.reg365.net include:spf.protection.outlook.com ~all</t>
  </si>
  <si>
    <t>v=DMARC1; p=none; rua=mailto:dmarc@bespace.ie</t>
  </si>
  <si>
    <t>romaquip.com</t>
  </si>
  <si>
    <t>v=DMARC1; p=quarantine; rua=mailto:postmaster.ro@romaquip.com</t>
  </si>
  <si>
    <t>taconic-ipd.com</t>
  </si>
  <si>
    <t>diasorin.com</t>
  </si>
  <si>
    <t>v=spf1 include:us._netblocks.mimecast.com include:aspmx.pardot.com include:_spfeu.qmarkets-dns.org include:_netblocks1.luxsci.com include:cust-spf.exacttarget.com ip4:67.225.240.149 ip4:66.206.198.103 ip4:198.37.154.52 ip4:158.247.28.163 ip4:158.247.26.47" " ip4:212.237.48.207 ip4:148.251.206.68 ip4:67.225.240.149 ip4:198.37.155.44 include:spf.protection.outlook.com ~all</t>
  </si>
  <si>
    <t>silverpail.com</t>
  </si>
  <si>
    <t>v=spf1 ip4:185.51.105.134  include:spf.protection.outlook.com ~all</t>
  </si>
  <si>
    <t>petstop.ie</t>
  </si>
  <si>
    <t>v=spf1 +ip4:178.79.134.19 +a +mx +ip4:46.101.4.51 +ip4:199.102.228.136 +ip4:81.94.196.136 +include:_spf.google.com +include:petstop.ie ~all</t>
  </si>
  <si>
    <t>v=DMARC1; p=quarantine; rua=mailto:info@petstop.ie</t>
  </si>
  <si>
    <t>jmob.ie</t>
  </si>
  <si>
    <t>v=DMARC1;p=quarantine;sp=none;adkim=r;aspf=r;pct=100;fo=1;rf=afrf;ri=86400;rua=mailto:dmarc@jmob.ie;ruf=mailto:dmarc@jmob.ie</t>
  </si>
  <si>
    <t>mcguirks.com</t>
  </si>
  <si>
    <t>abbeymachinery.com</t>
  </si>
  <si>
    <t>v=spf1 ipv4:78.153.209.23 ipv4:185.61.0.173 include:authsmtp.com include:mxsmtp.sendpulse.com include:spf.elive.net +a +mx include:spf.protection.outlook.com include:authsmtp.com ~all</t>
  </si>
  <si>
    <t>v=DMARC1;p=reject;pct=100;rua=mailto:50a8ff601e@rua.easydmarc.eu,mailto:dmarc-reports@abbeymachinery.com;ruf=mailto:50a8ff601e@ruf.easydmarc.eu;ri=86400;fo=1;</t>
  </si>
  <si>
    <t>cartencontrols.com</t>
  </si>
  <si>
    <t>weirandsons.com</t>
  </si>
  <si>
    <t>portwest.com</t>
  </si>
  <si>
    <t>v=spf1 include:spf.protection.outlook.com include:_netblocks.mimecast.com include:spf.emailsignatures365.com include:spf.smtp2go.com ip4:83.71.238.82  ip4:69.72.40.93 ip4:69.72.40.94 ip4:69.72.40.95 ip4:69.72.40.96 ip4:69.72.40.97 ip4:69.72.40.98 ip4:69.7" "2.40.99 ip4:69.72.47.205 ip4:185.250.239.148 ip4:185.250.239.168 ip4:185.250.239.190 -all</t>
  </si>
  <si>
    <t>windmilllane.com</t>
  </si>
  <si>
    <t>v=DMARC1; p=reject; sp=reject; rua=mailto:dmarc-general@windmilllane.com; ruf=mailto:dmarc-forensic@windmilllane.com; pct=100</t>
  </si>
  <si>
    <t>tg4.ie</t>
  </si>
  <si>
    <t>v=spf1 ip4:40.107.14.130 include:spf.protection.outlook.com include:amazonses.com include:spf.exclaimer.net -all</t>
  </si>
  <si>
    <t>v=DMARC1;p=reject;sp=reject;pct=100;rua=mailto:abuse@tg4.ie;ruf=mailto:deliveryfailure@tg4.ie;ri=86400;aspf=r;fo=1</t>
  </si>
  <si>
    <t>rhk.ie</t>
  </si>
  <si>
    <t>scor.com</t>
  </si>
  <si>
    <t>v=spf1 include:spf-005a4501.pphosted.com include:spf.protection.outlook.com include:_spf1.scor.com include:_spf2.scor.com include:spf_c.oraclecloud.com -all</t>
  </si>
  <si>
    <t>clona.ie</t>
  </si>
  <si>
    <t>v=DMARC1; p=none; fo=1; rua=mailto:rua+clona.ie@dmarc.barracudanetworks.com; ruf=mailto:ruf+clona.ie@dmarc.barracudanetworks.com</t>
  </si>
  <si>
    <t>mcmonaglestone.ie</t>
  </si>
  <si>
    <t>v=DMARC1; p=none; rua=mailto:admin@mcmonaglestone.ie; ruf=mailto:admin@mcmonaglestone.ie; fo=1</t>
  </si>
  <si>
    <t>treacysoakwoodhotel.com</t>
  </si>
  <si>
    <t>finnstowncastlehotel.com</t>
  </si>
  <si>
    <t>v=spf1 +a +mx +ip4:141.94.206.245 ~all</t>
  </si>
  <si>
    <t>thehardiman.ie</t>
  </si>
  <si>
    <t>kdkscaffolding.ie</t>
  </si>
  <si>
    <t>v=spf1 a mx include:mailanyone.net include:spf.protection.outlook.com  include:spf.graphedia.ie -all</t>
  </si>
  <si>
    <t>quintas.ie</t>
  </si>
  <si>
    <t>v=spf1 include:spf.protection.outlook.com include:eu._netblocks.mimecast.com include:spf.mandrillapp.com ip4:89.204.209.221 ip4:89.234.93.246 -all</t>
  </si>
  <si>
    <t>gsi.ie</t>
  </si>
  <si>
    <t>v=spf1 ip4:137.191.239.189 ip4:193.1.193.135 ip4:193.178.1.33 ip4:137.191.244.220 include:spfext.itservices.gov.ie -all</t>
  </si>
  <si>
    <t>jbbarry.ie</t>
  </si>
  <si>
    <t>v=DMARC1;p=quarantine;sp=none;adkim=r;aspf=r;pct=100;fo=1;rf=afrf;ri=3600;rua=mailto:dmarc@jbbarry.ie;ruf=mailto:dmarc@jbbarry.ie</t>
  </si>
  <si>
    <t>prochem.ie</t>
  </si>
  <si>
    <t>v=spf1 include:_spf.mailersend.net a ip4:31.193.220.3 ip4:89.234.93.102 ip4:213.79.45.129 ip4:87.198.240.82 include:spf.protection.outlook.com a:outbound-smtp02.blacknight.com include:spf.dynect.net include:servers.mcsv.net include:spf.mandrillapp.com inc" "lude:spf.topsec.co" "m  -all</t>
  </si>
  <si>
    <t>v=DMARC1; p=reject; rua=mailto:cf2e266b888140c39d7e682f1bb352ba@dmarc-reports.cloudflare.net</t>
  </si>
  <si>
    <t>bryansryan.ie</t>
  </si>
  <si>
    <t>v=spf1 mx ip4:89.101.216.18 ip4:78.137.172.17 ip4:195.200.146.201 include:eu.zcsend.net include:spf.protection.outlook.com include:spf.ess.uk.barracudanetworks.com ~all</t>
  </si>
  <si>
    <t>axis-ballymun.ie</t>
  </si>
  <si>
    <t>citizensinformationboard.ie</t>
  </si>
  <si>
    <t>ispcc.ie</t>
  </si>
  <si>
    <t>v=spf1 include:spf.protection.outlook.com include:raiselysite.com +include:outboundmail.blackbaud.net ~all</t>
  </si>
  <si>
    <t>limerickcil.com</t>
  </si>
  <si>
    <t>v=spf1 ip4:185.43.232.170 ip4:80.93.29.15 +a +mx +ip4:80.93.29.236 +ip4:86.41.26.167 +include:spf.protection.outlook.com include:spf.hornetsecurity.com -all</t>
  </si>
  <si>
    <t>sligocil.ie</t>
  </si>
  <si>
    <t>v=spf1 ip4:83.138.8.118 include:relay.mailchannels.net include:spf.protection.outlook.com -all</t>
  </si>
  <si>
    <t>redhat.com</t>
  </si>
  <si>
    <t>v=spf1 redirect=73t7ezjz._spf._d.mim.ec</t>
  </si>
  <si>
    <t>v=DMARC1; p=quarantine; rua=mailto:5f1992045035946@rep.dmarcanalyzer.com; ruf=mailto:5f1992045035946@for.dmarcanalyzer.com; fo=1;</t>
  </si>
  <si>
    <t>rrcd.com</t>
  </si>
  <si>
    <t>v=spf1 +a +mx ~all ip4:63.111.67.0/24</t>
  </si>
  <si>
    <t>capitaibs.ie</t>
  </si>
  <si>
    <t>mapflow.com</t>
  </si>
  <si>
    <t>v=spf1 ip4:66.241.37.182/32 ip4:209.243.59.74/32 ip4:12.38.207.30/32 ip4:216.133.255.171/32 ip4:34.252.159.188/32 ip4:198.185.18.9/32 ip4:198.185.18.10/32 include:_netblocks.eloqua.com include:_spf.qualtrics.com include:spf.protection.outlook.com -all</t>
  </si>
  <si>
    <t>allfinanz.com</t>
  </si>
  <si>
    <t>v=spf1 ip4:178.250.112.192/28 ip4:193.120.126.120/29 include:spf-00652401.pphosted.com -all</t>
  </si>
  <si>
    <t>v=DMARC1; p=none; fo=1; rua=mailto:8f1f5ab1@mxtoolbox.dmarc-report.com; ruf=mailto:8f1f5ab1@forensics.dmarc-report.com;</t>
  </si>
  <si>
    <t>sas.com</t>
  </si>
  <si>
    <t>v=spf1 include:spf.protection.outlook.com ip4:192.31.37.0/24 ip4:192.31.22.0/24 ip4:149.173.0.0/16 include:service-now.com include:_spf.sas.com -all</t>
  </si>
  <si>
    <t>v=DMARC1;p=reject;rua=mailto:MCTDMARC@sas.com;</t>
  </si>
  <si>
    <t>siemens.ie</t>
  </si>
  <si>
    <t>v=DMARC1; p=reject; pct=100; rua=mailto:DMARC.rua@siemens.com; aspf=r</t>
  </si>
  <si>
    <t>vizorsoftware.com</t>
  </si>
  <si>
    <t>v=DMARC1; p=none; rua=mailto:it.manager@vizorsoftware.com</t>
  </si>
  <si>
    <t>actionpoint.ie</t>
  </si>
  <si>
    <t>v=spf1 ip4:92.51.197.0/28 ip4:185.61.1.160/28 ip4:84.51.251.227/32 ip4:212.78.224.147/32 include:spf.protection.outlook.com include:spf.eu.exclaimer.net include:spf.smtp2go.com include:spf.msdp1.com include:smtp.smileback.com -all</t>
  </si>
  <si>
    <t>diamondglass.ie</t>
  </si>
  <si>
    <t>v=spf1 ip4:93.119.26.121 include:spf.protection.outlook.com ~all</t>
  </si>
  <si>
    <t>acornlife.ie</t>
  </si>
  <si>
    <t>v=spf1 ip4:204.11.100.136 ip4:173.45.158.5 ip4:93.94.116.14 ip4:52.212.19.177 ip4:46.22.139.137 ip4:78.153.200.57 ip4:209.15.27.81 ip4:87.198.188.148 ip4:168.245.62.19 ip4:91.210.235.226 ip4:78.153.200.57 ip4:87.253.232.0/21 ip4:185.189.236.0/22 ip4:" "185.211.120.0/22 ip4:185.250.236.0/22 ip4:54.157.90.193 ip4:173.45.158.5 ip4:168.245.62.19 include:spf.protection.outlook.com include:_spf_cd.spamtitan.com include:amazonses.com ~all</t>
  </si>
  <si>
    <t>brooklodge.com</t>
  </si>
  <si>
    <t>v=spf1 mx a ip4:78.136.42.6 ip4:78.136.42.7 ip4:94.236.71.102 ip4:92.52.88.156 ip4:5.79.11.180 ip4:52.16.225.174 ip4:212.100.234.137 include:_spf.google.com include:spf.topsec.com include:authsmtp.com include:spf.protection.outlook.com -all</t>
  </si>
  <si>
    <t>buttimer.ie</t>
  </si>
  <si>
    <t>v=spf1 ip4:217.115.115.147 ip4:185.202.17.188 ip4:185.152.4.110 ip4:159.134.106.34  include:spf1.emailsecurity.app include:spf.protection.outlook.com ~all</t>
  </si>
  <si>
    <t>biomnis.ie</t>
  </si>
  <si>
    <t>qqi.ie</t>
  </si>
  <si>
    <t>v=spf1 include:spf.protection.outlook.com include:spf.emailsignatures365.com include:sendgrid.net -all</t>
  </si>
  <si>
    <t>v=DMARC1; p=reject; pct=100; adkim=r; aspf=r; fo=1; rf=afrf; ri=3600; rua=mailto:be6c3992@inbox.ondmarc.com,mailto:gjdmjrtv@ag.dmarcian-eu.com; ruf=mailto:be6c3992@inbox.ondmarc.com,mailto:dmarc@qqi.ie</t>
  </si>
  <si>
    <t>ofi.ie</t>
  </si>
  <si>
    <t>holyfamilyschoolcharleville.com</t>
  </si>
  <si>
    <t>anrinn.com</t>
  </si>
  <si>
    <t>v=spf1 mx a a:relay.blacknight.com a:relay1.blacknight.com a:relay4.blacknight.com a:deise02.blacknight.ie a:deise.blacknight.ie a:plesk.deisedesign.com include:spf.protection.outlook.com -all</t>
  </si>
  <si>
    <t>recallsecurity.ie</t>
  </si>
  <si>
    <t>oakparkfoods.ie</t>
  </si>
  <si>
    <t>v=spf1 ip4:89.101.209.173 ip4:213.79.57.232 include:spf.protection.outlook.com a:fep27.mx.upcmail.net include:spf1.emailsecurity.app -all</t>
  </si>
  <si>
    <t>bbdo.ie</t>
  </si>
  <si>
    <t>v=spf1 include:_spf.oneomnicom.com include:servers.mcsv.net include:relay.mailchannels.net -all</t>
  </si>
  <si>
    <t>marinehotel.ie</t>
  </si>
  <si>
    <t>v=spf1 include:_u.marinehotel.ie._spf.smart.ondmarc.com include:guestline.net include:roomlynx.net ~all</t>
  </si>
  <si>
    <t>v=DMARC1; p=reject; pct=100; sp=none; rua=mailto:3fb8dd5c@inbox.ondmarc.com; ruf=mailto:3fb8dd5c@inbox.ondmarc.com; adkim=r; aspf=r; fo=1; rf=afrf; ri=3600</t>
  </si>
  <si>
    <t>goldendiscs.ie</t>
  </si>
  <si>
    <t>v=spf1 include:spf.protection.outlook.com include:shops.shopify.com  include:mailgun.org ip4:89.100.2.226 -all</t>
  </si>
  <si>
    <t>brookfieldcc.ie</t>
  </si>
  <si>
    <t>apree.ie</t>
  </si>
  <si>
    <t>anh.com</t>
  </si>
  <si>
    <t>saintjosephsshankill.ie</t>
  </si>
  <si>
    <t>stanthonysnursinghome.ie</t>
  </si>
  <si>
    <t>v=spf1 +a +mx +ip4:35.214.237.160  include:stanthonysnursinghome.ie.spf.auto.dnssmarthost.net ~all</t>
  </si>
  <si>
    <t>moorehalllodge.ie</t>
  </si>
  <si>
    <t>ardeencheshirehome.com</t>
  </si>
  <si>
    <t>mansionhouse.ie</t>
  </si>
  <si>
    <t>v=spf1 include:spf.protection.outlook.com include:spf.topsec.com include:mailgun.org include:spf.mandrillapp.com -all</t>
  </si>
  <si>
    <t>keadeenhotel.ie</t>
  </si>
  <si>
    <t>v=spf1 ip4:213.171.216.0/24 ip4:212.17.32.37 include:spf.protection.outlook.com include:_spf.wire.threatspike.com include:authsmtp.com ~all</t>
  </si>
  <si>
    <t>kavanaghgroup.ie</t>
  </si>
  <si>
    <t>v=spf1 mx a ip4:213.94.206.189 ip4:83.71.135.65 ip4:83.71.135.98 include:spf.amris.com include:spf.protection.outlook.com -all</t>
  </si>
  <si>
    <t>v=DMARC1;p=none;pct=100;rua=mailto:postmaster@kavanaghgroup.ie</t>
  </si>
  <si>
    <t>murphygunn.com</t>
  </si>
  <si>
    <t>nvd.ie</t>
  </si>
  <si>
    <t>v=spf1 mx include:_spf.google.com include:_spf.salesforce.com  ~all</t>
  </si>
  <si>
    <t>aceexpressgroup.com</t>
  </si>
  <si>
    <t>v=spf1 a ip=37.59.160.103 mx</t>
  </si>
  <si>
    <t>johnston-shopfitters.com</t>
  </si>
  <si>
    <t>v=spf1 ip4:185.32.153.94 ip4:80.93.20.129 include:spf.protection.outlook.com include:spf.smtp2go.com include:spf.ess.de.barracudanetworks.com ~all</t>
  </si>
  <si>
    <t>kcdfrs.com</t>
  </si>
  <si>
    <t>veoliawater.ie</t>
  </si>
  <si>
    <t>v=spf1 ip4:213.212.70.213 ip4:62.73.149.6 include:_spf.google.com ~all</t>
  </si>
  <si>
    <t>v=DMARC1; p=quarantine; pct=100; rua=mailto:pfavnw3o@ag.dmarcian.com; ruf=mailto:pfavnw3o@fr.dmarcian.com</t>
  </si>
  <si>
    <t>carlowcollege.ie</t>
  </si>
  <si>
    <t>v=spf1 +a +mx +ip4:91.210.235.173 include:spf.webhostingireland.ie ~all</t>
  </si>
  <si>
    <t>nmci.ie</t>
  </si>
  <si>
    <t>v=spf1 ip4:193.120.143.134 include:spf.protection.outlook.com include:_spf.granite.ie -all</t>
  </si>
  <si>
    <t>v=DMARC1; p=none; rua=mailto:SVC_Dmarc@mtu.ie</t>
  </si>
  <si>
    <t>tullamorecollege.ie</t>
  </si>
  <si>
    <t>v=spf1 include:spf.protection.outlook.com a:mail1.dcsnet.ie a:mail2.dcsnet.ie -all</t>
  </si>
  <si>
    <t>fcmtravel.ie</t>
  </si>
  <si>
    <t>v=spf1 ip4:87.198.172.189  ip4:86.188.148.38 ip4:217.33.142.36 ip4:217.33.142.41 include:de._netblocks.mimecast.com include:_relay.amadeus.com include:_spf.salesforce.com -all</t>
  </si>
  <si>
    <t>v=DMARC1; p=reject; sp=reject; rua=mailto:bf5603eb6697076@rep.dmarcanalyzer.com; ruf=mailto:bf5603eb6697076@for.dmarcanalyzer.com; fo=1;</t>
  </si>
  <si>
    <t>gohop.ie</t>
  </si>
  <si>
    <t>ipw.ie</t>
  </si>
  <si>
    <t>v=spf1 ip4:217.115.115.198 +a +mx +ip4:217.115.113.32 include:relay.mailchannels.net +ip4:93.95.87.234 +include:spf.protection.outlook.com ~all</t>
  </si>
  <si>
    <t>barryscoaches.com</t>
  </si>
  <si>
    <t>v=spf1 include:spf.protection.outlook.com a:mailfromwebsite.barryscoaches.com -all</t>
  </si>
  <si>
    <t>major-equipment.com</t>
  </si>
  <si>
    <t>v=spf1 ip4: 89.35.118.168 ip4:165.232.43.149 include:servers.mcsv.net include:spf.protection.outlook.com ip4:52.210.82.10 include:spf.sendinblue.com ip4:92.51.199.234 -all</t>
  </si>
  <si>
    <t>v=DMARC1; p=quarantine; pct=100; rua=mailto:dmarc@zenotec.ie,mailto:rua@dmarc.brevo.com; ruf=mailto:dmarc@zenotec.ie; fo=1;sp=none;rf=afrf;ri=86400</t>
  </si>
  <si>
    <t>comans.ie</t>
  </si>
  <si>
    <t>v=spf1 include:spf.protection.outlook.com ip4:82.141.226.170/32 a:gainarelay.gainasoftware.com -all</t>
  </si>
  <si>
    <t>2ssg.com</t>
  </si>
  <si>
    <t>omctechnologies.com</t>
  </si>
  <si>
    <t>v=spf1 a include:spf.blacknight.com include:spf0101.titan.email ~all</t>
  </si>
  <si>
    <t>sial.com</t>
  </si>
  <si>
    <t>v=spf1 include:o12jx5tpef.powerspf.com ~all</t>
  </si>
  <si>
    <t>v=DMARC1; p=reject; sp=reject; fo=1; rua=mailto:b4wunsj437@rua.powerdmarc.com, mailto:dmarcreport@sial.com; ruf=mailto:dmarcreport@sial.com</t>
  </si>
  <si>
    <t>autoglass.ie</t>
  </si>
  <si>
    <t>v=spf1 ip4:52.169.140.75 include:spf.protection.outlook.com -all</t>
  </si>
  <si>
    <t>v=DMARC1; p=quarantine; rua=mailto:dmarcfeedback@autoglass.ie; fo=1</t>
  </si>
  <si>
    <t>goodfish.ie</t>
  </si>
  <si>
    <t>v=spf1 a mx ip4:93.107.248.83 include:spf.protection.outlook.com include:spf.elive.net -all</t>
  </si>
  <si>
    <t>harveyspoint.com</t>
  </si>
  <si>
    <t>inisheng.com</t>
  </si>
  <si>
    <t>avoca.ie</t>
  </si>
  <si>
    <t>v=spf1 mx include:emailantidote.com a ip4:217.78.5.135 include:spf.mailanyone.net include:spf.mxsweep.com include:spf.electric.net ~all</t>
  </si>
  <si>
    <t>dawnlough.com</t>
  </si>
  <si>
    <t>v=spf1 +a +mx +ip4:91.210.235.173 include:spf.protection.outlook.com a:mail9.digiweb.ie a:mail9.viatel.com a:spamtitan.zenotec.ie include:spf.stackmail.com +ip4:13.79.160.206 +ip4:83.147.148.214 include:spf.webhostingireland.ie -all</t>
  </si>
  <si>
    <t>thebrehon.com</t>
  </si>
  <si>
    <t>v=spf1 ip4:52.166.124.85 mx include:_spf.bookassist.com include:spf.mandrillapp.com ip4:52.166.124.85 ip4:20.184.12.41 ip4:149.72.1.66 ip4:149.72.1.66 ip4:52.166.124.85 ip4:51.105.222.244 ip4:192.254.117.44 include:spf.protection.outlook.com ip4:13.95.66." "253 include:authsmtp.com -all</t>
  </si>
  <si>
    <t>v=DMARC1; p=none; fo=1; rua=mailto:rua+thebrehon.com@dmarc.barracudanetworks.com; ruf=mailto:ruf+thebrehon.com@dmarc.barracudanetworks.com</t>
  </si>
  <si>
    <t>takumiprecision.com</t>
  </si>
  <si>
    <t>v=spf1 ip4:86.47.45.45 ip4:217.115.117.83 ip4:195.176.194.193 include:spf.protection.outlook.com include:spf.spamfree.ie -all</t>
  </si>
  <si>
    <t>v=DMARC1; p=quarantine; rua=mailto:9d957756ae1b4144ba6dc57825621568@dmarc-reports.cloudflare.net,mailto:dmarc-reports@takumiprecision.com; ruf=mailto:dmarc-reports@takumiprecision.com; fo=1; sp=quarantine</t>
  </si>
  <si>
    <t>westerncare.com</t>
  </si>
  <si>
    <t>v=spf1 ip4:91.210.235.125 include:spf.webhostingireland.ie include:spf.protection.outlook.com include:_spf_cd.spamtitan.com ip4:137.191.234.243 ip4:193.120.143.134 ip4:193.120.143.138 ip4:193.120.142.176 ip4:193.120.143.70 -all</t>
  </si>
  <si>
    <t>v=DMARC1; p=quarantine; rua=mailto:dmarc@westerncare.com; ruf=mailto:dmarc@westerncare.com; fo=1;</t>
  </si>
  <si>
    <t>floodprecast.com</t>
  </si>
  <si>
    <t>mdburns.ie</t>
  </si>
  <si>
    <t>v=spf1 a include:spf.blacknight.ie +a:mdburns.dmacmedia.ie ~all</t>
  </si>
  <si>
    <t>columban.com</t>
  </si>
  <si>
    <t>qme.ie</t>
  </si>
  <si>
    <t>v=spf1 include:spf.protection.outlook.com include:servers.mcsv.net include:spf.hornetsecurity.com ~all</t>
  </si>
  <si>
    <t>tds.ie</t>
  </si>
  <si>
    <t>v=spf1 ip4:89.19.94.146 include:_spf.google.com include:mail.zendesk.com include:_spf.salesforce.com include:spf.protection.outlook.com -all</t>
  </si>
  <si>
    <t>astrazeneca.ie</t>
  </si>
  <si>
    <t>daracommunityliving.ie</t>
  </si>
  <si>
    <t>v=spf1 ip4:35.214.155.26 ip4:86.43.67.100 include:spf.protection.outlook.com -all</t>
  </si>
  <si>
    <t>utc.com</t>
  </si>
  <si>
    <t>v=DMARC1; p=none; sp=reject; fo=1; rua=mailto:dmarc_rua@emaildefense.proofpoint.com; ruf=mailto:dmarc_ruf@emaildefense.proofpoint.com</t>
  </si>
  <si>
    <t>ashcom.ie</t>
  </si>
  <si>
    <t>v=DMARC1; p=reject; rua=mailto:365@ashcom.ie</t>
  </si>
  <si>
    <t>wavin.ie</t>
  </si>
  <si>
    <t>sandymounthotel.ie</t>
  </si>
  <si>
    <t>v=spf1 include:spf.protection.outlook.com include:guestline.net include:roomlynx.net include:sendgrid.net include:netaffinity.net -all</t>
  </si>
  <si>
    <t>toffs.eu</t>
  </si>
  <si>
    <t>neodyne.ie</t>
  </si>
  <si>
    <t>v=spf1 a:dispatch-eu.ppe-hosted.com ip4:83.71.134.145 a:mail.neodyne.ie include:spf.protection.outlook.com ~all</t>
  </si>
  <si>
    <t>headhuntinternational.com</t>
  </si>
  <si>
    <t>v=spf1 ip4:206.54.170.70 include:spf.protection.outlook.com ~all</t>
  </si>
  <si>
    <t>fundassist.com</t>
  </si>
  <si>
    <t>v=spf1 ip4:193.95.188.74 ip4:83.71.64.34 ip4:46.245.211.4 ip4:213.94.209.2 ip4:193.120.84.66 -all</t>
  </si>
  <si>
    <t>mwp.ie</t>
  </si>
  <si>
    <t>v=spf1 mx a:elive.net ip4:89.204.174.12 ip4:80.233.77.53 ip4:81.24.249.18 ip4:87.198.180.58 ip4:93.107.149.57 include:spf.elive.net ip4:86.43.120.176 ip4:83.71.64.26 ip4:83.70.135.85 ip4:80.233.77.53 include:spf.protection.outlook.com ~all</t>
  </si>
  <si>
    <t>glenline.ie</t>
  </si>
  <si>
    <t>v=DMARC1; p=quarantine; rua=mailto:postmaster.gl@glenline.ie</t>
  </si>
  <si>
    <t>boynecs.com</t>
  </si>
  <si>
    <t>dunshaughlincc.ie</t>
  </si>
  <si>
    <t>thedunloe.com</t>
  </si>
  <si>
    <t>v=spf1  include:spf.protection.outlook.com -all</t>
  </si>
  <si>
    <t>westportcoasthotel.ie</t>
  </si>
  <si>
    <t>v=spf1 include:spf.newsletter.ie include:spf.protection.outlook.com -all</t>
  </si>
  <si>
    <t>castolin.com</t>
  </si>
  <si>
    <t>v=spf1 mx include:_spf.cerum.no include:sendgrid.net include:spf.protection.outlook.com ip4:34.241.191.143 include:spf.de.cancom-mase.com ip4:195.144.31.146 ip4:195.144.31.147 ip4:195.135.142.200 -all</t>
  </si>
  <si>
    <t xml:space="preserve">v=DMARC1; p=none; rua=mailto:dmarc_agg@vali.email,mailto:DMARC-Reports@castolin.com </t>
  </si>
  <si>
    <t>phonestores.ie</t>
  </si>
  <si>
    <t>gouldings.ie</t>
  </si>
  <si>
    <t>v=spf1 include:de._netblocks.mimecast.com include:_u.gouldings.ie._spf.dmarcly.com include:spf.protection.outlook.com -all</t>
  </si>
  <si>
    <t>v=DMARC1; p=quarantine; rua=mailto:5e4f93cf786a8@ag.dmarcly.com; ruf=mailto:5e4f93cf786a8@fo.dmarcly.com; sp=none; fo=0:1:d:s;</t>
  </si>
  <si>
    <t>oneviewhealthcare.com</t>
  </si>
  <si>
    <t>v=spf1 +ip4:67.227.154.76 +include:spf.protection.outlook.com +include:mail.zendesk.com +include:4730085.spf06.hubspotemail.net -all</t>
  </si>
  <si>
    <t>swiftfinefoods.com</t>
  </si>
  <si>
    <t>v=spf1 include:spf.protection.outlook.com include:spf.everycloudtech.com include:spf.hornetsecurity.com -all</t>
  </si>
  <si>
    <t>v=DMARC1; p= quarantine; fo=1; rua=mailto:dmarc@swiftfinefoods.com; ruf=mailto:dmarc@swiftfinefoods.com;</t>
  </si>
  <si>
    <t>farrelloffice.com</t>
  </si>
  <si>
    <t>v=spf1 include:spf.protection.outlook.com include:spf-eu.emailsignatures365.com -all</t>
  </si>
  <si>
    <t>v=DMARC1; p=reject; rua=mailto:it@farrelloffice.com; ruf=mailto:it@farrelloffice.com; fo=1; pct=100</t>
  </si>
  <si>
    <t>pdst.ie</t>
  </si>
  <si>
    <t>v=spf1 include:spf.protection.outlook.com include:pdst.ie.spf.auto.dnssmarthost.net -all</t>
  </si>
  <si>
    <t>sureskills.com</t>
  </si>
  <si>
    <t>v=spf1 mx include:spf.protection.outlook.com ip4:83.138.177.146 ip4:83.138.177.148 ip4:83.138.177.150 ip4:83.138.177.151 ip4:89.234.41.218 ip4:89.234.41.219 ip4:89.234.41.220 ip4:89.234.41.221 ip4:83.138.184.240 ip4:83.138.184.242" " ip4:83.138.184.243 ip4:83.138.184.244 ip4:162.13.21.138 include:_spf2.circulator.com include:one.zoho.eu include:4917866.spf01.hubspotemail.net include:eu.transmail.net -all</t>
  </si>
  <si>
    <t>v=DMARC1; p=none; sp=none; fo=1;</t>
  </si>
  <si>
    <t>kmk.ie</t>
  </si>
  <si>
    <t>v=spf1 ip4:54.217.48.90 include:spf.protection.outlook.com  -all</t>
  </si>
  <si>
    <t>v=DMARC1; p=quarantine; pct=100; rua=mailto:denise@kmk.ie</t>
  </si>
  <si>
    <t>aercap.com</t>
  </si>
  <si>
    <t>v=spf1 a:mail.stream.aero ip4:54.240.89.250 ip4:173.199.155.165 ip4:151.236.49.146 ip4:52.155.165.114 ip4:54.240.96.71 include:de._netblocks.mimecast.com include:spf.protection.outlook.com include:spf.salesforce.com -all</t>
  </si>
  <si>
    <t>v=DMARC1; p=none;rua=mailto:DMARCReporting@AerCap.com</t>
  </si>
  <si>
    <t>ryaninstitute.ie</t>
  </si>
  <si>
    <t>toc.ie</t>
  </si>
  <si>
    <t>v=spf1 mx a include:spf.elive.net include:spf.protection.outlook.com ~all</t>
  </si>
  <si>
    <t>nichegenerics.com</t>
  </si>
  <si>
    <t>noyeks.ie</t>
  </si>
  <si>
    <t>v=spf1 mx include:spf.topsec.com include:spf.protection.outlook.com include:spf-eu.emailsignatures365.com ip4:93.119.27.195 -all</t>
  </si>
  <si>
    <t>rothco.ie</t>
  </si>
  <si>
    <t>v=DMARC1;p=reject;fo=1;rua=mailto:dmarc_rua@emaildefense.proofpoint.com;ruf=mailto:dmarc_ruf@emaildefense.proofpoint.com</t>
  </si>
  <si>
    <t>hondaireland.ie</t>
  </si>
  <si>
    <t>v=spf1 include:spf.protection.outlook.com ip4:46.22.137.96 -all</t>
  </si>
  <si>
    <t>hevac.ie</t>
  </si>
  <si>
    <t>v=spf1 ip4:51.140.50.9  include:spf.protection.outlook.com include:amazonses.com ip4:89.204.241.30 ip4:89.204.241.24 ip4:188.93.177.246 ip4:185.190.206.78 mx -all</t>
  </si>
  <si>
    <t>v=DMARC1; p=quarantine; pct=100; rua=mailto:re+pyk7ssirlkp@dmarc.postmarkapp.com</t>
  </si>
  <si>
    <t>4sitenetworks.com</t>
  </si>
  <si>
    <t>v=DMARC1;p=reject;sp=reject;adkim=s;aspf=s;</t>
  </si>
  <si>
    <t>nli.ie</t>
  </si>
  <si>
    <t>v=spf1 a:dispatch-eu.ppe-hosted.com include:spf.protection.outlook.com ip4:137.191.242.53 mx ~all</t>
  </si>
  <si>
    <t>oakviewnh.ie</t>
  </si>
  <si>
    <t>v=DMARC1; p=reject; rua=mailto:dmarcsupport@oakviewnh.ie</t>
  </si>
  <si>
    <t>caceis.com</t>
  </si>
  <si>
    <t>v=spf1 a mx a:spf.credit-agricole.fr/24 include:spfDXC.caceis.com ip4:83.244.201.208/28 ip4:80.85.75.0/24 ip4:93.91.22.0/24 ip4:93.89.86.0/24 ip4:212.159.237.33 ip4:198.96.131.1 " "ip4:104.40.205.111 ip4:52.28.207.52 exists:%{i}.spf.santandergroup.c3s2.iphmx.com ip4:156.133.108.1 ip4:156.133.108.132 include:spfhost.messageprovider.com -all</t>
  </si>
  <si>
    <t>v=DMARC1; p=reject; sp=reject; rua=mailto:rua@dmarc.ca-gip.fr, mailto:devensys-caceis.rua@emailsecurity.merox.io;</t>
  </si>
  <si>
    <t>mooreireland.ie</t>
  </si>
  <si>
    <t>v=spf1 include:eu._netblocks.mimecast.com +include:mandrillapp.com -all</t>
  </si>
  <si>
    <t>xsdirect.com</t>
  </si>
  <si>
    <t>v=spf1 ip4:195.211.227.117 ip4:89.28.176.51 ip4:209.15.27.81 include:spf.protection.outlook.com include:spf.fusemail.net include:_netblocks.mimecast.com ~all</t>
  </si>
  <si>
    <t>v=DMARC1; p=none; rua=mailto:lsnp4a7r@ag.eu.dmarcian.com, mailto:e5797c2bc8c9859@rep.dmarcanalyzer.com; ruf=mailto:e5797c2bc8c9859@for.dmarcanalyzer.com; fo=1;</t>
  </si>
  <si>
    <t>irishturkeys.ie</t>
  </si>
  <si>
    <t>v=spf1 +a +mx include:irishturkeys.ie.spf.auto.dnssmarthost.net ~all</t>
  </si>
  <si>
    <t>facilitysupportservices.ie</t>
  </si>
  <si>
    <t>barclays.ie</t>
  </si>
  <si>
    <t>ironmountain.ie</t>
  </si>
  <si>
    <t>v=spf1 mx ip4:208.66.139.0/27 ip4:216.229.156.0/27 ip4:193.30.233.17 ip4:193.30.233.116 include:_spf.google.com ~all</t>
  </si>
  <si>
    <t>v=DMARC1;p=reject;rua=mailto:ckaiqst3@ag.dmarcian.com</t>
  </si>
  <si>
    <t>essltd.ie</t>
  </si>
  <si>
    <t>v=spf1 include:spf.protection.outlook.com include:_spf.salesforce.com -all</t>
  </si>
  <si>
    <t>v=DMARC1; p=quarantine; pct=100; rua=mailto:rua@essltd.ie; ruf=mailto:ruf@essltd.ie</t>
  </si>
  <si>
    <t>thesmartcrowd.com</t>
  </si>
  <si>
    <t>precision.ie</t>
  </si>
  <si>
    <t>zenithtechnologies.com</t>
  </si>
  <si>
    <t>v=spf1 a mx ip4:54.36.1.228 ip4:85.115.32.0/19 ip4:86.111.216.0/23 ip4:116.50.56.0/21 ip4:208.87.232.0/21 ip4:86.111.220.0/22 ip4:103.1.196.0/22 ip4:177.39.96.0/22 ip4:196.216.238.0/23 ip4:185.136.189.88 ip4:185.136.188.88 ip4:80.69.20.160/2 include:_spf." "bullhornmail.com -all</t>
  </si>
  <si>
    <t>v=DMARC1;p=quarantine;sp=quarantine;adkim=r;aspf=r;pct=100;fo=0;rf=afrf;ri=86400;rua=mailto:DMARC@zenithtechnologies.com;ruf=mailto:DMARC@zenithtechnologies.com</t>
  </si>
  <si>
    <t>atkinsireland.ie</t>
  </si>
  <si>
    <t>capitaassetservices.ie</t>
  </si>
  <si>
    <t>breentransport.com</t>
  </si>
  <si>
    <t>v=spf1 include:spf.protection.outlook.com include:spf.mailanyone.net ~all</t>
  </si>
  <si>
    <t>perennialfreight.com</t>
  </si>
  <si>
    <t>v=spf1 a include:spf.blacknight.ie include:spf.protection.outlook.com include:spf.ess.de.barracudanetworks.com ~all</t>
  </si>
  <si>
    <t>betdaq.com</t>
  </si>
  <si>
    <t>v=DMARC1;  p=none; rua=mailto:45106cc1d9ac4b22911cea437f64805f@dmarc-reports.cloudflare.net</t>
  </si>
  <si>
    <t>cru.ie</t>
  </si>
  <si>
    <t>v=spf1 include:_u.cru.ie._spf.smart.ondmarc.com -all</t>
  </si>
  <si>
    <t>v=DMARC1; p=reject; pct=100; fo=1; ri=3600; rua=mailto:9c51ab0c@inbox.ondmarc.com; ruf=mailto:9c51ab0c@inbox.ondmarc.com;</t>
  </si>
  <si>
    <t>hfcs.ie</t>
  </si>
  <si>
    <t>malahidecs.ie</t>
  </si>
  <si>
    <t>highschooldublin.com</t>
  </si>
  <si>
    <t>v=DMARC1;p=none;pct=100;rua=mailto:administrator@highschooldublin.com</t>
  </si>
  <si>
    <t>carevillage.ie</t>
  </si>
  <si>
    <t>cavancrystalhotel.com</t>
  </si>
  <si>
    <t>v=spf1 include:spf.protection.outlook.com include:authsmtp.com include:spf.newsletter.ie -all</t>
  </si>
  <si>
    <t>bunrattycastlehotel.com</t>
  </si>
  <si>
    <t>hibernianhotelmallow.com</t>
  </si>
  <si>
    <t>v=spf1 include:spf.blacknight.ie include:netaffinity.net include:guestline.net include:roomlynx.net ~all</t>
  </si>
  <si>
    <t>villarose.net</t>
  </si>
  <si>
    <t>v=spf1 include:spf.protection.outlook.com mx ip4:109.169.74.175 ip4:81.17.254.9 mx:inbound-smtp.cp.blacknight.com ip4:216.119.106.54 include:spf.blacknight.com mx:smtp1r.cp.blacknight.com include:netaffinity.net include:authsmtp.com -all</t>
  </si>
  <si>
    <t>v=DMARC1; p=none; rua=mailto:leslie@leslielong.ie</t>
  </si>
  <si>
    <t>fitzwilliamhoteldublin.com</t>
  </si>
  <si>
    <t>v=spf1 include:spf.synxis.com</t>
  </si>
  <si>
    <t>riverhousehotel.com</t>
  </si>
  <si>
    <t>v=DMARC1; p=reject; adkim=r; aspf=r; rua=mailto:dmarc_rua@onsecureserver.net;</t>
  </si>
  <si>
    <t>scottshotelkillarney.com</t>
  </si>
  <si>
    <t>v=spf1 ip4:52.166.124.85 mx include:spf.mandrillapp.com include:spf.protection.outlook.com ip4:13.95.66.253 +a:vm.inec.ie -all</t>
  </si>
  <si>
    <t>knightsbrook.com</t>
  </si>
  <si>
    <t>v=spf1 include:spf.protection.outlook.com include:netaffinity.net include:spf.premiersoftware.co.uk include:authsmtp.com -all</t>
  </si>
  <si>
    <t>clonmelparkhotel.com</t>
  </si>
  <si>
    <t>v=spf1 include:spf.protection.outlook.com  include:netaffinity.net ~all</t>
  </si>
  <si>
    <t>knightfrank.ie</t>
  </si>
  <si>
    <t>v=spf1 a:ebarrier.providentit.com a:ebarrier1.providentit.com a:remote.kfdublin.ie include:in25app.com\010include:spf.ess.de.barracudanetworks.com include:spf.protection.outlook.com include:spf.EU.exclaimer.net ~all</t>
  </si>
  <si>
    <t>quinnrv.com</t>
  </si>
  <si>
    <t>v=spf1 include:spf.protection.outlook.com ip4:93.107.124.176 a:spamtitan.zenotec.ie -all</t>
  </si>
  <si>
    <t>v=DMARC1; p=none; pct=100; rua=mailto:dmarc@zenotec.ie; ruf=mailto:dmarc@zenotec.ie; fo=1</t>
  </si>
  <si>
    <t>exitex.com</t>
  </si>
  <si>
    <t>v=spf1 include:appriver.com -all</t>
  </si>
  <si>
    <t>v=DMARC1; p=none; pct=100; rua=mailto:re+d8hwhfcufst@dmarc.postmarkapp.com; sp=none; aspf=r;</t>
  </si>
  <si>
    <t>condronconcrete.com</t>
  </si>
  <si>
    <t>brettbrothers.ie</t>
  </si>
  <si>
    <t>v=spf1 include:spf.protection.outlook.com +a +mx +ip4:91.210.232.245 include:spf.webhostingireland.ie include:spf1.emailsecurity.app +ip4:82.141.238.194 ip4:84.51.253.158 -all</t>
  </si>
  <si>
    <t>cylon.com</t>
  </si>
  <si>
    <t>v=spf1 ip4:89.101.141.32/27 include:spf.protection.outlook.com include:_spf.salesforce.com -all</t>
  </si>
  <si>
    <t>amcsgroup.com</t>
  </si>
  <si>
    <t>v=spf1 ip4:198.21.4.52 ip4:40.92.0.0/15 ip4:167.89.31.27 ip4:40.107.0.0/16 ip4:52.100.0.0/14 ip4:104.47.0.0/17 ip4:3.222.0.24/29 ip4:69.72.32.0/20 ip4:13.111.0.0/16 ip4:167.89.0.0/17 ip4:50.31.32.0/19 ip4:198.21.0.0/21 ip4:149.72.0.0/16 ip4:66.102.0.0/20 " "ip4:74.125.0.0/16 ip4:35.191.0.0/16 ip4:62.13.128.0/24 ip4:62.13.136.0/22 ip4:62.13.140.0/22 ip4:62.13.144.0/22 ip4:62.13.148.0/23 ip4:62.13.150.0/23 include:_spf0000000.amcsgroup.com ~all</t>
  </si>
  <si>
    <t>v=DMARC1; p=reject; rua=mailto:dmarc_reports@amcsgroup.com,mailto:c90542a0@mxtoolbox.dmarc-report.com; ruf=mailto:dmarc_reports@amcsgroup.com,mailto:c90542a0@forensics.dmarc-report.com; rf=afrf; fo=1:d:s; pct=100;  ri=86400; adkim=r; aspf=r;</t>
  </si>
  <si>
    <t>readychef.ie</t>
  </si>
  <si>
    <t>ecijcb.ie</t>
  </si>
  <si>
    <t>v=spf1 ip4:172.167.98.229 include:spf.protection.outlook.com include:mail.ibcosonline.co.uk -all</t>
  </si>
  <si>
    <t>boylanprintgroup.ie</t>
  </si>
  <si>
    <t>v=spf1 ip4:185.199.220.88 include:relay.k.io a mx ip4:77.72.0.150 ~all</t>
  </si>
  <si>
    <t>gea.com</t>
  </si>
  <si>
    <t>v=spf1 ip4:178.77.90.228 ip4:40.68.136.81 ip4:40.114.253.6 ip4:195.50.76.232 ip4:195.50.76.237 ip4:149.235.15.0/24 ip4:130.214.105.240/28 ip4:130.214.134.192/28 ip4:130.214.240.208/28 ip4:130.214.163.240/28 include:spf.protection.outlook.com ip4:85.214." "129.169 ip4:197.97.85.97 ip4:185.93.143.53 ip4:185.215.218.82 include:_spf.online.superoffice.com -all</t>
  </si>
  <si>
    <t>v=DMARC1; p=reject; rua=mailto:dmarc_agg@vali.email,mailto:dmarc@inbound.flowmailer.net; ruf=mailto:dmarc@inbound.flowmailer.net; fo=1;</t>
  </si>
  <si>
    <t>dulux.ie</t>
  </si>
  <si>
    <t>v=spf1 include:spf1.akzonobel.com a:static.msdp1.com ip4:52.16.11.63 include:spf.newsletter.ie -all</t>
  </si>
  <si>
    <t>v=DMARC1; p=quarantine; pct=100; rua=mailto:dmarc-report@sensorpro.net; ruf=mailto:dmarc-report@sensorpro.net</t>
  </si>
  <si>
    <t>l'oreal.com</t>
  </si>
  <si>
    <t>abgrouppackaging.com</t>
  </si>
  <si>
    <t>v=spf1 include:spf.protection.outlook.com include:sent-via.netsuite.com -all</t>
  </si>
  <si>
    <t>wppg.com</t>
  </si>
  <si>
    <t>v=spf1 a ip4:158.120.85.36 ip4:62.64.249.230/31 ip4:213.170.190.9/29 ip4:213.170.190.209/28 ip4:80.65.107.16/28 ip4:84.19.51.146/29 ip4:195.243.14.154/29 ip4:2.136.200.80 ip4:149.36.231.242 ip4:89.125.252.224 ip4:89.125.254.217 ip4:78.137.137.130 ip4:213." "136.12.0/24 ip4:84.19.51.146/32 ip4:91.2.23.239/32 ip4:162.254.89.7 ip4:85.232.20.185 ip4:85.62.12.78 ip4:187.251.246.197 ip4:81.0.74.180 ip4:194.143.244.198 ip4:85.134.132.253 ip4:189.51.0.163 ip4:192.174.81.41/26 ip4:37.251.181.124/31 ip4:178.62.218.212" "/32 ip4:114.143.235.114 ip4:187.251.246.30 ip4:152.169.190.214 ip4:65.56.40.90 ip6:2001:7b8:3:5::25:0/112 include:spf.protection.outlook.com include:sendgrid.net include:spf-breaks-email.bit.nl include:servers.mcsv.net include:emaileuc.freshservice.com in" "clude:de._netblocks.mimecast.com -all</t>
  </si>
  <si>
    <t>v=DMARC1;p=reject;sp=reject;pct=100;rua=mailto:dmarc@wppg.com</t>
  </si>
  <si>
    <t>mars.com</t>
  </si>
  <si>
    <t>v=spf1 include:spf.mars-inc.com include:spf.protection.outlook.com include:spf.mandrillapp.com include:_spf.salesforce.com ~all</t>
  </si>
  <si>
    <t>v=DMARC1; p=reject; fo=1; ri=3600; rua=mailto:mars@rua.agari.com; ruf=mailto:mars@ruf.agari.com</t>
  </si>
  <si>
    <t>galmere.ie</t>
  </si>
  <si>
    <t>kilcarrigquarries.ie</t>
  </si>
  <si>
    <t>cartoonsaloon.ie</t>
  </si>
  <si>
    <t>allianzworldwidecare.com</t>
  </si>
  <si>
    <t>v=spf1 include:spf.allianz.com ip4:87.106.1.21 ip4:208.86.168.7 ip4:135.84.68.123 ip4:193.240.14.113 ip4:204.93.80.116 ip4:204.93.80.117 include:_spf.allianzworldwidecare.com include:esaas.inmoment.eu ~all</t>
  </si>
  <si>
    <t>faithlegg.com</t>
  </si>
  <si>
    <t>v=spf1 ip4:66.102.128.96 ip4:91.136.49.203 ip4:207.55.255.4 include:spf.protection.outlook.com include:authsmtp.com include:netaffinity.net include:turbo-smtp.com -all</t>
  </si>
  <si>
    <t>v=DMARC1;p=reject;pct=0</t>
  </si>
  <si>
    <t>camdencourthotel.com</t>
  </si>
  <si>
    <t>v=spf1 include:spf.protection.outlook.com include:_spf.bookassist.com  -all</t>
  </si>
  <si>
    <t>hsscu.ie</t>
  </si>
  <si>
    <t>v=spf1 include:spf.protection.outlook.com include:_spf.soluno.se include:spf.cuonline.well-it.com include:spf.mailjet.com include:spf.happyfox.com -all</t>
  </si>
  <si>
    <t>essentrapackaging.com</t>
  </si>
  <si>
    <t>walshcolourprint.com</t>
  </si>
  <si>
    <t>v=spf1 include:spf.protection.outlook.com a:server1.printlogicsystem.com a:server2.printlogicsystem.com -all</t>
  </si>
  <si>
    <t>v=DMARC1; p=none; rua=mailto:backup@infinity2.ie; ruf=mailto:backup@infinity2.ie; fo=1</t>
  </si>
  <si>
    <t>crestsolutions.ie</t>
  </si>
  <si>
    <t>v=spf1 ip4:212.17.60.82 include:spf.protection.outlook.com include:_spf.clockwise.info include:farahilde.clockwise.info include:servers.mcsv.net include:marketing.dynamics.com -all</t>
  </si>
  <si>
    <t>v=DMARC1; p=quarantine; rua=mailto:david.burke@crestsolutions.ie; ruf=mailto:david.burke@crestsolutions.ie;</t>
  </si>
  <si>
    <t>airconmech.com</t>
  </si>
  <si>
    <t>v=spf1 mx a  ip4:94.102.198.214 ip4:212.126.59.52 ip4:212.126.58.192/27  a:mail.airconmech.com include:spf.ess.uk.barracudanetworks.com include:spf.protection.outlook.com include:sendgrid.net -all</t>
  </si>
  <si>
    <t>v=DMARC1; p=quarantine; rua=mailto:dmarc@airconmech.com; ruf=mailto:dmarc@airconmech.com; fo=1; adkim=r; aspf=r</t>
  </si>
  <si>
    <t>scoilghobnatan.com</t>
  </si>
  <si>
    <t>sunday-times.ie</t>
  </si>
  <si>
    <t>v=spf1 include:_spf.news.co.uk ~all</t>
  </si>
  <si>
    <t>hml.ltd</t>
  </si>
  <si>
    <t>brooklyn.ie</t>
  </si>
  <si>
    <t>v=spf1 redirect=_sei5h55j5.sdmarc.net</t>
  </si>
  <si>
    <t>v=DMARC1; p=reject; pct=100; rua=mailto:a.ei5h55j5@sdmarc.net</t>
  </si>
  <si>
    <t>connectcentre.ie</t>
  </si>
  <si>
    <t>retirementservices.ie</t>
  </si>
  <si>
    <t>newtownparkhouse.ie</t>
  </si>
  <si>
    <t>supervalufermoy.ie</t>
  </si>
  <si>
    <t>joycesupermarket.com</t>
  </si>
  <si>
    <t>v=spf1 include:spf.protection.outlook.com ip4:83.70.80.17 ip4:86.43.114.181 ip4:83.70.80.21 ip4:86.43.84.46 ip4:78.143.178.30 ip4:83.70.80.22 ip4:86.43.100.112 -all</t>
  </si>
  <si>
    <t>supervalu.com</t>
  </si>
  <si>
    <t>arboretum.com</t>
  </si>
  <si>
    <t>v=spf1 a mx ptr include:hostmonster.com ?all</t>
  </si>
  <si>
    <t>brooksgroup.ie</t>
  </si>
  <si>
    <t>v=spf1 ip4:93.94.115.204 ip4:109.237.17.211 ip4:5.134.91.56/29 ip4:109.237.17.249 ip4:195.69.94.245 ip4:78.153.220.223 ip4:168.245.102.0 ip4:198.2.136.252 ip4:194.39.167.152 include:eu._netblocks.mimecast.com include:sendgrid.net include:spf.protection.ou" "tlook.com include:spf.mandrillapp.com include:servers.mcsv.net include:spf.emailsignatures365.com ~all</t>
  </si>
  <si>
    <t>crownroofing.ie</t>
  </si>
  <si>
    <t>v=spf1 ip4:83.147.183.6 include:spf.protection.outlook.com include:spf.ess.de.barracudanetworks.com include:servers.mcsv.net include:spf.exclaimer.net include:_spf.elasticemail.com -all</t>
  </si>
  <si>
    <t>v=DMARC1;p=none;pct=100;aspf=r;adkim=r;</t>
  </si>
  <si>
    <t>frankkeanebmw.ie</t>
  </si>
  <si>
    <t>v=spf1 a mx include:spf.protection.outlook.com include:spf.mandrillapp.com ip4:178.250.116.82 ip4:82.198.158.249 ip4:144.2.246.213 ip4:62.77.169.41 ip4:213.94.190.12 ip4:159.134.118.18 ip4:62.77.169.42 include:_spf.netdirector.auto ~all</t>
  </si>
  <si>
    <t>v=DMARC1;  p=none; rua=mailto:23f2961f5c814f5e8bebc7da1ed9f13d@dmarc-reports.cloudflare.net</t>
  </si>
  <si>
    <t>gpwood.ie</t>
  </si>
  <si>
    <t>v=spf1 +a +mx +a:web1.iseek.host +a:mail.darklite.ie include:spf.protection.outlook.com ip4:40.107.105.124 ip4:78.153.205.192/27 ip4:92.60.192.115 ip4:89.100.159.89 ip4:89.100.116.81 ~all</t>
  </si>
  <si>
    <t>cavaninstitute.ie</t>
  </si>
  <si>
    <t>v=spf1 include:spf.protection.outlook.com include:spf.dcsnet.ie ip4:137.191.239.238 ip4:159.183.154.182 ip4:159.183.137.76 -all</t>
  </si>
  <si>
    <t>v=DMARC1;p=reject;rua=mailto:dmarcsupport@cavaninstitute.ie</t>
  </si>
  <si>
    <t>bayer.com</t>
  </si>
  <si>
    <t>v=spf1 a mx ip4:192.237.159.170 ip4:166.78.71.146 ip4:192.237.159.44 ip4:23.253.183.59 ip4:212.64.225.225  ip4:212.64.225.226 include:spf.bayer.com -all</t>
  </si>
  <si>
    <t>v=DMARC1; p=none; rua=mailto:abejo5ak@ag.eu.dmarcian.com</t>
  </si>
  <si>
    <t>iitc.ie</t>
  </si>
  <si>
    <t>v=spf1 +a +mx +a:web2.iseek.host ip4:84.51.253.158 ip4:213.191.227.247 ip4:78.153.205.192/27 include:spf.protection.outlook.com ip4:78.143.184.206 -all</t>
  </si>
  <si>
    <t>cr2.com</t>
  </si>
  <si>
    <t>v=spf1 ip4:80.169.141.162 ip4:80.169.141.164 ip4:82.212.89.7 ip4:80.90.165.197 ip4:159.196.201.80 ip4:51.145.174.105 mx include:eu._netblocks.mimecast.com include:_spf.salesforce.com include:19711316.spf04.hubspotemail.net -all</t>
  </si>
  <si>
    <t>https://images.bimi-report.com/cr2.com.svg</t>
  </si>
  <si>
    <t>fsai.ie</t>
  </si>
  <si>
    <t>v=spf1 include:spf.protection.outlook.com ip4:137.191.237.116 -all</t>
  </si>
  <si>
    <t>theardilaunhotel.ie</t>
  </si>
  <si>
    <t>v=spf1 include:spf.protection.outlook.com ip4:5.9.72.76 include:smtproutes.com include:sendgrid.net include:authsmtp.com -all</t>
  </si>
  <si>
    <t>v=DMARC1; p=quarantine; sp=quarantine; rua=mailto:dmarc@theardilaunhotel.ie; ruf=mailto:dmarc@theardilaunhotel.ie; fo=1; pct=100</t>
  </si>
  <si>
    <t>larchfieldpark.ie</t>
  </si>
  <si>
    <t>v=spf1 +mx +a +ip4:91.210.235.140 include:spf.protection.outlook.com ~all</t>
  </si>
  <si>
    <t>slcontrols.com</t>
  </si>
  <si>
    <t>v=spf1 include:spf.protection.outlook.com ip4:212.17.32.37 include:spf.topsec.com include:servers.mcsv.net -all</t>
  </si>
  <si>
    <t>sle.ie</t>
  </si>
  <si>
    <t>v=spf1 a mx include:spf.elive.net ip4:83.71.139.201 include:spf.protection.outlook.com ~all</t>
  </si>
  <si>
    <t>v=DMARC1; p=none; sp=none; rf=afrf; pct=100; ri=86400</t>
  </si>
  <si>
    <t>teel.com</t>
  </si>
  <si>
    <t>v=spf1 ip4:162.245.183.32/28 ip4:4.43.193.184/29 include:spf.protection.outlook.com ~all</t>
  </si>
  <si>
    <t>eskerlodgenursinghome.ie</t>
  </si>
  <si>
    <t>v=spf1 ip4:185.32.253.250 include:spf.protection.outlook.com include:spf.mailanyone.net include:spf-esec.heimdalsecurity.com include:spf.smtp2go.com ~all</t>
  </si>
  <si>
    <t>stflannanscollege.ie</t>
  </si>
  <si>
    <t>v=spf1 +ip4:116.202.210.197 +include:spf.protection.outlook.com -all</t>
  </si>
  <si>
    <t>dunreidy.com</t>
  </si>
  <si>
    <t>v=spf1 include:servers.mcsv.net a:cleanmail1.deycom.com a:cleanmail2.deycom.com a:remote.deycom.com a:remote.dunreidy.com a:mail.dunreidy.com include:spf.protection.outlook.com include:_spf.elasticemail.com -all</t>
  </si>
  <si>
    <t>tente.com</t>
  </si>
  <si>
    <t>v=spf1 ip4:157.55.9.128/25 ip4:65.54.121.120/29 ip4:65.55.81.48/28 ip4:65.55.234.192/26 ip4:207.46.200.0/27 ip4:65.55.52.224/27 ip4:94.245.112.10/31 i" "p4:94.245.112.0/27 ip4:111.221.26.0/27 ip4:207.46.50.192/26 ip4:207.46.50.224 ip4:207.68.169.173/30 ip4:207.68.176.0/26 ip4:207.46.132.128/27 ip4:207." "68.176.96/27 ip4:65.55.238.129/26 ip4:207.46.116.128/29 ip4:65.55.178.128/27 ip4:213.199.161.128/27 ip4:65.55.33.64/28 ip4:167.220.67.238 ip4:51.4.71." "62 ip4:23.103.131.7 ip4:131.253.121.20 ip4:131.253.121.52 ip4:65.55.81.54/31 ip4:65.54.121.124/31 ip4:103.9.8.121 ip4:51.144.115.48 ip4:103.9.8.122 ip" "4:103.9.8.123 ip4:42.159.163.81 ip4:42.159.163.82 ip4:42.159.163.83 ip4:157.55.0.192/26 ip4:157.55.1.128/26 ip4:157.55.2.0/25 ip4:65.54.190.0/24 ip4:6" "5.54.51.64/26 ip4:65.54.61.64/26 ip4:65.55.111.0/24 ip4:65.55.116.0/25 ip4:65.55.34.0/24 ip4:65.55.90.0/24 ip4:65.54.241.0/24 ip4:207.46.117.0/24 ip4:" "65.55.78.128/25 ip4:111.221.112.0/21 ip4:207.46.58.128/25 ip4:111.221.69.128/25 ip4:111.221.66.0/25 ip4:111.221.23.128/25 ip4:70.37.151.128/25 ip4:157" ".56.248.0/21 ip4:213.199.177.0/26 ip4:157.55.225.0/25 ip4:157.55.11.0/25 ip4:185.104.73.142 ip4:89.202.39.129 ip4:91.205.116.251 ip4:193.179.14.98 ip4" ":193.179.14.99 ip4:69.61.206.162 ip4:82.76.191.79 ip4:37.228.154.183 ip4:37.228.154.77 ip4:213.163.164.201 ip4:213.163.169.136 ip4:46.105.67.29 ip4:19" "3.242.174.52 ip4:195.215.31.222 ip4:62.55.182.68 ip4:3.68.40.83 ip4:18.198.18.157 ip4:3.68.17.221 ip4:3.67.235.98 ip4:3.68.38.23 ip4:18.198.149.19 ip4" ":3.64.131.199 ip4:3.64.88.217 ip4:3.64.142.243 ip4:87.53.90.22 ip4:78.24.15.64/26 ip4:185.68.68.0/22 ip4:185.115.1.86 ip4:102.22.194.100 ip4:41.120.17" ".188 ip4:3.67.178.138  include:spf.protection.outlook.com include:spf.emailsignatures365.com include:emaileu.clickdimensions.com include:_spf.cmail.on" "demand.com include:spf.plutex.de a:managedmail.3ict.nl include:spfv4.sosafe.de include:spfv6.sosafe.de -all</t>
  </si>
  <si>
    <t>v=DMARC1; p=quarantine; rua=mailto:dmarc.de@tente.com; fo=0; adkim=r; aspf=r; rf=afrf; sp=none; pct=100</t>
  </si>
  <si>
    <t>sheenfallslodge.ie</t>
  </si>
  <si>
    <t>v=spf1 ip4:185.51.105.225 ip4:149.72.150.15 ip4:168.245.107.83 ip4:149.72.136.158 include:spf.protection.outlook.com include:spf.mtasv.net include:mailgun.org include:spf.premiersoftware.co.uk include:spf.mailjet.com ~all</t>
  </si>
  <si>
    <t>v=DMARC1; p=none; fo=1; rua=mailto:rua+sheenfallslodge.ie@dmarc.barracudanetworks.com; ruf=mailto:ruf+sheenfallslodge.ie@dmarc.barracudanetworks.com</t>
  </si>
  <si>
    <t>amberoil.ie</t>
  </si>
  <si>
    <t>v=DMARC1; p=reject; rua=mailto:dmarc_agg@vali.email,mailto:DMARC.RUF@greenergy.com; ruf=mailto:DMARC.RUF@greenergy.com</t>
  </si>
  <si>
    <t>svhf.ie</t>
  </si>
  <si>
    <t>v=spf1 include:spf.protection.outlook.com a:mail1.svhf.ie  ~all</t>
  </si>
  <si>
    <t>bolgers.com</t>
  </si>
  <si>
    <t>v=spf1 include:spf.topsec.com include:spf.protection.outlook.com ip4:93.107.109.52/32 ~all</t>
  </si>
  <si>
    <t>moog.com</t>
  </si>
  <si>
    <t>v=spf1 ip4:104.193.137.41 ip4:104.193.137.227 ip4:104.193.137.209 include:spf-00184801.pphosted.com include:_spf.moog.com include:_spf.createsend.com include:servers.mcsv.net -all</t>
  </si>
  <si>
    <t>corktaxi.ie</t>
  </si>
  <si>
    <t>v=spf1 +a +mx +ip4:66.206.3.250 +ip4:104.47.14.57 include:spf.protection.outlook.com include:spf.reg365.net ~all</t>
  </si>
  <si>
    <t>bellurgan.com</t>
  </si>
  <si>
    <t>v=spf1 ip4:109.234.99.146 include:spf.protection.outlook.com -all</t>
  </si>
  <si>
    <t>v=DMARC1; p=quarantine; rua=mailto:dmarc@bellurgan.com</t>
  </si>
  <si>
    <t>caw.ie</t>
  </si>
  <si>
    <t>v=spf1 include:spf.protection.outlook.com include:smtp.cologlobal.com ip4:89.101.151.145 ~all</t>
  </si>
  <si>
    <t>stwarchitects.com</t>
  </si>
  <si>
    <t>quinns.ie</t>
  </si>
  <si>
    <t>faacgroup.com</t>
  </si>
  <si>
    <t>v=spf1 mx include:spf.protection.outlook.com include:_spf.elasticemail.com include:servers.mcsv.net include:spf.icontroller.eu include:musvc.com include:spf.constantcontact.com include:_spf.mlsend.com ip4:149.72.171.119 ip4:217.8.248.0/25 exists:%{i}.spf." "hc2493-46.eu.iphmx.com -all</t>
  </si>
  <si>
    <t>v=DMARC1; p=reject; pct=100; rua=mailto:dmarca@faacgroup.com; ruf=mailto:dmarcf@faacgroup.com; fo=1</t>
  </si>
  <si>
    <t>crowehorwath.ie</t>
  </si>
  <si>
    <t>v=spf1 include:spf.topsec.com include:spf.sendinblue.com include:spf.protection.outlook.com mx -all</t>
  </si>
  <si>
    <t>v=DMARC1; p=none; rua=mailto:dmarcreports@crowe.ie; ruf=mailto:dmarcreports@crowe.ie; fo=1; adkim=s; aspf=s;</t>
  </si>
  <si>
    <t>charteredaccountants.ie</t>
  </si>
  <si>
    <t>v=spf1 mx a ip4:193.120.76.114 ip4:89.185.150.44 include:spf.protection.outlook.com include:cmail1.com include:_spf.arlo.co include:msgfocus.com ~all</t>
  </si>
  <si>
    <t>v=DMARC1; p=quarantine; sp=none; rua=mailto:webmaster@charteredaccountants.ie;</t>
  </si>
  <si>
    <t>irishrugby.ie</t>
  </si>
  <si>
    <t>v=spf1 include:spf.myconnectwise.net include:spf.protection.outlook.com include:spf.soticservers.net include:eu._netblocks.mimecast.com include:_spf-dc55.sapsf.eu -all</t>
  </si>
  <si>
    <t>v=DMARC1; p=reject; rua=mailto:00576b64b191795@rep.dmarcanalyzer.com; ruf=mailto:00576b64b191795@for.dmarcanalyzer.com; fo=1;</t>
  </si>
  <si>
    <t>goracing.ie</t>
  </si>
  <si>
    <t>v=spf1 exists:%{i}.spf.acme.iphmx.com ip4:137.191.244.169 ip4:137.191.244.177 ip4:139.138.61.113 ip4:139.138.61.197 ip4:139.138.36.15 ip4:139.138.36.238 ip4:208.91.114.151 include:spf.protection.outlook.com -all</t>
  </si>
  <si>
    <t>v=DMARC1; p=quarantine; rua=mailto:357d325411d64ab7aaff9cb2b19582f7@dmarc-reports.cloudflare.net</t>
  </si>
  <si>
    <t>accreate.com</t>
  </si>
  <si>
    <t>v=spf1 include:spf2.premiergp.com include:spf.premiergp.com ~all</t>
  </si>
  <si>
    <t>v=DMARC1; p=none; rua=mailto:mailadministator@accreate.com; ruf=mailto:mailadministator@accreate.com; sp=none; fo=1; ri=86400</t>
  </si>
  <si>
    <t>ashfieldhealthcare.com</t>
  </si>
  <si>
    <t>v=spf1 include:eu._netblocks.mimecast.com include:mailgun.org include:_spf.salesforce.com ip4:38.100.206.240/32 ip4:79.137.16.192/27 ip4:198.2.132.142/32 ~all</t>
  </si>
  <si>
    <t>v=DMARC1; p=quarantine; rua=mailto:rua@ashfieldhealthcare.com; ruf=mailto:ruf@ashfieldhealthcare.com</t>
  </si>
  <si>
    <t>parcaviation.com</t>
  </si>
  <si>
    <t>v=DMARC1;p=none;rua=mailto:iyh2whum@ag.ca.dmarcian.com;</t>
  </si>
  <si>
    <t>morganmckinley.com</t>
  </si>
  <si>
    <t>v=DMARC1;p=none;rua=mailto:mailadministator@morganmckinley.com,mailto:6167661274@rua.easydmarc.eu;ruf=mailto:mailadministator@morganmckinley.com,mailto:6167661274@ruf.easydmarc.eu;fo=1;</t>
  </si>
  <si>
    <t>glennons.ie</t>
  </si>
  <si>
    <t>v=spf1 a mx include:_spf.createsend.com include:sendgrid.net include:spf.protection.outlook.com include:_spf.salesforce.com ip4:88.150.142.67 ip4:20.234.96.176 ip4:13.74.114.132 ip4:13.69.157.38 ip4:83.142.230.177 ip4:20.234.123.147 ip4:20.234.113.38 ip4:" "85.255.23.51 ~all</t>
  </si>
  <si>
    <t>v=DMARC1; p=quarantine; rua=mailto:dmarc_rua@glennons.ie;</t>
  </si>
  <si>
    <t>fotaisland.ie</t>
  </si>
  <si>
    <t>v=spf1 include:eu-sender.zohosubscriptions.com include:spf.eu.exclaimer.net include:_spf.granite.ie include:spf.protection.outlook.com include:email2.guestfolio.net include:sendgrid.net include:oracleindustry.com -all</t>
  </si>
  <si>
    <t>worldrugby.org</t>
  </si>
  <si>
    <t>v=spf1 redirect=baoh8se5._spf._d.mim.ec</t>
  </si>
  <si>
    <t>v=DMARC1; p=reject; rua=mailto:02ba35546e8c330@rep.dmarcanalyzer.com, mailto:dmarc_agg@vali.email; ruf=mailto:02ba35546e8c330@for.dmarcanalyzer.com; fo=1;</t>
  </si>
  <si>
    <t>jcdecaux.ie</t>
  </si>
  <si>
    <t>v=spf1 include:spf.jcdecaux.com -all</t>
  </si>
  <si>
    <t>omd.com</t>
  </si>
  <si>
    <t>v=spf1 include:spf.protection.outlook.com include:servers.mcsv.net include:2432162.spf08.hubspotemail.net include:_spf.kase.se include:_spfmo.mediaocean.com -all</t>
  </si>
  <si>
    <t>electricgalway.com</t>
  </si>
  <si>
    <t>v=spf1 include:spf.protection.outlook.com a:vie01a-dmta-pe01-2.mx.upcmail.net -all</t>
  </si>
  <si>
    <t>parkrite.ie</t>
  </si>
  <si>
    <t>trabolgan.com</t>
  </si>
  <si>
    <t>v=spf1 include:mail.campmanager.com ip4:86.47.226.59 ip4:91.210.232.140 ip4:78.137.168.236 include:spf.constantcontact.com include:servers.mcsv.net include:spf.protection.outlook.com -all</t>
  </si>
  <si>
    <t>rabobank.ie</t>
  </si>
  <si>
    <t>v=spf1 MX -all</t>
  </si>
  <si>
    <t>v=DMARC1; p=reject; rua=mailto:difuwh3e@ag.eu.dmarcadvisor.com</t>
  </si>
  <si>
    <t>greyhound.ie</t>
  </si>
  <si>
    <t>v=spf1 include:spf.protection.outlook.com ip4:52.209.222.127 -all</t>
  </si>
  <si>
    <t>mulleadygroup.com</t>
  </si>
  <si>
    <t>corvil.com</t>
  </si>
  <si>
    <t>v=spf1 mx ip4:31.193.216.71 include:aspmx.pardot.com include:docebosaas.com include:spf.protection.outlook.com include:_spf.salesforce.com ~all</t>
  </si>
  <si>
    <t>v=DMARC1; p=reject; pct=100; rua=mailto:re+cnejrc6vg96@dmarc.postmarkapp.com; sp=none; aspf=r;</t>
  </si>
  <si>
    <t>lynskeyeng.ie</t>
  </si>
  <si>
    <t>v=spf1 +a +mx +ip4:31.25.185.186 +include:relay.mailchannels.net +ip4:185.108.130.131 +ip4:31.216.237.218 +include:spf.protection.outlook.com ~all</t>
  </si>
  <si>
    <t>v=DMARC1; p=quarantine; rua=mailto:dmarc@infinitetechnology.ie; ruf=mailto:dmarc@infinitetechnology.ie; fo=1;</t>
  </si>
  <si>
    <t>malonegroup.com</t>
  </si>
  <si>
    <t>v=spf1 include:spf.protection.outlook.com include:spf.exclaimer.net include:spf.helpdesk.com ~all</t>
  </si>
  <si>
    <t>v=DMARC1; p=reject; rua=mailto:e507e39da11c427a981e8f15bc4d86b8@dmarc-reports.cloudflare.net,mailto:6g8ir3ci@ag.eu.dmarcadvisor.com;</t>
  </si>
  <si>
    <t>cygnum.ie</t>
  </si>
  <si>
    <t>v=spf1 include:spf.protection.outlook.com ip4:78.153.205.201 -all</t>
  </si>
  <si>
    <t>myhome.ie</t>
  </si>
  <si>
    <t>v=spf1 ip4:217.112.147.0/24 ip4:195.7.33.0/24 include:_spf.google.com include:spf.protection.outlook.com ~all</t>
  </si>
  <si>
    <t>extraspacesolutions.com</t>
  </si>
  <si>
    <t>clancy.ie</t>
  </si>
  <si>
    <t>v=spf1 +a +mx +ip4:92.51.242.205 +ip4:92.51.242.54 +ip4:91.142.102.188 +a:smtp.upcmail.ie +a:mail.eircom.net +a:spamblock.clancy.ie +include:spf.protection.outlook.com +a:remote.clancy.ie ~all</t>
  </si>
  <si>
    <t>v=DMARC1;p=none;sp=none;adkim=r;aspf=r;pct=100;fo=1;rf=afrf;ri=86400;rua=mailto:rep-dmarc@i-dmarc.com;ruf=mailto:for-dmarc@i-dmarc.com</t>
  </si>
  <si>
    <t>bennettconstruction.ie</t>
  </si>
  <si>
    <t>v=spf1 include:spf.protection.outlook.com include:spf.blacknight.com include:spf.topsec.com include:_spf_cd.spamtitan.com -all</t>
  </si>
  <si>
    <t>energia.ie</t>
  </si>
  <si>
    <t>v=spf1 mx ip4:5.61.115.48/28 ip4:5.61.115.32/28 ip4:81.20.37.9 ip4:185.129.177.9 ip4:31.121.9.142 ip4:31.121.9.181 ip4:31.121.9.203 ip4:23.21.109.197 ip4:23.21.109.212 ip4:147.160.167.14 ip4:147.160.167.15 ip4:52.49.235.189 ip4:52.49.201.246 include:spf.p" "rotection.outlook.com include:_spf.salesforce.com include:mandrillapp.com include:_spf.eu.mailgun.org include:_spf.mailgun.org -all</t>
  </si>
  <si>
    <t>v=DMARC1; p=quarantine; rua=mailto:dmarc@energia.ie,mailto:brziax9u@ag.eu.dmarcian.com; fo=1</t>
  </si>
  <si>
    <t>collengroup.com</t>
  </si>
  <si>
    <t>byrnemech.ie</t>
  </si>
  <si>
    <t>v=spf1 a include:spf.protection.outlook.com a:spamtitan.zenotec.ie ip4:93.107.177.179  include:spf.topsec.com -all</t>
  </si>
  <si>
    <t>alsglobal.com</t>
  </si>
  <si>
    <t>https://amplify.valimail.com/bimi/als-laboratory-group/d3DGfkbvUfD-CMYK-ALS-LogoCircle-Blue.svg</t>
  </si>
  <si>
    <t>itsa.ie</t>
  </si>
  <si>
    <t>v=spf1 include:SPF.protection.outlook.com ~all</t>
  </si>
  <si>
    <t>lscatering.ie</t>
  </si>
  <si>
    <t>klasmann-deilmann.com</t>
  </si>
  <si>
    <t>v=spf1 a ip4:82.165.57.128 ip4:80.228.84.131 ip4:80.228.84.130 ip4:217.160.0.65 ip4:212.227.126.130 include:amazonses.com include:spf-de.emailsignatures365.com include:spf.protection.outlook.com -all</t>
  </si>
  <si>
    <t>v=DMARC1; p=quarantine; sp=none;</t>
  </si>
  <si>
    <t>eurofound.europa.eu</t>
  </si>
  <si>
    <t>v=spf1  ip4:6.105.61.53 ip4:193.1.10.137 include:spf.protection.outlook.com include:spf.emailsignatures365.com include:customers.clickdimensions.com include:network.mynewsdesk.com ~all</t>
  </si>
  <si>
    <t>v=DMARC1; p=none; rua=mailto:d103bys7@ag.eu.dmarcadvisor.com; adkim=r; aspf=r; sp=none</t>
  </si>
  <si>
    <t>annerhotel.com</t>
  </si>
  <si>
    <t>syncreon.com</t>
  </si>
  <si>
    <t>v=spf1 mx a ptr ip4:198.54.218.0/24 a:mailus.syncreon.com a:mailus1.syncreon.com include:us._netblocks.mimecast.com include:spf.afas.online include:_spf.salesforce.com include:spf.protection.outlook.com ~all</t>
  </si>
  <si>
    <t>flemingtransport.ie</t>
  </si>
  <si>
    <t>qtponline.com</t>
  </si>
  <si>
    <t>v=spf1 ip4:165.72.200.104 ip4:165.72.200.105 ip4:165.72.200.106 ip4:165.72.200.107 include:sendgrid.net include:fdspfus.freshemail.io include:fdspfeuc.freshemail.io include:fdspfind.freshemail.io include:fdspfaus.freshemail.io include:spf.protection." "outlook.com ~all</t>
  </si>
  <si>
    <t>v=DMARC1;p=quarantine;pct=100;rua=mailto:it@qtponline.com;ri=86400;fo=1</t>
  </si>
  <si>
    <t>vitalograph.ie</t>
  </si>
  <si>
    <t>v=spf1 ip4:31.121.82.196  include:spf.fusemail.net include:spf.mailanyone.net include:_spf.psm.knowbe4.com include:20292539.spf10.hubspotemail.net include:_spf.psm.knowbe4.com ~all</t>
  </si>
  <si>
    <t>v=DMARC1; p=none; pct=100; rua=mailto:dmarc_agg@vali.email; sp=none; aspf=r;</t>
  </si>
  <si>
    <t>bordbia.ie</t>
  </si>
  <si>
    <t>v=spf1 mx ip4:137.191.239.166 a:autotask.net include:spf.mandrillapp.com include:spf.protection.outlook.com include:spf.exclaimer.net include:_spf.salesforce.com include:sendgrid.net include:autotask.net ~all</t>
  </si>
  <si>
    <t>v=DMARC1; p=none; rua=mailto:dmarc@bordbia.ie; ruf=mailto:dmarc@bordbia.ie; aspf=r</t>
  </si>
  <si>
    <t>cro.ie</t>
  </si>
  <si>
    <t>v=spf1 ip4:137.191.224.104 include:spf.sendinblue.com mx ~all</t>
  </si>
  <si>
    <t>carrigcs.ie</t>
  </si>
  <si>
    <t>v=spf1 ip4:95.215.226.190 include:thewebhostserver.com include:_spf.google.com ~all</t>
  </si>
  <si>
    <t>v=DMARC1;  p=none; rua=mailto:a0815128270a44ed92047f5d942c6546@dmarc-reports.cloudflare.net</t>
  </si>
  <si>
    <t>christkingschool.com</t>
  </si>
  <si>
    <t>glanmirecc.ie</t>
  </si>
  <si>
    <t>v=spf1 +a +mx include:spf.protection.outlook.com include:spf.dcsnet.ie +a:mail.glanmirecc.ie +a:scanner.scoilnet.ie ip4:78.153.205.203 ip4:87.36.28.4 ~all</t>
  </si>
  <si>
    <t>carndonaghcs.ie</t>
  </si>
  <si>
    <t>alexandracollege.ie</t>
  </si>
  <si>
    <t>v=spf1 include:servers.mcsv.net include:_spf.google.com include:schoolmail.aladdin.ie ~all</t>
  </si>
  <si>
    <t>v=DMARC1; p=quarantine; rua=mailto:dmarc@alexandracollege.ie; pct=90; sp=none</t>
  </si>
  <si>
    <t>colaistedhulaighpp.ie</t>
  </si>
  <si>
    <t>collinstownpark.ie</t>
  </si>
  <si>
    <t>coolminecs.ie</t>
  </si>
  <si>
    <t>v=spf1 include:spf.protection.outlook.com include:spf.irishdomains.com -all</t>
  </si>
  <si>
    <t>hartstowncs.ie</t>
  </si>
  <si>
    <t>kylemorecollege.ie</t>
  </si>
  <si>
    <t>mounttemple.ie</t>
  </si>
  <si>
    <t>v=spf1 a include:spf.blacknight.com include:_spf.google.com ~all</t>
  </si>
  <si>
    <t>oldbawncs.ie</t>
  </si>
  <si>
    <t>v=spf1 a mx include:spf.webhost.ie ~all</t>
  </si>
  <si>
    <t>stmacdaras.ie</t>
  </si>
  <si>
    <t>clongowes.com</t>
  </si>
  <si>
    <t>phcol.ie</t>
  </si>
  <si>
    <t>kilkennycollege.ie</t>
  </si>
  <si>
    <t>v=spf1 +a +mx +ip4:185.224.198.96 +include:antispamcloud.com +include:spf.sendinblue.com +include:autotask.net +include:spf.protection.outlook.com ~all</t>
  </si>
  <si>
    <t>castletroycollege.ie</t>
  </si>
  <si>
    <t>rockwellcollege.ie</t>
  </si>
  <si>
    <t>athlonecc.ie</t>
  </si>
  <si>
    <t>moatecs.com</t>
  </si>
  <si>
    <t>v=spf1 redirect=_sn47aipob.sdmarc.net</t>
  </si>
  <si>
    <t>v=DMARC1; p=reject; pct=100; rua=mailto:a.n47aipob@sdmarc.net</t>
  </si>
  <si>
    <t>walshmushrooms.com</t>
  </si>
  <si>
    <t>v=spf1 include:spf.protection.outlook.com include:emails.recplus.co.uk~co.uk -all</t>
  </si>
  <si>
    <t>stfrancisprivatehospital.com</t>
  </si>
  <si>
    <t>v=spf1 a:remote.stfrancisprivatehospital.com include:spf.protection.outlook.com include:spf.topsec.com ~all</t>
  </si>
  <si>
    <t>v=DMARC1;p=reject;sp=reject;pct=100;rua=mailto:ed324e1168@rua.easydmarc.eu;ruf=mailto:ed324e1168@ruf.easydmarc.eu;ri=86400;fo=1</t>
  </si>
  <si>
    <t>corkinternationalhotel.com</t>
  </si>
  <si>
    <t>v=spf1 a mx ip4:84.203.232.226 ip4:84.203.232.227 ip4:83.147.183.82 ip4:80.93.21.0/24 include:email2.guestfolio.net include:spf.protection.outlook.com include:guestline.net include:roomlynx.net include:netaffinity.net -all</t>
  </si>
  <si>
    <t>v=DMARC1; p=none; fo=1; rua=mailto:rua+corkinternationalhotel.com@dmarc.barracudanetworks.com; ruf=mailto:ruf+corkinternationalhotel.com@dmarc.barracudanetworks.com</t>
  </si>
  <si>
    <t>dunmorehousehotel.ie</t>
  </si>
  <si>
    <t>fernhillhousehotel.com</t>
  </si>
  <si>
    <t>v=spf1 include:_spf.google.com include:spf.blacknight.ie include:guestline.net include:roomlynx.net include:authsmtp.com -all</t>
  </si>
  <si>
    <t>garryvoehotel.com</t>
  </si>
  <si>
    <t>jacksonshotel.ie</t>
  </si>
  <si>
    <t>v=spf1 include:spf.protection.outlook.com include:netaffinity.net include:authsmtp.com ip4:51.89.164.148 ip6:2a01:111:f403:2612::70f/128 ~all</t>
  </si>
  <si>
    <t>solislougheskecastle.com</t>
  </si>
  <si>
    <t>carnegiecourthotel.com</t>
  </si>
  <si>
    <t>maldronhoteldublinairport.com</t>
  </si>
  <si>
    <t>morrisonhotel.ie</t>
  </si>
  <si>
    <t>v=DMARC1;p=none;sp=none;pct=100;rua=mailto:dmarcreports@morrisonhotel.ie;ruf=mailto:dmarcreports@morrisonhotel.ie;ri=86400;aspf=r;adkim=r;fo=1</t>
  </si>
  <si>
    <t>ballsbridgehotel.com</t>
  </si>
  <si>
    <t>louisfitzgeraldhotel.com</t>
  </si>
  <si>
    <t>v=spf1 a mx ip4:89.101.218.38 include:oracleindustry.com include:eu.rp.oracleemaildelivery.com ~all</t>
  </si>
  <si>
    <t>plazahotel.ie</t>
  </si>
  <si>
    <t>thespencerhotel.com</t>
  </si>
  <si>
    <t>v=spf1 ip4:5.149.174.186 include:spf.protection.outlook.com include:spf.mandrillapp.com include:hemlock.avvio.com include:_spf.bookassist.com Include:_spf.salesforce.com -all</t>
  </si>
  <si>
    <t>v=DMARC1; p=quarantine; pct=100; rua=mailto:dmarc@thespencerhotel.com; ruf=mailto:dmarc@thespencerhotel.com</t>
  </si>
  <si>
    <t>shearwaterhotel.com</t>
  </si>
  <si>
    <t>v=spf1 a mx include:spf.protection.outlook.com include:netaffinity.net -all</t>
  </si>
  <si>
    <t>parknasillahotel.ie</t>
  </si>
  <si>
    <t>v=spf1 include:_spf.google.com ip4:91.216.241.78 include:authsmtp.com  include:eu.rp.oracleemmaildelivery.com ~all</t>
  </si>
  <si>
    <t>v=DMARC1; p=none; rua=mailto:dmarc-reports@parknasillahotel.ie</t>
  </si>
  <si>
    <t>springfieldhotel.ie</t>
  </si>
  <si>
    <t>v=spf1 mx include:spf.protection.outlook.com include:netaffinity.net include:spamtitan.tierneys.ie include:_spf.wire.threatspike.com -all</t>
  </si>
  <si>
    <t>langtons.ie</t>
  </si>
  <si>
    <t>v=spf1 ip4:89.101.223.26 include:spf.protection.outlook.com ip4:91.220.45.250 include:spf.topsec.com include:netaffinity.net -all</t>
  </si>
  <si>
    <t>mountfalcon.com</t>
  </si>
  <si>
    <t>v=spf1 a mx ip4:88.91.97.2 include:spf.protection.outlook.com include:spf.mandrillapp.com include:netaffinity.net include:authsmtp.com -all</t>
  </si>
  <si>
    <t>castleleslie.com</t>
  </si>
  <si>
    <t>v=spf1 a:sid.customerminds.com a mx include:spf.topsec.com ip4:23.253.183.212 include:spf.protection.outlook.com -all</t>
  </si>
  <si>
    <t>v=DMARC1; p=none; ruf=mailto:ruf@castleleslie.com; rua=mailto:rua@castleleslie.com;</t>
  </si>
  <si>
    <t>granville-hotel.ie</t>
  </si>
  <si>
    <t>v=spf1 ip4:194.165.184.231 ip4:89.101.218.195 include:spf.protection.outlook.com include:spf.ess.de.barracudanetworks.com include:spf.guestjoy.com ~all</t>
  </si>
  <si>
    <t>annebrook.ie</t>
  </si>
  <si>
    <t>talbothotel.ie</t>
  </si>
  <si>
    <t>v=spf1 include:spf.protection.outlook.com include:netaffinity.net include:authsmtp.com include:spf.emailing.loungeup.com include:sendgrid.net -all</t>
  </si>
  <si>
    <t>themartello.ie</t>
  </si>
  <si>
    <t>v=spf1 +a +mx +ip4:185.43.233.229 +include:spf.antispamcloud.com -all</t>
  </si>
  <si>
    <t>efc.ie</t>
  </si>
  <si>
    <t>v=spf1 mx a:securemail.efc.ie include:spf.topsec.com include:spf.protection.outlook.com include:nw005.com include:c9a32dc6-spf.mta.getcheckrecipient.com ~all</t>
  </si>
  <si>
    <t>fieldfisher.com</t>
  </si>
  <si>
    <t>v=spf1 include:eu._netblocks.mimecast.com include:de._netblocks.mimecast.com include:_spf.zimpel.de include:spf.eu.exclaimer.net ip4:192.0.5.0/24 ip4:103.2.142.87/32 -all</t>
  </si>
  <si>
    <t>v=DMARC1; p=reject; fo=1; rua=mailto:informationsecurity@fieldfisher.com; ruf=mailto:informationsecurity@fieldfisher.com</t>
  </si>
  <si>
    <t>ivorfitzpatrick.ie</t>
  </si>
  <si>
    <t>v=spf1 include:spf.protection.outlook.com include:spf.messagelabs.com include:sendgrid.net include:mailgun.org -all</t>
  </si>
  <si>
    <t>v=DMARC1; pct=100; p=none; rua=mailto:helpdesk@ivorfitzpatrick.ie</t>
  </si>
  <si>
    <t>aceautobody.ie</t>
  </si>
  <si>
    <t>v=spf1 include:spf.protection.outlook.com a:s1-se.blacknight.ie a:s2-se.blacknight.ie include:spf1.emailsecurity.app -all</t>
  </si>
  <si>
    <t>suretank.com</t>
  </si>
  <si>
    <t>v=spf1 a mx include:_spf.elasticemail.com include:spf.hornetsecurity.com include:spf.protection.outlook.com  ~all</t>
  </si>
  <si>
    <t>kentstainless.com</t>
  </si>
  <si>
    <t>v=spf1 mx include:mailanyone.net include:spf.protection.outlook.com include:_spf.elasticemail.com ~all</t>
  </si>
  <si>
    <t>amneal.com</t>
  </si>
  <si>
    <t>"v=spf1 ip4:45.79.128.24 ip4:23.239.15.18 ip4:174.128.40.224/27 ip4:208.80.200.0/21 ip4:52.170.85.198 ip4:40.118.163.33 ip4:54.240.43.16 include:spf-003ba101.pphosted.com include:spf.protection.outlook.com  include:_spf.salesforce.com" "include:_spf.q4press.com include:40023361.spf10.hubspotemail.net include:docebosaas.com -all"</t>
  </si>
  <si>
    <t>milishfoods.ie</t>
  </si>
  <si>
    <t>v=spf1 ip4:149.71.160.226 ip4:52.31.106.198 include:spf.reg365.net include:spf.protection.outlook.com -all</t>
  </si>
  <si>
    <t>oreillyconcrete.com</t>
  </si>
  <si>
    <t>v=spf1 ip4:82.198.136.162 include:spf.protection.outlook.com include:spf.zoho.eu include:eu.transmail.net -all</t>
  </si>
  <si>
    <t>v=DMARC1; p=reject; pct=100; rua=mailto:itex-rua@oreillyconcrete.com; ruf=mailto:itex-ruf@oreillyconcrete.com; fo=1 ;v=DMARC1; p=none;</t>
  </si>
  <si>
    <t>lagan-group.com</t>
  </si>
  <si>
    <t>cwscomms.ie</t>
  </si>
  <si>
    <t>v=spf1 ip4:89.34.16.71 include:spf.protection.outlook.com -all</t>
  </si>
  <si>
    <t>mjflood.ie</t>
  </si>
  <si>
    <t>v=spf1 a mx ip4:148.252.8.110 ip4:13.74.87.196 ip4:148.163.155.188 include:_netblocks.mimecast.com include:spf.protection.outlook.com include:spf.elive.net include:websitewelcome.com include:email.freshdesk.com ~all</t>
  </si>
  <si>
    <t>oceanconnect.com</t>
  </si>
  <si>
    <t>enet.ie</t>
  </si>
  <si>
    <t>v=spf1 ip4:10.2.1.52 ip4:10.1.1.180 ip4:193.120.142.174 include:spf.protection.outlook.com include:_spf.psm.knowbe4.com include:aspmx.pardot.com include:_spf.salesforce.com include:spf.eu.exclaimer.net include:authsmtp.com -all</t>
  </si>
  <si>
    <t>v=DMARC1; p=none; ruf=mailto:security@enet.ie; fo=1; pct=100</t>
  </si>
  <si>
    <t>rigid.ie</t>
  </si>
  <si>
    <t>ganlys.ie</t>
  </si>
  <si>
    <t>v=spf1 include:spf.protection.outlook.com include:spf1.ganlys.ie -all</t>
  </si>
  <si>
    <t>v=DMARC1; p=quarantine; fo=1; rua=mailto:webmaster@ganlys.ie</t>
  </si>
  <si>
    <t>led.ie</t>
  </si>
  <si>
    <t>v=spf1 include:spf.protection.outlook.com ip4:89.101.121.225 ip4:27.126.148.96/27 ip4:27.126.147.96/27 ip4:27.126.146.96/27 ip4:205.166.177.0/24 ip4:204.75.142.0/24 ip4:203.55.21.0/24 ip4:103.28.42.0/24 include:authsmtp.com -all</t>
  </si>
  <si>
    <t>v=DMARC1;p=none;pct=100;rua=mailto:itsupport@led.ie</t>
  </si>
  <si>
    <t>lifeline.ie</t>
  </si>
  <si>
    <t>v=spf1 include:_spf.google.com include:spf.protection.outlook.com ~all</t>
  </si>
  <si>
    <t>cwc-ae.com</t>
  </si>
  <si>
    <t>v=spf1 +a +mx +ip4:66.147.244.69 ?all</t>
  </si>
  <si>
    <t>ardaghgroup.com</t>
  </si>
  <si>
    <t>v=spf1 mx a ip4:194.156.135.50 ip4:67.231.144.99 ip4:208.86.201.212 ip4:162.18.16.90 ip4:5.79.0.191 ip4:196.5.108.72 ip4:196.5.108.73 include:spf.protection.outlook.com include:servers.mcsv.net include:marketing.dynamics.com include:_spf-dc33.sapsf.eu ~al" "l</t>
  </si>
  <si>
    <t>v=DMARC1; p=quarantine; pct=100; rua=mailto:dmarc@ardaghgroup.com; sp=quarantine; aspf=r;</t>
  </si>
  <si>
    <t>staffordlynch.ie</t>
  </si>
  <si>
    <t>v=DMARC1;p=quarantine;pct=100;rua=mailto:dmarc@staffordlynch.ie</t>
  </si>
  <si>
    <t>renishaw.com</t>
  </si>
  <si>
    <t>v=spf1 include:spf.protection.outlook.com a:hybrid.renishaw.com a:admin.journyx.com a:c.spf.service-now.com a:d.spf.service-now.com include:spf-part1.renishaw.com ip4:64.14.29.8 ip4:167.89.5.8 ip4:213.120.89.45 ip4:210.57.51.241 -all</t>
  </si>
  <si>
    <t>v=DMARC1; p=reject; rua=mailto:dmarc_agg@vali.email,mailto:8e1f20543db7378@rep.dmarcanalyzer.com; ruf=mailto:dmarc@renishaw.com</t>
  </si>
  <si>
    <t>vwr.com</t>
  </si>
  <si>
    <t>v=spf1 include:spf1.vwr.com include:spf2.vwr.com -all</t>
  </si>
  <si>
    <t>v=DMARC1;p=quarantine;rua=mailto:dmarc.reports@vwr.com;ruf=mailto:dmarc.reports@vwr.com;sp=reject;ri=84600</t>
  </si>
  <si>
    <t>orona-mwl.ie</t>
  </si>
  <si>
    <t>v=spf1 redirect=orona.es</t>
  </si>
  <si>
    <t>v=DMARC1; p=reject;pct=15;rua=mailto:b1ey2bt8@ag.eu.dmarcian.com,mailto:dmarc@orona-group.com; ruf=mailto:b1ey2bt8@fr.eu.dmarcian.com,mailto:dmarc@orona-group.com; fo=1;</t>
  </si>
  <si>
    <t>irishmerchants.com</t>
  </si>
  <si>
    <t>concast.ie</t>
  </si>
  <si>
    <t>graceconstruction.com</t>
  </si>
  <si>
    <t>cascadedesigns.com</t>
  </si>
  <si>
    <t>v=spf1 ip4:209.245.166.14 ip4:166.78.70.233 ip4:65.61.97.12 include:mail.zendesk.com include:_spf.samanage.com include:spf.workfront.com include:spf.protection.outlook.com include:turbo-smtp.com -all</t>
  </si>
  <si>
    <t>cambusmedical.com</t>
  </si>
  <si>
    <t>v=spf1 ip4:83.70.207.254 ip4:178.20.87.205 ip4:54.36.17.64 ip4:75.16.150.25 ip4:89.204.212.101 ip4:66.206.3.250 include:spf.protection.outlook.com -all</t>
  </si>
  <si>
    <t>goodmanmedical.ie</t>
  </si>
  <si>
    <t>v=spf1 ip4:86.43.69.72 ip4:213.79.33.78 ip4:84.203.181.158 include:spf.protection.outlook.com -all</t>
  </si>
  <si>
    <t>mcaree-eng.com</t>
  </si>
  <si>
    <t>v=spf1 include:spf.everycloudtech.com include:spf.protection.outlook.com -all</t>
  </si>
  <si>
    <t>novum.ie</t>
  </si>
  <si>
    <t>v=spf1 include:spf.protection.outlook.com include:spf.newsletter.ie ip4:89.101.134.201 -all</t>
  </si>
  <si>
    <t>v=DMARC1; p=quarantine; rua=mailto:dmarc.reports@novum.ie; ruf=mailto:dmarc.reports@novum.ie; fo=1</t>
  </si>
  <si>
    <t>cognex.com</t>
  </si>
  <si>
    <t>v=spf1 a mx include:mailgun.org include:spf.protection.outlook.com include:_spf.salesforce.com -all</t>
  </si>
  <si>
    <t>v=DMARC1; p=quarantine; pct=100; rua=mailto:securityops@cognex.com; ruf=mailto:securityops@cognex.com; fo=1</t>
  </si>
  <si>
    <t>ppi.ie</t>
  </si>
  <si>
    <t>v=spf1 ip4:185.43.232.187 include:spf.protection.outlook.com include:spf1.emailsecurity.app -all</t>
  </si>
  <si>
    <t>v=DMARC1; p=none; rua=mailto:2f589ab2@mxtoolbox.dmarc-report.com; ruf=mailto:2f589ab2@forensics.dmarc-report.com; fo=1</t>
  </si>
  <si>
    <t>framesdirect.ie</t>
  </si>
  <si>
    <t>gradyjoinery.com</t>
  </si>
  <si>
    <t>v=spf1 +a +mx ip4:93.107.24.63 ip4:88.81.126.213 include:spf.protection.outlook.com include:_spf.elasticemail.com include:spf.topsec.com -all</t>
  </si>
  <si>
    <t>coldchon.ie</t>
  </si>
  <si>
    <t>milupa.ie</t>
  </si>
  <si>
    <t>easons.com</t>
  </si>
  <si>
    <t>v=spf1 mx a:hybrid.easons.com include:spf.protection.outlook.com include:_spf.salesforce.com -all</t>
  </si>
  <si>
    <t>v=DMARC1; p=none; pct=100; rua=mailto:DMARC@easons.com, mailto:dmarc_agg@vali.email; ruf=mailto:DMARC@easons.com; fo=1</t>
  </si>
  <si>
    <t>carapartners.ie</t>
  </si>
  <si>
    <t>v=spf1 mx include:_spf.schwabe-group.com ip4:89.234.97.194 -all</t>
  </si>
  <si>
    <t>chemco.ie</t>
  </si>
  <si>
    <t>v=spf1 ip4:83.70.173.186 include:spf.mailanyone.net include:spf.protection.outlook.com mx a include:_spf.salesforce.com -all</t>
  </si>
  <si>
    <t>v=DMARC1; p=none; rua=mailto:DMARCReport@chemco.ie; adkim=r; aspf=r; rf=afrf</t>
  </si>
  <si>
    <t>athlone-laboratories.com</t>
  </si>
  <si>
    <t>elanco.com</t>
  </si>
  <si>
    <t>v=DMARC1; p=reject; pct=100; rua=mailto:dmarc_agg@vali.email</t>
  </si>
  <si>
    <t>https://amplify.valimail.com/bimi/elanco-animal-health/3hdEKd-aUK2-elanco_animal_health_incorporated_848399708.svg</t>
  </si>
  <si>
    <t>caulfieldindustrial.com</t>
  </si>
  <si>
    <t>v=spf1 a mx a:spamtitan.caulfieldindustrial.com ip4:84.203.176.97/29 include:spf.protection.outlook.com include:amazonses.com -all</t>
  </si>
  <si>
    <t>protechplastics.org</t>
  </si>
  <si>
    <t>jfc.ie</t>
  </si>
  <si>
    <t>v=DMARC1; p=quarantine; rua=mailto:it@jfc.ie,mailto:dmarc_agg@vali.email; ruf=mailto:it@jfc.ie; fo=1</t>
  </si>
  <si>
    <t>toolandplastic.ie</t>
  </si>
  <si>
    <t>gemplastics.ie</t>
  </si>
  <si>
    <t>v=spf1 include:spf.protection.outlook.com include:spf.everycloudtech.com mx a ip4:31.193.219.218 ip4:193.28.176.0/24 ip4:86.43.69.183  -all</t>
  </si>
  <si>
    <t>automaticplastics.com</t>
  </si>
  <si>
    <t>v=spf1 a:cleanmail1.deycom.com ip4:83.71.22.139 ip4:185.182.74.121 include:spf.protection.outlook.com include:spf.ess.de.barracudanetworks.com -all</t>
  </si>
  <si>
    <t>glenmarshellfish.com</t>
  </si>
  <si>
    <t>paneltofoods.ie</t>
  </si>
  <si>
    <t>v=spf1 a mx ip4:208.43.75.107 ip4:89.101.86.88 ip4:75.126.136.162 ip4:184.172.50.186 ip4:185.61.3.153 ip4:86.47.87.169 include:de._netblocks.mimecast.com include:sendgrid.net include:spf.smtp2go.com include:spf.protection.outlook.com ~all</t>
  </si>
  <si>
    <t>v=DMARC1; p=none; rua=mailto:527cec69a3c3496@rep.dmarcanalyzer.com;</t>
  </si>
  <si>
    <t>mrcrumb.ie</t>
  </si>
  <si>
    <t>v=spf1 mx include:spf.protection.outlook.com ip4:82.141.207.155 -all</t>
  </si>
  <si>
    <t>manningsbakery.com</t>
  </si>
  <si>
    <t>portasol.com</t>
  </si>
  <si>
    <t>v=spf1 ip4:173.212.236.170 include:spf.protection.outlook.com include:spf1.emailsecurity.app -all</t>
  </si>
  <si>
    <t>marsh.ie</t>
  </si>
  <si>
    <t>strathroydairy.ie</t>
  </si>
  <si>
    <t>v=spf1 ip4:89.204.213.73 include:spf.hornetsecurity.com include:spf.protection.outlook.com ~all</t>
  </si>
  <si>
    <t>mcgrathquarries.ie</t>
  </si>
  <si>
    <t>v=spf1 ip4:80.93.26.51 ip4:80.93.26.52 include:spf.protection.outlook.com -all</t>
  </si>
  <si>
    <t>harcourthotel.ie</t>
  </si>
  <si>
    <t>abccleaning.ie</t>
  </si>
  <si>
    <t>v=spf1 include:eu-sender.zoho-inventory.com</t>
  </si>
  <si>
    <t>v=DMARC1; p=reject; fo=1; ua=mailto:dmarcreporting@abccleaning.ie ruf=mailto:dmarcreporting@abccleaning.ie; sp=reject; ri=84600;</t>
  </si>
  <si>
    <t>theinnatdromoland.ie</t>
  </si>
  <si>
    <t>v=spf1 include:spamtitan.tierneys.ie include:spf.protection.outlook.com include:oracleindustry.com -all</t>
  </si>
  <si>
    <t>mounterrigal.com</t>
  </si>
  <si>
    <t>v=spf1 include:_spf.google.com include:netaffinity.net include:spf.guestjoy.com include:guestline.net include:roomlynx.net  ~all</t>
  </si>
  <si>
    <t>templebarhotel.com</t>
  </si>
  <si>
    <t>dublin.hilton.com</t>
  </si>
  <si>
    <t>talbothotelstillorgan.com</t>
  </si>
  <si>
    <t>v=spf1 include:spf.protection.outlook.com ip4:205.201.128.0/20 ip4:198.2.128.0/18 ip4:148.105.8.0/21 include:netaffinity.net include:mindaclient.com -all</t>
  </si>
  <si>
    <t>theccd.ie</t>
  </si>
  <si>
    <t>v=spf1 ip4:190.180.144.237 +a +mx +ip4:207.55.255.4 +include:spf.protection.outlook.com +exists:%{i}.spf.hc1133-43.c3s2.iphmx.com +ip4:89.101.192.1 +include:spf.exclaimer.net ~all +include:_spf.createsend.com ~all</t>
  </si>
  <si>
    <t>v=DMARC1;p=quarantine;sp=quarantine;adkim=r;aspf=r;pct=100;fo=0;rf=afrf;ri=86400</t>
  </si>
  <si>
    <t>connemaracoast.ie</t>
  </si>
  <si>
    <t>claytonhotellimerick.com</t>
  </si>
  <si>
    <t>ballymascanlon.com</t>
  </si>
  <si>
    <t>v=spf1 ip4:86.47.36.160 include:spf.protection.outlook.com include:netaffinity.net include:authsmtp.com -all</t>
  </si>
  <si>
    <t>esri.ie</t>
  </si>
  <si>
    <t>v=spf1 include:spf.protection.outlook.com include:nw008.com -all</t>
  </si>
  <si>
    <t>apcoa.ie</t>
  </si>
  <si>
    <t>v=spf1 include:spf.protection.outlook.com include:spf.topdesk.net include:mail.zendesk.com -all</t>
  </si>
  <si>
    <t>sig.com</t>
  </si>
  <si>
    <t>v=spf1 ip4:217.112.146.130 include:susq.com include:_spf.bluematrix.com include:_u.sig.com._spf.smart.ondmarc.com -all</t>
  </si>
  <si>
    <t>v=DMARC1; p=none; sp=none; pct=100; aspf=s; fo=1; ri=3600; rua=mailto:499aaf2e@inbox.ondmarc.com,mailto:dmarcreplies@sig.com; ruf=mailto:499aaf2e@inbox.ondmarc.com,mailto:dmarcreplies@sig.com;</t>
  </si>
  <si>
    <t>gempackfoods.ie</t>
  </si>
  <si>
    <t>v=spf1 ip4:83.70.133.98 ip4:83.70.133.97 include:spf.protection.outlook.com -all</t>
  </si>
  <si>
    <t>v=DMARC1; p=quarantine; sp=quarantine; ri=3600; rua=mailto:6fuehgkv@ag.dmarcian-eu.com</t>
  </si>
  <si>
    <t>nicholasodwyer.com</t>
  </si>
  <si>
    <t>v=DMARC1; p=quarantine; sp=none; rua=mailto:dmarc@nicholasodwyer.ie!10m; ruf=mailto:dmarc@nicholasodwyer.ie!10m; rf=afrf; pct=100; ri=86400;</t>
  </si>
  <si>
    <t>sharpgroup.ie</t>
  </si>
  <si>
    <t>v=spf1 include:spf.protection.outlook.com include:spf.theemaillaundry.net ~all</t>
  </si>
  <si>
    <t>pco.ie</t>
  </si>
  <si>
    <t>v=spf1 include:spf.protection.outlook.com include:_spf.psm.knowbe4.com ip4:87.120.248.48/28 ip4:185.190.207.176/28 ip4:149.40.96.82/32 ip4:217.38.236.82/32 ip4:147.160.167.0/26 ip4:52.49.201.246 ip4:52.49.235.189 ip4:23.21.109.197 ip4:23.21.109.212 -all</t>
  </si>
  <si>
    <t>v=DMARC1; p=none; pct=100; rua=mailto:techsupport@pco.ie,mailto:dmarc_agg@vali.email; ruf=mailto:techsupport@pco.ie;</t>
  </si>
  <si>
    <t>aerogen.com</t>
  </si>
  <si>
    <t>v=spf1 a ip4:206.19.48.0/25 ip4:86.47.125.219/32 ip4:85.222.158.237 ip4:83.223.109.50/32 ip4:83.223.109.51/32 ip4:84.203.244.106/32 ip4:78.137.157.90/32 ip4:83.223.109.73/32 ip4:185.113.242.129/32 ip4:78.153.203.206/32 ip4:217.72.192.74/32 ip4:85.222.158." "230/32 a:mail.aerogen" ".com include:spf.protection.outlook.com include:spf.topsec.com include:servers.mcsv.net include:docebosaas.com include:_spf.salesforce.com include:spf2.accessacloud.com -all</t>
  </si>
  <si>
    <t>v=DMARC1; p=quarantine; pct=100; rua=mailto:aerogendmarc@aerogen.com; ruf=mailto:aerogendmarc@aerogen.com; fo=1</t>
  </si>
  <si>
    <t>thecope.ie</t>
  </si>
  <si>
    <t>v=spf1 include:spf.protection.outlook.com +ip4:83.138.8.106 -all</t>
  </si>
  <si>
    <t>v=DMARC1; p=none; rua=mailto:its@thecope.ie</t>
  </si>
  <si>
    <t>brothersofcharityclare.ie</t>
  </si>
  <si>
    <t>concern.net</t>
  </si>
  <si>
    <t>v=spf1 ip4:115.68.64.54 ip4:89.234.34.121 include:spf.protection.outlook.com include:sendgrid.net ~all</t>
  </si>
  <si>
    <t>v=DMARC1; p=none; rua=mailto:cw8iz4vn@ag.eu.dmarcian.com;</t>
  </si>
  <si>
    <t>dubsimon.ie</t>
  </si>
  <si>
    <t>v=spf1 mx ip4:52.17.55.17 include:spf.protection.outlook.com include:servers.mcsv.net include:_spf.createsend.com include:spf.smtp2go.com include:_spf.salesforce.com -all</t>
  </si>
  <si>
    <t>v=DMARC1; p=quarantine; sp=quarantine; fo=1; rua=mailto:dmarc@dubsimon.ie; ruf=mailto:dmarc@dubsimon.ie; pct=100;</t>
  </si>
  <si>
    <t>limerickyouthservice.com</t>
  </si>
  <si>
    <t>stmunchinscommunitycentre.ie</t>
  </si>
  <si>
    <t>v=spf1 mx a include:spf.elive.net -all</t>
  </si>
  <si>
    <t>samaritians.org</t>
  </si>
  <si>
    <t>rehabcare.ie</t>
  </si>
  <si>
    <t>v=DMARC1; p=reject; rua=mailto:kh63j5azfi@rua.powerdmarc.com; ruf=mailto:kh63j5azfi@ruf.powerdmarc.com; pct=100; fo=0:1;</t>
  </si>
  <si>
    <t>https://app.powerbimi.com/15509/4baa9bd4-a09b-4736-8cd0-725ce35570e2.svg</t>
  </si>
  <si>
    <t>vistatec.com</t>
  </si>
  <si>
    <t>v=spf1 ip4:85.159.20.0/24 ip4:169.50.207.110 ip4:40.85.77.193 ip4:138.201.252.45 ip4:85.159.20.70 ip4:185.118.113.53 ip4:54.75.175.106 ip4:54.77.142.175 ip4:149.72.156.198 ip6:2a01:4d8:0::/46 a include:_spf.google.com include:_spf.salesforce.com include:s" "pf.protection.outlook.com include:_spf.smtp.com include:spf.exclaimer.net -all</t>
  </si>
  <si>
    <t>exertissupplychain.com</t>
  </si>
  <si>
    <t>abbeytheatre.ie</t>
  </si>
  <si>
    <t>v=spf1 include:_u.abbeytheatre.ie._spf.smart.ondmarc.com ~all</t>
  </si>
  <si>
    <t>v=DMARC1; p=reject; pct=100; fo=1; ri=3600; rua=mailto:ab8379a3@inbox.ondmarc.com; ruf=mailto:ab8379a3@inbox.ondmarc.com;</t>
  </si>
  <si>
    <t>bfei.ie</t>
  </si>
  <si>
    <t>v=spf1 mx ip4:193.1.231.1/26 ip4:213.94.193.24/29 ip4:86.47.251.19/32 ip4:89.101.230.56/29 ip4:87.34.136.0/23 include:outlook.com include:spf.protection.outlook.com ip4:78.137.164.120 ip4:78.137.164.50 ip4:137.191.239.207 ip4:137.191.239.209 include:" "spf.dcsnet.ie  include:relaymailchannels.net -all</t>
  </si>
  <si>
    <t>baldoyletrainingcentre.ie</t>
  </si>
  <si>
    <t>dfei.ie</t>
  </si>
  <si>
    <t>v=spf1 include:spf.protection.outlook.com ip4:193.1.231.2 ip4:82.113.146.165 include:spf.dcsnet.ie -all</t>
  </si>
  <si>
    <t>jungheinrich.ie</t>
  </si>
  <si>
    <t>v=DMARC1; p=reject; rua=mailto:dmarc_rua@emaildefense.proofpoint.com; ruf=mailto:dmarc_ruf@emaildefense.proofpoint.com; fo=1</t>
  </si>
  <si>
    <t>holyfamilyschoolcootehill.com</t>
  </si>
  <si>
    <t>scoiliosagain.ie</t>
  </si>
  <si>
    <t>gglsecurity.com</t>
  </si>
  <si>
    <t>v=spf1 ip4:185.43.232.238 +ip4:80.93.28.164 +include:spf.protection.outlook.com -all</t>
  </si>
  <si>
    <t>swordsecurity.com</t>
  </si>
  <si>
    <t>v=spf1 include:spf.smtp2go.com include:spf.mailanyone.net  -all</t>
  </si>
  <si>
    <t>shellfishireland.com</t>
  </si>
  <si>
    <t>v=spf1 a ip4:54.37.105.96/32 ip4:54.37.105.103/32 include:spf.protection.outlook.com -all</t>
  </si>
  <si>
    <t>shannonvalefoods.ie</t>
  </si>
  <si>
    <t>unilever.com</t>
  </si>
  <si>
    <t>v=spf1 include:spf.protection.outlook.com ip4:13.112.93.182 ip4:188.95.0.38 ip4:188.95.7.6 ip4:89.202.116.58 ip4:43.228.187.74 ip4:174.143.100.191 a:b.spf.service-now.com a:c.spf.service-now.com a:d.spf.service-now.com include:eu.rp.oracleemaildelivery.co" "m ip4:194.60.106.150 ip4:194.60.106.152 ip4:204.110.162.26/31 -all</t>
  </si>
  <si>
    <t>v=DMARC1; p=reject; rua=mailto:dmarc@unilever.com; fo=0; adkim=r; aspf=r; pct=100; rf=afrf</t>
  </si>
  <si>
    <t>moyvalleymeats.ie</t>
  </si>
  <si>
    <t>v=spf1 mx a:mailon.spamtitan.com include:spf.protection.outlook.com -all</t>
  </si>
  <si>
    <t>abconireland.com</t>
  </si>
  <si>
    <t>v=spf1 ip4:91.92.29.94 include:_spf.mlsend.com include:spf.protection.outlook.com include:spf.mandrillapp.com include:sendgrid.net -all</t>
  </si>
  <si>
    <t>atagroup.ie</t>
  </si>
  <si>
    <t>v=spf1 ip4:81.133.158.169  ip4:145.227.10.17 ip4:77.107.237.203 include:spf.protection.outlook.com include:spf.exclaimer.net include:mail.zendesk.com include:atahelpdesk.zendesk.com include:_spf.psm.knowbe4.com -all</t>
  </si>
  <si>
    <t>v=DMARC1; p=reject; rua=mailto:dmarc@atagroup.com; ruf=mailto:dmarc@atagroup.com; sp=reject; fo=1</t>
  </si>
  <si>
    <t>ipa.ie</t>
  </si>
  <si>
    <t>v=spf1 mx ip4:89.185.148.18 ip4:46.137.21.115 ip4:193.1.242.30 a:spf.webtrade.ie include:app.sgizmo.com include:spf.blacknight.com a:s2a-se.blacknight.ie include:spf.protection.outlook.com include:_spf.eu.messagegears.net ~all</t>
  </si>
  <si>
    <t>Value: v=DMARC1; p=none; rua=mailto:cisalerts@ipa.ie; ruf=mailto:cisalerts@ipa.ie; fo=1</t>
  </si>
  <si>
    <t>eveningecho.ie</t>
  </si>
  <si>
    <t>v=DMARC1; p=none; rua=mailto:larry.kavanagh@examiner.ie,mailto:dmarc.reports@examiner.ie; ruf=mailto:larry.kavanagh@examiner.ie,mailto:dmarc.reports@examiner.ie; sp=none; ri=86400</t>
  </si>
  <si>
    <t>derrinstown.com</t>
  </si>
  <si>
    <t>irishcarrentals.ie</t>
  </si>
  <si>
    <t>leolynch.com</t>
  </si>
  <si>
    <t>v=spf1 mx ip4:40.113.68.21 a:webmail.llynch.com include:spf.exclaimer.net include:spf.protection.outlook.com -all</t>
  </si>
  <si>
    <t>cahercalla.ie</t>
  </si>
  <si>
    <t>v=spf1 +ip4:142.132.206.101 +include:spf.protection.outlook.com +include:spf.topsec.com -all</t>
  </si>
  <si>
    <t>stmarysmerrion.ie</t>
  </si>
  <si>
    <t>ballymaloe.ie</t>
  </si>
  <si>
    <t>v=spf1 include:guestline.net include:roomlynx.net -all</t>
  </si>
  <si>
    <t>aldi.ie</t>
  </si>
  <si>
    <t>v=spf1 redirect=aldi.ie.hosted.spf-report.com</t>
  </si>
  <si>
    <t>v=DMARC1; p=reject; rua=mailto:a556a34f@mxtoolbox.dmarc-report.com; ruf=mailto:a556a34f@forensics.dmarc-report.com; adkim=r; aspf=r; fo=1</t>
  </si>
  <si>
    <t>dubraybooks.ie</t>
  </si>
  <si>
    <t>v=spf1 ip4:168.245.72.207 include:spf.protection.outlook.com include:sendgrid.net -all</t>
  </si>
  <si>
    <t>swampfashion.ie</t>
  </si>
  <si>
    <t>anthonyryans.com</t>
  </si>
  <si>
    <t>v=spf1 a mx +ip4:95.154.221.73 +include:spf.protection.outlook.com +include:_spf_cd.spamtitan.com -all</t>
  </si>
  <si>
    <t>jbsgroup.ie</t>
  </si>
  <si>
    <t>v=spf1 ip4:91.92.29.82 ip4:62.233.76.18 include:sendgrid.net include:mailanyone.net include:spf.protection.outlook.com include:spf.exclaimer.net -all</t>
  </si>
  <si>
    <t>cumminssports.ie</t>
  </si>
  <si>
    <t>v=spf1 a mx include:relay.mailchannels.net include:spf.protection.outlook.com include:mailgun.org ~all</t>
  </si>
  <si>
    <t>v=DMARC1; p=none; rua=mailto:9df42002268d44f088964dc9c58d34e6@dmarc-reports.cloudflare.net,mailto:dmarc@cumminssports.ie; ruf=mailto:dmarc@cumminssports.ie; fo=1</t>
  </si>
  <si>
    <t>buy4now.com</t>
  </si>
  <si>
    <t>irishcomms.ie</t>
  </si>
  <si>
    <t>v=spf1 ip4:178.250.118.18 ip4:148.252.13.186 include:spf.topsec.com include:spf.turbo-smtp.com include:amazonses.com ip4:192.138.110.14 ip4:192.138.110.15 ip4:192.138.110.232 ip4:192.138.117.78 ip4:192.138.116.77 ip4:192.157.9.134 ~all</t>
  </si>
  <si>
    <t>glennonbrothers.ie</t>
  </si>
  <si>
    <t>v=spf1 ip4:82.141.252.242/32 ip4:83.71.244.181/32 ip4:86.43.85.1/32 ip4:81.17.254.59/32 ip4:89.204.252.84/32 ip4:89.204.252.81/32 ip4:204.13.200.0/22 include:spf.protection.outlook.com include:spf.us.mailmarshal.cloud include:spf.ess.de.barracudanetw" "orks.com -all</t>
  </si>
  <si>
    <t>biggsoil.ie</t>
  </si>
  <si>
    <t>fdsworldwide.com</t>
  </si>
  <si>
    <t>v=spf1 include:spf.protection.outlook.com include:amazonses.com include:servers.mcsv.net -all</t>
  </si>
  <si>
    <t>siginteriors.ie</t>
  </si>
  <si>
    <t>v=DMARC1; p=reject; rua=mailto:21e415078983506@rep.dmarcanalyzer.com; ruf=mailto:21e415078983506@for.dmarcanalyzer.com; fo=1;</t>
  </si>
  <si>
    <t>frsnetwork.ie</t>
  </si>
  <si>
    <t>v=spf1 include:transmail.net include:zoho.com include:transmail.net include:spf.protection.outlook.com a:smtp.hosts.co.uk a:athena.hosts.co.uk a:hermes.hosts.co.uk a:outgoing-smtp.namesco.net include:email.freshservice.com ~all</t>
  </si>
  <si>
    <t>bife.ie</t>
  </si>
  <si>
    <t>cls.ie</t>
  </si>
  <si>
    <t>v=spf1 include:spf.mailjet.com include:spf.protection.outlook.com include:27136097.spf10.hubspotemail.net ~all</t>
  </si>
  <si>
    <t>v=DMARC1; p=quarantine; rua=mailto:kh@cls.ie; ruf=mailto:kh@cls.ie; fo=1;</t>
  </si>
  <si>
    <t>statelab.ie</t>
  </si>
  <si>
    <t>v=spf1 ip4:137.191.238.192/29 ip4:54.229.2.165 ip4:52.30.130.201 include:spf.protection.outlook.com a:fmail.statelab.ie ~all</t>
  </si>
  <si>
    <t xml:space="preserve"> v=DMARC1; p=none; pct=100; rua=mailto:colin.russellconway@statelab.ie; </t>
  </si>
  <si>
    <t>redmills.com</t>
  </si>
  <si>
    <t>v=spf1 a:exchangelabs.com a:mailanyone.net a:gw117220.fortimail.com ip4:185.2.66.40 ip4:142.0.181.21 ip4:209.52.117.220 ip4:89.204.254.68 ip4:52.214.176.33 include:spf.protection.outlook.com -all</t>
  </si>
  <si>
    <t>csn.ie</t>
  </si>
  <si>
    <t>v=spf1 ip4:137.191.239.214 include:spf.protection.outlook.com include:spf.dcsnet.ie -all</t>
  </si>
  <si>
    <t>adamstowncc.ie</t>
  </si>
  <si>
    <t>v=spf1 include:_spf.google.com include:spf.dcsnet.ie ~all</t>
  </si>
  <si>
    <t>crumlincollege.ie</t>
  </si>
  <si>
    <t>tudublin.ie</t>
  </si>
  <si>
    <t>v=spf1 include:spf.protection.outlook.com include:spf1.tudublin.ie include:spf2.tudublin.ie include:spf3.tudublin.ie include:spf.elluciancloud.com include:mail.zendesk.com include:_spf.createsend.com include:a._spf.brightspace.com -all</t>
  </si>
  <si>
    <t>v=DMARC1; p=reject; rua=mailto:xydjhcdp@ag.eu.dmarcian.com;</t>
  </si>
  <si>
    <t>croninscoaches.com</t>
  </si>
  <si>
    <t>v=spf1 a:mail.mindaclient.com include:spf.protection.outlook.com -all</t>
  </si>
  <si>
    <t>matthews.ie</t>
  </si>
  <si>
    <t>v=spf1 include:spf.protection.outlook.com include:spf.blacknight.ie include:spf1.emailsecurity.app include:spfa.mailendo.com ~all</t>
  </si>
  <si>
    <t>finning.ie</t>
  </si>
  <si>
    <t>v=spf1 +a +mx +ip4:91.210.232.8 include:spf.webhostingireland.ie +ip4:185.43.232.251 ~all</t>
  </si>
  <si>
    <t>corkmarts.com</t>
  </si>
  <si>
    <t>v=spf1 ip4:83.71.159.92 ip4:86.47.86.155 ip4:86.43.101.0 ip4:93.95.80.139 ip4:86.43.101.2 ip4:86.43.101.5 ip4:86.43.101.6 include:spf.protection.outlook.com include:mailgun.org -all</t>
  </si>
  <si>
    <t>plannet21.ie</t>
  </si>
  <si>
    <t>v=spf1 a mx ip4:78.158.111.80 include:mktomail.com -all</t>
  </si>
  <si>
    <t>v=DMARC1\\; p=none\\; rua=mailto:dmarc@plannet21.ie\\;</t>
  </si>
  <si>
    <t>appliedmaterials.com</t>
  </si>
  <si>
    <t>v=spf1 mx include:spf1.workhuman.com include:_spf.google.com include:spf.protection.outlook.com include:spf.messagelabs.com -all</t>
  </si>
  <si>
    <t>v=DMARC1; p=reject; fo=1; pct=100; ri=3600; rua=mailto:dmarc_rua@emaildefense.proofpoint.com,mailto:DMARC_Report@amat.com; ruf=mailto:dmarc_ruf@emaildefense.proofpoint.com,mailto:DMARCFore_Report@amat.com</t>
  </si>
  <si>
    <t>asiamarket.ie</t>
  </si>
  <si>
    <t>v=spf1 include:de._netblocks.mimecast.com include:spf1.asiamarket.ie include:spf3.asiamarket.ie -all</t>
  </si>
  <si>
    <t>v=DMARC1; p=none; rua=mailto:dmarc@asiamarket.ie</t>
  </si>
  <si>
    <t>obrien-ingredients.ie</t>
  </si>
  <si>
    <t>mcgeesfood.com</t>
  </si>
  <si>
    <t>hovione.com</t>
  </si>
  <si>
    <t>v=spf1 a:mail.hovione.com ip4:194.38.130.3  ip4:194.38.130.4 ip4:52.165.90.41 ip4:194.38.130.10 ip4:40.78.154.41 a:spf.ltg.email ip4:18.168.51.200 ip4:18.168.140.58 include:spf.protection.outlook.com include:hv_spf.hovione.com -all</t>
  </si>
  <si>
    <t>v=DMARC1; p=quarantine; sp=reject; pct=100; rua=mailto:record_rua@hovione.com; ruf=mailto:record_ruf@hovione.com; fo=1:d:s; aspf=s; adkim=s; rf=afrf; ri=86400</t>
  </si>
  <si>
    <t>westrock.com</t>
  </si>
  <si>
    <t>perrigo.com</t>
  </si>
  <si>
    <t>v=spf1 include:spf.protection.outlook.com include:spf.natchcloud.com include:spf.messagelabs.com include:spf.mailjet.com a:smtp5.silae.fr include:_spf-dc8.sapsf.com include:_spf-dc4.sapsf.com ip4:67.231.152.89 ip4:208.84.65.89 ip4:148.163.151.89" " ip4:148.163.155.35 ip4:70.42.227.151/32 ip4:70.42.227.152/32 ip4:65.221.8.29/32 ip4:65.221.12.128/32 ip4:65.221.12.148/32 ip4:198.11.114.29/32 ~all</t>
  </si>
  <si>
    <t>sudocrem.com</t>
  </si>
  <si>
    <t>v=spf1 ip4:164.132.160.62 include:_spf.mail.teva include:spf.protection.outlook.com -all</t>
  </si>
  <si>
    <t>v=DMARC1;p=reject;fo=1;ri=3600;rua=mailto:dmarc.RUA@tevapharm.com;ruf=mailto:dmarc.RUA@tevapharm.com</t>
  </si>
  <si>
    <t>bbraun.com</t>
  </si>
  <si>
    <t>v=spf1 include:spf-00163d02.pphosted.com include:_spf.salesforce.com include:_spf-dc33.sapsf.eu -all</t>
  </si>
  <si>
    <t>v=DMARC1; p=reject; rua=mailto:u8jrbwhm@ag.eu.dmarcian.com, mailto:dmarc_rua@emaildefense.proofpoint.com; ruf=mailto:u8jrbwhm@fr.eu.dmarcian.com, mailto:dmarc_ruf@emaildefense.proofpoint.com</t>
  </si>
  <si>
    <t>reynoldslogistics.ie</t>
  </si>
  <si>
    <t>gfbs.ie</t>
  </si>
  <si>
    <t>v=spf1 ip4:51.83.111.125 ip4:51.68.93.177 ip4:188.165.6.8 ip4:54.36.1.228 ip4:54.36.1.229 ip4:37.187.179.155 include:_spf.google.com ~all</t>
  </si>
  <si>
    <t>home.kuehne-nagel.com</t>
  </si>
  <si>
    <t>cashandcarrykitchens.ie</t>
  </si>
  <si>
    <t>v=spf1 include:mail.zendesk.com include:spf.protection.outlook.com include:aspmx.pardot.com ip4:185.24.99.18 include:secureserver.net mx include:spf.autopilothq.com include:sendgrid.net include:spf.ess.de.barracudanetworks.com -all</t>
  </si>
  <si>
    <t>v=DMARC1; p=quarantine; rua=mailto:dmarc-reports@cashandcarrykitchens.ie; ruf=mailto:dmarc-failures@cashandcarrykitchens.ie; sp=none; aspf=r;</t>
  </si>
  <si>
    <t>hayes-solicitors.ie</t>
  </si>
  <si>
    <t>v=spf1 ip4:5.61.115.48/28 include:hayessolicitors.nw005.com include:spf.protection.outlook.com include:eu._extnetblocks.mimecast.com include:eu._netblocks.mimecast.com include:31d8ffbb-spf.mta.getcheckrecipient.com a:dnsus1.accellion.com a:dnsus2.accellio" "n.com ~all</t>
  </si>
  <si>
    <t>v=DMARC1;p=none;sp=none;adkim=r;aspf=r;pct=100;fo=1;rf=afrf;ri=86400;rua=mailto:59421f2f29ba464@rep.dmarcanalyzer.com;ruf=mailto:59421f2f29ba464@rep.dmarcanalyzer.com</t>
  </si>
  <si>
    <t>hollister.com</t>
  </si>
  <si>
    <t>v=spf1 include:spf.messagelabs.com ip4:138.1.170.0/24 ip4:147.154.126.0/24 ip4:147.154.191.0/24 ip4:147.154.32.0/25 ip4:147.154.63.0/24 ip4:162.88.24.0/21 ip4:192.29.103.128/25 ip4:192.29.72.0/25 ip4:10.144.155.128/26 ip4:192.29.88.0/25 ip4:192.29.134.0/2" "5 ip4:129.148.164.0/25 ip4:129.148.215.0/25 ip4:129.149.38.0/25 ip4:129.149.6.0/25 ip4:129.146.91.38/25 ip4:129.146.146.59/25 ip4:198.105.204.18/32 ip4:198.105.204.19/32 ip4:198.105.204.20/32 ip4:198.105.205.18/32 ip4:198.105.205.19/32 ip4:198.105.205.20/" "32 include:spf.protection.outlook.com include:_spf-sfdc.successfactors.com include:aspmx.pardot.com include:_spf.salesforce.com -all</t>
  </si>
  <si>
    <t>v=DMARC1; p=reject; ruf=mailto:postmaster@hollister.com; fo=1; pct=100</t>
  </si>
  <si>
    <t>ilac.ie</t>
  </si>
  <si>
    <t>v=spf1 include:mailzone.co.uk -all</t>
  </si>
  <si>
    <t>inva.com</t>
  </si>
  <si>
    <t>v=spf1 include:spf.protection.outlook.com include:mailsenders.netsuite.com a:dispatch-us.ppe-hosted.com -all</t>
  </si>
  <si>
    <t>v=DMARC1; p=quarantine; rua=mailto:clarissa.lau@inva.com; ruf=mailto:clarissa.lau@inva.com; fo=1</t>
  </si>
  <si>
    <t>maldronhotelparnellsquare.com</t>
  </si>
  <si>
    <t>mqi.ie</t>
  </si>
  <si>
    <t>v=spf1 include:_u.mqi.ie._spf.smart.ondmarc.com ~all</t>
  </si>
  <si>
    <t>v=DMARC1; p=reject; pct=100; sp=none; rua=mailto:5b355004@inbox.ondmarc.com; ruf=mailto:5b355004@inbox.ondmarc.com; adkim=r; aspf=r; fo=1; rf=afrf; ri=3600</t>
  </si>
  <si>
    <t>ipo.gov.ie</t>
  </si>
  <si>
    <t>v=spf1 include:jsec.ie -all</t>
  </si>
  <si>
    <t>davenporthotel.ie</t>
  </si>
  <si>
    <t>v=spf1 include:ireshotels.com include:spf.reg365.net ~all</t>
  </si>
  <si>
    <t>bluetreesystems.com</t>
  </si>
  <si>
    <t>v=spf1 ip4:212.17.43.128/29 ip4:84.203.176.32/28 ip4:99.80.80.190 ip4:52.17.17.51 ip4:3.254.33.127 include:spf.protection.outlook.com ~all</t>
  </si>
  <si>
    <t>ballyroe.com</t>
  </si>
  <si>
    <t>v=spf1 mx include:netaffinity.net ~all</t>
  </si>
  <si>
    <t>leestrand.ie</t>
  </si>
  <si>
    <t>v=spf1 a:dispatch-eu.ppe-hosted.com a:coredatacenter.leestrand.ie -all</t>
  </si>
  <si>
    <t>v=DMARC1; p=quarantine; rua=mailto:administrator@leestrand.ie;</t>
  </si>
  <si>
    <t>lakehotel.com</t>
  </si>
  <si>
    <t>v=spf1 include:spf.protection.outlook.com include:netaffinity.net include:spf.emailing.loungeup.com ip4:89.234.97.164 -all</t>
  </si>
  <si>
    <t>v=DMARC1; p=none; fo=1; rua=mailto:rua+lakehotel.com@dmarc.barracudanetworks.com; ruf=mailto:ruf+lakehotel.com@dmarc.barracudanetworks.com</t>
  </si>
  <si>
    <t>glenroyalhotelkildare.com</t>
  </si>
  <si>
    <t>irishcasings.com</t>
  </si>
  <si>
    <t>stephenscateringequipment.com</t>
  </si>
  <si>
    <t>v=DMARC1; p=none; rua=mailto:info@stephenscateringequipment.com</t>
  </si>
  <si>
    <t>gls.ie</t>
  </si>
  <si>
    <t>maguireinternational.eu</t>
  </si>
  <si>
    <t>v=spf1 a mx include:websitewelcome.com include:relay.k.io ~all</t>
  </si>
  <si>
    <t>gamestop.ie</t>
  </si>
  <si>
    <t>v=spf1 include:spf.protection.outlook.com include:mail.zendesk.com include:de._netblocks.mimecast.com ip4:12.25.107.229 -all</t>
  </si>
  <si>
    <t>v=DMARC1; p=reject; pct=100; rua=mailto:1d453daa2046248@rep.dmarcanalyzer.com; ruf=mailto:1d453daa2046248@for.dmarcanalyzer.com; fo=1;</t>
  </si>
  <si>
    <t>cjs.ie</t>
  </si>
  <si>
    <t>v=spf1 include:spf.protection.outlook.com include:spf.theemaillaundry.net include:_spf.mlsend.com ip4:86.43.89.74 ip4:5.134.94.241 -all</t>
  </si>
  <si>
    <t>transitions.com</t>
  </si>
  <si>
    <t>v=spf1 ip4:20.44.247.0/26 include:_spf.google.com include:spf.protection.outlook.com include:spf2.transitions.com ~all</t>
  </si>
  <si>
    <t>v=DMARC1; p=quarantine; fo=1; rua=mailto:dmarc_rua@emaildefense.proofpoint.com,mailto:dmarc-analysts@transitions.com; ruf=mailto:dmarc_ruf@emaildefense.proofpoint.com</t>
  </si>
  <si>
    <t>towerhotelwaterford.com</t>
  </si>
  <si>
    <t>forensicscience.ie</t>
  </si>
  <si>
    <t>lenmacservices.com</t>
  </si>
  <si>
    <t>tulfarris.com</t>
  </si>
  <si>
    <t>v=spf1 ip4:78.143.137.55 include:spf.protection.outlook.com include:servers.mcsv.net include:netaffinity.net include:spf.sendinblue.com include:authsmtp.com include:spf.exclaimer.net ~all</t>
  </si>
  <si>
    <t>v=DMARC1; p=none; rua=mailto:admin@Tulfarris.onmicrosoft.com; ruf=mailto:admin@Tulfarris.onmicrosoft.com; sp=reject; aspf=s; ri=86400</t>
  </si>
  <si>
    <t>natus.com</t>
  </si>
  <si>
    <t>v=DMARC1; p=quarantine; rua=mailto:dmarc_agg@vali.email,mailto:dmarc_reporting@natus.com</t>
  </si>
  <si>
    <t>rathdownschool.ie</t>
  </si>
  <si>
    <t>v=spf1 include:_spf.google.com include:spf.blacknight.ie include:spf.schoolbaseonline.biz -all</t>
  </si>
  <si>
    <t>paulbyronshoes.com</t>
  </si>
  <si>
    <t>v=spf1 +a +mx +ip4:95.216.111.60 +ip6:2a01:4f9:2b:4a9::698:f4da +ip4:213.239.192.56 include:amazonses.com -all</t>
  </si>
  <si>
    <t>v=DMARC1;  p=none;  rua=mailto:83e992e4131d544@rep.dmarcanalyzer.com; sp=none;</t>
  </si>
  <si>
    <t>kingspaninsulation.ie</t>
  </si>
  <si>
    <t>v=spf1 include:spf2.kingspan.com include:_spf.eu.messagegears.net ~all</t>
  </si>
  <si>
    <t>ngahr.com</t>
  </si>
  <si>
    <t>v=spf1 mx include:spf.ngahr.com include:spf.protection.outlook.com include:_spf-dc12.successfactors.com include:spf.afas.online include:_spf.cmail.ondemand.com include:de._netblocks.mimecast.com ip4:204.152.232.176/28 -all</t>
  </si>
  <si>
    <t>v=DMARC1; p=reject; sp=reject; rua=mailto:dmarc_agg@vali.email,mailto:bab9625a2d81b58f32c25bc06c36a9de-d@dmarc.report-uri.com,mailto:dmarc.reports@ngahr.com,mailto:re+ix7m11mfc53@dmarc.postmarkapp.com; ruf=mailto:dmarc.reports@ngahr.com</t>
  </si>
  <si>
    <t>oxfordcorp.com</t>
  </si>
  <si>
    <t>v=spf1 include:spf.protection.outlook.com include:successfactors.eu include:_spf.bullhornmail.com a:mail.ccdbv.nl include:spf-us.emailsignatures365.com include:relay.mailchannels.net include:_spf.salesforce.com ip4:192.103.250.150 ip4:4.152.233.120 -all</t>
  </si>
  <si>
    <t>v=DMARC1;p=quarantine;rua=mailto:5acqye4x@ag.us.dmarcian.com; ruf=mailto:5acqye4x@fr.us.dmarcian.com;fo=1;</t>
  </si>
  <si>
    <t>fai.ie</t>
  </si>
  <si>
    <t>v=spf1 include:amazonses.com include:spf.exclaimer.net include:sendgrid.net include:servers.mcsv.net include:spf.protection.outlook.com ip4:46.22.133.49/32 ip4:89.204.255.0/24 include:_spf.salesforce.com include:authsmtp.com ~all</t>
  </si>
  <si>
    <t>fintrax.com</t>
  </si>
  <si>
    <t>v=spf1 a mx ip4:185.82.241.36  ip4:77.75.99.245 ip4:5.135.102.112 ip4:52.215.69.98 ip4:35.176.183.125 include:spf.protection.outlook.com include:mandrillapp.com include:aspmx.pardot.com include:_spf.createsend.com  -all</t>
  </si>
  <si>
    <t>v=DMARC1; p=none; fo=1; rua=mailto:dmarc_agg@fintrax.com;ruf=mailto:dmarc_afrf@fintrax.com</t>
  </si>
  <si>
    <t>maryborough.com</t>
  </si>
  <si>
    <t>royalhotel.ie</t>
  </si>
  <si>
    <t>v=spf1 mx a include:spf.protection.outlook.com include:netaffinity.net ~all</t>
  </si>
  <si>
    <t>jenkinson.ie</t>
  </si>
  <si>
    <t>v=spf1 ip4:185.43.232.201 ip4:78.137.164.87 ip4:78.137.164.122 ip4:89.101.22.6 ip4:89.101.22.2 ip4:213.94.214.86 ip4:213.94.214.82 include:spf.protection.outlook.com +a +mx -all</t>
  </si>
  <si>
    <t>stpeterscc.ie</t>
  </si>
  <si>
    <t>upmc.ie</t>
  </si>
  <si>
    <t>v=spf1 ip4:128.147.28.14 ip4:128.147.254.4 ip4:157.229.254.4 ip4:198.99.201.0/24 ip4:91.210.235.218 include:spf-0002f001.pphosted.com include:spf.protection.outlook.com include:aspmx.pardot.com -all</t>
  </si>
  <si>
    <t>royalmarine.ie</t>
  </si>
  <si>
    <t>v=spf1 mx a:mail.royalmarine.ie include:spf.protection.outlook.com include:netaffinity.net -all</t>
  </si>
  <si>
    <t>hilifetools.com</t>
  </si>
  <si>
    <t>v=spf1 include:pccairframe.com -all</t>
  </si>
  <si>
    <t>v=DMARC1; p=quarantine; rua=mailto:dmarcrpts@precastcorp.com; ruf=mailto:dmarcrpts@precastcorp.com; fo=1;</t>
  </si>
  <si>
    <t>oranprecast.ie</t>
  </si>
  <si>
    <t>v=DMARC1; p=quarantine; sp=quarantine; fo=1; rua=mailto:dmarc@6w95c0az.uriports.com,mailto:dmarc@oranprecast.ie; ruf=mailto:dmarc@6w95c0az.uriports.com,mailto:dmarc@oranprecast.ie; pct=100;</t>
  </si>
  <si>
    <t>alcatel-lucent.com</t>
  </si>
  <si>
    <t>v=DMARC1; p=reject; pct=100; rua=mailto:dmarc_agg@vali.email,mailto:dmarc.rua@nokia.com; ruf=mailto:dmarc.ruf@nokia.com</t>
  </si>
  <si>
    <t>aquilantmedical.ie</t>
  </si>
  <si>
    <t>rh-lenses.com</t>
  </si>
  <si>
    <t>v=spf1 ip4:194.25.28.83 include:_spf.google.com include:spf.protection.outlook.com ~all</t>
  </si>
  <si>
    <t>v=DMARC1; p=quarantine; rua=mailto:dmarc-analysts@essilor.com; pct=10</t>
  </si>
  <si>
    <t>timberfencinggates.ie</t>
  </si>
  <si>
    <t>v=spf1 include:spf.myukcloud.com -all</t>
  </si>
  <si>
    <t>corkplastics.com</t>
  </si>
  <si>
    <t>mulrines.ie</t>
  </si>
  <si>
    <t>v=spf1 ip4:83.70.182.194 ip4:86.43.102.247 ip4:159.134.177.250 include:spf.protection.outlook.com -all</t>
  </si>
  <si>
    <t>v=DMARC1; p=reject; adkim=s; aspf=s;</t>
  </si>
  <si>
    <t>murphygs.ie</t>
  </si>
  <si>
    <t>v=spf1 ip4:77.75.102.186 ip4:89.204.219.23 ip4:178.250.118.238 ip4:148.252.8.245 ip4:144.2.247.169 ip4:109.78.233.103 include:spf.protection.outlook.com include:spf.exclaimer.net include:email.freshservice.com -all</t>
  </si>
  <si>
    <t>gcil.ie</t>
  </si>
  <si>
    <t>condronconcrete.ie</t>
  </si>
  <si>
    <t>glenhaven.ie</t>
  </si>
  <si>
    <t>laoishire.com</t>
  </si>
  <si>
    <t>v=spf1 ip4:40.107.8.53 ip4:52.178.133.2 ip4:40.107.4.85 ip4:40.69.222.83 ip4:65.52.227.126 ip4:138.91.57.7 ip4:52.169.189.99 ip4:168.61.84.174 ip4:13.94.98.15 ip4:52.164.247.40 ip4:13.79.165.158 ip4:52.178.150.104 ip4:13.79.160.26 ip4:13.74.61.135 include" ":spf.protection.outlook.com include:eu._netblocks.mimecast.com include:spf.bigchange.com -all</t>
  </si>
  <si>
    <t>v=DMARC1; p=reject; rua=mailto:7ceb2dabe9d9741@rep.dmarcanalyzer.com; ruf=mailto:7ceb2dabe9d9741@for.dmarcanalyzer.com; fo=1;</t>
  </si>
  <si>
    <t>dealganhouse.ie</t>
  </si>
  <si>
    <t>v=DMARC1;p=reject;rua=mailto:c5bf406e83@rua.easydmarc.eu;ruf=mailto:c5bf406e83@ruf.easydmarc.eu;aspf=s;adkim=s;fo=0:1:d:s;</t>
  </si>
  <si>
    <t>thorntongroup.ie</t>
  </si>
  <si>
    <t>v=spf1 include:eu._netblocks.mimecast.com include:spf2.thorntongroup.ie include:spf3.thorntongroup.ie include:spf.exclaimer.net ~all</t>
  </si>
  <si>
    <t>v=DMARC1; p=quarantine; rua=mailto:24471b1799da302@rep.dmarcanalyzer.com; ruf=mailto:24471b1799da302@for.dmarcanalyzer.com; fo=1;</t>
  </si>
  <si>
    <t>glenaulin.com</t>
  </si>
  <si>
    <t>mediolanum.it</t>
  </si>
  <si>
    <t>v=spf1 include:part1.mediolanum.it include:part2.mediolanum.it include:part3.mediolanum.it include:spf.protection.outlook.com include:spf.mandrillapp.com include:spf.sendinblue.com -all</t>
  </si>
  <si>
    <t>v=DMARC1; p=reject; sp=reject; rua=mailto:dmarc_rua@mediolanum.it; ruf=mailto:dmarc_ruf@mediolanum.it; rf=afrf; pct=100; ri=86400</t>
  </si>
  <si>
    <t>sfh.ie</t>
  </si>
  <si>
    <t>v=spf1 mx a ip4:81.173.13.5 ip4:80.93.26.116 include:spf.protection.outlook.com include:theemaillaundry.net include:spf.hornetsecurity.com -all</t>
  </si>
  <si>
    <t>v=DMARC1; p=none; rua=mailto:dmarc_check@stfrancishospice.onmicrosoft.com; ruf=mailto:dmarc_check@stfrancishospice.onmicrosoft.com; fo=1</t>
  </si>
  <si>
    <t>hegartydemolition.ie</t>
  </si>
  <si>
    <t>v=spf1 ip4:66.206.3.250 +a +mx +ip4:23.111.150.226 include:spf.protection.outlook.com include:spf.stackmail.com ~all</t>
  </si>
  <si>
    <t>jll.ie</t>
  </si>
  <si>
    <t>gwlisk.com</t>
  </si>
  <si>
    <t>v=spf1 ip4:199.167.194.64/27 ip4:98.159.217.192/28 include:spf.ess.barracudanetworks.com include:spf.protection.outlook.com -all</t>
  </si>
  <si>
    <t>fitzwilliamcardclub.com</t>
  </si>
  <si>
    <t>news.co.uk</t>
  </si>
  <si>
    <t>rsm.ie</t>
  </si>
  <si>
    <t>v=spf1 include:spf.protection.outlook.com include:spf.elive.net -all</t>
  </si>
  <si>
    <t>sigmar.ie</t>
  </si>
  <si>
    <t>v=spf1 include:spf.protection.outlook.com include:_spf.bullhornmail.com ip4:83.147.166.18 ~all</t>
  </si>
  <si>
    <t>campionins.com</t>
  </si>
  <si>
    <t>v=spf1 include:de._netblocks.mimecast.com include:spf.protection.outlook.com include:relay.mailchannels.net include:appliedexch.co.uk -all</t>
  </si>
  <si>
    <t>colorman.ie</t>
  </si>
  <si>
    <t>v=spf1 mx include:spf.protection.outlook.com include:_spf_cd.spamtitan.com include:hubspotemail.net ip4:62.146.164.57 ip4:89.204.199.148 ip4:62.77.164.5 ip4:34.250.255.84 -all</t>
  </si>
  <si>
    <t>v=DMARC1; p=quarantine ; rua=mailto:dmarc-reports@colorman.ie; ruf=mailto:dmarc-failures@colorman.ie; fo=1</t>
  </si>
  <si>
    <t>bankofamerica.com</t>
  </si>
  <si>
    <t>v=spf1 ip4:171.161.41.178 ip4:171.159.227.167 ip4:171.161.147.155 include:spf-0000ec15.pphosted.com ~all</t>
  </si>
  <si>
    <t>v=DMARC1; p=reject; fo=1; rua=mailto:auth.report_ns@bankofamerica.com; ruf=mailto:bankofamerica@ruf.agari.com</t>
  </si>
  <si>
    <t>https://vmc.digicert.com/1cb6c69e-5221-4c7e-a648-8fb0baee6b2a.svg</t>
  </si>
  <si>
    <t>cushwake.com</t>
  </si>
  <si>
    <t>v=spf1 include:_netblocks.mimecast.com include:spf.protection.outlook.com include:spf_3rdparty.cushwake.com ~all</t>
  </si>
  <si>
    <t>v=DMARC1; p=reject; rua=mailto:efa254a75f3a887@rep.dmarcanalyzer.com; ruf=mailto:efa254a75f3a887@for.dmarcanalyzer.com; sp=reject; fo=1;</t>
  </si>
  <si>
    <t>csm.cit.ie</t>
  </si>
  <si>
    <t>boots.com</t>
  </si>
  <si>
    <t>v=spf1 mx exists:%{i}.spf.WBA.c3s2.iphmx.com include:spf.protection.outlook.com include:kallidus-suite.com ~all</t>
  </si>
  <si>
    <t>v=DMARC1; p=none; rua=mailto:6193e7442fb3728@rep.dmarcanalyzer.com,mailto:dmarc@wbaoneit.com; ruf=mailto:6193e7442fb3728@for.dmarcanalyzer.com,mailto:dmarc@wbaoneit.com; fo=1;</t>
  </si>
  <si>
    <t>rockwell.ie</t>
  </si>
  <si>
    <t>v=spf1 a:mailfromwebsite.rockwell.ie a:remote.rockwell.ie include:spf.protection.outlook.com ~all</t>
  </si>
  <si>
    <t>v=DMARC1; p=none; rua=mailto:dmarc@rockwell.ie; fo=1</t>
  </si>
  <si>
    <t>geodis.ie</t>
  </si>
  <si>
    <t>providentfinancial.com</t>
  </si>
  <si>
    <t>v=spf1  ip4:77.111.213.39/32 include:spf.protection.outlook.com include:kallidus-suite.com include:_spf.salesforce.com -all</t>
  </si>
  <si>
    <t>v=DMARC1; p=none; pct=100; rua=mailto:dmarc@provident.co.uk; ruf=mailto:dmarc_fail@provident.co.uk</t>
  </si>
  <si>
    <t>tpi.ie</t>
  </si>
  <si>
    <t>v=spf1 ip4:80.93.162.32 ip4:80.93.162.33 ip4:51.141.124.42 ip4:80.93.162.34 ip4:80.93.162.36 ip4:92.60.108.130 ip4:185.2.66.140 ip4:80.93.168.26 ip4:81.17.249.0/24 ip4:51.141.97.0 ip4:51.140.245.164 ip4:108.129.15.59 ip4:108.128.18.211 a:outbound-smt" "p08.blacknight.com include:spf.protection.outlook.com include:tpidigitalsolutions.com -all</t>
  </si>
  <si>
    <t>v=DMARC1; p=quarantine; rua=mailto:postmaster.tp@tpi.ie</t>
  </si>
  <si>
    <t>carrigcourt.com</t>
  </si>
  <si>
    <t>v=spf1 ip4:89.204.213.43/32 ip4:93.107.40.175 include:spf.protection.outlook.com include:netaffinity.net -all</t>
  </si>
  <si>
    <t>v=DMARC1; p=none; fo=1; rua=mailto:rua+carrigcourt.com@dmarc.barracudanetworks.com; ruf=mailto:ruf+carrigcourt.com@dmarc.barracudanetworks.com</t>
  </si>
  <si>
    <t>bmt.ie</t>
  </si>
  <si>
    <t>v=DMARC1; p=none; rua=mailto:admin@bmt.ie</t>
  </si>
  <si>
    <t>comreg.ie</t>
  </si>
  <si>
    <t>v=spf1 include:spf.protection.outlook.com include:autotask.net include:hpadc29.comreg.ie -all</t>
  </si>
  <si>
    <t>v=DMARC1; p=none; rua=mailto:IT.Suggestions@comreg.ie; ruf=mailto:IT.Suggestions@comreg.ie;</t>
  </si>
  <si>
    <t>colaistechoilm.ie</t>
  </si>
  <si>
    <t>v=spf1 include:spf.dcsnet.ie include:_spf.google.com ~all</t>
  </si>
  <si>
    <t>mpps.ie</t>
  </si>
  <si>
    <t>themonthotel.ie</t>
  </si>
  <si>
    <t>galwaybayhotel.com</t>
  </si>
  <si>
    <t>v=spf1 include:spf.protection.outlook.com include:spf.ireshotels.com include:oracleindustry.com include:sendgrid.net -all</t>
  </si>
  <si>
    <t>v=DMARC1; p=none; pct=100; rua=mailto:postman@galwaybayhotel.com; ruf=mailto:postman@galwaybayhotel.com; sp=quarantine; fo=1;</t>
  </si>
  <si>
    <t>brandonhotel.ie</t>
  </si>
  <si>
    <t>v=spf1 +mx +a:ns1.realbroadband.com +a:exch01.ekerry.net +a:exch19-1.ekerry.net ip4:198.2.132.26 include:netaffinity.net -all</t>
  </si>
  <si>
    <t>v=DMARC1; p=none; rua=mailto:support@realbroadband.com; pct=50;</t>
  </si>
  <si>
    <t>castletroypark.ie</t>
  </si>
  <si>
    <t>thedhotel.com</t>
  </si>
  <si>
    <t>v=spf1 include:spf.protection.outlook.com include:spf.hornetsecurity.com include:netaffinity.net mx a ptr ip4:86.47.107.224 ip4:46.255.154.163 -all</t>
  </si>
  <si>
    <t>homs.ie</t>
  </si>
  <si>
    <t>v=spf1 a:arronwolfgang.ddns.net include:spf.EU.exclaimer.net include:spf.protection.outlook.com ~all</t>
  </si>
  <si>
    <t>v=DMARC1; p=reject; pct=100; rua=mailto:dkim@homs.ie; ruf=mailto:dkim@homs.ie; fo=1</t>
  </si>
  <si>
    <t>westbourne.ie</t>
  </si>
  <si>
    <t>fastfit.ie</t>
  </si>
  <si>
    <t>v=spf1 mx a ip4:194.39.141.126 ip4:194.39.141.123 ip4:194.39.141.165 ip4:194.39.141.100 ip4:194.39.141.86 include:mail.silkmoth.net include:_spf.google.com ~all</t>
  </si>
  <si>
    <t>geith.com</t>
  </si>
  <si>
    <t>v=spf1 ip4:209.59.236.64/29 ip4:207.46.163.10 include:spf.protection.outlook.com include:amazonses.com include:aspmx.pardot.com include:cust-spf.exacttarget.com -all</t>
  </si>
  <si>
    <t>foynesengineering.ie</t>
  </si>
  <si>
    <t>johnsonandjohnson.com</t>
  </si>
  <si>
    <t>respabeds.ie</t>
  </si>
  <si>
    <t>v=spf1 include:spf.protection.outlook.com include:eu.zcsend.net -all</t>
  </si>
  <si>
    <t>v=DMARC1; p=quarantine; fo=1; rua=mailto:dmarc@respabeds.ie; ruf=mailto:dmarc@respabeds.ie;</t>
  </si>
  <si>
    <t>ie.tricel.eu</t>
  </si>
  <si>
    <t>v=spf1 a mx ip4:178.250.119.182 include:spf.protection.outlook.com include:sendgrid.net include:amazonses.com ~all</t>
  </si>
  <si>
    <t>v=DMARC1; p=none; fo=1; rua=mailto:a5331dcb@mxtoolbox.dmarc-report.com; ruf=mailto:a5331dcb@forensics.dmarc-report.com;</t>
  </si>
  <si>
    <t>profiledevelopments.com</t>
  </si>
  <si>
    <t>v=spf1 a mx include:spf.mandrillapp.com include:amazonses.com include:_mailcust.gandi.net include:mailgun.org ~all</t>
  </si>
  <si>
    <t>v=DMARC1; p=none; rua=mailto:it@profiledevelopments.com;</t>
  </si>
  <si>
    <t>odaios-foods.com</t>
  </si>
  <si>
    <t>v=spf1 ip4:52.49.99.152 include:spf.protection.outlook.com include:sendgrid.net ~all</t>
  </si>
  <si>
    <t>lilyobriens.ie</t>
  </si>
  <si>
    <t>v=spf1 a:mail.lilyobriens.ie ip4:89.101.27.241/32 ip4:31.216.234.194/32 ip4:176.34.100.11/32 include:spf.protection.outlook.com include:spf1.emailsecurity.app include:servers.mcsv.net -all</t>
  </si>
  <si>
    <t>v=DMARC1; p=none; rua=mailto:jmorris@lilyobriens.ie;</t>
  </si>
  <si>
    <t>mccloskeysbakery.ie</t>
  </si>
  <si>
    <t>rosnarun.com</t>
  </si>
  <si>
    <t>v=spf1 ip4:213.94.201.177 ~all</t>
  </si>
  <si>
    <t>v=DMARC1; p=quarantine; rua=mailto:danny@iarfhis.ie; ruf=mailto:danny@iarfhis.ie; fo=1</t>
  </si>
  <si>
    <t>postinsurance.ie</t>
  </si>
  <si>
    <t>v=spf1 ip4:86.47.136.113/32 ip4:82.141.218.156/32 ip4:86.47.103.171/32 ~all.postinsurance.ie.</t>
  </si>
  <si>
    <t>lacpatrick.com</t>
  </si>
  <si>
    <t>v=spf1 ip4:90.155.124.81 include:spf.protection.outlook.com include:_netblocks.mimecast.com include:27.126.146.0/24 include:103.28.42.0/24 include:146.88.28.0/24 include:163.47.180.0/22 include:203.55.21.0/24 include:204.75.142.0/24 -all</t>
  </si>
  <si>
    <t>dtwonightclub.com</t>
  </si>
  <si>
    <t>v=spf1 ip4:176.31.7.0/25 ip4:178.33.84.64/27 ip4:174.142.165.40/29 ip4:174.142.128.32/27 ip4:5.135.241.64/26 ip4:5.135.31.128/27 ip4:188.165.95.224/27 ip4:176.31.140.80/28 include:_spf2.elasticemail.com include:_spf3.elasticemail.com include:sparkpos" " tmail.com include:spf.protection.outlook.com include:spf.blacknight.ie include:sparkpostmail.com ~all</t>
  </si>
  <si>
    <t>sthelens.dublin.radissonblu.com</t>
  </si>
  <si>
    <t>richmondmarketing.com</t>
  </si>
  <si>
    <t>v=spf1 include:helpscoutemail.com include:spf.protection.outlook.com include:spf.topsec.com ip4:185.122.133.12 ip4:193.120.40.106 -all</t>
  </si>
  <si>
    <t>saintaidansservices.com</t>
  </si>
  <si>
    <t>invesco.ie</t>
  </si>
  <si>
    <t>cupprint.ie</t>
  </si>
  <si>
    <t>v=spf1 mx a ptr ip4:12.105.150.28  ip4:212.147.209.123 ip4:212.147.209.217 include:spf.ess.de.barracudanetworks.com include:spf.protection.outlook.com ~all</t>
  </si>
  <si>
    <t>dps.ie</t>
  </si>
  <si>
    <t>colgate.ie</t>
  </si>
  <si>
    <t>v=DMARC1; p=reject; fo=1; ri=3600; rua=mailto:dmarc_rua@emaildefense.proofpoint.com; ruf=mailto:dmarc_ruf@emaildefense.proofpoint.com</t>
  </si>
  <si>
    <t>marymountcarecentre.ie</t>
  </si>
  <si>
    <t>copegalway.ie</t>
  </si>
  <si>
    <t>v=spf1 include:spf.protection.outlook.com include:_spf.elasticemail.com include:spf.topsec.com include:outboundmail.blackbaud.net include:spf.brevo.com include:spf2.accessacloud.com -all</t>
  </si>
  <si>
    <t>extern.org</t>
  </si>
  <si>
    <t>v=spf1 mx  ip4:34.248.179.208/32 include:gateway.encrypttitan.io include:mailgun.org include:spf2.accessacloud.com ip4:89.185.136.227 include:spf.protection.outlook.com ~all</t>
  </si>
  <si>
    <t>v=DMARC1;p=reject;sp=reject;pct=100;adkim=r;aspf=r;rua=mailto:dmarc@extern.org;ruf=mailto:dmarc@extern.org;fo=1</t>
  </si>
  <si>
    <t>mckesson.ie</t>
  </si>
  <si>
    <t>v=spf1 include:_spf1.mckesson.com include:spf.messagelabs.com include:_spf.salesforce.com -all</t>
  </si>
  <si>
    <t>v=DMARC1;p=reject;sp=reject;adkim=r;aspf=r;fo=1;pct=100;rf=afrf;ri=86400;rua=mailto:dmarc_rua@emaildefense.proofpoint.com;ruf=mailto:dmarc_ruf@emaildefense.proofpoint.com</t>
  </si>
  <si>
    <t>informatica.com</t>
  </si>
  <si>
    <t>v=spf1 exists:%{i}.spf.informatica.com include:spf.protection.outlook.com include:a.informatica.com include:_spf.salesforce.com include:spf_c.oraclecloud.com include:spf-003d1f01.pphosted.com -all</t>
  </si>
  <si>
    <t>wright.ie</t>
  </si>
  <si>
    <t>duggansystems.ie</t>
  </si>
  <si>
    <t>mie.ie</t>
  </si>
  <si>
    <t>v=spf1 a mx a:debut.mie.ie ip4:193.1.32.132 ip4:193.120.143.134 include:spf.protection.outlook.com -all</t>
  </si>
  <si>
    <t>v=DMARC1; p=none; pct=100; ruf=mailto:dmarc@mie.ie; rua=mailto:dmarc@mie.ie; adkim=r; aspf=r</t>
  </si>
  <si>
    <t>childvision.ie</t>
  </si>
  <si>
    <t>v=spf1 include:eu._netblocks.mimecast.com -all</t>
  </si>
  <si>
    <t>scoilchormaic.ie</t>
  </si>
  <si>
    <t>sofrimar.ie</t>
  </si>
  <si>
    <t>v=spf1 ip4:94.247.54.111 ip4:80.93.21.7 ip4:93.92.8.200 ip4:78.153.200.49 ip4:94.247.51.241 include:spf.us.emailservice.io include:_spf.createsend.com include:outbound.mailhop.org ~all</t>
  </si>
  <si>
    <t>loughnanes.ie</t>
  </si>
  <si>
    <t>v=DMARC1; p=none; rua=mailto:LOG.ITnotifications@loughnanes.ie</t>
  </si>
  <si>
    <t>carrigoranhouse.ie</t>
  </si>
  <si>
    <t>stlukeshome.ie</t>
  </si>
  <si>
    <t>v=spf1 ip4:91.223.9.26 ip4:95.45.250.153 include:spf.protection.outlook.com include:soverin.net -all</t>
  </si>
  <si>
    <t>v=DMARC1; p=none; fo=1; rua=mailto:rua+stlukeshome.ie@dmarc.barracudanetworks.com; ruf=mailto:ruf+stlukeshome.ie@dmarc.barracudanetworks.com</t>
  </si>
  <si>
    <t>ardkeen.com</t>
  </si>
  <si>
    <t>v=spf1  include:spf.protection.outlook.com +a +mx +ip4:91.210.232.238 +ip4:89.101.217.154 include:spf.webhostingireland.ie include:spf.ess.de.barracudanetworks.com ~all</t>
  </si>
  <si>
    <t>v=DMARC1; p=none; rua=mailto:rmoynan@ardkeen.com;</t>
  </si>
  <si>
    <t>wallaces.ie</t>
  </si>
  <si>
    <t>v=spf1 ip4:87.198.197.255 ip4:213.79.39.35 ip4:213.94.210.195 include:spf.mailanyone.net include:spf.protection.outlook.com -all</t>
  </si>
  <si>
    <t>mercedes-benz.ie</t>
  </si>
  <si>
    <t>v=spf1 include:spf.protection.outlook.com include:spf.ssmx.net include:spf.mailanyone.net include:_spf.salesforce.com include:spf.mandrillapp.com ip4:82.198.128.17 -all</t>
  </si>
  <si>
    <t>v=DMARC1; p=reject; rua=mailto:weacxe0d@ag.eu.dmarcadvisor.com;</t>
  </si>
  <si>
    <t>ecc.ie</t>
  </si>
  <si>
    <t>v=spf1 include:spf.protection.outlook.com include:mail1.eircom.net -all</t>
  </si>
  <si>
    <t>phonewatch.ie</t>
  </si>
  <si>
    <t>v=spf1 ip4:195.159.138.0/24 ip4:77.40.172.0/24 ip4:195.159.105.0/24 ip4:195.159.211.0/24 ip4:62.92.79.0/24 ip4:195.53.183.34 ip4:212.230.132.98 ip4:52.214.194.246  include:spf.protection.outlook.com include:spf.alarm.com ~all</t>
  </si>
  <si>
    <t>v=DMARC1; p=quarantine; pct=100; rua=mailto:postmaster@sectoralarm.net; ruf=mailto:postmaster@sectoralarm.net</t>
  </si>
  <si>
    <t>loveireland.com</t>
  </si>
  <si>
    <t>as.techdata.eu</t>
  </si>
  <si>
    <t>exertis.ie</t>
  </si>
  <si>
    <t>humanscale.com</t>
  </si>
  <si>
    <t>v=spf1 include:mektj2sosi.powerspf.com ~all</t>
  </si>
  <si>
    <t>v=DMARC1; p=reject; sp=none; rua=mailto:6ppzmwefji@rua.powerdmarc.com; ruf=mailto:6ppzmwefji@ruf.powerdmarc.com; pct=100; fo=1;</t>
  </si>
  <si>
    <t>avara.com</t>
  </si>
  <si>
    <t>v=spf1 ip4:87.242.196.98 ip4:147.202.195.74/31 ip4:10.0.152.0/24 ip4:81.145.229.138 ip4:10.154.9.63 ip4:64.27.70.143 ip4:12.193.61.69 ip4:68.15.196.250 include:spf.protection.outlook.com include:mail.zendesk.com -all</t>
  </si>
  <si>
    <t>v=DMARC1; p=none; rua=mailto:dmarc_rua@emaildefense.proofpoint.com; ruf=mailto:dmarc_ruf@emaildefense.proofpoint.com; fo=1</t>
  </si>
  <si>
    <t>corkbuilders.ie</t>
  </si>
  <si>
    <t>corkbp.ie</t>
  </si>
  <si>
    <t>v=spf1 mx ip4:82.147.18.199 ip4:54.246.177.122/32 ip4:89.101.136.230/32 ip4:162.13.46.88/32 ip4:23.102.29.87 include:spf.protection.outlook.com include:spf.smtp2go.com include:dotmailer.co.uk include:amazonses.com -all</t>
  </si>
  <si>
    <t>etexgroup.com</t>
  </si>
  <si>
    <t>v=spf1 ip4:52.149.71.249 ip4:91.241.79.1/24 ip4:52.157.235.134/32 ip4:40.67.223." "195/32 ip4:52.157.236.186/32 ip4:193.104.82.0/24 ip4:213.181.53.221 ip4:185.250." "239.0/22 ip4:35.214.208.81/32 ip4:35.214.213.218/32 ip4:35.214.183.81/32 ip4:35." "214.212.238/32 ip4:13.74.56.125 include:mktomail.com include:_spf.cmail.ondemand" ".com include:amazonses.com include:27021741.spf10.hubspotemail.net include:euro." "confirmit.com include:eskerondemand.com include:spf.protection.outlook.com -all</t>
  </si>
  <si>
    <t>v=DMARC1;p=none;rua=mailto:DMARC_Report@etexgroup.com</t>
  </si>
  <si>
    <t>farnhamestate.ie</t>
  </si>
  <si>
    <t>v=spf1 ip4:190.180.144.248 ip4:91.136.49.205 ip4:185.61.1.131 include:spf.protection.outlook.com include:authsmtp.com ~all</t>
  </si>
  <si>
    <t>arup.com</t>
  </si>
  <si>
    <t>v=spf1 include:amazonses.com mx include:_spf-a.arup.com include:_spf-b.arup.com include:_spf-c.arup.com include:mktomail.com include:spf.protection.outlook.com include:app.sgizmo.com include:marketing.dynamics.com -all</t>
  </si>
  <si>
    <t>v=DMARC1; p=quarantine; rua=mailto:dmarc_agg@vali.email; fo=1; ri=3600</t>
  </si>
  <si>
    <t>logitech.com</t>
  </si>
  <si>
    <t>v=spf1 include:_spf.google.com include:everbridge.net include:mail.zendesk.com include:direct2u.spf.dt.com include:spfa.cpmails.com" " ip4:63.150.149.5 ip4:63.150.149.6 ip4:74.118.162.35 ip4:74.118.162.36 ip4:213.165.74.136 ip4:207.211.31.67" " ip4:13.110.146.172 ip4:205.139.110.47 ip4:204.77.217.54 ip4:107.23.26.71 ip4:107.23.32.213 ip4:82.195.249.26 ip4:54.251.169.91 ip4:204.77.217.50 ip6:2406:da18:8c8:4e00:c141:5599:cb4:8bd0 ip4:188.40.2.7 ip4:152.160.0.0/16" " ip4:37.98.235.2 ip4:199.15.215.48 ip4:54.236.103.127 ip4:208.66.205.16/28 -all</t>
  </si>
  <si>
    <t>v=DMARC1; p=reject; ruf=mailto:qojun7kz@fr.us.dmarcian.com,mailto:logitechlimited@us.cp-dmarc.com; rua=mailto:logitechlimited@us.cp-dmarc.com,mailto:qojun7kz@ag.us.dmarcian.com;</t>
  </si>
  <si>
    <t>dublin.maplesandcalder.com</t>
  </si>
  <si>
    <t>techrete.com</t>
  </si>
  <si>
    <t>gleneng.com</t>
  </si>
  <si>
    <t>irelandwestairport.com</t>
  </si>
  <si>
    <t>v=spf1 +a +mx +ip4:91.210.232.29 ip4:88.81.127.199 include:spf.webhostingireland.ie include:spf.protection.outlook.com ip4:104.26.4.107/32 ip4:88.81.123.221 -all</t>
  </si>
  <si>
    <t>theghotel.ie</t>
  </si>
  <si>
    <t>v=spf1 include:eu._netblocks.mimecast.com include:spf.protection.outlook.com include:ireshotels.com -all</t>
  </si>
  <si>
    <t>v=DMARC1; p=none; rua=mailto:5004af7e386c115@rep.dmarcanalyzer.com; ruf=mailto:5004af7e386c115@for.dmarcanalyzer.com; fo=1;</t>
  </si>
  <si>
    <t>steel.ie</t>
  </si>
  <si>
    <t>v=spf1 ip4:86.47.127.125 include:spf.protection.outlook.com include:_spf.google.com -all</t>
  </si>
  <si>
    <t>globoforce.com</t>
  </si>
  <si>
    <t>v=spf1 mx ip4:87.198.219.215 ip4:87.198.219.207 include:vtrnz.com include:mktomail.com include:_spf.salesforce.com include:spf.protection.outlook.com include:spf1.workhuman.com -all</t>
  </si>
  <si>
    <t>v=DMARC1; p=quarantine; pct=51; rua=mailto:af95b2723499219@rep.dmarcanalyzer.com; sp=none;</t>
  </si>
  <si>
    <t>belmonthouse.ie</t>
  </si>
  <si>
    <t>didstore.com</t>
  </si>
  <si>
    <t>keywordsintl.com</t>
  </si>
  <si>
    <t>v=spf1 include:spf.protection.outlook.com include:_spf.keywordsstudios.com -all</t>
  </si>
  <si>
    <t>v=DMARC1; p=quarantine; sp=reject; rua=mailto:feo28avf@ag.eu.dmarcian.com;</t>
  </si>
  <si>
    <t>nolans.ie</t>
  </si>
  <si>
    <t>dromone.com</t>
  </si>
  <si>
    <t>v=spf1 include:spf.hornetsecurity.com ~all</t>
  </si>
  <si>
    <t>icds.ie</t>
  </si>
  <si>
    <t>kone.com</t>
  </si>
  <si>
    <t>v=spf1 include:spf1.kone.com include:spf2.kone.com -all</t>
  </si>
  <si>
    <t>v=DMARC1; p=reject; rua=mailto:sf4xpfqs@ag.eu.dmarcadvisor.com</t>
  </si>
  <si>
    <t>gategourmet.com</t>
  </si>
  <si>
    <t>v=spf1 include:spf.protection.outlook.com ip4:64.238.152.130 ip4:120.89.34.100 ip4:216.245.187.72 ip4:216.245.187.71 ip4:212.243.171.144/32 ip4:212.243.171.203/32 ~all</t>
  </si>
  <si>
    <t>quintillion.ie</t>
  </si>
  <si>
    <t>v=spf1 include:elavon.com -all</t>
  </si>
  <si>
    <t>v=DMARC1;p=none;rua=mailto:us-bank@rua.agari.com;ruf=mailto:us-bank@ruf.agari.com;fo=1</t>
  </si>
  <si>
    <t>luceytransport.ie</t>
  </si>
  <si>
    <t>v=spf1 ip4:86.43.106.157 include:spf.protection.outlook.com ~all</t>
  </si>
  <si>
    <t>redcowmoranhotel.com</t>
  </si>
  <si>
    <t>v=spf1 ip4:31.216.235.202 include:ireshotels.com include:spf.protection.outlook.com -all</t>
  </si>
  <si>
    <t>theheritage.com</t>
  </si>
  <si>
    <t>v=spf1 a mx include:spf.protection.outlook.com include:netaffinity.net include:authsmtp.com include:spf.turbo-smtp.com ~all</t>
  </si>
  <si>
    <t>pbmachinetech.ie</t>
  </si>
  <si>
    <t>okeeffesbakery.ie</t>
  </si>
  <si>
    <t>v=spf1 ip4:35.157.190.224/27 include:spf.protection.outlook.com -all</t>
  </si>
  <si>
    <t>v=DMARC1; p=none; fo=1; rua=mailto:rua+okeeffesbakery.ie@dmarc.barracudanetworks.com; ruf=mailto:ruf+okeeffesbakery.ie@dmarc.barracudanetworks.com</t>
  </si>
  <si>
    <t>orange.com</t>
  </si>
  <si>
    <t>v=spf1 include:spffed-ip.orange.com include:spffed-mm.orange.com include:_spf1.orange.com include:_spf2.orange.com include:spfe.orange.com include:spff.orange.com include:spf6a.orange.com -all</t>
  </si>
  <si>
    <t>v=DMARC1; p=none; sp=none; pct=100; fo=1; ri=3600; rua=mailto:c7adfba4@inbox.eu.redsift.cloud; ruf=mailto:c7adfba4@inbox.eu.redsift.cloud;</t>
  </si>
  <si>
    <t>irelandassist.com</t>
  </si>
  <si>
    <t>davenham.com</t>
  </si>
  <si>
    <t>nelipak.com</t>
  </si>
  <si>
    <t>v=spf1 a mx ip4:52.31.237.158 include:242148343.spf10.hubspotemail.net include:spf.protection.outlook.com include:spf-00647601.pphosted.com include:relay.mailchannels.net -all</t>
  </si>
  <si>
    <t>v=DMARC1; p=none; fo=1; rua=mailto:ITTeam@nelipak.com,mailto:dmarc_rua@emaildefense.proofpoint.com; \010ruf=mailto:ITTeam@nelipak.com,mailto:dmarc_ruf@emaildefense.proofpoint.com</t>
  </si>
  <si>
    <t>claytonhotelsballsbridge.com</t>
  </si>
  <si>
    <t>steeltechsheds.ie</t>
  </si>
  <si>
    <t>v=spf1 include:_spf.google.com v=spf1 include:_spf.mailersend.net ~all</t>
  </si>
  <si>
    <t>v=DMARC1; p=none; rua=mailto:it@steeltechsheds.ie; ruf=mailto:it@steeltechsheds.ie; fo=1</t>
  </si>
  <si>
    <t>ifg.ie</t>
  </si>
  <si>
    <t>v=spf1 include:_spf.mlsend.com include:spf.protection.outlook.com -all</t>
  </si>
  <si>
    <t>lauralynn.ie</t>
  </si>
  <si>
    <t>v=spf1 +a +mx ip4:31.216.234.210 ip4:78.153.201.30 ip4:93.107.171.55 ip4:87.117.199.66 ip4:205.139.105.48/29 ip4:83.98.160.225 ip4:206.79.6.128/26 ip4:208.40.241.140/30 ip4:216.37.18.6 ip4:204.8.10.114 ip4:216.235.197.198 ip4:64.209.141.221 ip4:167.89.55." "59 ip4:193.189.141.33 include:spf.protection.outlook.com include:sendgrid.ne include:_spf.createsend.com include:spf.newsletter.ie ~all</t>
  </si>
  <si>
    <t xml:space="preserve">v=DMARC1; p=quarantine; pct=100; rua=mailto:Dmarc_reports@Lauralynn.ie </t>
  </si>
  <si>
    <t>unumjobs.ie</t>
  </si>
  <si>
    <t>mallonfoods.com</t>
  </si>
  <si>
    <t>v=spf1 include:eu._netblocks.mimecast.com include:mallonfoods.com.spf.auto.dnssmarthost.net ~all</t>
  </si>
  <si>
    <t>v=DMARC1; p=none; pct=100; sp=none; rua=mailto:3287498a@inbox.ondmarc.com; ruf=mailto:3287498a@inbox.ondmarc.com; adkim=r; aspf=r; fo=1; rf=afrf; ri=3600</t>
  </si>
  <si>
    <t>lh-intouch.com</t>
  </si>
  <si>
    <t>v=spf1 include:_spf-eu.ionos.com include:servers.mcsv.net ~all</t>
  </si>
  <si>
    <t>v=DMARC1; p=none; pct=100; rua=mailto:re+s2eqfltsaix@dmarc.postmarkapp.com; ruf=mailto:intouch_security@dlh.de; sp=none; aspf=r;</t>
  </si>
  <si>
    <t>near.ie</t>
  </si>
  <si>
    <t>v=spf1 include:_spf.1984.is -all</t>
  </si>
  <si>
    <t>v=DMARC1; p=reject; rua=mailto:gavin@near.ie; ruf=mailto:gavin@near.ie;</t>
  </si>
  <si>
    <t>curamhealthcare.ie</t>
  </si>
  <si>
    <t>v=DMARC1;p=reject;rua=mailto:c5bf406e83@rua.easydmarc.eu;ruf=mailto:c5bf406e83@ruf.easydmarc.eu;fo=1;</t>
  </si>
  <si>
    <t>collinssupervalu.com</t>
  </si>
  <si>
    <t>blackwatermotors.ie</t>
  </si>
  <si>
    <t>v=spf1 mx a ip4:83.71.195.197 include:spf.elive.net include:amazonses.com include:spf.protection.outlook.com ~all</t>
  </si>
  <si>
    <t>eurocarparts.com</t>
  </si>
  <si>
    <t>v=spf1 ip4:80.248.176.217 ip4:89.151.75.144 include:spf.protection.outlook.com include:amazonses.com ip4:46.236.8.200 ip4:46.236.8.201 ip4:148.253.151.170 ip4:46.236.8.202 ip4:81.144.144.125 ip4:217.33.101.133 ip4:217.33.101.139 include:spf1.eurocarparts." "com -all</t>
  </si>
  <si>
    <t>v=DMARC1; p=quarantine; pct=70; aspf=s; adkim=s; rua=mailto:qi4yr7xa@ag.eu.dmarcian.com; ruf=mailto:qi4yr7xa@fr.eu.dmarcian.com; fo=1;</t>
  </si>
  <si>
    <t>abbey.ie</t>
  </si>
  <si>
    <t>v=spf1 mx include:sendgrid.net ip4:78.153.204.196 include:spf.protection.outlook.com include:servers.mcsv.net include:spf.tmes.trendmicro.com include:mail.zendesk.com ip4:31.193.2.125 ip4:203.55.21.87 ip4:79.170.244.0/24 ip4:52.59.58.195 ip4:3.122.45.38 i" "p4:52.58.98.157 ip4:52.16.253.121 ip4:52.18.148.31 -all</t>
  </si>
  <si>
    <t>v=DMARC1; p=reject; sp=none; fo=1; ri=3600; rua=mailto:dmarc@abbey.ie; ruf=mailto:dmarc@abbey.ie</t>
  </si>
  <si>
    <t>fcrmedia.ie</t>
  </si>
  <si>
    <t>v=spf1 include:spf.protection.outlook.com include:rd43.com include:mail.adplorer.eu include:mail.sendgrid.net include:5435571.spf03.hubspotemail.net include:spf.us-east.atmailcloud.com +ip4:90.182.206.228 +ip4:159.183.234.11 +ip4:198.37.144.37 -all</t>
  </si>
  <si>
    <t>v=DMARC1; p=quarantine; pct=100; rua=mailto:dmarc_reports@fcrmedia.ie; ruf=mailto:dmarc_reports@fcrmedia.ie</t>
  </si>
  <si>
    <t>xlinsurance.com</t>
  </si>
  <si>
    <t>v=DMARC1; p=reject; fo=1; ri=3600; rua=mailto:xlcat@rua.agari.com,mailto:ewai10d2@ag.eu.dmarcian.com; ruf=mailto:xlcat@ruf.agari.com</t>
  </si>
  <si>
    <t>oharasoffoxford.com</t>
  </si>
  <si>
    <t>v=spf1 include:spf.protection.outlook.com include:_spf.intacct.com -all</t>
  </si>
  <si>
    <t>v=DMARC1;p=none;pct=100;rua=mailto:a998f4468b@rua.easydmarc.eu;ruf=mailto:a998f4468b@ruf.easydmarc.eu;ri=86400;fo=1;</t>
  </si>
  <si>
    <t>novas.ie</t>
  </si>
  <si>
    <t>v=spf1 a mx ip4:86.43.102.110 include:spf.elive.net include:spf.protection.outlook.com include:spf.webcore.cloud include:eu.zcsend.net -all</t>
  </si>
  <si>
    <t>v=DMARC1; p=none; pct=100; fo=1; ri=3600</t>
  </si>
  <si>
    <t>completelabsolutions.com</t>
  </si>
  <si>
    <t>timkellygroup.com</t>
  </si>
  <si>
    <t>brambles.ie</t>
  </si>
  <si>
    <t>v=spf1 +a +mx +ip4:209.87.158.12 ?all</t>
  </si>
  <si>
    <t>v=DMARC1;p=quarantine;sp=none;adkim=r;aspf=r;pct=100;fo=0;rf=afrf;ri=86400rua=mailto:rua@dmarc.brevo.com</t>
  </si>
  <si>
    <t>data-display.com</t>
  </si>
  <si>
    <t>v=spf1 +a +mx +ip4:172.96.186.137 include:_spf.arandomserver.com ~all</t>
  </si>
  <si>
    <t>ncps.ie</t>
  </si>
  <si>
    <t>cleanhabit.com</t>
  </si>
  <si>
    <t>v=DMARC1; p=none; rua=mailto:ea16b06b4342170@rep.dmarcanalyzer.com; ruf=mailto:ea16b06b4342170@for.dmarcanalyzer.com; sp=none; fo=1;</t>
  </si>
  <si>
    <t>smbc.aero</t>
  </si>
  <si>
    <t>v=spf1 include:spf.protection.outlook.com include:_spf.psm.Knowbe4.com include:spfa.cpmails.com include:_spf.salesforce.com -all</t>
  </si>
  <si>
    <t>v=DMARC1; p=quarantine; rua=mailto:7ycren43@ag.eu.dmarcian.com;</t>
  </si>
  <si>
    <t>virginialogistics.ie</t>
  </si>
  <si>
    <t>v=spf1 include:spf.protection.outlook.com include:spf.hornetsecurity.com include:amazonses.com ~all</t>
  </si>
  <si>
    <t>attorneygeneral.ie</t>
  </si>
  <si>
    <t>castleknockcc.ie</t>
  </si>
  <si>
    <t>themidlandsparkhotel.com</t>
  </si>
  <si>
    <t>masonite.com</t>
  </si>
  <si>
    <t>v=spf1 include:spf.mandrillapp.com include:marketing.dynamics.com include:_spf.highradius.com include:_spf.salesforce.com include:mktomail.com include:servers.mcsv.net include:spf.protection.outlook.com" " exists:%{i}.spf.hc4106-94.iphmx.com ip4:209.136.2.159 ip4:23.21.109.197 ip4:23.21.109.212 ip4:147.160.167.0/26 ~all</t>
  </si>
  <si>
    <t>v=DMARC1;" "p=none;" "rua=mailto:dmarcvalidationreport@masonite.com;" "ruf=mailto:dmarcvalidationreport@masonite.com;" "fo=1</t>
  </si>
  <si>
    <t>ktl.ie</t>
  </si>
  <si>
    <t>v=spf1 include:spf.protection.outlook.com include:sent-via.netsuite.com  include:notification.netsuite.com include:mailsenders.netsuite.com -all</t>
  </si>
  <si>
    <t>v=DMARC1; p=none; pct=100; rua=mailto:cyber@ktl.ie</t>
  </si>
  <si>
    <t>ocarrollengineering.com</t>
  </si>
  <si>
    <t>kssl.ie</t>
  </si>
  <si>
    <t>v=spf1 ip4:158.120.85.51 ip4:212.227.20.69 ip4:158.120.84.223 ip4:80.209.158.55 ip4:185.190.204.96 ip4:80.233.126.252 include:spf.protection.outlook.com include:_spf.psm.knowbe4.com ~all</t>
  </si>
  <si>
    <t>v=DMARC1; p=quarantine; rua=mailto:c5844ce0@mxtoolbox.dmarc-report.com; ruf=mailto:c5844ce0@forensics.dmarc-report.com; fo=1</t>
  </si>
  <si>
    <t>multipkg.com</t>
  </si>
  <si>
    <t>v=spf1 include:westrock.com -all</t>
  </si>
  <si>
    <t>irishdogfoods.com</t>
  </si>
  <si>
    <t>v=spf1 include:eu._netblocks.mimecast.com include:spf.protection.outlook.com include:spf.mandrillapp.com ip4:109.70.209.139 ip4:193.120.143.0/24 ip4:193.120.142.176 -all</t>
  </si>
  <si>
    <t>v=DMARC1; p=none; sp=none; fo=1; rua=mailto:dmarc@irishdogfoods.com; ruf=mailto:dmarc@irishdogfoods.com; pct=100;</t>
  </si>
  <si>
    <t>poppulo.com</t>
  </si>
  <si>
    <t>v=DMARC1; p=none; sp=none; aspf=r; rua=mailto:dmarc_agg@vali.email</t>
  </si>
  <si>
    <t>bouldermedia.tv</t>
  </si>
  <si>
    <t>v=DMARC1; p=reject; pct=100; fo=1; ri=3600; rua=mailto:c0f1617a@inbox.ondmarc.com; ruf=mailto:c0f1617a@inbox.ondmarc.com;</t>
  </si>
  <si>
    <t>aig.ie</t>
  </si>
  <si>
    <t>v=spf1 include:%{d}.ac.spf-protect.agari.com exists:%{i}._i.%{d}._d.espf.agari.com -all</t>
  </si>
  <si>
    <t>sevenoakshotel.com</t>
  </si>
  <si>
    <t>claytonhotelsilversprings.com</t>
  </si>
  <si>
    <t>woodlands-hotel.ie</t>
  </si>
  <si>
    <t>v=spf1 include:spf.protection.outlook.com include:netaffinity.net include:sendgrid.net a include:authsmtp.com -all</t>
  </si>
  <si>
    <t>greatsouthernkillarney.com</t>
  </si>
  <si>
    <t>v=spf1 include:spf.protection.outlook.com include:spf-a.authsmtp.com include:spf-b.authsmtp.com include:oracleindustry.com ip4:87.198.171.254 -all</t>
  </si>
  <si>
    <t>v=DMARC1; p=none; fo=1; rua=mailto:rua+greatsouthernkillarney.com@dmarc.barracudanetworks.com; ruf=mailto:ruf+greatsouthernkillarney.com@dmarc.barracudanetworks.com</t>
  </si>
  <si>
    <t>corkcityfirebrigade.ie</t>
  </si>
  <si>
    <t>steris.com</t>
  </si>
  <si>
    <t>carraigdonn.com</t>
  </si>
  <si>
    <t>v=spf1 include:shops.shopify.com include:spf.protection.outlook.com ~all</t>
  </si>
  <si>
    <t>v=DMARC1;p=quarantine;pct=100;rua=mailto:reporting@carraigdonn.com;ruf=mailto:reporting@carraigdonn.com;ri=86400;fo=1</t>
  </si>
  <si>
    <t>kedington.ie</t>
  </si>
  <si>
    <t>v=spf1 include:eu._netblocks.mimecast.com ip4:89.100.74.174 ip4:212.17.44.108 -all</t>
  </si>
  <si>
    <t>v=DMARC1; p=reject; ruf=mailto:admin@kedington.ie; rua=mailto:admin@kedington.ie; sp=reject; aspf=s; adkim=s</t>
  </si>
  <si>
    <t>netwatchsystem.com</t>
  </si>
  <si>
    <t>v=spf1 include:spf.protection.outlook.com include:servers.mcsv.net include:mail.zendesk.com include:aspmx.pardot.com include:_spf.salesforce.com include:_spf.elasticemail.com -all</t>
  </si>
  <si>
    <t>v=DMARC1; p=quarantine; rua=mailto:dmarc@4j0craxr.uriports.com; ruf=mailto:dmarc@4j0craxr.uriports.com; fo=1:d:s</t>
  </si>
  <si>
    <t>horseware.com</t>
  </si>
  <si>
    <t>v=spf1 a mx a:smtp.luzernsolutions.com include:_spf.mailersend.net include:emsd1.com include:spf.protection.outlook.com include:123456.spf03.hubspotemail.net -all</t>
  </si>
  <si>
    <t>v=DMARC1; p=quarantine; sp=quarantine; fo=1; rua=mailto:dmarc@horseware.com; ruf=mailto:dmarc@horseware.com</t>
  </si>
  <si>
    <t>killarneyhotels.ie</t>
  </si>
  <si>
    <t>cowpercare.ie</t>
  </si>
  <si>
    <t>kerloguenursinghome.com</t>
  </si>
  <si>
    <t>portofcork.ie</t>
  </si>
  <si>
    <t>v=spf1 ip4:77.107.221.218 ip4:54.217.242.174 include:spf.protection.outlook.com include:spf.ess.de.barracudanetworks.com include:amazonses.com ?all</t>
  </si>
  <si>
    <t>v=DMARC1; p=reject; fo=1; rua=mailto:rua+portofcork.ie@dmarc.barracudanetworks.com; ruf=mailto:ruf+portofcork.ie@dmarc.barracudanetworks.com</t>
  </si>
  <si>
    <t>morganmckinley.ie</t>
  </si>
  <si>
    <t>v=DMARC1; p=none; rua=mailto:mailadministator@morganmckinley.ie; ruf=mailto:mailadministator@morganmckinley.ie; sp=none; fo=1; ri=86400</t>
  </si>
  <si>
    <t>laroussefoods.ie</t>
  </si>
  <si>
    <t>v=spf1 ip4:217.115.115.198 include:spf.protection.outlook.com ip4:83.71.135.83 ip4:194.151.190.162 ip4:18.202.45.229 ip4:159.183.134.72 ip4:159.183.147.173 ip4:130.117.253.164 ip4:3.68.129.51 ip4:13.36.253.151 include:spf.amris.com include:servers.mcsv.ne" "t include:relay.mailchannels.net -all</t>
  </si>
  <si>
    <t>modularautomation.ie</t>
  </si>
  <si>
    <t>cancer.ie</t>
  </si>
  <si>
    <t>v=DMARC1; p=reject; rua=mailto:27eed7a6e3884d738bc8b1b38f44841b@dmarc-reports.cloudflare.net,mailto:lxuh6y7n@ag.eu.dmarcian.com; ruf=mailto:lxuh6y7n@fr.eu.dmarcian.com;</t>
  </si>
  <si>
    <t>rkd.ie</t>
  </si>
  <si>
    <t>v=spf1 include:spf.protection.outlook.com include:spf.messagelabs.com include:spf-eu.emailsignatures365.com -all</t>
  </si>
  <si>
    <t>v=DMARC1; p=none; pct=100; fo=1; ri=3600; rua=mailto:it@rkd.ie; ruf=mailto:it@rkd.ie;</t>
  </si>
  <si>
    <t>ballygarryhouse.com</t>
  </si>
  <si>
    <t>v=spf1 +mx +a include:owa.ballygarryhouse.com include:ns1.realbroadband.com include:Mail.ihotelier.com include:Postoffice.ihotelier.com ip4:172.16.10.33 ip4:209.242.69.231 ip4:199.167.219.49 ip4:206.222.177.128 ip4:206.222.177.148 -all</t>
  </si>
  <si>
    <t>monaghan-mushrooms.com</t>
  </si>
  <si>
    <t>v=spf1 include:spf.protection.outlook.com include:_spf.prod.hydra.sophos.com ip4:195.59.157.101 ip4:195.59.157.110 ip4:195.59.157.103 ~all</t>
  </si>
  <si>
    <t>cbe.ie</t>
  </si>
  <si>
    <t>v=spf1 mx a ptr ip4:87.198.180.130/28 ip4:86.47.123.217/29 ip4:93.94.118.234/29 include:autotask.net  include:spf.protection.outlook.com include:spf-eu.emailsignatures365.com include:_spf.psm.knowbe4.com include:sendgrid.net -all</t>
  </si>
  <si>
    <t>firecrestclinical.com</t>
  </si>
  <si>
    <t>v=spf1 exists:%{i}._i.%{d}._d.espf.agari.com include:%{d}.ee.spf-protect.agari.com -all</t>
  </si>
  <si>
    <t>v=DMARC1; p=reject; fo=1; ri=3600; rua=mailto:icon@rua.agari.com; ruf=mailto:icon@ruf.agari.com</t>
  </si>
  <si>
    <t>wuerth.ie</t>
  </si>
  <si>
    <t>v=spf1 ip4:148.253.151.170 ip4:40.85.92.201 include:limajo.witglobal.net include:_spf.vivantio.com ~all</t>
  </si>
  <si>
    <t>v=DMARC1; p=reject; rua=mailto:dmarc@witglobal.net; ruf=mailto:dmarc@witglobal.net; fo=1; pct=100</t>
  </si>
  <si>
    <t>west-bake.com</t>
  </si>
  <si>
    <t>v=spf1 a mx ip4:94.102.198.243 ip4:35.214.41.65 ip4:104.47.17.74 include:spf.protection.outlook.com -all</t>
  </si>
  <si>
    <t>ventionmedical.com</t>
  </si>
  <si>
    <t>v=spf1 ip4:64.78.151.128/26 ip4:208.185.229.0/24 ip4:208.185.235.0/24 ip4:216.241.183.0/24 a:dispatch-us.ppe-hosted.com ip4:199.71.239.178 ip4:67.216.183.10 -all</t>
  </si>
  <si>
    <t>v=DMARC1; p=reject; rua=mailto:e837c7005787269@rep.dmarcanalyzer.com; ruf=mailto:e837c7005787269@for.dmarcanalyzer.com; pct=100; fo=1;</t>
  </si>
  <si>
    <t>aviva.com</t>
  </si>
  <si>
    <t>hilton.co.uk</t>
  </si>
  <si>
    <t>maplesff.com</t>
  </si>
  <si>
    <t>ec.europa.eu</t>
  </si>
  <si>
    <t>v=spf1 include:_spf.tech.ec.europa.eu include:_spf-jrc.tech.ec.europa.eu -all</t>
  </si>
  <si>
    <t>v=DMARC1; p=reject; rua=mailto:swtyii6t@ag.eu.dmarcadvisor.com; adkim=s; aspf=s</t>
  </si>
  <si>
    <t>noelgroup.ie</t>
  </si>
  <si>
    <t>v=spf1 include:spf.protection.outlook.com include:email.freshservice.com include:zohopeople.com ip4:80.93.26.92 ~all</t>
  </si>
  <si>
    <t>fdc.ie</t>
  </si>
  <si>
    <t>v=spf1 include:spf.protection.outlook.com include:9258467.spf08.hubspotemail.net include:spf-00196902.pphosted.com  -all</t>
  </si>
  <si>
    <t>arc-al.com</t>
  </si>
  <si>
    <t>v=spf1 ip4:31.216.236.114 include:spf.protection.outlook.com include:spf.emailsignatures365.com include:spf.mtaroutes.com ~all</t>
  </si>
  <si>
    <t>depfa.com</t>
  </si>
  <si>
    <t>v=spf1 include:spf.protection.outlook.com ip4:194.107.107.241/32 -all</t>
  </si>
  <si>
    <t>v=DMARC1; p=quarantine; rua=mailto:dmarc@bawaggroup.com; ruf=mailto:dmarc@bawaggroup.com; sp=quarantine; fo=1;</t>
  </si>
  <si>
    <t>investec.ie</t>
  </si>
  <si>
    <t>v=spf1 mx ip4:185.197.52.132 ip4:185.197.52.133 ip4:185.197.52.130 ip4:185.197.52.131 ip4:185.197.52.134 ip4:185.197.52.135 a:mail.stream.aero include:za._netblocks.mimecast.com include:spf.protection.outlook.com include:sendgrid.net" " include:_spf.salesforce.com -all</t>
  </si>
  <si>
    <t>v=DMARC1; p=reject; rua=mailto:a0c168b1c618365@rep.dmarcanalyzer.com;ruf=mailto:a0c168b1c618365@for.dmarcanalyzer.com; fo=1;</t>
  </si>
  <si>
    <t>rpsgroup.ie</t>
  </si>
  <si>
    <t>prioritydrilling.ie</t>
  </si>
  <si>
    <t>aol.com</t>
  </si>
  <si>
    <t>v=spf1 redirect=_spf.mail.yahoo.com</t>
  </si>
  <si>
    <t>v=DMARC1; p=reject; pct=100; rua=mailto:d@rua.agari.com; ruf=mailto:d@ruf.agari.com;</t>
  </si>
  <si>
    <t>hyl.ie</t>
  </si>
  <si>
    <t>openhydro.com</t>
  </si>
  <si>
    <t>marlborotrust.ie</t>
  </si>
  <si>
    <t>v=spf1 include:spf.protection.outlook.com include:sendgrid.net ip4:149.72.223.55 ip4:86.47.100.109 ip4:46.32.238.64 ip4:40.114.165.223 -all</t>
  </si>
  <si>
    <t>mccambridgeduffy.ie</t>
  </si>
  <si>
    <t>v=spf1 mx ip4:168.245.122.87 ip4:159.183.186.201 include:mail.zendesk.com include:4815088.spf08.hubspotemail.net include:spf.protection.outlook.com ~all</t>
  </si>
  <si>
    <t>gam.com</t>
  </si>
  <si>
    <t>v=spf1 ip4:217.73.9.208/28 ip4:217.68.19.128/25 ip4:173.193.133.206 ip4:166.78.69.206 ip4:20.77.129.6 ip4:20.77.129.9 a:relay.brighttalk.com include:spfa.gam.com include:servers.mcsv.net include:spf.protection.outlook.com include:spf-00235001.pphosted.com" " ~all</t>
  </si>
  <si>
    <t>v=DMARC1; p=none; pct=100; fo=1:d:s; ri=3600; rua=mailto:3b01410b@inbox.ondmarc.com,mailto:dmarc_rua@emaildefense.proofpoint.com,mailto:dmarc@mzc9kt22.uriports.com; ruf=mailto:3b01410b@inbox.ondmarc.com,mailto:dmarc_ruf@emaildefense.proofpoint.com,mailto:" "dmarc@mzc9kt22.uriports.com;</t>
  </si>
  <si>
    <t>transfermate.com</t>
  </si>
  <si>
    <t>v=spf1 include:spf0.transfermate.com include:trustpilotservice.com include:aspmx.pardot.com include:_spf.vsn.voltage.com include:amazonses.com include:spf.protection.outlook.com include:_spf_euwest1.prod.hydra.sophos.com include:_spf.salesforce.com ~all</t>
  </si>
  <si>
    <t>carrickdale.com</t>
  </si>
  <si>
    <t>v=spf1 a mx ip4:159.134.107.51 include:netaffinity.net include:spf.ess.uk.barracudanetworks.com -all</t>
  </si>
  <si>
    <t>hodsonbayhotel.com</t>
  </si>
  <si>
    <t>v=DMARC1; p=none; pct=100; rua=mailto:postman@hodsonbayhotel.com; ruf=mailto:postman@hodsonbayhotel.com; sp=quarantine; fo=1;</t>
  </si>
  <si>
    <t>aslairlines.com</t>
  </si>
  <si>
    <t>v=spf1 ip4:152.228.195.160/27 ip4:117.120.14.38 ip4:34.241.40.53 ip4:212.6.55.1 ip4:213.152.0.21 ip4:46.18.128.203 ip4:212.243.61.82 ip4:89.19.94.77 ip4:81.246.92.212 ip4:109.197.246.0/26 ip4:217.74.103.0/24 ip4:92.103.69.0/24 ip4:81.246.55" ".198 ip4:54.37.216.187 ip4:52.47.203.24/32 ip4:35.180.3.224/32 ip4:185.187.30.10/32 ip4:89.19.91.43 ip4:83.70.199.207 include:spf.protection.outlook.com a:mx1.emailsrvr.com a:mx2.email" "srvr.com include:_netblocks.mimecast.com -all</t>
  </si>
  <si>
    <t>baroneracing.com</t>
  </si>
  <si>
    <t>v=spf1 include:spf.protection.outlook.com include:mail.zendesk.com -all</t>
  </si>
  <si>
    <t>v=DMARC1; p=none; sp=none; rua=mailto:749cadeedc97.a@dmarcinput.com; ruf=mailto:749cadeedc97.f@dmarcinput.com; fo=1</t>
  </si>
  <si>
    <t>shannondoc.ie</t>
  </si>
  <si>
    <t>v=spf1 +ip4:91.210.232.25 +include:spf.webhostingireland.ie +include:spf.protection.outlook.com ~all</t>
  </si>
  <si>
    <t>v=DMARC1;p=quarantine;rua=mailto:mryan@shannondoc.ie</t>
  </si>
  <si>
    <t>pleanala.ie</t>
  </si>
  <si>
    <t>v=DMARC1;p=reject;pct=100;rua=mailto:5de2621c85@rua.easydmarc.eu;ruf=mailto:5de2621c85@ruf.easydmarc.eu;ri=3600;fo=1</t>
  </si>
  <si>
    <t>passport.ie</t>
  </si>
  <si>
    <t>examinations.ie</t>
  </si>
  <si>
    <t>v=spf1 include:spf.protection.outlook.com include:mailcontrol.com include:amazonses.com ip4:137.191.237.98 ip4:137.191.224.99 ip4:217.78.9.192/27 ip4:80.93.21.0/24 ip4:83.147.146.64/27 ~all</t>
  </si>
  <si>
    <t>v=DMARC1; p=none; pct=100; rua=mailto:re+w7sl5lhk6bk@dmarc.postmarkapp.com, mailto:dmarc_agg@vali.email, mailto:dmarc.rua@examinations.ie; sp=none; aspf=r;</t>
  </si>
  <si>
    <t>dinnri.com</t>
  </si>
  <si>
    <t>v=DMARC1; p=none; rua=mailto:Administrator@dinnri.com;</t>
  </si>
  <si>
    <t>mountwolseley.ie</t>
  </si>
  <si>
    <t>v=spf1 a mx include:spf.protection.outlook.com include:servers.mcsv.net include:authsmtp.com -all</t>
  </si>
  <si>
    <t>rochestownpark.com</t>
  </si>
  <si>
    <t>v=spf1 a mx include:_spf.google.com include:spf.protection.outlook.com include:spf_3a.oracleindustry.com include:_spf.travelclick.com include:spf.ess.de.barracudanetworks.com include:spf2.rochestownpark.com ~all</t>
  </si>
  <si>
    <t>clontarfcastle.ie</t>
  </si>
  <si>
    <t>v=spf1 a:shops.shopify.com ip4:84.203.245.29 ip4:78.137.176.59 include:spf.protection.outlook.com include:oracleindustry.com -all</t>
  </si>
  <si>
    <t>v=DMARC1; p=none; rua=mailto:34af1efaa79a440aaf04e99c6ec9665d@dmarc-reports.cloudflare.net,mailto:dmarc-reports@clontarfcastle.ie</t>
  </si>
  <si>
    <t>conraddublin.com</t>
  </si>
  <si>
    <t>cpireland.crowneplaza.com</t>
  </si>
  <si>
    <t>fitzpatrickcastle.com</t>
  </si>
  <si>
    <t>v=spf1 include:spf.protection.outlook.com include:spf.mandrillapp.com include:netaffinity.net -all</t>
  </si>
  <si>
    <t>claytonhotelgalway.ie</t>
  </si>
  <si>
    <t>glenviewhotel.com</t>
  </si>
  <si>
    <t>v=spf1 ip4:193.57.206.86 include:email2.guestfolio.net include:oracleindustry.com include:spf.protection.outlook.com ~all</t>
  </si>
  <si>
    <t>philiplee.ie</t>
  </si>
  <si>
    <t>v=spf1 ip4:217.115.113.3 +a +mx +include:eu._netblocks.mimecast.com include:3971010.spf03.hubspotemail.net ~all</t>
  </si>
  <si>
    <t>v=DMARC1; p=quarantine; rua=mailto:secalert@Philiplee.ie,mailto:29addbea@mxtoolbox.dmarc-report.com; ruf=mailto:secalert@Philiplee.ie,mailto:29addbea@forensics.dmarc-report.com; fo=1</t>
  </si>
  <si>
    <t>ipsi.ie</t>
  </si>
  <si>
    <t>v=spf1 ip4:82.113.134.179 ip4:82.113.134.184 ip4:194.247.78.126 ip4:203.196.101.140 ip4:203.96.81.140 ip4:27.111.213.195 ip4:27.111.224.68 include:_netblocks.mimecast.com include:aspmx.pardot.com -all</t>
  </si>
  <si>
    <t>v=DMARC1; p=reject; rua=mailto:315cf8ba871f301@rep.dmarcanalyzer.com; ruf=mailto:315cf8ba871f301@for.dmarcanalyzer.com; fo=1;</t>
  </si>
  <si>
    <t>cbre.ie</t>
  </si>
  <si>
    <t>v=DMARC1;p=none;rua=mailto:dmarc_rua@emaildefense.proofpoint.com;ruf=mailto:dmarc_ruf@emaildefense.proofpoint.com;fo=1</t>
  </si>
  <si>
    <t>fabricated-products.com</t>
  </si>
  <si>
    <t>v=DMARC1; p=none; rua=mailto:dmarc@fabricated-products.com</t>
  </si>
  <si>
    <t>tegral.com</t>
  </si>
  <si>
    <t>v=spf1 mx ip4:62.13.147.77 ip4:62.12.128.205 ip4:62.12.128.203 include:spf.protection.outlook.com ~all</t>
  </si>
  <si>
    <t>broderickbrothers.com</t>
  </si>
  <si>
    <t>brennansbread.ie</t>
  </si>
  <si>
    <t>quinn-buildingproducts.com</t>
  </si>
  <si>
    <t>v=spf1 include:_netblocks.mimecast.com include:spf.protection.outlook.com include:sendgrid.net -all</t>
  </si>
  <si>
    <t>accesstelecom.ie</t>
  </si>
  <si>
    <t>sennheiser.com</t>
  </si>
  <si>
    <t>v=spf1 ip4:52.35.123.36 ip4:208.75.123.0/24 ip4:160.34.204.28 ip4:210.247.232.211 ip4:185.217.45.75 ip4:185.217.45.140 ip4:185.217.45.76 ip4:85.125.245.124 ip4:85.125.245.125 ip4:84.17.184.240/28 ip4:195.25.217.68 ip4:80.190.118.0/24 ip4:80.190.129.128/" "25 ip4:87.106.27.67 ip4:208.79.250.0/24 ip4:208.82.174.0/24 ip4:139.138.59.249 ip4:139.138.34.246 ip4:51.116.145.35 ip4:62.55.182.68 ip4:185.217.45.16 ip4:185.217.45.17 ip4:147.160.167.0/26 ip4:23.21.109.197 ip4:23.21.109.212 ip4:35.246.188.19 ip4:34.10" "7.41.233 include:_spf.salesforce.com include:spf.servicemail24.de include:_spf.senders.scnem.com include:servers.mcsv.net include:spf.sendinblue.com include:customers.prezly.io include:shops.shopify.com include:spf.protection.outlook.com -all</t>
  </si>
  <si>
    <t>v=DMARC1; p=quarantine; ruf=mailto:dmarc@sennheiser.com; fo=1;</t>
  </si>
  <si>
    <t>solvar.ie</t>
  </si>
  <si>
    <t>v=spf1 include:_u.solvar.ie._spf.smart.ondmarc.com ~all</t>
  </si>
  <si>
    <t>v=DMARC1; p=reject; pct=100; sp=none; rua=mailto:83d3f9f8@inbox.ondmarc.com; ruf=mailto:83d3f9f8@inbox.ondmarc.com; adkim=r; aspf=r; fo=1; rf=afrf; ri=3600</t>
  </si>
  <si>
    <t>freefoam.com</t>
  </si>
  <si>
    <t>v=spf1 include:spf.protection.outlook.com include:mailgun.org include:mail.trefforest.com -all</t>
  </si>
  <si>
    <t>trulife.com</t>
  </si>
  <si>
    <t>v=spf1 include:spf.protection.outlook.com include:e2ma.net include:shops.shopify.com include:servers.mcsv.net include:mail.zendesk.com -all</t>
  </si>
  <si>
    <t>v=DMARC1;p=none;sp=none;rua=mailto:4ddc8881f3@rua.easydmarc.us,mailto:trulife@rua.agari.com;ruf=mailto:4ddc8881f3@ruf.easydmarc.us,mailto:trulife@ruf.agari.com;ri=3600;fo=1</t>
  </si>
  <si>
    <t>adt.ie</t>
  </si>
  <si>
    <t>v=spf1 include:spf.protection.outlook.com include:amazonses.com include:spf.jci.com -all</t>
  </si>
  <si>
    <t>v=DMARC1;p=reject;fo=1;ri=3600;rua=mailto:jci@rua.agari.com;ruf=mailto:jci@ruf.agari.com</t>
  </si>
  <si>
    <t>rapuk.com</t>
  </si>
  <si>
    <t>v=spf1 mx include:spf.protection.outlook.com ip4:94.136.52.90</t>
  </si>
  <si>
    <t>aptar.com</t>
  </si>
  <si>
    <t>v=spf1 include:kau4a7bm2t.powerspf.com ~all</t>
  </si>
  <si>
    <t>v=DMARC1; p=reject; rua=mailto:tbqsqz8w89@rua.powerdmarc.com; ruf=mailto:tbqsqz8w89@ruf.powerdmarc.com; pct=100; fo=0:1:d:s;</t>
  </si>
  <si>
    <t>rottapharm.com</t>
  </si>
  <si>
    <t>v=spf1 ip4:93.62.233.5 ip4:88.34.40.19 include:spf-0054f601.pphosted.com include:spf-0054f601.pphosted.com include:spf.protection.outlook.com ~all</t>
  </si>
  <si>
    <t>v=DMARC1; p=reject; fo=1; rua=mailto:Rua.dmarc@viatris.com; ruf=mailto:Ruf.dmarc@viatris.com;</t>
  </si>
  <si>
    <t>zeusinc.com</t>
  </si>
  <si>
    <t>v=spf1 include:%{i}._ip.%{h}._ehlo.%{d}._spf.vali.email include:spf.protection.outlook.com include:spf_c.oraclecloud.com ~all</t>
  </si>
  <si>
    <t>portmarnock.com</t>
  </si>
  <si>
    <t>v=spf1 ip4:62.13.128.0/24 ip4:62.13.129.128/25 ip4:62.13.136.0/22 ip4:62.13.140.0/22 ip4:62.13.144.0/22 ip4:62.13.148.0/23 ip4:62.13.150.0/23 ip4:62.13.152.0/23 ip4:72.52.72.32/28 ip4:64.71.149.160/28 include:spf.protection.outlook.com include:oracleindus" "try.com -all</t>
  </si>
  <si>
    <t>v=DMARC1; p=none; ruf=mailto:it@northland.ca; rua=mailto:df4eb6869a1948e4a17e273f6af80af3@dmarc-reports.cloudflare.net,mailto:it@northland.ca</t>
  </si>
  <si>
    <t>hotelkilkenny.ie</t>
  </si>
  <si>
    <t>v=spf1 a include:netaffinity.net include:spf.protection.outlook.com include:guestline.net include:roomlynx.net include:spf.mtasv.net ip4:89.101.168.34 ip4:89.101.237.178 ip4:46.245.209.97 ip4:78.153.203.202 ip4:81.17.250.62 -all</t>
  </si>
  <si>
    <t>delphiadventureresort.com</t>
  </si>
  <si>
    <t>imperialhotelcork.ie</t>
  </si>
  <si>
    <t>v=spf1 ip4:89.101.237.6 include:spf.protection.outlook.com include:oracleindustry.com -all</t>
  </si>
  <si>
    <t>v=DMARC1; p=none; fo=1; rua=mailto:rua+imperialhotelcork.ie@dmarc.barracudanetworks.com; ruf=mailto:ruf+imperialhotelcork.ie@dmarc.barracudanetworks.com</t>
  </si>
  <si>
    <t>maldronhotelnewlandscross.com</t>
  </si>
  <si>
    <t>pieta.ie</t>
  </si>
  <si>
    <t>v=spf1 include:spf.protection.outlook.com include:spf.mandrillapp.com include:aspmx.pardot.com include:_spf.salesforce.com include:spf.fundraiseup.com ~all</t>
  </si>
  <si>
    <t>v=DMARC1; p=none; rua=mailto:comms@pieta.ie</t>
  </si>
  <si>
    <t>cyclone.ie</t>
  </si>
  <si>
    <t>valoff.ie</t>
  </si>
  <si>
    <t>v=spf1 ip4:137.191.226.195/28 ip4:137.191.226.148 ip4:137.191.226.148/28 ip4:137.191.227.138/29 ip4:52.30.39.204 ip4:168.245.49.92 ip4:167.89.62.239 include:spf.protection.outlook.com include:res.cisco.com ~all</t>
  </si>
  <si>
    <t>v=DMARC1; p=reject; fo=0:1:s; rf=afrf; pct=100; ri=86400</t>
  </si>
  <si>
    <t>brothersofcharity.ie</t>
  </si>
  <si>
    <t>v=spf1 mx a ip4:193.178.98.132/32 ip4:193.178.97.132/32 ip4:193.178.98.133/32 include:spf.protection.outlook.com -all</t>
  </si>
  <si>
    <t>v=DMARC1; p=reject; rua=mailto:fbkbpe0u@ag.dmarcian.com; ruf=mailto:fbkbpe0u@fr.dmarcian.com; fo=1;</t>
  </si>
  <si>
    <t>brownthomas.ie</t>
  </si>
  <si>
    <t>v=spf1 a a:production.bteu.brownthomas.demandware.net mx:brownthomas.ie include:spf.mandrillapp.com include:servers.mcsv.net include:spf.protection.outlook.com include:_spf.salesforce.com include:mail.zendesk.com -all</t>
  </si>
  <si>
    <t>v=DMARC1; p=quarantine; rua=mailto:btsupport@brownthomas.ie; ruf=mailto:btsupport@brownthomas.ie; fo=1; pct=100</t>
  </si>
  <si>
    <t>waterfordvisitorcentre.com</t>
  </si>
  <si>
    <t>v=DMARC1; p=none; rua=mailto:d3cf02270adc466aab625211dac1b3d4@dmarc-reports.cloudflare.net;</t>
  </si>
  <si>
    <t>trocaire.org</t>
  </si>
  <si>
    <t>v=spf1 a:smtp15-asg.mta.salesforce.com ip4:52.214.189.235 ip4:52.214.63.230 ip4:52.18.0.196 include:spf.protection.outlook.com include:spf.emailsignatures365.com include:cust-spf.exacttarget.com include:spf.exclaimer.net include:spf2.tibus.net -all</t>
  </si>
  <si>
    <t>westernalzheimers.ie</t>
  </si>
  <si>
    <t>v=spf1 include:spf.protection.outlook.com ip4:37.27.130.124 ip4:89.204.213.65 ip4:86.42.125.57 -all</t>
  </si>
  <si>
    <t>asavie.com</t>
  </si>
  <si>
    <t>v=spf1 include:servers.mcsv.net include:spf.mandrillapp.com include:spf.protection.outlook.com include:_spf.salesforce.com exists:%{ir}._spf.msdp1.com -all</t>
  </si>
  <si>
    <t>bearingpoint.com</t>
  </si>
  <si>
    <t>v=spf1 include:defaultspf.bearingpoint.com include:spf.protection.outlook.com include:spf.crsend.com include:cmail1.com include:mail.zendesk.com include:spf.mailjet.com ip4:54.240.105.252 ip4:54.240.105.253 -all</t>
  </si>
  <si>
    <t>v=DMARC1; p=none; rua=mailto:dmarc@bearingpoint.com; ruf=mailto:dmarc@bearingpoint.com; fo=1</t>
  </si>
  <si>
    <t>murphygroup.ie</t>
  </si>
  <si>
    <t>v=spf1 include:spf.protection.outlook.com include:spf-uk.emailsignatures365.com include:authsmtp.com -all</t>
  </si>
  <si>
    <t>v=DMARC1; p=reject; rua=mailto:aymnxs3d@ag.eu.dmarcian.com;</t>
  </si>
  <si>
    <t>pciservices.com</t>
  </si>
  <si>
    <t>v=spf1 mx include:us._netblocks.mimecast.com include:_spfsub.pciservices.com include:spf.protection.outlook.com include:mktomail.com include:amazonses.com -all</t>
  </si>
  <si>
    <t>v=DMARC1;p=none;pct=10;rua=mailto:dmarcreport@pciservices.com</t>
  </si>
  <si>
    <t>bridgestock.ie</t>
  </si>
  <si>
    <t>v=DMARC1;p=quarantine;sp=none;adkim=r;aspf=r;pct=100;fo=1;rf=afrf;ri=86400;rua=mailto:ipm5qh6@ar.glockapps.com;ruf=mailto:ipm5qh6@fr.glockapps.com</t>
  </si>
  <si>
    <t>olivercarty.ie</t>
  </si>
  <si>
    <t>v=spf1 include:spf.protection.outlook.com include:spf.avova.ie ?all</t>
  </si>
  <si>
    <t>bonningtondublin.com</t>
  </si>
  <si>
    <t>lisheennursinghome.com</t>
  </si>
  <si>
    <t>castleross.ie</t>
  </si>
  <si>
    <t>cwcwe.ie</t>
  </si>
  <si>
    <t>deskellyinteriors.ie</t>
  </si>
  <si>
    <t>mirrorcontrols.com</t>
  </si>
  <si>
    <t>v=spf1 include:spf.protection.outlook.com include:spf-002d6701.pphosted.com include:spf1.mirrorcontrols.com include:spfa.cpmails.com ip4:205.173.129.112 ip4:158.116.232.202 ip4:158.116.214.70 -all</t>
  </si>
  <si>
    <t>johnstonlogistics.ie</t>
  </si>
  <si>
    <t>ncts.ie</t>
  </si>
  <si>
    <t>v=spf1 mx ip4:91.220.158.230 ip4:91.220.158.229 include:spf.protection.outlook.com include:spf-00592d01.pphosted.com -all</t>
  </si>
  <si>
    <t>v=DMARC1; p=reject; rua=mailto:DMARC@applus.com</t>
  </si>
  <si>
    <t>puresafe.ie</t>
  </si>
  <si>
    <t>bcfe.ie</t>
  </si>
  <si>
    <t>codec.ie</t>
  </si>
  <si>
    <t>v=spf1 ip4:35.189.73.106 include:autotask.net include:spf.protection.outlook.com include:sendgrid.net include:mailgun.org include:514553.spf01.hubspotemail.net -all</t>
  </si>
  <si>
    <t>pilz.ie</t>
  </si>
  <si>
    <t>v=spf1 a mx include:spf.de.umantis.com include:spf.protection.outlook.com -all</t>
  </si>
  <si>
    <t>mmqualtech.ie</t>
  </si>
  <si>
    <t>v=DMARC1; p=none; rua=mailto:itmail@mmqualtech.ie; ruf=mailto:itmail@mmqualtech.ie; fo=1</t>
  </si>
  <si>
    <t>mcmahons.ie</t>
  </si>
  <si>
    <t>v=spf1 include:sendgrid.net -all</t>
  </si>
  <si>
    <t>abb.ie</t>
  </si>
  <si>
    <t>dmgmedia.ie</t>
  </si>
  <si>
    <t>v=spf1 include:spf.protection.outlook.com include:spf.mandrillapp.com ip4:195.234.243.112 ip4:206.155.87.84 ip4:103.13.71.86 -all</t>
  </si>
  <si>
    <t>v=DMARC1; p=reject; rua=mailto:6c46e6998a6d330@rep.dmarcanalyzer.com; ruf=mailto:6c46e6998a6d330@for.dmarcanalyzer.com; fo=1;</t>
  </si>
  <si>
    <t>glanbiaconnect.com</t>
  </si>
  <si>
    <t>v=spf1 include:_netblocks.mimecast.com  ~all</t>
  </si>
  <si>
    <t>v=DMARC1; p=none; rua=mailto:2a703ea43a3d198@rep.dmarcanalyzer.com; ruf=mailto:2a703ea43a3d198@for.dmarcanalyzer.com; fo=1;</t>
  </si>
  <si>
    <t>integrity360.com</t>
  </si>
  <si>
    <t>v=spf1 mx ip4:89.101.228.32/27 ip4:87.198.157.192/26 ip4:212.147.151.32/28 include:spf.exclaimer.net include:_spf.salesforce.com include:spf.protection.outlook.com include:_spf.psm.knowbe4.com a:c.spf.service-now.com include:aspmx.pardot.com -all</t>
  </si>
  <si>
    <t>v=DMARC1; p=quarantine; rua=mailto:655c32f99f4e158@rep.dmarcanalyzer.com; ruf=mailto:655c32f99f4e158@for.dmarcanalyzer.com; sp=quarantine; fo=1;</t>
  </si>
  <si>
    <t>thewestindublin.com</t>
  </si>
  <si>
    <t>v=spf1 include:oracleindustry.com include:microsdc.com include:spf.protection.outlook.com -all</t>
  </si>
  <si>
    <t>combico.ie</t>
  </si>
  <si>
    <t>claytonhotelssligo.com</t>
  </si>
  <si>
    <t>bridhaven.ie</t>
  </si>
  <si>
    <t>v=spf1 include:spf.protection.outlook.com ip4:95.45.233.37 -all</t>
  </si>
  <si>
    <t>v=DMARC1; p=reject; rua=mailto:dmarc.reports@bridhaven.ie; ruf=mailto:dmarc.reports@bridhaven.ie; fo=1</t>
  </si>
  <si>
    <t>seic.com</t>
  </si>
  <si>
    <t>v=spf1 ip4:68.232.137.195 ip4:68.232.153.50 ip4:68.232.135.37 ip4:68.232.129.155 ip4:68.232.141.40 ip4:68.232.135.36 ip4:12.20.48.225 ip4:12.20.48.226 ip4:12.20.48.75 ip4:12.20.48.76 ip4:64.125.66.31 ip4:64.125.66.32 ip4:69.7.239.26 a:spf.peopleclick" ".com include:spf.workfront.com include:wappmail.com include:spfhost.messageprovider.com include:2753049.spf08.hubspotemail.net -all</t>
  </si>
  <si>
    <t>v=DMARC1; p=quarantine; rua=mailto:b34ccf22@mxtoolbox.dmarc-report.com,mailto:dmarcreports@seic.com; ruf=mailto:b34ccf22@forensics.dmarc-report.com; fo=1; pct=100</t>
  </si>
  <si>
    <t>atkinsglobal.com</t>
  </si>
  <si>
    <t>v=spf1 ip4:54.240.50.173 ip4:54.240.50.174 ip4:109.228.4.23 ip4:109.228.22.247 ip4:91.207.212.121 ip4:185.132.182.130 ip4:148.163.158.117 ip4:148.163.156.126 include:spf_ldx.taleo.net include:_spfinc1.service-now.com mx:4matnetworks.com include:amazonses." "com ip4:198.21.0.172 include:spf.protection.outlook.com include:_spf.salesforce.com include:docebosaas.com include:spf-001bd703.pphosted.com ~all</t>
  </si>
  <si>
    <t>v=DMARC1; p=reject; fo=1; rua=mailto:dmarc_rua@atkinsglobal.com; ruf=mailto:dmarc_ruf@atkinsglobal.com</t>
  </si>
  <si>
    <t>ie.usembassy.gov</t>
  </si>
  <si>
    <t>datalex.com</t>
  </si>
  <si>
    <t>v=spf1 ip4:80.169.56.0/24 ip4:34.248.121.73 ip4:52.208.165.23 include:spf.protection.outlook.com include:spf.emailsignatures365.com include:servers.mcsv.net include:amazonses.com include:2553593.spf10.hubspotemail.net -all</t>
  </si>
  <si>
    <t>calorgas.ie</t>
  </si>
  <si>
    <t>v=spf1 ip4:91.92.29.98/27 ip4:213.228.253.0/25 ip4:83.166.174.128/25 include:spf.protection.outlook.com include:spf.mandrillapp.com include:_spf.eu.messagegears.net include:_spf.psm.knowbe4.com -all</t>
  </si>
  <si>
    <t>v=DMARC1; p=reject; rua=mailto:dmarc_rua@emaildefense.proofpoint.com; ruf=mailto:dmarc_ruf@emaildefense.proofpoint.com</t>
  </si>
  <si>
    <t>dbfl.ie</t>
  </si>
  <si>
    <t>audgen.gov.ie</t>
  </si>
  <si>
    <t>v=spf1 ip4:137.191.249.164 ip4:137.191.249.123 ip4:137.191.249.174 ip4:137.191.249.114 -all</t>
  </si>
  <si>
    <t>wesleycollege.ie</t>
  </si>
  <si>
    <t>v=spf1 a mx include:spf1.emailsecurity.app include:spf.protection.outlook.com ip4:190.180.145.98 -all</t>
  </si>
  <si>
    <t>willowparkjuniorschool.ie</t>
  </si>
  <si>
    <t>castleknockhotel.com</t>
  </si>
  <si>
    <t>v=spf1 ip4:66.102.128.96 ip4:91.136.49.203 a mx include:relay.mailchannels.net include:spf.protection.outlook.com include:netaffinity.net include:ireshotels.com -all</t>
  </si>
  <si>
    <t>golden-bake.com</t>
  </si>
  <si>
    <t>v=DMARC1; p=quarantine; rua=mailto:dmarc@golden-bake.com; pct=100</t>
  </si>
  <si>
    <t>firebird.ie</t>
  </si>
  <si>
    <t>v=spf1 include:spf.protection.outlook.com include:smtp-engine.com -all</t>
  </si>
  <si>
    <t>commscope.com</t>
  </si>
  <si>
    <t>v=spf1 exists:%{i}.spf.commscope.iphmx.com ip4:198.135.207.215 ip4:198.135.207.230 ip4:198.135.207.129 ip4:50.31.39.13 ip4:198.135.207.143 ip4:198.135.207.142 ip4:198.135.207.141 ip4:198.90.68.141 ip4:" "198.90.68.142 ip4:198.90.68.143 ip4:35.169.254.90 include:_spf-sfdc.successfactors.com include:_spf-dc4.sapsf.com include:spf.protection.outlook.com include:spf_s1.oraclecloud.com include:" "_spf.centercode.com include:_spf.salesforce.com a:mailers.dovetailnow.com -all</t>
  </si>
  <si>
    <t>v=DMARC1; p=reject; rua=mailto:ryafobpc@ag.us.dmarcian.com;" "</t>
  </si>
  <si>
    <t>bcd.ie</t>
  </si>
  <si>
    <t>magee1866.com</t>
  </si>
  <si>
    <t>v=spf1 mx include:spf.protection.outlook.com include:amazonses.com include:sg.magee1866.com include:azurespf.irpcommerce.com -all</t>
  </si>
  <si>
    <t>v=DMARC1;p=none;rua=mailto:dmarcreports@irpcommerce.com</t>
  </si>
  <si>
    <t>bemis.com</t>
  </si>
  <si>
    <t>v=DMARC1; p=reject; rua=mailto:46glyn2v@ag.eu.dmarcian.com; ruf=mailto:46glyn2v@fr.eu.dmarcian.com; fo=1;</t>
  </si>
  <si>
    <t>gsk.ie</t>
  </si>
  <si>
    <t>premierpericlase.ie</t>
  </si>
  <si>
    <t>athloneextrusions.ie</t>
  </si>
  <si>
    <t>v=spf1 ip4:154.52.0.132/32 -all</t>
  </si>
  <si>
    <t>claytonwhiteshotel.com</t>
  </si>
  <si>
    <t>earlofdesmond.com</t>
  </si>
  <si>
    <t>v=spf1 a:dispatch-eu.ppe-hosted.com include:spf-eu.emailsignatures365.com ~all</t>
  </si>
  <si>
    <t>adaremanor.com</t>
  </si>
  <si>
    <t>v=spf1 include:spf.protection.outlook.com include:spf.synxis.com include:emaileuc.freshservice.com include:tpced.com include:mailer.shopifyemail.com include:_spf.qualtrics.com -all</t>
  </si>
  <si>
    <t>v=DMARC1;  p=reject; rua=mailto:0ae84ca6bdd0423b8f4922698f7e33a4@dmarc-reports.cloudflare.net</t>
  </si>
  <si>
    <t>dpd.ie</t>
  </si>
  <si>
    <t>v=spf1 ip4:82.141.241.25/32 ip4:185.39.164.0/24 ip4:208.50.80.36/32 ip4:195.218.115.55/32 ip4:78.137.191.140/32 ip4:103.28.42.0/24 ip4:146.88.28.0/24 ip4:163.47.180.0/22 ip4:203.55.21.0/24 ip4:204.75.142.0/24 ip4:27.126.146.0/24 include:_spf.salesforce.co" "m include:aspmx.pardot.com include:spf.hornetsecurity.com include:relay.mailchannels.net include:_spf.google.com ~all</t>
  </si>
  <si>
    <t>v=DMARC1; p=quarantine; rua=mailto:kn74omb9@ag.eu.dmarcian.com; ruf=mailto:kn74omb9@ag.eu.dmarcian.com; fo=1;</t>
  </si>
  <si>
    <t>burnsidehyd.ie</t>
  </si>
  <si>
    <t>v=spf1 a:remote.burnsidehyd.ie ip4:31.217.247.7 ip4:86.43.115.120 a:cleanmail1.deycom.com include:spf.protection.outlook.com -all</t>
  </si>
  <si>
    <t>mdoshea.ie</t>
  </si>
  <si>
    <t>v=spf1 ip4:213.233.128.44 ip4:84.51.253.158 ip4:54.247.71.5 include:spf.protection.outlook.com -all</t>
  </si>
  <si>
    <t>dublinport.ie</t>
  </si>
  <si>
    <t>v=spf1 mx include:spf.protection.outlook.com ip4:95.83.225.64/28 ip4:144.2.242.240/28 ip4:34.148.101.215 ip4:167.89.51.4 ip4:167.89.60.79 ip4:167.89.60.135 ip4:167.89.60.144 ip4:167.89.59.96 " "ip4:167.89.61.1 ip4:167.89.61.100 ip4:167.89.61.102 ip4:167.89.6.6 ip4:167.89.6.21 ip4:167.89.6.236 ip4:167.89.6.238 ip4:167.89.6.60 ip4:167.89.6.70 ip4:167.89.6.71 ip4:167.89.6.99 ip4:167.89.60.6 " "ip4:167.89.60.16 ip4:167.89.60.25 ip4:167.89.60.29 ip4:167.89.60.171 ip4:167.89.60.221 ip4:167.89.60.242 ip4:167.89.60.244 ip4:167.89.36.85 ip4:167.89.41.201 ip4:168.245.0.8 ip4:168.245.16.11 -all</t>
  </si>
  <si>
    <t>microsemi.com</t>
  </si>
  <si>
    <t>v=spf1 exists:%{i}.spf.microchip.iphmx.com -all</t>
  </si>
  <si>
    <t>v=DMARC1; p=reject; fo=1; rua=mailto:n13hm4ov@ag.c1.dmarcian.com; ruf=mailto:n13hm4ov@fr.c1.dmarcian.com;</t>
  </si>
  <si>
    <t>aircoach.ie</t>
  </si>
  <si>
    <t>v=spf1 include:eu._netblocks.mimecast.com include:cust-spf.exacttarget.com include:spf.theemaillaundry.net ip4:185.19.17.20 ip4:185.19.17.21 include:email-od.com -all</t>
  </si>
  <si>
    <t>emo.ie</t>
  </si>
  <si>
    <t>v=spf1 include:spf.protection.outlook.com include:_spf.mx.cloudflare.net -all</t>
  </si>
  <si>
    <t>v=DMARC1; p=reject; rua=mailto:dmarc@emo.ie</t>
  </si>
  <si>
    <t>cjkengineering.ie</t>
  </si>
  <si>
    <t>v=spf1 a mx ip4:185.224.198.57 ip4:217.78.1.157 include:_spf.hetzner.com include:spf.protection.outlook.com include:spfa.cpmails.com -all</t>
  </si>
  <si>
    <t>v=DMARC1; p=reject; pct=100; sp=none; rua=mailto:d9e5b7ac@inbox.ondmarc.com; ruf=mailto:d9e5b7ac@inbox.ondmarc.com; adkim=r; aspf=r; fo=1; rf=afrf; ri=3600</t>
  </si>
  <si>
    <t>hsa.ie</t>
  </si>
  <si>
    <t>v=spf1 a mx ip4:68.232.152.249 ip4:68.232.151.208 include:spf.protection.outlook.com ~all</t>
  </si>
  <si>
    <t>v=DMARC1; p=none; pct=100; rua=mailto:a.m6ewdxy3@sdmarc.net</t>
  </si>
  <si>
    <t>phillipsmedizise.com</t>
  </si>
  <si>
    <t>met.ie</t>
  </si>
  <si>
    <t>v=spf1 ip4:137.191.237.80/28 ip4:137.191.228.112/28 include:spf.protection.outlook.com -all</t>
  </si>
  <si>
    <t>v=DMARC1; p=quarantine; rua=mailto:itops@met.ie; ruf=mailto:itops@met.ie; fo=1;</t>
  </si>
  <si>
    <t>eurocarparks.ie</t>
  </si>
  <si>
    <t>v=spf1 a:mail.eurocarparks.com include:spf.protection.outlook.com include:spf.exclaimer.net ip4:78.153.209.39 ip4:78.153.212.247 ~all</t>
  </si>
  <si>
    <t>v=DMARC1; p=quarantine; pct=100; rua=mailto:dmarc@eurocarparks.ie; ruf=mailto:dmarc@eurocarparks.ie; fo=1; sp=reject;</t>
  </si>
  <si>
    <t>olearyinternational.com</t>
  </si>
  <si>
    <t>goreycs.ie</t>
  </si>
  <si>
    <t>v=spf1 ip4:217.115.115.247 include:relay.mailchannels.net +a +mx +include:spf.protection.outlook.com -all</t>
  </si>
  <si>
    <t>gresham-hotels.com</t>
  </si>
  <si>
    <t>v=spf1 a mx include:spf.joopbox.com a:www.gresham-hotels.com a:gresham-hotels.com -all</t>
  </si>
  <si>
    <t>v=DMARC1; p=none;  fo=1; rua=mailto:mailto:dmarc_rua@emaildefense.proofpoint.com; ruf=mailto:dmarc_ruf@emaildefense.proofpoint.com;</t>
  </si>
  <si>
    <t>kellys.ie</t>
  </si>
  <si>
    <t>caraghprecision.ie</t>
  </si>
  <si>
    <t>quigleys.ie</t>
  </si>
  <si>
    <t>v=spf1 include:spf0101.titan.email ~all</t>
  </si>
  <si>
    <t>v=DMARC1;  p=none; rua=mailto:8711acf2fe274b7aa4f2e159b505db49@dmarc-reports.cloudflare.net</t>
  </si>
  <si>
    <t>wright.com</t>
  </si>
  <si>
    <t>v=spf1 mx include:spf.messagelabs.com include:amazonses.com include:spf.protection.outlook.com Include:spf.constantcontact.com  ~all</t>
  </si>
  <si>
    <t>v=DMARC1; p=quarantine; pct=100; rua=mailto:o365migrationteam@wright.com</t>
  </si>
  <si>
    <t>trendtechnologies.com</t>
  </si>
  <si>
    <t>v=spf1 ip4:12.22.172.10 include:spf.protection.outlook.com ~all</t>
  </si>
  <si>
    <t>cabracastle.com</t>
  </si>
  <si>
    <t>v=spf1 ip4:159.134.118.171 ip4:193.187.69.111 ip4:193.187.69.112 ip6:2a01:111:f400::/48 include:spf.protection.outlook.com include:ireshotels.com ~all</t>
  </si>
  <si>
    <t>abbvie.com</t>
  </si>
  <si>
    <t>v=spf1 include:_u.abbvie.com._spf.smart.ondmarc.com ~all</t>
  </si>
  <si>
    <t>v=DMARC1; p=quarantine; fo=1; ri=3600; rua=mailto:4a915a0c@inbox.ondmarc.com,mailto:abbvie@rua.dmp.cisco.com; ruf=mailto:4a915a0c@inbox.ondmarc.com,mailto:abbvie@ruf.dmp.cisco.com</t>
  </si>
  <si>
    <t>mcelhinneys.com</t>
  </si>
  <si>
    <t>google-site-verification=jUNLpMILOS8-zL1LFkUUo2EP9HlLRbtfAHGm1qPAxjcppe-bcedb09a9d1864bdbd21a5ad7ee1aa57dc5e9393v=spf1 include:spf.protection.outlook.com include:mail.zendesk.com include:amazoneses.com -allMS=ms34236425klaviyo-site-verification=S8Dcdyload" "erio=a488b31c5cff061417fed896e7ddaa85facebook-domain-verification=b2pt7po5luk78purb4q9vaoj7g987lgoogle-site-verification=yvlhIHmm_CqdZGxdeSn1OPtCpUzI7LyQ86igaeyjc6o</t>
  </si>
  <si>
    <t>breaffyhouseresort.com</t>
  </si>
  <si>
    <t>v=spf1 include:spf.premiersoftware.co.uk include:sendgrid.net include:spf.protection.outlook.com include:netaffinity.net include:authsmtp.com ip4:52.166.124.85 ip4:13.95.238.103 ip4:13.95.235.106 ip4:13.95.233.171 ip4:52.233.191.178 ip4:13.95.236.16 " "ip4:13.95.238.208 ip4:13.95.233.20 -all</t>
  </si>
  <si>
    <t>obriensfoods.ie</t>
  </si>
  <si>
    <t>marine.ie</t>
  </si>
  <si>
    <t>v=spf1 ip4:3.123.206.219 ip4:3.68.129.51 ip4:193.1.186.252 ip4:193.1.186.229 ip4:34.246.32.25 include:marineinst.onmicrosoft.com" " include:spf.topsec.com include:servers.mcsv.net include:spf.protection.outlook.com -all</t>
  </si>
  <si>
    <t>v=DMARC1; p=quarantine; rua=mailto:administrator@marine.ie; ruf=mailto:administrator@marine.ie</t>
  </si>
  <si>
    <t>nsai.ie</t>
  </si>
  <si>
    <t>v=spf1 ip4:137.191.233.72 ip4:74.112.70.47 a:gw000140-eu.fortimail.com a:www.nsainep.ie include:spf.protection.outlook.com -all</t>
  </si>
  <si>
    <t>v=DMARC1; p=none; rua=mailto:sys.admin@nsai.ie; ruf=mailto:sys.admin@nsai.ie;</t>
  </si>
  <si>
    <t>kefron.ie</t>
  </si>
  <si>
    <t>v=spf1 include:_u.kefron.ie._spf.smart.ondmarc.com ~all</t>
  </si>
  <si>
    <t>v=DMARC1; p=reject; pct=100; sp=reject; rua=mailto:7c8e3696@inbox.ondmarc.com; ruf=mailto:7c8e3696@inbox.ondmarc.com; adkim=r; aspf=r; fo=1; rf=afrf; ri=3600</t>
  </si>
  <si>
    <t>mchale.net</t>
  </si>
  <si>
    <t>v=spf1 include:_u.mchale.net._spf.smart.ondmarc.com ~all</t>
  </si>
  <si>
    <t>v=DMARC1; p=reject; pct=100; sp=reject; rua=mailto:f9f2bb7b@inbox.ondmarc.com; ruf=mailto:f9f2bb7b@inbox.ondmarc.com; adkim=s; aspf=r; fo=1; rf=afrf; ri=3600</t>
  </si>
  <si>
    <t>https://vmc.digicert.com/79567724-dcc5-4d02-8680-c453d1831358.svg</t>
  </si>
  <si>
    <t>helsinn.com</t>
  </si>
  <si>
    <t>v=spf1 mx ip4:24.38.42.242 ip4:188.213.130.170 ip4:195.15.241.241 exists:%{i}.spf.hc1307-17.eu.iphmx.com include:spf.protection.outlook.com include:_spf.ch.xurrent.qa include:_spf.ch.xurrent.com -all</t>
  </si>
  <si>
    <t>v=DMARC1; p=none; rua=mailto:dmarc-aggregate@helsinn.com; ruf=mailto:dmarc-forensic@helsinn.com; fo=1; pct=50; adkim=s; aspf=s</t>
  </si>
  <si>
    <t>eirgen.com</t>
  </si>
  <si>
    <t>v=spf1 include:edgepilot.com ~all</t>
  </si>
  <si>
    <t>campion.com</t>
  </si>
  <si>
    <t>v=spf1 include:de._netblocks.mimecast.com include:spf.protection.outlook.com ip4:136.244.107.65 ip4:40.113.71.36 ip4:77.107.209.136/29 ip4:77.107.237.24/29 ip4:52.169.83.229 ip4:217.163.52.252 ip4:82.141.221.115 ip4:86.44.28.243 include:_spf.elastice" "mail.com include:appliedexch.co.uk  include:turbo-smtp.com -all</t>
  </si>
  <si>
    <t>tif.ie</t>
  </si>
  <si>
    <t>henryjlyons.com</t>
  </si>
  <si>
    <t>v=DMARC1; p=quarantine; rua=mailto:dmarc@hjlyons.com; ruf=mailto:dmarc@hjlyons.com; fo=1</t>
  </si>
  <si>
    <t>sumitrustgas.com</t>
  </si>
  <si>
    <t>v=spf1 include:spf-005bc801.pphosted.com ip4:54.229.2.165 ip4:52.30.130.201 -all</t>
  </si>
  <si>
    <t>v=DMARC1; p=quarantine; rua=mailto:postmaster@sumitrustgas.com</t>
  </si>
  <si>
    <t>tii.ie</t>
  </si>
  <si>
    <t>v=spf1 a:scanscope.net ip4:137.191.242.6 ip4:137.191.242.7 ip4:51.140.50.9 a:smtp1.scanscope.net a:smtp2.scanscope.net a:smtp2-delivery.scanscope.net include:spf.protection.outlook.com include:spf.scanscope.net -all</t>
  </si>
  <si>
    <t>v=DMARC1; p=none; rua=mailto:qz5gx8qe@ag.eu.dmarcian.com; ruf=mailto:qz5gx8qe@fr.eu.dmarcian.com;</t>
  </si>
  <si>
    <t>hayfieldmanor.ie</t>
  </si>
  <si>
    <t>v=spf1 include:oracleindustry.com include:netaffinity.net include:spf.protection.outlook.com include:spf.mandrillapp.com IP4:212.227.20.69 IP4:159.134.194.146 IP4:87.198.174.211 -all</t>
  </si>
  <si>
    <t>v=DMARC1; p=none; fo=1; rua=mailto:rua+hayfieldmanor.ie@dmarc.barracudanetworks.com; ruf=mailto:ruf+hayfieldmanor.ie@dmarc.barracudanetworks.com</t>
  </si>
  <si>
    <t>theconnacht.ie</t>
  </si>
  <si>
    <t>strandlimerick.ie</t>
  </si>
  <si>
    <t>v=spf1 include:spf.protection.outlook.com Include:_spf.salesforce.comt include:spf.mandrillapp.com -all</t>
  </si>
  <si>
    <t>v=DMARC1; p=quarantine; pct=100; fo=1; rua=mailto:dmarc@strandlimerick.ie; ruf=mailto:dmarc@strandlimerick.ie</t>
  </si>
  <si>
    <t>powerscourthotel.com</t>
  </si>
  <si>
    <t>v=spf1 include:netaffinity.net include:marriott.com Include _spf.salesforce.com include:spf.protection.outlook.com include:spf.premiersoftware.co.uk include:spf.mandrillapp.com  ip4:162.130.0.0/16 ip4:185.122.134.242 ip4:213.70.228.0/24 -all</t>
  </si>
  <si>
    <t>v=DMARC1; p=none; rua=mailto:dmarc@powerscourthotel.com</t>
  </si>
  <si>
    <t>burnside.ie</t>
  </si>
  <si>
    <t>v=spf1 a:webmail.burnside.ie ip4:86.43.103.206 ip4:31.217.247.30 include:spf.ess.de.barracudanetworks.com a:cleanmail1.deycom.com -all</t>
  </si>
  <si>
    <t>v=dmarc1 p=none</t>
  </si>
  <si>
    <t>pemnet.com</t>
  </si>
  <si>
    <t>v=spf1 ip4:40.92.0.0/15 ip4:51.4.72.0/24 ip4:51.5.72.0/24 ip4:51.5.80.0/27 ip4:51.4.80.0/27 ip4:66.102.0.0/20 ip4:74.125.0.0/16 ip4:35.191.0.0/16 ip4:167.89.0.0/17 ip4:54.240.0.0/18 ip4:40.107.0.0/16 ip4:52.100.0.0/14 ip4:104.47.0.0/17 ip4:3.93.157.0/24 i" "p4:63.128.21.0/24 ip4:66.249.80.0/20 ip4:72.14.192.0/18 ip4:108.177.8.0/21 ip4:173.194.0.0/16 ip4:172.217.0.0/19 ip4:130.211.0.0/22 ip4:104.236.121.25 include:_spf0000000.pemnet.com -all</t>
  </si>
  <si>
    <t>v=DMARC1; p=none; rua=mailto:dcdaab6c62ea556@rep.dmarcanalyzer.com; ruf=mailto:dcdaab6c62ea556@for.dmarcanalyzer.com; fo=1;</t>
  </si>
  <si>
    <t>gallaghersbakery.ie</t>
  </si>
  <si>
    <t>v=spf1 include:eu._netblocks.mimecast.com ~all</t>
  </si>
  <si>
    <t>v=DMARC1; p=none; rua=mailto:admin@gallaghersbakery.ie; ruf=mailto:admin@gallaghersbakery.ie; fo=1;</t>
  </si>
  <si>
    <t>mdfosb.com</t>
  </si>
  <si>
    <t>v=spf1 include:spf.protection.outlook.com include:spf.topsec.com include:customers.clickdimensions.com include:mailgun.org ip4:93.94.118.243 -all</t>
  </si>
  <si>
    <t>silverhillduck.com</t>
  </si>
  <si>
    <t>v=spf1 +a +mx include:relay.mailchannels.net include:spf.protection.outlook.com include:_spf.silverhillduck_com._d.easydmarc.pro -all</t>
  </si>
  <si>
    <t>v=DMARC1; p=none; rua=mailto:admin@silverhillduck.com,mailto:3aa244375d@rua.easydmarc.eu; ruf=mailto:3aa244375d@ruf.easydmarc.eu; fo=1;</t>
  </si>
  <si>
    <t>ohshima.ie</t>
  </si>
  <si>
    <t>v=spf1 include:spf.protection.outlook.com include:spf.hornetsecurity.com -all</t>
  </si>
  <si>
    <t>mergon.com</t>
  </si>
  <si>
    <t>v=spf1 include:spf.protection.outlook.com include:sendgrid.net include:emaileuc.freshservice.com include:fdspfus.freshemail.io include:spf.emailsignatures365.com -all</t>
  </si>
  <si>
    <t>ferrycarrighotel.ie</t>
  </si>
  <si>
    <t>v=spf1 a include:netaffinity.net include:spf.protection.outlook.com include:spf.mtasv.net ip4:89.101.237.178 ip4:46.245.209.97 ip4:78.153.203.202 ip4:81.17.250.62 -all</t>
  </si>
  <si>
    <t>glanagua.ie</t>
  </si>
  <si>
    <t>walk.ie</t>
  </si>
  <si>
    <t>v=spf1 +ip4:185.43.232.7 +include:spf.protection.outlook.com +include:authsmtp.com -all</t>
  </si>
  <si>
    <t>mslengineering.ie</t>
  </si>
  <si>
    <t>v=spf1 a include:spf.protection.outlook.com ~all</t>
  </si>
  <si>
    <t>v=DMARC1; p=quarantine; fo=1; rua=mailto:dmarc@mslengineering.ie; ruf=mailto:dmarc@mslengineering.ie</t>
  </si>
  <si>
    <t>bwg.ie</t>
  </si>
  <si>
    <t>v=spf1 mx a ip4:185.36.185.49 ip4:89.204.240.170 ip4:198.160.61.253 ip4:74.205.73.77 include:spf.protection.outlook.com include:spf.mandrillapp.com include:spf-a.authsmtp.com include:eu-west-1.amazonses.com" "include:spf.odmad.quest-on-demand.com include:spf.eu.odmad.quest-on-demand.com -all</t>
  </si>
  <si>
    <t>johnstownestate.com</t>
  </si>
  <si>
    <t>bancrete.com</t>
  </si>
  <si>
    <t>secureall.ie</t>
  </si>
  <si>
    <t>v=spf1 ip4:185.43.232.10 include:spf.webhostingireland.ie ip4:81.17.241.230 +mx +a ~all</t>
  </si>
  <si>
    <t>ltts.ie</t>
  </si>
  <si>
    <t>v=spf1 mx include:_spf.lufthansa.com ~all</t>
  </si>
  <si>
    <t>v=DMARC1; p=quarantine; fo=1; ri=3600; rua=mailto:lufthansa@rua.agari.com</t>
  </si>
  <si>
    <t>beauchamps.ie</t>
  </si>
  <si>
    <t>v=spf1 include:eu._netblocks.mimecast.com include:spf.eu.signature365.net include:spf.zohomail360.eu include:_spf.psm.knowbe4.com ip4:5.61.115.64/28 ip4:212.84.45.11 -all</t>
  </si>
  <si>
    <t>v=DMARC1;p=reject;sp=reject;pct=100;rua=mailto:cc789e6eee@rua.easydmarc.eu;ruf=mailto:cc789e6eee@ruf.easydmarc.eu;ri=86400;fo=1;</t>
  </si>
  <si>
    <t>theauthenticfoodco.com</t>
  </si>
  <si>
    <t>openjawtech.com</t>
  </si>
  <si>
    <t>v=spf1 include:spf1.openjawtech.com include:spf2.openjawtech.com include:_spf.dotplex.com ~all</t>
  </si>
  <si>
    <t>abbvie.ie</t>
  </si>
  <si>
    <t>v=spf1 include:_u.abbvie.ie._spf.smart.ondmarc.com -all</t>
  </si>
  <si>
    <t>v=DMARC1; p=reject; fo=1; ri=3600; rua=mailto:4a915a0c@inbox.ondmarc.com,mailto:abbvie@rua.dmp.cisco.com; ruf=mailto:4a915a0c@inbox.ondmarc.com,mailto:abbvie@ruf.dmp.cisco.com</t>
  </si>
  <si>
    <t>burnside-eurocyl.com</t>
  </si>
  <si>
    <t>v=spf1 a:mail.burnside-eurocyl.com include:spf.relay.blacknight.com ~all</t>
  </si>
  <si>
    <t>danone.com</t>
  </si>
  <si>
    <t>v=DMARC1; p=quarantine; sp=reject; fo=1; rua=mailto:dmarc_rua@emaildefense.proofpoint.com; ruf=mailto:dmarc_ruf@emaildefense.proofpoint.com</t>
  </si>
  <si>
    <t>kilkennyshop.com</t>
  </si>
  <si>
    <t>V=SPF1 A INCLUDE:SPF.MANDRILLAPP.COM include:amazonses.com ?ALL</t>
  </si>
  <si>
    <t>v=DMARC1;  p=none; rua=mailto:53ce1e28f1eb4e41b9d75c4162b1b49b@dmarc-reports.cloudflare.net</t>
  </si>
  <si>
    <t>msd.ie</t>
  </si>
  <si>
    <t>v=spf1 include:spf1.merck.com -all</t>
  </si>
  <si>
    <t>v=DMARC1; p=reject; fo=1; ri=3600; rua=mailto:merck@rua.agari.com; ruf=mailto:merck@ruf.agari.com</t>
  </si>
  <si>
    <t>cregg.ie</t>
  </si>
  <si>
    <t>v=spf1 ip4:209.124.66.26 include:spf.a2hosting.com ip4:91.210.235.23 include:spf.webhostingireland.ie include:spamtitan.tierneys.ie include:spf.protection.outlook.com include:_spf.bullhornmail.com ~all</t>
  </si>
  <si>
    <t>publicjobs.ie</t>
  </si>
  <si>
    <t>v=spf1 ip4:137.191.244.231 ip4:137.191.229.38 ip4:137.191.229.42 include:spf.protection.outlook.com -all</t>
  </si>
  <si>
    <t>v=DMARC1; p=quarantine; rua=mailto:dmarcalerts@publicjobs.ie;</t>
  </si>
  <si>
    <t>arachas.ie</t>
  </si>
  <si>
    <t>v=spf1 mx a include:spf.protection.outlook.com include:spf.exclaimer.net include:sendgrid.net include:_spf.samanage.com include:_spf.salesforce.com include:spf.constantcontact.com ip4:209.206.12.35 ip4:209.206.12.81 ip4:185.5.241.121 ~all</t>
  </si>
  <si>
    <t>v=DMARC1; p=none; pct=100; sp=none; rua=mailto:619e290c@inbox.ondmarc.com,mailto:a.yjdguszt@sdmarc.net,mailto:dmarcreports@arachas.ie; ruf=mailto:619e290c@inbox.ondmarc.com; adkim=s; aspf=s; fo=1; rf=afrf; ri=3600</t>
  </si>
  <si>
    <t>chill.ie</t>
  </si>
  <si>
    <t>v=spf1 include:spf1.chill.ie include:spf2.chill.ie include:appliedexch.co.uk include:spf.protection.outlook.com include:spf.eu.exclaimer.net -all</t>
  </si>
  <si>
    <t>v=DMARC1; p=quarantine; sp= quarantine; fo=1; rua=mailto:dmarc_rua@emaildefense.proofpoint.com,mailto:dmarc_agg@vali.email; ruf=mailto:dmarc_ruf@emaildefense.proofpoint.com</t>
  </si>
  <si>
    <t>trumphotelcollection.com</t>
  </si>
  <si>
    <t>v=spf1 ip4:69.25.15.0/24 ip4:63.251.151.0/24 ip4:24.120.62.250 include:_spf.google.com mx mx:mx1.cdcservices.com mx:mx2.cdcservices.com mx:mx3.cdcservices.com mx:mx5.cdcservices.com mx:mx6.cdcservices.com a:aceradon.com ~all</t>
  </si>
  <si>
    <t>wine.ie</t>
  </si>
  <si>
    <t>v=spf1 include:_u.wine.ie._spf.smart.ondmarc.com ~all</t>
  </si>
  <si>
    <t>v=DMARC1; p=reject; pct=100; sp=none; rua=mailto:c2276c5a@inbox.ondmarc.com; ruf=mailto:c2276c5a@inbox.ondmarc.com; adkim=r; aspf=r; fo=1; rf=afrf; ri=3600</t>
  </si>
  <si>
    <t>rbk.ie</t>
  </si>
  <si>
    <t>v=spf1 include:spf.messagelabs.com -all</t>
  </si>
  <si>
    <t>v=DMARC1; p=quarantine; rua=mailto:report-dmarc@rbk.ie; ruf=mailto:forensics-dmarc@rbk.ie; fo=1:s; pct=20; aspf=s</t>
  </si>
  <si>
    <t>cairnhomes.com</t>
  </si>
  <si>
    <t>v=spf1 include:spf.protection.outlook.com a:dispatch-eu.ppe-hosted.com include:spf.mandrillapp.com include:_spf.qualtrics.com mx include:spf.emailsignatures365.com include:spf-inm.eqs-service.com include:_spf.psm.knowbe4.com ~all</t>
  </si>
  <si>
    <t>v=DMARC1; p=quarantine; pct=100; rua=mailto:a.8hyzr404@sdmarc.net,mailto:5b0b635eea3041f096e546fd18c6e1f8@dmarc-reports.cloudflare.net</t>
  </si>
  <si>
    <t>willsbros.com</t>
  </si>
  <si>
    <t>v=spf1 mx ip4:77.72.0.126 include:spf.protection.outlook.com include:spf-eu.mailssig.com ip4:52.138.167.182 -all</t>
  </si>
  <si>
    <t>v=DMARC1; p=reject; pct=100; rua=mailto:noreplay@willsbros.com; ruf=mailto:noreplay@willsbros.com; sp=quarantine; fo=1;</t>
  </si>
  <si>
    <t>bulmers.ie</t>
  </si>
  <si>
    <t>v=spf1 include:spf.protection.outlook.com include:_spf.createsend.com include:_spf.psm.knowbe4.com -all</t>
  </si>
  <si>
    <t>v=DMARC1; p=none; pct=100; rua=mailto:dmarc_agg@vali.email, mailto:pzgv7ovq@ag.eu.dmarcian.com, mailto:dmarc@bulmers.ie; ruf=mailto:pzgv7ovq@fr.eu.dmarcian.com, mailto:dmarc@bulmers.ie; fo=1</t>
  </si>
  <si>
    <t>mtm-engineering.com</t>
  </si>
  <si>
    <t>v=spf1 ip4:157.90.106.253 ip4:144.76.136.218 +a +mx +ip4:88.99.195.46 +ip4:88.99.97.74 +ip4:148.251.122.205 +include:spf.protection.outlook.com +a:dispatch-eu.ppe-hosted.com include:spf-uk.emailsignatures365.com -all</t>
  </si>
  <si>
    <t>ibec.ie</t>
  </si>
  <si>
    <t>v=spf1 include:spf.mailanyone.net include:spf.protection.outlook.com include:_spf.eu.messagegears.net -all</t>
  </si>
  <si>
    <t>v=DMARC1; p=quarantine; rua=mailto:dmarc_rua@ibec.ie; ruf=mailto:dmarc_ruf@ibec.ie; fo=1</t>
  </si>
  <si>
    <t>ocsc.ie</t>
  </si>
  <si>
    <t>v=spf1 include:spf.protection.outlook.com include:spf.mtaroutes.com include:mailgun.org ip4:144.2.243.130 ip4:185.212.156.66 ip4:83.70.133.69 ip4:83.70.179.250 ~all</t>
  </si>
  <si>
    <t>v=DMARC1; p=none; pct=100; fo=1; ri=3600; ruf=mailto:itsoftware@ocsc.ie;</t>
  </si>
  <si>
    <t>randridge.com</t>
  </si>
  <si>
    <t>v=spf1 a:chi-web-01.simprocloud.com include:spf.protection.outlook.com ~all</t>
  </si>
  <si>
    <t>boylesports.com</t>
  </si>
  <si>
    <t>v=spf1 ip4:68.219.123.166 ip4:192.254.125.237 ip4:185.50.100.5 include:spf.protection.outlook.com include:mail.zendesk.com -all</t>
  </si>
  <si>
    <t>dppireland.ie</t>
  </si>
  <si>
    <t>galwaycity.ie</t>
  </si>
  <si>
    <t>v=spf1 include:spf.mailjet.com a mx ptr ip4:137.191.242.66 ip4:137.191.242.71 include:spf.topsec.com include:spf.protection.outlook.com -all</t>
  </si>
  <si>
    <t>defence.ie</t>
  </si>
  <si>
    <t>v=spf1 mx ip4:137.191.229.119 a:mx.defence.ie include:spfext.itservices.gov.ie ~all</t>
  </si>
  <si>
    <t>v=DMARC1; p=none; pct=100; rua=mailto:dmarc-rua@defence.ie</t>
  </si>
  <si>
    <t>kilkennycoco.ie</t>
  </si>
  <si>
    <t>v=spf1 a mx include:spf.protection.outlook.com include:spf.topsec.com ip4:137.191.231.114 ip4:78.153.223.162 -all</t>
  </si>
  <si>
    <t>countrycrest.ie</t>
  </si>
  <si>
    <t>v=spf1 ip4:35.214.135.201 include:spf.protection.outlook.com include:spf.emailsignatures365.com -all</t>
  </si>
  <si>
    <t>monart.ie</t>
  </si>
  <si>
    <t>v=spf1 a include:spf.protection.outlook.com include:guestline.net include:roomlynx.net include:netaffinity.net include:spf.premiersoftware.co.uk -all</t>
  </si>
  <si>
    <t>sheraton.com</t>
  </si>
  <si>
    <t>v=spf1 include:spf.marriott.com include:spf.protection.outlook.com ip4:65.221.12.128 ip4:65.221.12.148 ip4:50.31.38.19 ip4:167.89.18.211 -all</t>
  </si>
  <si>
    <t>v=DMARC1; p=reject; pct=100; rua=mailto:ts2wfbhi@ag.dmarcian.com; ruf=mailto:ts2wfbhi@fr.dmarcian.com;</t>
  </si>
  <si>
    <t>ardmac.com</t>
  </si>
  <si>
    <t>v=spf1 mx a ip4:77.75.96.170 ip4:150.70.226.152 include:spf.protection.outlook.com include:in.mx.trendmicro.eu include:spf.hes.trendmicro.com include:servers.mcsv.net ~all</t>
  </si>
  <si>
    <t>sapgroup.com</t>
  </si>
  <si>
    <t>lirchocolates.com</t>
  </si>
  <si>
    <t>v=spf1 include:eu._netblocks.mimecast.com include:spf.protection.outlook.com include:spf.messagelabs.com include:spf.newsletter.ie -all</t>
  </si>
  <si>
    <t>v=DMARC1; p=reject; rua=mailto:3e104c6e42b6578@rep.dmarcanalyzer.com; ruf=mailto:3e104c6e42b6578@for.dmarcanalyzer.com; fo=1;</t>
  </si>
  <si>
    <t>obelisk.com</t>
  </si>
  <si>
    <t>v=spf1 ip4:75.2.70.75 ip4:99.83.190.102 ip4:213.122.9.69 include:spf.protection.outlook.com include:spf.exclaimer.net -all</t>
  </si>
  <si>
    <t>v=DMARC1;p=quarantine;sp=quarantine;adkim=r;aspf=r;pct=100;fo=1;rf=afrf;ri=84600;rua=mailto:itmanager@obelisk.com;ruf=mailto:itmanager@obelisk.com</t>
  </si>
  <si>
    <t>openet.com</t>
  </si>
  <si>
    <t>v=spf1 ip4:193.43.244.133/28 ip4:69.150.27.64/26 ip4:202.91.135.67 ip4:202.91.135.133 exists:%{i}.spf.hc834-32.eu.iphmx.com include:spf.protection.outlook.com include:aspmx.pardot.com include:_spf.salesforce.com include:spf.blacknight.com -all</t>
  </si>
  <si>
    <t>corehr.com</t>
  </si>
  <si>
    <t>v=spf1 ip4:91.185.174.110 ip4:84.39.239.84 ip4:82.141.238.237 ip4:193.120.143.138 ip4:193.120.143.134 ip4:193.120.143.70 ip4:193.120.142.176 ip4:85.222.138.225 ip4:212.2.176.67 ip4:193.120.252.86 ip4:193.120.176.179 ip4:84.39.238.222" " include:spf.protection.outlook.com include:_spf.salesforce.com include:335435.spf03.hubspotemail.net include:aspmx.pardot.com include:bounce.s10.mc.pd25.com ip4:89.101.11.113 -all</t>
  </si>
  <si>
    <t>v=DMARC1; p=quarantine; rua=mailto:coretechsupport@corehr.com; ruf=mailto:coretechsupport@corehr.com; pct=100; fo=1</t>
  </si>
  <si>
    <t>forwardemphasis.ie</t>
  </si>
  <si>
    <t>v=spf1 ip4:190.180.144.232 ip4:91.136.49.203 ip4:82.141.226.122 ip4:77.75.100.130 include:spf.protection.outlook.com include:kallidus-suite.com -all</t>
  </si>
  <si>
    <t>v=DMARC1; p=none; rua=mailto:dmarc@forwardemphasis.ie,mailto:4a4f05f8@mxtoolbox.dmarc-report.com; ruf=mailto:dmarc@forwardemphasis.ie,mailto:4a4f05f8@forensics.dmarc-report.com</t>
  </si>
  <si>
    <t>hidglobal.com</t>
  </si>
  <si>
    <t>v=spf1 include:sendgrid.net include:_spf.salesforce.com include:_spf.highradius.com include:spf.protection.outlook.com include:spf.workfront.com include:docebosaas.com include:spf1.hidglobal.com include:em8279.hidglobal.com -all</t>
  </si>
  <si>
    <t>https://hidglobal.com/sites/default/files/hid_logo_tiny_ps.svg</t>
  </si>
  <si>
    <t>xerox.com</t>
  </si>
  <si>
    <t>v=spf1 include:_iphmx.xerox.com include:_iphmx2.xerox.com include:spf.protection.outlook.com include:spf.constantcontact.com include:_spf.salesforce.com include:nw026.com include:mail.zendesk.com include:autotask.net " "ip4:141.193.184.64/26 ip4:141.193.185.128/25 ip4:18.208.124.128/25 ip4:141.193.184.128/25 ip4:141.193.185.64/26 ip4:158.247.16.0/20 ip4:3.93.157.0/24 ip4:216.139.64.0/19 ip4:108.179.144.0/20 ip4:54.174.60.0/23 ip4:143.244.80.0/20 ip4:54.174.59.0/24 " "ip4:54.174.63.0/24 ip4:3.210.190.0/24 ip4:141.193.184.32/27 ip4:54.174.52.0/24 ip4:139.180.17.0/24 ip4:141.193.185.32/27 ip4:54.174.57.0/24 ~all</t>
  </si>
  <si>
    <t>v=DMARC1; p=quarantine; sp=none; rua=mailto:Xerox.dmarcreports@xerox.com; ruf=mailto:Xerox.dmarcreports@xerox.com</t>
  </si>
  <si>
    <t>dupont.com</t>
  </si>
  <si>
    <t>v=spf1 include:spf.protection.outlook.com include:spf-001dcd02.pphosted.com include:_spf.salesforce.com include:sendgrid.net a:b.spf.service-now.com a:c.spf.service-now.com a:d.spf.service-now.com ~all</t>
  </si>
  <si>
    <t>irvingoil.com</t>
  </si>
  <si>
    <t>v=DMARC1; p=none; fo=1; rua=mailto:dmarc_rua@emaildefense.proofpoint.com,mailto:dmarc_aggdata@irvingoil.com;ruf=mailto:dmarc_ruf@emaildefense.proofpoint.com,mailto:dmarc_forensic@irvingoil.com</t>
  </si>
  <si>
    <t>xtratherm.com</t>
  </si>
  <si>
    <t>v=spf1 include:spf_a.unilin.com include:spf.mandrillapp.com -all</t>
  </si>
  <si>
    <t>cdfoods.com</t>
  </si>
  <si>
    <t>v=spf1 ip4:83.71.136.186 ip4:83.71.136.188 ip4:213.133.68.130 ip4:136.144.107.51 include:spf.ess.uk.barracudanetworks.com include:_spf.elasticemail.com include:spf.protection.outlook.com -all</t>
  </si>
  <si>
    <t>ferrero.com</t>
  </si>
  <si>
    <t>v=spf1 include:spf.ferrero.com include:_spf.google.com include:spf.protection.outlook.com include:spf-00303601.pphosted.com -all</t>
  </si>
  <si>
    <t>v=DMARC1; p=reject; aspf=s; adkim=s; rua=mailto:dmarc_rua@emaildefense.proofpoint.com; ruf=mailto:dmarc_ruf@emaildefense.proofpoint.com; fo=1</t>
  </si>
  <si>
    <t>thecocacolacompany.com</t>
  </si>
  <si>
    <t>v=DMARC1; p=reject; pct=100; fo=1; rua=mailto:dmarc_rua@emaildefense.proofpoint.com,mailto:dmarcreports@coca-cola.com; ruf=mailto:dmarc_ruf@emaildefense.proofpoint.com,mailto:dmarcreports@coca-cola.com</t>
  </si>
  <si>
    <t>nationalgallery.ie</t>
  </si>
  <si>
    <t>v=spf1 include:spf.mandrillapp.com -all</t>
  </si>
  <si>
    <t>bandoncoop.ie</t>
  </si>
  <si>
    <t>v=spf1 include:spf.ess.uk.barracudanetworks.com include:spf.ess.de.barracudanetworks.com include:spf.protection.outlook.com ip4:212.78.228.74 ip4:84.51.253.158 ip4:83.71.249.89 ip4:86.47.57.32 ip4:86.47.49.51 ip4:83.70.176.212 ip4:83.71.154.193 -all</t>
  </si>
  <si>
    <t>v=DMARC1; p=none; fo=1; rua=mailto:rua+bandoncoop.ie@dmarc.barracudanetworks.com; ruf=mailto:ruf+bandoncoop.ie@dmarc.barracudanetworks.com</t>
  </si>
  <si>
    <t>carbery.com</t>
  </si>
  <si>
    <t>v=spf1 include:de._netblocks.mimecast.com include:spf.mailanyone.net include:spf.protection.outlook.com include:customers.clickdimensions.com include:spf.tmes.trendmicro.com include:_spf.eu.messagegears.net include:authsmtp.com mx a -all</t>
  </si>
  <si>
    <t>v=DMARC1; p=none; rua=mailto:dmarcreporting@carbery.com;</t>
  </si>
  <si>
    <t>tipperary-coop.ie</t>
  </si>
  <si>
    <t>v=spf1 include:spf.protection.outlook.com a:exchange.tipperary-coop.ie include:authsmtp.com -all</t>
  </si>
  <si>
    <t>v=DMARC1;p=quarantine;pct=100;rua=mailto:3aa244375d@rua.easydmarc.eu;ruf=mailto:3aa244375d@ruf.easydmarc.eu;ri=86400;fo=1;</t>
  </si>
  <si>
    <t>intercontinentaldublin.ie</t>
  </si>
  <si>
    <t>v=spf1 a include:spf.blacknight.ie include:netaffinity.net ~all</t>
  </si>
  <si>
    <t>thegrand.ie</t>
  </si>
  <si>
    <t>v=spf1 include:spf_3a.oracleindustry.com include:microsdc.com include:spf.protection.outlook.com include:spf.ireshotels.com include:authsmtp.com include:netaffinity.net ~all</t>
  </si>
  <si>
    <t>v=DMARC1; p=none; rua=mailto:dmarc@thegrand.ie; ruf=mailto:dmarc@thegrand.ie; fo=1;</t>
  </si>
  <si>
    <t>mooreservices.ie</t>
  </si>
  <si>
    <t>v=spf1 a include:spf.protection.outlook.com ip4:89.100.18.26 ip4:95.45.234.45 ~all</t>
  </si>
  <si>
    <t>gtc.ie</t>
  </si>
  <si>
    <t>v=spf1 a include:spf.protection.outlook.com a:spamtitan.zenotec.ie ip4:23.253.183.222 ip4:193.200.155.203 -all</t>
  </si>
  <si>
    <t>laoisshoppingcentre.com</t>
  </si>
  <si>
    <t>fsi.ie</t>
  </si>
  <si>
    <t>bombaypantry.com</t>
  </si>
  <si>
    <t>v=spf1 a:83.70.172.130 include:spf.protection.outlook.com ~all</t>
  </si>
  <si>
    <t>8west.ie</t>
  </si>
  <si>
    <t>v=spf1 include:%{i}._ip.%{h}._ehlo.%{d}._spf.vali.email  include:spf.protection.outlook.com  include:145696986.spf03.hubspotemail.net ~all</t>
  </si>
  <si>
    <t>v=DMARC1; p=none; rua=mailto:dmarc_agg@vali.email,mailto:dmarcreports@8west.ie; ruf=mailto:dmarcreports@8west.ie; fo=1</t>
  </si>
  <si>
    <t>teamwork.com</t>
  </si>
  <si>
    <t>v=spf1 include:_spf.google.com ip4:167.89.94.240 ip4:167.89.91.48 ip4:167.89.85.224 ip4:198.21.0.156 ip4:167.89.92.142 ip4:167.89.44.57 ip4:167.89.90.81 include:stspg-customer.com include:amazonses.com ~all</t>
  </si>
  <si>
    <t>v=DMARC1; p=reject; pct=100; rua=mailto:re+q1hadbuespe@dmarc.postmarkapp.com; sp=none; aspf=r;</t>
  </si>
  <si>
    <t>https://d11p1j7wm7x1vt.cloudfront.net/public/latest/teamwork-short-pill-slate.svg</t>
  </si>
  <si>
    <t>lionbridge.com</t>
  </si>
  <si>
    <t>v=spf1 ip4:65.213.75.20 ip4:185.218.159.15 include:spf.protection.outlook.com include:spfa.lionbridge.com include:mail.zendesk.com include:spfa.cpmails.com ip4:65.213.75.16 ip4:185.218.159.46 ~all</t>
  </si>
  <si>
    <t>v=DMARC1;p=reject;sp=none;pct=100;aspf=r;adkim=s;rua=mailto:dmarcnotify@lionbridge.com;ri=86400</t>
  </si>
  <si>
    <t>sage.ie</t>
  </si>
  <si>
    <t>v=DMARC1; p=none; pct=100; fo=1; ri=3600; rua=mailto:sage@rua.agari.com; ruf=mailto:sage@ruf.agari.com</t>
  </si>
  <si>
    <t>inchydoneyisland.com</t>
  </si>
  <si>
    <t>v=spf1 a ip4:86.43.114.255 include:spf.elive.net include:guestline.net include:roomlynx.net include:netaffinity.net include:spf.protection.outlook.com -all</t>
  </si>
  <si>
    <t>gcd.ie</t>
  </si>
  <si>
    <t>v=spf1 include:spf.protection.outlook.com ip4:83.141.104.144/28 a a:paidi.gcd.ie a:mail.gcd.ie a:www.gcd.ie a:secure.gcd.ie a:finn.gcd.ie ip4:54.228.247.84 ip4:31.193.221.192/26 ip6:2a03:5f00:1000:1111::/64 -all</t>
  </si>
  <si>
    <t>v=DMARC1; p=quarantine; rua=mailto:b1c97e70255c4a52bc6734bb355f3901@dmarc-reports.cloudflare.net,mailto:dmark@griffith.ie; ruf=mailto:dmark@griffith.ie;</t>
  </si>
  <si>
    <t>solas.ie</t>
  </si>
  <si>
    <t>v=spf1 ip4:137.191.239.201 ip4:137.191.239.214 ip4:137.191.239.242 ip4:193.120.143.134 include:spf.topsec.com include:sendgrid.net include:spf.protection.outlook.com include:amazonses.com ~all</t>
  </si>
  <si>
    <t>smurfitschool.ie</t>
  </si>
  <si>
    <t>limerickcityaes.ie</t>
  </si>
  <si>
    <t>st-andrews.ie</t>
  </si>
  <si>
    <t>v=spf1 mx a ip4:89.101.217.194 ip4:87.198.168.26 ip4:87.39.142.5 include:spf.protection.outlook.com include:outboundmail.blackbaud.net ~all</t>
  </si>
  <si>
    <t>errigalbay.com</t>
  </si>
  <si>
    <t>v=spf1 mx a ip4:86.47.131.117/32 ip4:185.58.18.18/32 ip4:37.60.242.35/32 ip4:86.47.46.252/32 ip4:52.16.90.140/32 ip4:52.17.38.68/32 ip4:54.154.255.178/32 ip4:54.154.255.177/32 ip4:54.154.255.176/32 ip4:54.154.255.186/32 ip4:52.28.165.113/32 ip4:52.57" ".168.188/32 ip4:18.184.214.37/32 ip4:18.184.155.228/32 ip4:3.74.148.8/32 ip4:3.74.148.9/32 ip4:3.74.148.10/32 ip4:3.74.148.11/32 include:spf.protection.outlook.com -all</t>
  </si>
  <si>
    <t>v=DMARC1; p=reject; rua=mailto:fmj2tgfk@ag.dmarcian-eu.com;daniel.ward@errigalbay.com;</t>
  </si>
  <si>
    <t>stauntonfoods.ie</t>
  </si>
  <si>
    <t>v=spf1 include:spf.protection.outlook.com include:sendgrid.net -all</t>
  </si>
  <si>
    <t>v=DMARC1; p=none; fo=1; rua=mailto:rua+stauntonfoods.ie@dmarc.barracudanetworks.com; ruf=mailto:ruf+stauntonfoods.ie@dmarc.barracudanetworks.com</t>
  </si>
  <si>
    <t>ribworld.ie</t>
  </si>
  <si>
    <t>v=DMARC1; p=quarantine; fo=1; rua=mailto:rua+ribworld.ie@dmarc.barracudanetworks.com; ruf=mailto:ruf+ribworld.ie@dmarc.barracudanetworks.com</t>
  </si>
  <si>
    <t>dunmeats.com</t>
  </si>
  <si>
    <t>callanbacon.com</t>
  </si>
  <si>
    <t>v=spf1 ip4:212.139.78.102 ip4:212.139.78.106 ip4:217.147.80.155 include:spf.protection.outlook.com include:spf.ess.uk.barracudanetworks.com -all</t>
  </si>
  <si>
    <t>v=DMARC1; p=quarantine; fo=1; rua=mailto:rua+callanbacon.com@dmarc.barracudanetworks.com; ruf=mailto:ruf+callanbacon.com@dmarc.barracudanetworks.com</t>
  </si>
  <si>
    <t>astrasales.com</t>
  </si>
  <si>
    <t>avis.ie</t>
  </si>
  <si>
    <t>v=spf1 include:spf.protection.outlook.com include:email.freshdesk.com include:spf.messagelabs.com a:mail.avis.de mx:avis.ie include:avis.de -all</t>
  </si>
  <si>
    <t>v=DMARC1;p=none;pct=100;rua=mailto:it@avisbudget.ie</t>
  </si>
  <si>
    <t>intel.com</t>
  </si>
  <si>
    <t>v=spf1 include:_spf.intel.com -all</t>
  </si>
  <si>
    <t>v=DMARC1;p=none;sp=none;fo=1;rua=mailto:dmarc.notification@intel.com</t>
  </si>
  <si>
    <t>finessemedical.com</t>
  </si>
  <si>
    <t>molloys.com</t>
  </si>
  <si>
    <t>diy.com</t>
  </si>
  <si>
    <t>v=spf1 mx:diy.com include:spf.protection.outlook.com include:amazonses.com -all</t>
  </si>
  <si>
    <t>v=DMARC1; p=reject; rua=mailto:102b7a32a370252@rep.dmarcanalyzer.com; ruf=mailto:102b7a32a370252@for.dmarcanalyzer.com; fo=1;</t>
  </si>
  <si>
    <t>https://s7g10.scene7.com/is/content/KingfisherDigital/f7be6e7a9bac2848e974916747f159c7cdcd6c2a</t>
  </si>
  <si>
    <t>lisney.com</t>
  </si>
  <si>
    <t>v=spf1 include:spf.protection.outlook.com include:spf.eu.exclaimer.net include:mailgun.org include:servers.mcsv.net -all</t>
  </si>
  <si>
    <t>v=DMARC1; p=quarantine; rua=mailto:rua@dmarc.brevo.com</t>
  </si>
  <si>
    <t>msl.ie</t>
  </si>
  <si>
    <t>v=spf1 include:spf.protection.outlook.com include:_spf.keyloop.io include:spf.ssmx.net include:em3324.donedeal.ie ip4:109.200.19.199 ip4:159.253.226.8/29; include:spf.mailanyone.net -all</t>
  </si>
  <si>
    <t>kn-portal.com</t>
  </si>
  <si>
    <t>v=spf1 include:_spf.retarus.com -all</t>
  </si>
  <si>
    <t>shannonairport.ie</t>
  </si>
  <si>
    <t>v=spf1 include:spf.protection.outlook.com include:amazonses.com IP4:185.113.232.4 IP4:185.113.232.13 IP4:77.221.160.132 IP4:118.151.216.1 IP4:118.151.218.1 IP4:143.47.149.172 IP4:143.47.149.171 IP4:78.153.201.239 include:spf.newsletter.ie IP4:203.55.21.0/" "24 IP4:103.28.42.0/24 IP4:52.49.235.189 IP4:23.21.109.212 IP4:23.21.109.212 IP4:52.49.201.246 IP4:147.160.167.0/26 -all</t>
  </si>
  <si>
    <t>v=DMARC1;  p=none; rua=mailto:784d213b8d4a44c39ff04f7d2e6d0196@dmarc-reports.cloudflare.net</t>
  </si>
  <si>
    <t>corkairport.com</t>
  </si>
  <si>
    <t>V=spf1 include:spf.messagelabs.com include:amazonses.com include:adl.advam.com include:spf.protection.outlook.com -all</t>
  </si>
  <si>
    <t>stchristophers.ie</t>
  </si>
  <si>
    <t>v=spf1 ip4:185.43.232.208 ip4:78.137.164.80 ip4:78.137.164.101 ip4:78.135.164.80 include:spf.protection.outlook.com include:relay.mailchannels.net ~all</t>
  </si>
  <si>
    <t>itb.ie</t>
  </si>
  <si>
    <t>v=spf1 include:spf.protection.outlook.com ip4:193.1.36.252 a:newmail.ancheim.ie ip4:34.251.78.133 ip4:193.1.204.67 ip4:193.1.204.177 ip4:193.1.204.68 ip4:193.1.204.178 -all</t>
  </si>
  <si>
    <t>godolphin.com</t>
  </si>
  <si>
    <t>v=spf1 include:77v1bse7ba.powerspf.com -all</t>
  </si>
  <si>
    <t>v=DMARC1; p=reject; rua=mailto:5dupdjzczb@rua.powerdmarc.com; ruf=mailto:5dupdjzczb@ruf.powerdmarc.com; pct=100; fo=1;</t>
  </si>
  <si>
    <t>https://app.powerbimi.com/32079/bb3d146a-0e7a-401e-8260-d1ecfc1d6fae.svg</t>
  </si>
  <si>
    <t>clubtravel.ie</t>
  </si>
  <si>
    <t>v=spf1 include:de._netblocks.mimecast.com a:mail.clubtravel.ie a:mail-rs1.clubtravel.ie a:relay.amadeus.net a:umbrellanet.ch a:mail-az1.clubtravel.ie ip4:162.13.67.43 ip4:171.17.133.140 ip4:46.38.183.30 ip4:83.138.154.78 ip4:162.13.66.166 ip4:84.203.208.1" "8 include:spf.protection.outlook.com include:_relay.amadeus.com ~all</t>
  </si>
  <si>
    <t>v=DMARC1; p=none; ruf=mailto:dmarc-ruf@clubtravel.ie; rua=mailto:dmarc-rua@clubtravel.ie;</t>
  </si>
  <si>
    <t>rbc.com</t>
  </si>
  <si>
    <t>v=spf1 mx exists:%{i}.spf.hc391-17.ca.iphmx.com exists:%{i}.spf.hc490-56.ca.iphmx.com ip4:142.245.29.128/27 ip4:142.245.61.128/27 include:spf.protection.outlook.com -all</t>
  </si>
  <si>
    <t>kingslaundry.com</t>
  </si>
  <si>
    <t>celticlinen.ie</t>
  </si>
  <si>
    <t>v=spf1 ip4:109.199.120.75 include:spf.protection.outlook.com include:_netblocks.mimecast.com -all include:spf-eu.emailsignatures365.com</t>
  </si>
  <si>
    <t>premierglobal.com</t>
  </si>
  <si>
    <t>topaz.ie</t>
  </si>
  <si>
    <t>v=spf1 include:mail.zendesk.com -all</t>
  </si>
  <si>
    <t>btireland.com</t>
  </si>
  <si>
    <t>v=spf1 a a:mxbackup.esat.net mx ip4:193.95.153.18 ip4:193.95.153.17 include:spf.protection.outlook.com include:aspmx.pardot.com ~all</t>
  </si>
  <si>
    <t>v=DMARC1; p=quarantine; rua=mailto:systems@btireland.net; ruf=mailto:systems@btireland.net; fo=1;</t>
  </si>
  <si>
    <t>claytonhotelburlingtonroad.com</t>
  </si>
  <si>
    <t>V=SPF1 ~ALL</t>
  </si>
  <si>
    <t>icts.co.uk</t>
  </si>
  <si>
    <t>v=spf1 a:chi-web-01.simprocloud.com include:spf.mailjet.com include:eu.mailgun.org include:spf.protection.outlook.com include:spf.recsrvr.co.uk -all</t>
  </si>
  <si>
    <t>v=DMARC1;p=none;sp=none;pct=100;rua=mailto:66014e0d12fbe@ag.dmarcly.com;ruf=mailto:66014e0d12fbe@ag.dmarcly.com;ri=86400;aspf=r;adkim=r;fo=1;</t>
  </si>
  <si>
    <t>oiccleaning.ie</t>
  </si>
  <si>
    <t>v=DMARC1; p=none; rua=mailto:support@perfecttechnology.ie; ruf=mailto:support@perfecttechnology.ie</t>
  </si>
  <si>
    <t>standrews.ie</t>
  </si>
  <si>
    <t>v=spf1 mx a ip4:91.216.236.13 include:_spf.snwlhostedeu.com include:spf.protection.outlook.com ~all</t>
  </si>
  <si>
    <t>hamilton.ie</t>
  </si>
  <si>
    <t>alone.ie</t>
  </si>
  <si>
    <t>v=spf1 a mx include:bmsend.com include:spf.protection.outlook.com include:_spf.salesforce.com ~all</t>
  </si>
  <si>
    <t>srtechnics.com</t>
  </si>
  <si>
    <t>v=spf1 ip4:129.35.232.192/27 ip4:89.101.22.18 ip4:89.101.22.19 ip4:212.80.96.0/21 ip4:93.94.65.161 ip4:193.36.36.0/24 " "ip6:2a01:7480:1:100::/64 include:spf.protection.outlook.com include:_spf.rexx-suite.com " "include:spf0.exacttarget.com include:_spf-dc57.sapsf.eu exists:%{i}._spf.mta.salesforce.com -all</t>
  </si>
  <si>
    <t>v=DMARC1; p=quarantine; ri=604800; rua=mailto:securitylog@srtechnics.com</t>
  </si>
  <si>
    <t>rod.ie</t>
  </si>
  <si>
    <t>v=spf1 mx include:spf.topsec.com include:spf.protection.outlook.com  -all</t>
  </si>
  <si>
    <t>v=DMARC1; p=none; rua=mailto:help@rod.ie; ruf=mailto:help@rod.ie; fo=1</t>
  </si>
  <si>
    <t>stjohnofgodhospital.ie</t>
  </si>
  <si>
    <t>v=spf1 a mx ip4:78.153.213.253 ip4:91.210.235.216 include:_spf.blacknight.com ~all</t>
  </si>
  <si>
    <t>rci.com</t>
  </si>
  <si>
    <t>v=spf1 ip4:109.203.119.52 ip4:154.119.231.66 ip4:3.128.60.215 ip4:3.137.124.21 include:spf.clearslide.com include:eversrv.com include:emsd1.com include:spf.protection.outlook.com ~all</t>
  </si>
  <si>
    <t>v=DMARC1; p=none; fo=1; ri=3600; rua=mailto:dmarcreports@rci.com,mailto:dmarc_agg@vali.email; ruf=mailto:dmarcreports@rci.com; aspf=s; adkim=s</t>
  </si>
  <si>
    <t>ammeon.com</t>
  </si>
  <si>
    <t>v=spf1 include:spf.protection.outlook.com include:spf-005cca01.pphosted.com -all</t>
  </si>
  <si>
    <t>v=DMARC1; p=reject; sp=reject; adkim=s; aspf=s; rua=mailto:dmarc_agg@vali.email,mailto:spf@intive.com; ruf=mailto:spf@intive.com; fo=1</t>
  </si>
  <si>
    <t>taoiseach.gov.ie</t>
  </si>
  <si>
    <t>v=spf1 mx ip4:137.191.240.130 ip4:137.191.240.142 ip4:137.191.246.70 ip4:137.191.246.71 ip4:154.52.2.130 include:_spf.fortimailcloud.com include:spf.protection.outlook.com include:spf.newsletter.ie ~all</t>
  </si>
  <si>
    <t>v=DMARC1; p=none; rua=mailto:l9nkyd7g@ag.dmarcian-eu.com; sp=none; ri=86400</t>
  </si>
  <si>
    <t>osi.ie</t>
  </si>
  <si>
    <t>v=spf1 ip4:137.191.226.155/32 ip4:137.191.226.154/32 exists:%{i}.spf.hc2013-12.eu.iphmx.com include:spf.mandrillapp.com include:spf.protection.outlook.com include:res.cisco.com ~all</t>
  </si>
  <si>
    <t>meadepotato.com</t>
  </si>
  <si>
    <t>v=spf1 include:one.zoho.com include:sender.zohobooks.com include:spf.protection.outlook.com include:eu._netblocks.mimecast.com include:spf-eu.emailsignatures365.com -all</t>
  </si>
  <si>
    <t>kclub.ie</t>
  </si>
  <si>
    <t>v=spf1 include:_spf.kclub_ie._d.easydmarc.pro ~all</t>
  </si>
  <si>
    <t>v=DMARC1;p=none;rua=mailto:2fa9a7572f@rua.easydmarc.eu,mailto:dmarcreports@kclub.ie;ruf=mailto:2fa9a7572f@ruf.easydmarc.eu;fo=1;</t>
  </si>
  <si>
    <t>dilloneustace.ie</t>
  </si>
  <si>
    <t>v=spf1 include:_netblocks.mimecast.com include:031d9391-spf.mta.getcheckrecipient.com ~all</t>
  </si>
  <si>
    <t>v=DMARC1; p=reject; rua=mailto:2ecec302a20f410@rep.dmarcanalyzer.com; ruf=mailto:2ecec302a20f410@for.dmarcanalyzer.com; fo=1;</t>
  </si>
  <si>
    <t>butlerschocolates.com</t>
  </si>
  <si>
    <t>v=spf1 include:_spf.kooomo.com include:spf.protection.outlook.com include:spf2.butlerschocolates.com include:spf3.butlerschocolates.com include:spf4.butlerschocolates.com include:spf5.butlerschocolates.com include:spfa.mailendo.com -all</t>
  </si>
  <si>
    <t>v=DMARC1; p=quarantine; rua=mailto:dmarcreport@butlerschocolates.com</t>
  </si>
  <si>
    <t>senacagroup.com</t>
  </si>
  <si>
    <t>irish-yogurts.ie</t>
  </si>
  <si>
    <t>V=spf1 include:_spf_euwest1.prod.hydra.sophos.com</t>
  </si>
  <si>
    <t>lawsociety.ie</t>
  </si>
  <si>
    <t>v=spf1  ip4:212.84.45.10/32 ip4:87.198.182.32/28 ip4:212.78.228.5/32 ip4:31.193.222.80/28 ip4:216.220.33.81 ip4:216.220.41.78 ip4:205.201.45.64 a:lawsoc.enovation.ie include:spf.messagelabs.com include:spf.protection.outlook.com include" ":informz.net include:informz.ca include:_spf.createsend.com include:sendgrid.net -all</t>
  </si>
  <si>
    <t>v=DMARC1; p=reject; rua=mailto:186bc1705a884439867643972014f773@dmarc-reports.cloudflare.net; ruf=mailto:186bc1705a884439867643972014f773@dmarc-reports.cloudflare.net; fo=1; pct=100; rf=afrf</t>
  </si>
  <si>
    <t>cornmarket.ie</t>
  </si>
  <si>
    <t>v=DMARC1; p=reject; sp=reject; fo=1; rua=mailto:dmarc_rua@emaildefense.proofpoint.com; ruf=mailto:dmarc_ruf@emaildefense.proofpoint.com</t>
  </si>
  <si>
    <t>mosgroup.ie</t>
  </si>
  <si>
    <t>v=spf1 ip4:213.186.47.113 ip4:92.39.184.200 include:spf.protection.outlook.com include:mailgun.org ~all</t>
  </si>
  <si>
    <t>v=DMARC1; p=none; fo=1; rua=mailto:rua+mosgroup.ie@dmarc.barracudanetworks.com; ruf=mailto:ruf+mosgroup.ie@dmarc.barracudanetworks.com</t>
  </si>
  <si>
    <t>merrionhotel.com</t>
  </si>
  <si>
    <t>v=spf1 mx ip4:165.84.219.9 ip4:151.193.18.41 include:spf.newsletter.ie include:spf.nextguest.app include:spf.mandrillapp.com include:spf.protection.outlook.com include:_spf.smtp.com ~all</t>
  </si>
  <si>
    <t>v=DMARC1; p=none; rua=mailto:gdpr_pm@merrionhotel.com</t>
  </si>
  <si>
    <t>donnybrookfair.ie</t>
  </si>
  <si>
    <t>v=spf1 ip4:81.94.196.136 ip4:185.65.48.182 include:spf.protection.outlook.com include:spf.musgrave.laposa.ie include:sendgrid.net -all</t>
  </si>
  <si>
    <t>ashlinghotel.ie</t>
  </si>
  <si>
    <t>v=spf1 include:spamtitan.tierneys.ie include:spf.protection.outlook.com include:spf.mandrillapp.com include:netaffinity.net ip4:31.216.239.134 -all</t>
  </si>
  <si>
    <t>evershedssutherland.ie</t>
  </si>
  <si>
    <t>v=DMARC1; p=reject; pct=100; fo=1; ri=3600; rua=mailto:0ca29987@inbox.ondmarc.com; ruf=mailto:0ca29987@inbox.ondmarc.com;</t>
  </si>
  <si>
    <t>grantengineering.ie</t>
  </si>
  <si>
    <t>v=spf1 include:spf.eu.exclaimer.net include:spf.protection.outlook.com include:zcsend.net include:transmail.net ~all</t>
  </si>
  <si>
    <t>v=DMARC1; p=quarantine; rua=mailto:bce8e568@in.mailhardener.com; ruf=mailto:bce8e568@in.mailhardener.com; fo=1; pct=100; ri=86400</t>
  </si>
  <si>
    <t>teleflex.com</t>
  </si>
  <si>
    <t>v=spf1 ip4:131.233.0.235 ip4:131.233.0.145 include:_spf-amer.onbmc.com include:_spf.salesforce.com include:spf.protection.outlook.com include:us._netblocks.mimecast.com include:amazonses.com include:_spf-dc8.sapsf.com ~all</t>
  </si>
  <si>
    <t>v=DMARC1; p=quarantine; rua=mailto:5e94523a9aab7@ag.dmarcly.com; ruf=mailto:5e94523a9aab7@fo.dmarcly.com; sp=quarantine; pct=0; fo=0;</t>
  </si>
  <si>
    <t>daughtersofcharity.ie</t>
  </si>
  <si>
    <t>ncbi.ie</t>
  </si>
  <si>
    <t>v=spf1 include:spf.protection.outlook.com include:_spf.salesforce.com include:servers.mcsv.net ip4:91.210.232.230 include:spf.emailsignatures365.com include:25485294.spf01.hubspotemail.net -all</t>
  </si>
  <si>
    <t>v=DMARC1; p=quarantine; sp=none; rua=mailto:re+8afa1eb7f7d3@inbound.dmarcdigests.com; aspf=r; pct=100</t>
  </si>
  <si>
    <t>llynch.com</t>
  </si>
  <si>
    <t>v=spf1 ip4:51.141.9.15 mx a:webmail.llynch.com include:spf.exclaimer.net include:spf.protection.outlook.com -all</t>
  </si>
  <si>
    <t>group4securicor.ie</t>
  </si>
  <si>
    <t>sig.ie</t>
  </si>
  <si>
    <t>v=spf1 include:spf.protection.outlook.com include:eu._netblocks.mimecast.com include:autotask.net ip4:149.71.163.138 ip4:149.71.163.139 ip4:149.71.163.140 ip4:149.71.163.141 ip4:109.70.210.123 ip4:109.70.210.124 ip4:52.236.150.44 ip4:52.157.225.153 ip4:10" " 4.40.229.156 ip4:34.255.31.235 ip4:54.240.7.37 ip4:52.128.40.0/21 mx -all</t>
  </si>
  <si>
    <t>johnpaul.ie</t>
  </si>
  <si>
    <t xml:space="preserve">v=spf1 include:_u.johnpaul.ie._spf.smart.ondmarc.com -all </t>
  </si>
  <si>
    <t>v=DMARC1; p=reject; pct=100; sp=reject; rua=mailto:628e2d9b@inbox.ondmarc.com; ruf=mailto:628e2d9b@inbox.ondmarc.com; adkim=r; aspf=r; fo=0; rf=afrf; ri=3600</t>
  </si>
  <si>
    <t>csso.gov.ie</t>
  </si>
  <si>
    <t>v=spf1 a:mail.csso.gov.ie ip4:137.191.224.108 ip4:193.178.99.98 ip4:193.178.99.99 ~all</t>
  </si>
  <si>
    <t>meridianglobalservices.com</t>
  </si>
  <si>
    <t>v=spf1 ip4:213.168.247.128/27 ip4:162.13.63.236 mx:meridianp2p.com mx:meridianglobalservices.com include:1717734.spf08.hubspotemail.net include:_spf.atlassian.net include:spf.messagelabs.com -all</t>
  </si>
  <si>
    <t>v=DMARC1; p=quarantine; rua=mailto:dmarc@meridianglobalservices.com; aspf=s;</t>
  </si>
  <si>
    <t>hmhco.com</t>
  </si>
  <si>
    <t>v=spf1 ip4:209.235.126.1 ip4:209.235.126.2 ip4:209.235.126.7 ip4:209.235.126.8 ip4:209.235.126.9 ip4:209.235.126.10 include:_netblocks.hmhco.com include:_spf.salesforce.com include:us._netblocks.mimecast.com include:6573d6.workshop-spf.net ~all</t>
  </si>
  <si>
    <t>tli.ie</t>
  </si>
  <si>
    <t>v=DMARC1; p=quarantine; rua=mailto:dmarc@tli.ie;ruf=mailto:dmarc@tli.ie</t>
  </si>
  <si>
    <t>oxigen.ie</t>
  </si>
  <si>
    <t>v=spf1 include:_spf.mlsend.com ip4:217.115.115.25 ip4:217.115.115.183 include:trustpilotservice.com include:relay.mailchannels.net include:spf.enterprisemailbox.com +a +mx ~all</t>
  </si>
  <si>
    <t>v=DMARC1;p=reject;sp=reject;pct=100;rua=mailto:9a8f0ba1a9@rua.easydmarc.eu;ruf=mailto:9a8f0ba1a9@ruf.easydmarc.eu,mailto:scowley@oxigen.ie;ri=86400;aspf=r;adkim=r;fo=1;</t>
  </si>
  <si>
    <t>walls.ie</t>
  </si>
  <si>
    <t>barrys.ie</t>
  </si>
  <si>
    <t>v=spf1 include:_spf.getresponse.com redirect=_sf2c3m436.sdmarc.net</t>
  </si>
  <si>
    <t>v=DMARC1; p=reject; pct=100; rua=mailto:a.f2c3m436@sdmarc.net</t>
  </si>
  <si>
    <t>gowangroup.ie</t>
  </si>
  <si>
    <t>v=DMARC1; p=none; rua=mailto:alerts@gowanauto.ie; aspf=s;</t>
  </si>
  <si>
    <t>irishlights.ie</t>
  </si>
  <si>
    <t>v=spf1 include:spf.protection.outlook.com a:mail.irishlights.ie a:mail2.irishlights.ie include:spf.topsec.com ip4:46.22.130.48 ip4:81.17.250.120 ip4:213.234.110.133 ip4:165.72.200.104 -all</t>
  </si>
  <si>
    <t>v=DMARC1; p=quarantine; pct=100; rua=mailto:dmarc@irishlights.ie; ruf=mailto:dmarc@irishlights.ie; fo=1</t>
  </si>
  <si>
    <t>corkcollegeofcommerce.ie</t>
  </si>
  <si>
    <t>v=spf1 ip4:87.38.8.1/28 ip4:91.123.227.133 include:spf.protection.outlook.com -all</t>
  </si>
  <si>
    <t>v=DMARC1; p=quarantine; pct=100;</t>
  </si>
  <si>
    <t>coddmushrooms.ie</t>
  </si>
  <si>
    <t>v=spf1 ip4:78.143.141.126 include:spf.protection.outlook.com a:smtp.ripplecom.net -all</t>
  </si>
  <si>
    <t>ioh.ie</t>
  </si>
  <si>
    <t>v=spf1 a mx ip4:212.17.32.27 ip4:137.191.249.27 ip4:34.249.86.25 include:spf.protection.outlook.com ~all</t>
  </si>
  <si>
    <t>dromoland.ie</t>
  </si>
  <si>
    <t>v=spf1 include:spamtitan.tierneys.ie include:spf.protection.outlook.com ip4:34.251.246.197/32 ip4:34.254.147.8/32 ip4:168.245.122.106 ip4:50.31.43.115 ip4:167.89.97.89 ip4:168.245.107.93 ip4:168.245.125.123 ip4:168.245.52.34 ip4:168.245.64.103 ip4:167.89." "0.0/17 ip4:208.117.48.0/20 ip4:50.31.32.0/19 ip4:198.37.144.0/20 ip4:198.21.0.0/21 ip4:192.254.112.0/20 ip4:168.245.0.0/17 ip4:149.72.0.0/16 ip4:159.183.0.0/16 ip4:223.165.113.0/24 ip4:223.165.115.0/24 ip4:223.165.118.0/23 ip4:223.165.120.0/23 include:ora" "cleindustry.com -all</t>
  </si>
  <si>
    <t>v=DMARC1; p=none; sp=none; rua=mailto:dmarc@dromoland.ie</t>
  </si>
  <si>
    <t>mountjuliet.ie</t>
  </si>
  <si>
    <t>v=spf1 include:spf.protection.outlook.com include:netaffinity.net  include:mail.marriott.com include:mailhost.int.oracleindustry.com -all</t>
  </si>
  <si>
    <t>standardlife.ie</t>
  </si>
  <si>
    <t>v=spf1 include:aspmx.pardot.com include:eu._netblocks.mimecast.com include:spf.messagelabs.com include:authsmtp.com ~all</t>
  </si>
  <si>
    <t>v=DMARC1; p=quarantine; fo=1; pct=10; ri=3600; rua=mailto:standard-life@rua.agari.com; ruf=mailto:standard-life@ruf.agari.com</t>
  </si>
  <si>
    <t>virginmediatelevision.ie</t>
  </si>
  <si>
    <t>v=spf1 ip4:193.120.86.135 ip4:193.120.86.133 ip4:83.71.194.199 ip4:79.140.139.0/24 include:spf.liberty.biz include:lgsmtp.spf.upcmail.net include:mx.spf.upcmail.net include:custhelp.com include:nw010.com ~all</t>
  </si>
  <si>
    <t>v=DMARC1; p=reject; sp=reject; rua=mailto:jn2qdxcl@ag.eu.dmarcadvisor.com; ruf=mailto:jn2qdxcl@fr.eu.dmarcadvisor.com</t>
  </si>
  <si>
    <t>arise-europe.com</t>
  </si>
  <si>
    <t>v=spf1 ip4:193.120.127.172 include:spf.protection.outlook.com include:spf.smtp2go.com include:spf.hornetsecurity.com -all</t>
  </si>
  <si>
    <t>v=DMARC1; p=none; fo=1; rua= mailto:dmarc@6w95c0az.uriports.com; ruf= mailto:dmarc@6w95c0az.uriports.com</t>
  </si>
  <si>
    <t>rockwellautomation.com</t>
  </si>
  <si>
    <t>v=spf1 include:rockwellautomation.com._nspf.vali.email include:%{i}._ip.%{h}._ehlo.%{d}._spf.vali.email include:_netblocks.eloqua.com include:spf.protection.outlook.com -all</t>
  </si>
  <si>
    <t>v=DMARC1; p=reject; rua=mailto:dmarc_agg@vali.email; ruf=mailto:dmarc@rockwellautomation.com</t>
  </si>
  <si>
    <t>oneills.com</t>
  </si>
  <si>
    <t>v=spf1 ip4:46.37.184.107 ip4:46.37.184.110 ip4:46.37.184.116 ip4:46.37.184.150 ip4:46.37.184.151 include:_netblocks.mimecast.com include:mail.zendesk.com include:icpbounce.com include:_spf.bigcommerce.com ~all</t>
  </si>
  <si>
    <t>v=DMARC1;  p=none; rua=mailto:bf84b91d8a5c48c591da61de655e4363@dmarc-reports.cloudflare.net</t>
  </si>
  <si>
    <t>drinagh.com</t>
  </si>
  <si>
    <t>v=spf1 include:spf1.drinagh.com include:spf2.drinagh.com ip4:84.51.253.158 -all</t>
  </si>
  <si>
    <t>v=DMARC1; p=none; fo=1; rua=mailto:rua+drinagh.com@dmarc.barracudanetworks.com; ruf=mailto:ruf+drinagh.com@dmarc.barracudanetworks.com</t>
  </si>
  <si>
    <t>largofoods.ie</t>
  </si>
  <si>
    <t>c-a-m.com</t>
  </si>
  <si>
    <t>mowi.com</t>
  </si>
  <si>
    <t>gleneaglehotel.com</t>
  </si>
  <si>
    <t>v=spf1 mx include:guestline.net include:roomlynx.net include:spf.mandrillapp.com include:spf.protection.outlook.com include:authsmtp.com include:_spf.bookassist.com ip4:13.80.180.142 -all</t>
  </si>
  <si>
    <t>hertel.com</t>
  </si>
  <si>
    <t>v=spf1 include:smtp.luna.nl ip4:80.195.39.75 ip4:203.166.101.173 ip4:91.103.190.48/28 ip4:91.103.191.0/26 include:spf.protection.outlook.com -all</t>
  </si>
  <si>
    <t>v=DMARC1;p=reject;rua=mailto:dmarc_agg@vali.email</t>
  </si>
  <si>
    <t>debenhams.ie</t>
  </si>
  <si>
    <t>houseoffraser.co.uk</t>
  </si>
  <si>
    <t>v=spf1 ip4:77.86.28.73 ip4:86.17.5.233 ip4:86.17.5.229 ip4:195.11.175.229 ip4:109.176.84.229 include:hof.co.uk include:spf.protection.outlook.com include:email.freshdesk.com -all</t>
  </si>
  <si>
    <t>v=DMARC1; p=quarantine; rua=mailto:dmarc@frasers.group,mailto:dmarc_agg@dmarc.everest.email; ruf=mailto:forensics@frasers.group; pct=100</t>
  </si>
  <si>
    <t>https://bimi-host.250ok.com/740383_houseoffraser_co_uk.svg</t>
  </si>
  <si>
    <t>muiriosa.ie</t>
  </si>
  <si>
    <t>v=spf1 ip4:66.206.3.250 ip4:69.46.21.82 +a +mx +ip4:206.51.235.130 +ip4:185.56.137.57 +ip4:184.173.239.120 +include:spf.topsec.com +include:spf.protection.outlook.com ~all</t>
  </si>
  <si>
    <t>v=DMARC1; p=none; rua=mailto:pcs4akum@ag.eu.dmarcian.com;</t>
  </si>
  <si>
    <t>trendmicro.com</t>
  </si>
  <si>
    <t>v=spf1 mx include:_spf-mix.trendmicro.com include:spf-us.tmes.trendmicro.com include:mktomail.com include:spf.mandrillapp.com include:fc1503.cuenote.jp include:spf-euw1.docebopaas.com include:spf.protection.outlook.com -all</t>
  </si>
  <si>
    <t>v=DMARC1; p=quarantine; pct=100; rua=mailto:mad666@dmarcrua.tmes.trendmicro.com;</t>
  </si>
  <si>
    <t>https://vmc.digicert.com/dbf878e8-4fc9-4160-98b2-a888744432ee.svg</t>
  </si>
  <si>
    <t>citrix.com</t>
  </si>
  <si>
    <t>v=spf1 include:spf.citrix.com include:spf2.citrix.com include:_spf.google.com include:spf.protection.outlook.com include:spf_c.oraclecloud.com ~all</t>
  </si>
  <si>
    <t>v=DMARC1;p=reject;sp=reject;pct=100;rua=mailto:cvr05wpm@ag.dmarcian.com</t>
  </si>
  <si>
    <t>fineos.com</t>
  </si>
  <si>
    <t>v=spf1 include:pco3hvr0ok.spf.mailauth.ironscales.com ~all</t>
  </si>
  <si>
    <t>v=DMARC1; p=none; rua=mailto:cp5ngrvul0@rua.mailauth.ironscales.com; ruf=mailto:cp5ngrvul0@ruf.mailauth.ironscales.com; fo=1;</t>
  </si>
  <si>
    <t>guidewire.com</t>
  </si>
  <si>
    <t>v=spf1 redirect=4h8ltvx9._spf._d.mim.ec</t>
  </si>
  <si>
    <t>v=DMARC1; p=quarantine; rua=mailto:efcc33448d04048@rep.dmarcanalyzer.com; ruf=mailto:efcc33448d04048@for.dmarcanalyzer.com; fo=1;</t>
  </si>
  <si>
    <t>ncirl.ie</t>
  </si>
  <si>
    <t>v=spf1 ip4:193.1.209.100 ip4:20.54.73.47 ip4:20.93.10.149 ip4:10.60.26.5 ip4:78.153.205.252 ip4:78.153.203.204 ip4:193.1.245.136 include:spf2.ncirl.ie include:spf.protection.outlook.com include:spf.constantcontact.com include:457020.spf01.hubspotemail.net" " include:_spf.eu.messagegears.net include:spf.blacknight.com include:mail.zendesk.com -all</t>
  </si>
  <si>
    <t>dawnpork.com</t>
  </si>
  <si>
    <t>gecas.com</t>
  </si>
  <si>
    <t>europcar.ie</t>
  </si>
  <si>
    <t>v=spf1 ip4:35.241.224.202 ip4:200.69.13.211 ip4:78.153.196.52 ip4:23.251.129.185 ip4:77.107.224.190 ip4:77.107.224.134 ip4:66.39.66.3 ip4:216.92.31.3 mx:smtp.carhire.ie include:spf.mandrillapp.com include:spf.protection.outlook.com " "include:mail.zendesk.com include:servers.mcsv.net include:_spf.google.com -all</t>
  </si>
  <si>
    <t>v=DMARC1; p=none; rua=mailto:dmarcreports@europcar.com; ruf=mailto:dmarcreports@europcar.com; fo=1</t>
  </si>
  <si>
    <t>ncsr.ie</t>
  </si>
  <si>
    <t>joeduffybmw.ie</t>
  </si>
  <si>
    <t>v=spf1 ip4:86.47.92.229 include:spf.protection.outlook.com -all</t>
  </si>
  <si>
    <t>transdevireland.ie</t>
  </si>
  <si>
    <t>eurofins.com</t>
  </si>
  <si>
    <t>v=spf1 include:spf.eurofins.com -all</t>
  </si>
  <si>
    <t>v=DMARC1; p=reject; sp=none; fo=1; rua=mailto:dmarc_agg@vali.email</t>
  </si>
  <si>
    <t>irco.com</t>
  </si>
  <si>
    <t>v=spf1 include:spf.protection.outlook.com include:mail.zendesk.com include:servers.mcsv.net include:amazonses.com include:_spf.docboss.com include:_spfext1.irco.com include:_spf.act-on.net include:_spf.bullhornmail.com  include:_spf.salesforce.com ~all</t>
  </si>
  <si>
    <t>v=DMARC1; p=none; fo=1:d:s; pct=100; rua=mailto:dmarc.reports@irco.com;ruf=mailto:dmarc.reports@irco.com</t>
  </si>
  <si>
    <t>abbottireland.ie</t>
  </si>
  <si>
    <t>academyplazahotel.ie</t>
  </si>
  <si>
    <t>v=spf1 +ip4:66.102.134.64 +include:_spf.bookassist.com +include:oracleindustry.com ~all</t>
  </si>
  <si>
    <t>v=DMARC1; p=reject; sp=none; ri=86400</t>
  </si>
  <si>
    <t>travelportdigital.com</t>
  </si>
  <si>
    <t>jjrhatigan.com</t>
  </si>
  <si>
    <t>v=spf1 include:_netblocks.mimecast.com include:spf.protection.outlook.com ip4:52.50.162.44 include:24911332.spf03.hubspotemail.net ~all</t>
  </si>
  <si>
    <t>v=DMARC1; p=none; fo=1; rua=mailto:dmarc@sleepless.ie;ruf=mailto:dmarc@sleepless.ie;pct=100</t>
  </si>
  <si>
    <t>123.ie</t>
  </si>
  <si>
    <t>v=spf1 ip4:167.89.62.175 include:spf.protection.outlook.com include:spf.amris.com include:amazonses.com include:em3294.123.ie include:em529.123.ie ~all</t>
  </si>
  <si>
    <t>v=DMARC1; p=quarantine; pct=100; rua=mailto:fc603e11d5cd880@rep.dmarcanalyzer.com; ruf=mailto:fc603e11d5cd880@rep.dmarcanalyzer.com; fo=1;</t>
  </si>
  <si>
    <t>crawford.cit.ie</t>
  </si>
  <si>
    <t>brownbagfilms.com</t>
  </si>
  <si>
    <t>v=spf1 include:servers.mcsv.net a:brownbagfilms.com a:smtp.9story.com ip4:89.100.177.193 include:_spf.createsend.com include:spf.protection.outlook.com include:_spf.salesforce.com -all</t>
  </si>
  <si>
    <t>foylefoodgroup.com</t>
  </si>
  <si>
    <t>v=spf1 a:mail.foylefoodgroup.com ip4:62.254.244.100 ip4:164.100.1.8 include:spf.protection.outlook.com include:spf-eu.emailsignatures365.com -all</t>
  </si>
  <si>
    <t>v=DMARC1; p=reject; rua=mailto:postmaster1@foylefoodgroup.com; ruf=mailto:postmaster1@foylefoodgroup.com; rf=afrf; sp=reject; fo=0:1:d:s; pct=100; adkim=s; aspf=s</t>
  </si>
  <si>
    <t>orwellhealthcare.ie</t>
  </si>
  <si>
    <t>v=spf1 include:spf.protection.outlook.com include:smtp.ortuscloud.com -all</t>
  </si>
  <si>
    <t>kearys.ie</t>
  </si>
  <si>
    <t>v=spf1 +ip4:217.182.4.131 +include:spf.protection.outlook.com +include:amazonses.com +include:spf.mandrillapp.com +include:_spf.keyloop.io +ip4:89.101.132.201 +ip4:89.101.153.148 +ip4:89.234.93.74 +ip4:40.113.6.252 +ip4:84.203.112.121 -all</t>
  </si>
  <si>
    <t>securitasgroup.com</t>
  </si>
  <si>
    <t>v=spf1 a:mx101.securitasgroup.com a:mx102.securitasgroup.com a:mx41.securitas.com a:mx42.securitas.com include:spf.protection.outlook.com -all</t>
  </si>
  <si>
    <t>v=DMARC1; p=reject; rua=mailto:dmarc_RUA@securitas.net,mailto:dmarc_agg@vali.email; ruf=mailto:dmarc_RUF@securitas.net; fo=1; adkim=s; aspf=s;</t>
  </si>
  <si>
    <t>kaymedworld.com</t>
  </si>
  <si>
    <t>v=spf1  include:spf-lp.leggett.com include:spf-sf.leggett.com include:spfc1.leggett.com include:spf.protection.outlook.com include:spf-0003de01.pphosted.com -all</t>
  </si>
  <si>
    <t>imagine.ie</t>
  </si>
  <si>
    <t>v=spf1 mx a ip4:62.231.32.43/32 ip4:62.231.32.6/32 ip4:87.232.4.250/32</t>
  </si>
  <si>
    <t>donnelly.ie</t>
  </si>
  <si>
    <t>v=spf1 mx ip4:136.144.137.5 ip4:77.75.97.58 ip4:80.233.49.19 ip4:86.44.90.66 ip4:86.47.115.108 include:spf.protection.outlook.com include:spf1.emailsecurity.app -all</t>
  </si>
  <si>
    <t>harmac.com</t>
  </si>
  <si>
    <t>v=spf1 redirect=_su06l25nj.sdmarc.net</t>
  </si>
  <si>
    <t>v=DMARC1; p=quarantine; pct=100; rua=mailto:a.u06l25nj@sdmarc.net</t>
  </si>
  <si>
    <t>synergysecurity.ie</t>
  </si>
  <si>
    <t>heatmerchants.ie</t>
  </si>
  <si>
    <t>v=spf1 include:spf.protection.outlook.com include:spf.uk.odmad.quest-on-demand.com ip4:89.204.241.205 ip4:78.153.196.173 ip4:40.95.0.0/16 include:em8705.heatmerchants.ie -all</t>
  </si>
  <si>
    <t>v=DMARC1; p=quarantine; pct=100; rua=mailto:re+smrvmg53nr2@dmarc.postmarkapp.com</t>
  </si>
  <si>
    <t>sulzer.com</t>
  </si>
  <si>
    <t>v=spf1 include:_spf-a.sulzer.com include:_spf-b.sulzer.com include:_spf-c.sulzer.com -all</t>
  </si>
  <si>
    <t>v=DMARC1; p=reject; pct=100; rua=mailto:kldnwik0@ag.eu.dmarcian.com, mailto:DMARC.Reporting@sulzer.com;</t>
  </si>
  <si>
    <t>https://go.sulzer.com/icon-sulzer-blue</t>
  </si>
  <si>
    <t>essilor.ie</t>
  </si>
  <si>
    <t>v=spf1 ip4:193.242.17.196 ip4:10.156.4.11 ip4:20.74.40.218 ip4:20.74.40.219 include:spf.protection.outlook.com redirect=_spf.essilor.com</t>
  </si>
  <si>
    <t>v=DMARC1; p=quarantine; rua=mailto:dmarc-analysts@essilor.com; pct=100</t>
  </si>
  <si>
    <t>danone.ie</t>
  </si>
  <si>
    <t>coaction.ie</t>
  </si>
  <si>
    <t>dst.com</t>
  </si>
  <si>
    <t>wellman-intl.com</t>
  </si>
  <si>
    <t>v=spf1  ip4:77.75.97.250/32 ip4:92.111.202.91/32 ip4:37.58.174.195/32 include:spf.protection.outlook.com exists:%{i}.spf.hc815-95.ap.iphmx.com -all</t>
  </si>
  <si>
    <t>schneider-electric.ie</t>
  </si>
  <si>
    <t>v=spf1 include:schneider-electric.ie._nspf.vali.email include:%{i}._ip.%{h}._ehlo.%{d}._spf.vali.email -all</t>
  </si>
  <si>
    <t>ifac.ie</t>
  </si>
  <si>
    <t>v=spf1 a:spf.eu.exclaimer.net ip4:87.198.216.6 include:spf.protection.outlook.com include:26643687.spf04.hubspotemail.net include:_spf.psm.knowbe4.com -all</t>
  </si>
  <si>
    <t>frsrecruitment.com</t>
  </si>
  <si>
    <t>v=spf1 include:spf.protection.outlook.com include:7784363.spf06.hubspotemail.net -all</t>
  </si>
  <si>
    <t>pmgroup-global.com</t>
  </si>
  <si>
    <t>v=spf1 mx:pmgroupglobal-com01i.mail.protection.outlook.com ip4:89.31.174.249 ip4:89.31.174.253 ip4:89.31.175.115 include:spf.protection.outlook.com -all</t>
  </si>
  <si>
    <t>v=DMARC1; p=reject; rua=mailto:dmarc_agg@vali.email; pct=100</t>
  </si>
  <si>
    <t>pobal.ie</t>
  </si>
  <si>
    <t>v=spf1 include:spf.protection.outlook.com  include:servers.mcsv.net a:mail.pobal.ie a:mail2.pobal.ie  -all</t>
  </si>
  <si>
    <t>v=DMARC1; p=reject; pct=100; rua=mailto:l51dcoyx@ag.eu.dmarcian.com;</t>
  </si>
  <si>
    <t>garrettmotion.com</t>
  </si>
  <si>
    <t>v=spf1 include:%{d}.a8.spf-protect.agari.com exists:%{i}._i.%{d}._d.espf.agari.com -all</t>
  </si>
  <si>
    <t>v=DMARC1; p=quarantine; adkim=r; aspf=r; fo=1; pct=100; rf=afrf; ri=3600; rua=mailto:garrett@rua.agari.com,mailto:DMARC-RUA@garrettmotion.com; ruf=mailto:garrett@ruf.agari.com,mailto:DMARC-RUF@garrettmotion.com</t>
  </si>
  <si>
    <t>jpmorganchase.com</t>
  </si>
  <si>
    <t>v=spf1 a:spf.jpmchase.com ip4:207.162.228.0/24 ip4:207.162.229.0/24 ip4:207.162.225.0/24 ip4:196.37.232.50 ip4:159.53.46.0/24 ip4:159.53.36.0/24 ip4:159.53.110.0/24 ip4:170.148.48.0/24 ip4:159.53.78.0/24 -all</t>
  </si>
  <si>
    <t>v=DMARC1; p=reject; pct=100; rua=mailto:d@rua.agari.com; ruf=mailto:d@ruf.agari.com; fo=1</t>
  </si>
  <si>
    <t>thorntons-recycling.ie</t>
  </si>
  <si>
    <t>v=spf1 ip4:88.99.248.118 include:spf.mailjet.com include:spf.exclaimer.net include:spf.protection.outlook.com include:spf.theemaillaundry.net +include:_spf.thorntons-recycling.ie ~all</t>
  </si>
  <si>
    <t>v=DMARC1; p=none; rua=mailto:itadmin@thorntons-recycling.ie; ruf=mailto:itadmin@thorntons-recycling.ie</t>
  </si>
  <si>
    <t>barnarecycling.com</t>
  </si>
  <si>
    <t>v=spf1 include:spf.protection.outlook.com ip4:5.196.21.180 ip4:92.222.170.69 ip4:151.80.60.251 ip4:151.80.60.236 ip4:151.80.60.250 ip4:89.101.155.185 ip4:92.222.78.4 ip4:92.222.78.47 ip4:89.204.253.57 ip6:2001:41d0:52:bff::6b2 -all</t>
  </si>
  <si>
    <t>v=DMARC1; p=none; pct=100; rua=mailto:dmarc@barnarecycling.com</t>
  </si>
  <si>
    <t>ergogroup.ie</t>
  </si>
  <si>
    <t>v=spf1 include:spf.protection.outlook.com ip4:89.101.157.129 ip4:89.101.157.157 ip4:89.28.178.26 ip4:89.28.178.25 ip4:89.100.182.218 ip4:89.28.178.81 ip4:89.28.178.82 ip4:79.125.7.9 ip4:149.72.39.215 ip4:149.72.182.166 ip4:20.67.167.80 ip4:93.94.118.106 i" "nclude:_spf.cloudmore.com include:_spf.bullhornmail.com include:emsd1.com -all</t>
  </si>
  <si>
    <t>v=DMARC1;p=quarantine; rua=mailto:IT.Suggestions@ergogroup.ie; ruf=mailto:IT.Suggestions@ergogroup.ie;</t>
  </si>
  <si>
    <t>varietyconnect.com</t>
  </si>
  <si>
    <t>shaymurtagh.com</t>
  </si>
  <si>
    <t>v=spf1 ip4:178.250.116.30 include:spf.protection.outlook.com -all</t>
  </si>
  <si>
    <t>corporatecateringservices.ie</t>
  </si>
  <si>
    <t>crc.ie</t>
  </si>
  <si>
    <t>v=spf1 include:spf.irishdomains.com include:spf.protection.outlook.com include:spf.zendesk.com ip4:83.98.160.225 ip4:77.107.210.71  -all</t>
  </si>
  <si>
    <t>v=DMARC1; p=reject; pct=85; rua=mailto:dmarc@crc.ie; ruf=mailto:dmarc@crc.ie;</t>
  </si>
  <si>
    <t>failteireland.ie</t>
  </si>
  <si>
    <t>v=spf1 mx a ip4:137.191.231.4 ip4:137.191.231.37 include:customers.clickdimensions.com include:emaileu.clickdimensions.com include:spf.protection.outlook.com include:_spf.eu.messagegears.net -all</t>
  </si>
  <si>
    <t>v=DMARC1;p=none;pct=100;rua=mailto:rua_dmarc_fi@failteireland.ie;ruf=mailto:rua_dmarc_fi@failteireland.ie;</t>
  </si>
  <si>
    <t>leitrimcoco.ie</t>
  </si>
  <si>
    <t>v=spf1 a include:spf.protection.outlook.com include:spf.topsec.com include:7aad1ae4-spf.mta.getcheckrecipient.com ip4:172.30.0.150 ip4:34.253.61.97 ip4:172.30.0.25 ip4:213.143.154.166 -all</t>
  </si>
  <si>
    <t>longfordcoco.ie</t>
  </si>
  <si>
    <t>v=spf1 include:spf.topsec.com include:spf.protection.outlook.com ip4:137.191.227.114 ip4:213.143.154.166 include:amazonses.com -all</t>
  </si>
  <si>
    <t>v=DMARC1;p=reject;sp=reject;fo=1</t>
  </si>
  <si>
    <t>meath.ie</t>
  </si>
  <si>
    <t>v=spf1 include:spf.topsec.com include:sendgrid.net -all</t>
  </si>
  <si>
    <t>v=DMARC1; p=reject; pct=100; fo=1; ri=3600; rua=mailto:e288ef16@inbox.ondmarc.com; ruf=mailto:e288ef16@inbox.ondmarc.com;</t>
  </si>
  <si>
    <t>samdennigan.ie</t>
  </si>
  <si>
    <t>v=spf1 include:_u.samdennigan.ie._spf.smart.ondmarc.com include:autotask.net ~all</t>
  </si>
  <si>
    <t>v=DMARC1; p=reject; pct=100; fo=1; ri=3600; rua=mailto:1a447143@inbox.ondmarc.com; ruf=mailto:1a447143@inbox.ondmarc.com;</t>
  </si>
  <si>
    <t>rhd.ie</t>
  </si>
  <si>
    <t>v=spf1 a mx include:spf.topsec.com ip4:89.101.122.74 ip4:51.171.241.231 include:spf.protection.outlook.com ~all</t>
  </si>
  <si>
    <t>irishferries.com</t>
  </si>
  <si>
    <t>v=spf1 mx include:spf.protection.outlook.com include:iphmx.com ~all</t>
  </si>
  <si>
    <t>v=DMARC1; p=none; rua=mailto:65d5cee830a03@ag.eu.dmarcly.com; ruf=mailto:65d5cee830a03@fo.eu.dmarcly.com; sp=none;</t>
  </si>
  <si>
    <t>dornan.ie</t>
  </si>
  <si>
    <t>v=spf1 include:spf.protection.outlook.com include:spf.elive.net ip4:88.208.202.0/24 ip4:91.142.107.250 ip4:84.39.234.230 -all</t>
  </si>
  <si>
    <t>v=DMARC1; p=quarantine; rua=mailto:support@dornangroup.com</t>
  </si>
  <si>
    <t>takeda.ie</t>
  </si>
  <si>
    <t>v=spf1 include:spf-00297f01.pphosted.com include:spf.protection.outlook.com -all</t>
  </si>
  <si>
    <t>laganasphaltgroup.com</t>
  </si>
  <si>
    <t>v=spf1 ?include:spf.protection.outlook.com include:_netblocks.mimecast.com -all</t>
  </si>
  <si>
    <t>bruss.de</t>
  </si>
  <si>
    <t>v=spf1 include:antispameurope.com ~all</t>
  </si>
  <si>
    <t>freshwaysfoodco.ie</t>
  </si>
  <si>
    <t>cleanrooms.ie</t>
  </si>
  <si>
    <t>elavon.com</t>
  </si>
  <si>
    <t>v=spf1 include:usbank.com -all</t>
  </si>
  <si>
    <t>v=DMARC1;p=none;rua=mailto:us-bank@rua.agari.com;ruf=mailto:us-bank@ruf.agari.com,mailto:dmarc-3115449949@email-security.zerofox.com;fo=1</t>
  </si>
  <si>
    <t>dhl.ie</t>
  </si>
  <si>
    <t>v=DMARC1; p=reject; fo=0; rua=mailto:dmarc-reports@dhl.com;</t>
  </si>
  <si>
    <t>abiireland.ie</t>
  </si>
  <si>
    <t>v=spf1 ip4:148.251.151.47 ip4:136.243.37.102 include:mail1.wpengine.com include:spf.protection.outlook.com include:ne16.com include:_spf.distribution.vueliopm.com mx -all</t>
  </si>
  <si>
    <t>v=DMARC1;p=none;pct=5;aspf=r;adkim=r;</t>
  </si>
  <si>
    <t>verizonconnect.com</t>
  </si>
  <si>
    <t>v=DMARC1; p=reject; fo=1; rua=mailto:dmarc_agg@verizonconnect.com; ruf=mailto:dmarc_afrf@verizonconnect.com</t>
  </si>
  <si>
    <t>hiltonfoodgroup.com</t>
  </si>
  <si>
    <t>v=spf1 ip4:3.9.178.233 include:hiltonfoods.com -all</t>
  </si>
  <si>
    <t>v=DMARC1;p=quarantine;rua=mailto:dmarc-rua@hiltonfoodgroup.com</t>
  </si>
  <si>
    <t>kare.ie</t>
  </si>
  <si>
    <t>v=spf1 ip4:83.70.132.114 ip4:83.70.132.115 ip4:83.70.132.116 include:spf.protection.outlook.com</t>
  </si>
  <si>
    <t>soskilkenny.com</t>
  </si>
  <si>
    <t>v=spf1 ip4:184.173.239.120  ip4:93.107.225.247 a mx include:websitewelcome.com include:spf.protection.outlook.com ~all</t>
  </si>
  <si>
    <t>stcatherines.ie</t>
  </si>
  <si>
    <t>v=spf1 include:spf.protection.outlook.com include:spf.ess.de.barracudanetworks.com include:reflexion.net include:spf-eu.emailsignatures365.com  -all</t>
  </si>
  <si>
    <t>v=DMARC1; p=quarantine; rua=mailto:dmarc-reports@stcatherines.ie; ruf=mailto:dmarc-failures@stcatherines.ie; sp=none; aspf=r;</t>
  </si>
  <si>
    <t>kennedysecurity.com</t>
  </si>
  <si>
    <t>v=spf1 a mx ptr include:secureserver.net ~all</t>
  </si>
  <si>
    <t>greenislefoods.ie</t>
  </si>
  <si>
    <t>v=spf1 ip4:85.92.70.50 ip4:85.92.70.3 ip4:85.92.70.4 include:spf.protection.outlook.com include:_spf.salesforce.com ip4:146.101.246.71 ip4:62.252.24.150 ip4:62.252.24.183 ip4:62.252.24.215 ip4:185.190.204.44 -all</t>
  </si>
  <si>
    <t>carrollcuisine.ie</t>
  </si>
  <si>
    <t>v=spf1 ip4:212.139.78.102 ip4:212.139.78.106 include:spf.protection.outlook.com include:spf.ess.uk.barracudanetworks.com -all</t>
  </si>
  <si>
    <t>v=DMARC1; p=reject; fo=1; rua=mailto:rua+carrollcuisine.ie@dmarc.barracudanetworks.com; ruf=mailto:ruf+carrollcuisine.ie@dmarc.barracudanetworks.com</t>
  </si>
  <si>
    <t>stmichaels.ie</t>
  </si>
  <si>
    <t>v=spf1 mx a include:spf.topsec.com include:gmail.com ip4:139.59.178.253 ip4:34.252.150.181 ip4:137.191.237.229 include:spf.uk.exclaimer.net ~all</t>
  </si>
  <si>
    <t>milfordcare.ie</t>
  </si>
  <si>
    <t>applegreen.ie</t>
  </si>
  <si>
    <t>v=spf1 ip4:13.74.158.205 ip4:40.67.254.2 ip4:193.35.58.23 ip4:193.35.58.25 ip4:168.245.121.158 ip4:37.98.232.26 ip4:8.31.233.198 ip4:8.31.233.199 ip4:185.135.165.212 ip4:185.135.165.215 ip4:185.135.165.214 ip4:185.135.165.213 ip4:83.219.47.91 ip4:83.219.4" "7.93 ip4:83.219.47.92 ip4:83.219.47.94 ip4:193.155.1.213 ip4:46.34.83.110 ip4:109.169.8.236 ip4:206.222.191.207 include:spf.protection.outlook.com include:mail.zendesk.com include:spf.sendinblue.com include:authsmtp.com include:compuservelive.co.uk includ" "e:spf-003c6d02.pphosted.com -all</t>
  </si>
  <si>
    <t>v=DMARC1; p=quarantine; rua=mailto:dmarc.notifications@applegreen.ie,mailto:64908743@mxtoolbox.dmarc-report.com; ruf=mailto:dmarc.notifications@applegreen.ie,mailto:64908743@forensics.dmarc-report.com; fo=1; pct=100</t>
  </si>
  <si>
    <t>primark.co.uk</t>
  </si>
  <si>
    <t>v=spf1 ip4:194.165.190.12 ip4:62.128.204.105 ip4:109.169.13.3 ip4:109.169.13.4 ip4:109.169.13.12 ip4:194.216.214.90 ip4:194.216.214.91 ip4:194.216.214.92 ip4:216.244.123.132 ip4:216.244.123.134 ip4:193.120.224.97 ip4:193.120.224.98 ip4:3.9.192.52 ip4:18.1" "30.170.225 mx include:spf.protection.outlook.com ~all</t>
  </si>
  <si>
    <t>meadowsandbyrne.com</t>
  </si>
  <si>
    <t>v=spf1 ip4:46.21.227.70 include:spf.meadowsprod.hypernode.io include:relay.mailchannels.net include:spf.topsec.com include:spf.protection.outlook.com ~all</t>
  </si>
  <si>
    <t>v=DMARC1;p=none;sp=none;rua=mailto:4b9c19cde23549a196e39aa3b6776916@dmarc-reports.cloudflare.net,mailto:211a5a2e44@rua.easydmarc.eu;ruf=mailto:211a5a2e44@ruf.easydmarc.eu;fo=1</t>
  </si>
  <si>
    <t>stllogistics.ie</t>
  </si>
  <si>
    <t>v=spf1  ip4:91.223.9.32   include:spf.protection.outlook.com include:spf.elive.net  ~all</t>
  </si>
  <si>
    <t>v=DMARC1; p=none; rua=mailto:hostmaster@stllogistics.ie; ruf=mailto:hostmaster@stllogistics.ie; fo=1</t>
  </si>
  <si>
    <t>spd.dcu.ie</t>
  </si>
  <si>
    <t>v=DMARC1; p=reject; rua=mailto:xp52vxju@ag.eu.dmarcian.com; ruf=mailto:xp52vxju@fr.eu.dmarcian.com;</t>
  </si>
  <si>
    <t>lcfe.ie</t>
  </si>
  <si>
    <t>v=spf1 ip4:173.240.221.0/24 ip4:193.1.31.2/32 ip4:91.210.232.100/32 ip4:195.7.48.162/32 ip4:84.23.8.59/32  a:mail.lcetb.ie -all</t>
  </si>
  <si>
    <t>coca-colabottlers.com</t>
  </si>
  <si>
    <t>celestica.com</t>
  </si>
  <si>
    <t>v=spf1 include:spf.boardbooks.com include:_spf.google.com include:_spf.kinaxis.com ip4:32.96.234.104 ip4:32.96.234.119 ip4:149.72.199.202 include:_spf-dc2.successfactors.com include:spf1.celestica.com include:mercurygate.net -all</t>
  </si>
  <si>
    <t>v=DMARC1; p=reject; rua=mailto:igb9wr76@ag.us.dmarcian.com; ruf=mailto:igb9wr76@fr.us.dmarcian.com; fo=1; adkim=s; aspf=s;</t>
  </si>
  <si>
    <t>https://www.celestica.com/static/images/logo_celestica_icon.svg</t>
  </si>
  <si>
    <t>xilinx.com</t>
  </si>
  <si>
    <t>v=spf1 include:spf.protection.outlook.com include:amazonses.com include:smtpspf.xilinx.com include:oktaspf.xilinx.com include:_spf.salesforce.com -all</t>
  </si>
  <si>
    <t>sysnetglobal.com</t>
  </si>
  <si>
    <t>v=spf1 ip4:172.105.33.223 ip4:13.235.234.103 ip4:52.199.95.254 ip4:172.105.201.124 include:_spf.google.com include:spf.protection.outlook.com ~all</t>
  </si>
  <si>
    <t>v=DMARC1; p=none; rua=mailto:dmarc@sysnetglobal.com; ruf=mailto:dmarc@sysnetglobal.com</t>
  </si>
  <si>
    <t>milfordcarecentre.ie</t>
  </si>
  <si>
    <t>v=spf1 include:spf.protection.outlook.com ip4:137.191.244.34/32 ip4:185.2.67.195/32 ip4:89.100.207.186/32 include:_spf.smtp.com +ip4:91.210.235.23 -all</t>
  </si>
  <si>
    <t>v=DMARC1;p=none; rua=mailto:185b48641cba.a@dmarcinput.com; ruf=mailto:185b48641cba.f@dmarcinput.com; fo=1</t>
  </si>
  <si>
    <t>monaghan.ie</t>
  </si>
  <si>
    <t>v=DMARC1;p=reject;rua=mailto:621dc3d1@inbox.ondmarc.com,mailto:211a5a2e44@rua.easydmarc.eu;ruf=mailto:621dc3d1@inbox.ondmarc.com,mailto:211a5a2e44@ruf.easydmarc.eu;ri=3600;fo=1;</t>
  </si>
  <si>
    <t>stpatrickskilkenny.ie</t>
  </si>
  <si>
    <t>v=spf1 ip4:93.107.51.173 include:spf.protection.outlook.com -all</t>
  </si>
  <si>
    <t>europcarfleet.ie</t>
  </si>
  <si>
    <t>v=spf1 ip4:23.251.129.185 mx a ip4:77.107.224.190 ip4:77.107.224.134 include:spf.protection.outlook.com include:spf.mandrillapp.com include:aspmx.pardot.com include:_spf.google.com -all</t>
  </si>
  <si>
    <t>v=DMARC1; p=none;  rua=mailto:dmarc-postmaster@carhire.ie</t>
  </si>
  <si>
    <t>goodbody.ie</t>
  </si>
  <si>
    <t>v=spf1 include:_netblocks.mimecast.com include:spf.protection.outlook.com ip4:34.245.210.0/24 ip4:217.114.170.20 ip4:20.105.125.139 ip4:168.245.100.242 ip4:166.78.69.134 ip4:166.78.69.156 ip4:166.78.69.90 -all</t>
  </si>
  <si>
    <t>v=DMARC1; p=none; rua=mailto:dmarc_agg@vali.email,mailto:dmarc-rua@goodbody.ie;ruf=mailto:dmarc-ruf@goodbody.ie;</t>
  </si>
  <si>
    <t>idaireland.com</t>
  </si>
  <si>
    <t>v=spf1 a mx ip4:34.240.144.78/32 include:spf.protection.outlook.com include:sendgrid.net -all</t>
  </si>
  <si>
    <t>rveeh.ie</t>
  </si>
  <si>
    <t>v=spf1 include:spf.protection.outlook.com mx a include:eu._netblocks.mimecast.com include:spf.mandrillapp.com -all</t>
  </si>
  <si>
    <t>v=DMARC1; p=reject; rua=mailto:dmarc@rveeh.ie; ruf=mailto:dmarc@rveeh.ie; fo=1;</t>
  </si>
  <si>
    <t>byrnewallace.com</t>
  </si>
  <si>
    <t>v=spf1 include:_u.byrnewallace.com._spf.smart.ondmarc.com include:spf.protection.outlook.com ~all</t>
  </si>
  <si>
    <t>v=DMARC1; p=reject; pct=100; fo=1; ri=3600; rua=mailto:85897840@inbox.ondmarc.com; ruf=mailto:85897840@inbox.ondmarc.com;</t>
  </si>
  <si>
    <t>waters.com</t>
  </si>
  <si>
    <t>v=spf1 include:%{ir}.%{v}.%{d}.spf.has.pphosted.com include:mktomail.com ~all</t>
  </si>
  <si>
    <t>bmd.ie</t>
  </si>
  <si>
    <t>v=spf1 ip4:86.43.79.190/32 ip4:84.203.232.122/32 ip4:82.141.243.65/32 include:_spf.psm.knowbe4.com include:spf.protection.outlook.com -all</t>
  </si>
  <si>
    <t>cftooling.ie</t>
  </si>
  <si>
    <t>v=spf1 +a +mx +ip4:92.51.192.106 +ip4:66.206.3.250 +ip4:23.111.150.205 include:spf.protection.outlook.com -all</t>
  </si>
  <si>
    <t>liffeymeats.ie</t>
  </si>
  <si>
    <t>v=spf1 include:_u.liffeymeats.ie._spf.smart.ondmarc.com include:autotask.net ~all</t>
  </si>
  <si>
    <t>v=DMARC1; p=reject; pct=100; fo=1; ri=3600; rua=mailto:df16d9d3@inbox.ondmarc.com; ruf=mailto:df16d9d3@inbox.ondmarc.com;</t>
  </si>
  <si>
    <t>naturesbest.ie</t>
  </si>
  <si>
    <t>v=spf1 include:_spf.fortimailcloud.com -all</t>
  </si>
  <si>
    <t>v=DMARC1; p=quarantine; rua=mailto:dmarc@naturesbest.ie</t>
  </si>
  <si>
    <t>mylan.com</t>
  </si>
  <si>
    <t>v=spf1 include:ae.veevasystems.com include:spf.protection.outlook.com include:_spf.salesforce.com " "ip4:15.236.69.105 ip4:15.237.135.34 ip4:15.237.15.123 ip4:15.237.87.152 ip4:3.11.34.38 ip4:3.208.181.63 ip4:3.214.101.174 " "ip4:3.225.231.107 ip4:3.64.226.212 ip4:3.6.183.60 ip4:3.93.139.220 ip4:35.181.116.59 ip4:35.181.132.64 ip4:35.181.14.41 " "ip4:35.181.15.25 ip4:35.181.2.234 ip4:35.181.39.186 ip4:35.181.71.70 ip4:52.47.57.19 ip4:80.149.217.102 ~all</t>
  </si>
  <si>
    <t>quintiles.com</t>
  </si>
  <si>
    <t>kilsaran.ie</t>
  </si>
  <si>
    <t>v=spf1 include:spf.protection.outlook.com include:spf.smtp2go.com include:spf.hornetsecurity.com include:spf.EU.exclaimer.net -all</t>
  </si>
  <si>
    <t>v=DMARC1; p=quarantine; sp=quarantine; fo=1; rua=mailto:dmarc@6w95c0az.uriports.com,mailto:dmarc@kilsaran.ie; ruf=mailto:dmarc@6w95c0az.uriports.com,mailto:dmarc@kilsaran.ie; pct=100;</t>
  </si>
  <si>
    <t>iralco.ie</t>
  </si>
  <si>
    <t>cws.ie</t>
  </si>
  <si>
    <t>sunbeam.ie</t>
  </si>
  <si>
    <t>v=spf1 include:spf.protection.outlook.com ip4:168.245.121.45 ip4:46.22.142.18 ip4:79.170.244.155 ip4:79.170.244.156 ip4:89.185.150.155 a:87-198-187-162.static.ptr.magnet.ie -all</t>
  </si>
  <si>
    <t>eirgrid.com</t>
  </si>
  <si>
    <t>lisheenmine.ie</t>
  </si>
  <si>
    <t>v=spf1 include:spf.protection.outlook.com include:mail1.lisheenmine.ie -all</t>
  </si>
  <si>
    <t>friendsfirst.ie</t>
  </si>
  <si>
    <t>v=spf1 mx a:securemail.friendsfirst.ie include:spf.protection.outlook.com -all</t>
  </si>
  <si>
    <t>carlow.ie</t>
  </si>
  <si>
    <t>v=DMARC1; p=none; rua=mailto:eoin@carlow.ie</t>
  </si>
  <si>
    <t>finance.gov.ie</t>
  </si>
  <si>
    <t>v=spf1 ip4:137.191.249.114 ip4:137.191.246.70 include:spfext.itservices.gov.ie -all</t>
  </si>
  <si>
    <t>stjohnshospital.ie</t>
  </si>
  <si>
    <t>v=spf1 include:spf.protection.outlook.com a:spamtitan.stjohnshospital.ie a:notification.fortinet.net ~all</t>
  </si>
  <si>
    <t>slieverussell.ie</t>
  </si>
  <si>
    <t>v=spf1 ip4:89.127.244.218 include:spf.protection.outlook.com ip4:194.168.134.136 include:sendgrid.net include:oracleindustry.com include:iresthotels.com include:authsmtp.com ~all</t>
  </si>
  <si>
    <t>capita.ie</t>
  </si>
  <si>
    <t>v=spf1 include:mailcontrol.com include:spf.protection.outlook.com ~all</t>
  </si>
  <si>
    <t>v=DMARC1; p=reject; aspf=r; adkim=r</t>
  </si>
  <si>
    <t>hsbc.ie</t>
  </si>
  <si>
    <t>v=DMARC1; p=reject; fo=1; ri=3600; rua=mailto:dmarc_rua@emaildefense.proofpoint.com; ruf=mailto:dmarc_ruf@emaildefense.proofpoint.com;</t>
  </si>
  <si>
    <t>sjp.co.uk</t>
  </si>
  <si>
    <t>v=spf1 include:spf.sjp.co.uk include:spf1.sjp.co.uk include:spf2.sjp.co.uk ip4:185.70.168.20 ip4:148.59.101.16/28 ip4:108.129.7.134 ip4:143.55.144.116 ip4:185.183.30.23 ip4:52.211.172.205 -all</t>
  </si>
  <si>
    <t>v=DMARC1; p=reject; fo=1; rua=mailto:dmarc_rua@emaildefense.proofpoint.com,mailto:d9c52843eaef440@rep.dmarcanalyzer.com; ruf=mailto:dmarc_ruf@emaildefense.proofpoint.com,mailto:d9c52843eaef440@for.dmarcanalyzer.com</t>
  </si>
  <si>
    <t>https://vmc.digicert.com/98cbc47f-f655-4442-88ff-90786246db14.svg</t>
  </si>
  <si>
    <t>clearstream.ie</t>
  </si>
  <si>
    <t>v=DMARC1; p=reject; rua=mailto:dmarc_agg@vali.email; ruf=mailto:NDYyOTU1@ruf.vali.email; fo=1</t>
  </si>
  <si>
    <t>takeda.com</t>
  </si>
  <si>
    <t>v=spf1 include:spf-00297f01.pphosted.com include:spf.protection.outlook.com ~all</t>
  </si>
  <si>
    <t>veolia.ie</t>
  </si>
  <si>
    <t>clearstream.com</t>
  </si>
  <si>
    <t>v=spf1 mx ip4:193.29.81.252/32 ip4:193.29.81.251/32 ip4:194.36.229.250/32 ip4:194.36.229.251/32 include:dbgmail.net -all</t>
  </si>
  <si>
    <t>v=DMARC1;p=reject;ruf=mailto:email.security@clearstream.com;fo=0</t>
  </si>
  <si>
    <t>slaney.com</t>
  </si>
  <si>
    <t>v=spf1 mx a include:slaney.com -all</t>
  </si>
  <si>
    <t>westernbrandgroup.ie</t>
  </si>
  <si>
    <t>windhoist.ie</t>
  </si>
  <si>
    <t>associatedrewinds.com</t>
  </si>
  <si>
    <t>v=spf1 a mx ip4:217.115.116.22 ip4:217.115.113.36 ip4:217.115.113.73 ip4:217.115.113.24 include:spf.antispamcloud.com ~all</t>
  </si>
  <si>
    <t>cartamundi.com</t>
  </si>
  <si>
    <t>v=spf1 ip4:54.75.233.119/32 ip4:52.17.229.211/32 ip4:81.188.106.128/27 ip4:81.188.93.64/27 ip4:84.198.249.0/28 ip4:151.181.49.64/27 include:de._netblocks.mimecast.com include:spf.mandrillapp.com include:servers.mcsv.net include:spf.sendinblue.com include:" "spf.protection.outlook.com include:_spf.salesforce.com -all</t>
  </si>
  <si>
    <t>v=DMARC1; p=none; sp=reject; rua=mailto:728ec9044bda281@rep.dmarcanalyzer.com, mailto:sbatx4b6@ag.eu.dmarcadvisor.com; ruf=mailto:728ec9044bda281@rep.dmarcanalyzer.com, mailto:sbatx4b6@fr.eu.dmarcadvisor.com;</t>
  </si>
  <si>
    <t>cityjet.com</t>
  </si>
  <si>
    <t>v=spf1 include:spf.protection.outlook.com include:msg-out._spf.f24cim.com include:em3997.cascadecloud.co.uk ip4:83.71.134.224/27 ip4:34.241.133.140 ip4:134.213.195.176 ip4:92.254.125.237 ip4:193.110.199.49 -all</t>
  </si>
  <si>
    <t>v=DMARC1; p=quarantine; rua=mailto:dmarc-reports@cityjet.com; ruf=mailto:dmarc-forensics@cityjet.com;ri=86400; adkim=s;aspf=s;fo=1;</t>
  </si>
  <si>
    <t>mic.ul.ie</t>
  </si>
  <si>
    <t>v=spf1 ip4:193.1.98.40 include:spf.protection.outlook.com include:eu.zcsend.net ip4:193.1.102.160 ip4:193.1.102.174 ip4:193.1.101.155  ip4:193.1.101.156 -all</t>
  </si>
  <si>
    <t>v=DMARC1; p=reject ;pct=100 ; rua=mailto:ictalerts@mic.ul.ie</t>
  </si>
  <si>
    <t>evros.ie</t>
  </si>
  <si>
    <t>v=spf1 mx a ip4:146.0.48.0/21 ip4:185.5.240.0/22 " "ip4:185.217.59.0/24 ip4:74.127.26.11 ip4:52.129.17.4 ip4:168.245.49.92 ip4:167.89.62.239 include:autotask.net include:spf.protection.outlook.com include:_spf-mailon-us-1.spamtitan.com include:_mailoutspf.cygrids.net ip4:91.220.45.0/24 -all</t>
  </si>
  <si>
    <t>v=DMARC1; p=reject; adkim=s; aspf=s; fo=1; rua=mailto:abuse@evros.ie; ruf=mailto:abuse@evros.ie</t>
  </si>
  <si>
    <t>pinewood.ie</t>
  </si>
  <si>
    <t>v=spf1 mx a ip4:62.77.190.180 ip4:62.77.190.183 ip4:62.77.190.179 ip4:121.240.38.60 ip4:103.159.41.110 a:mailr2.wockhardt.com -all</t>
  </si>
  <si>
    <t>v=DMARC1; p=none; rua=mailto:45-44-0821@aquilai.net; ruf=mailto:45-44-0821-f@aquilai.net; fo=1</t>
  </si>
  <si>
    <t>moduslink.com</t>
  </si>
  <si>
    <t>v=spf1 ip4:216.245.20.34 ip4:216.245.20.220 ip4:216.245.51.34 ip4:216.245.51.154 include:_spf.salesforce.com include:spf.protection.outlook.com include:38775.spf07.hubspotemail.net -all</t>
  </si>
  <si>
    <t>v=DMARC1; p=reject; rua=mailto:itrua@moduslink.com; ruf=mailto:itruf@moduslink.com; fo=1;</t>
  </si>
  <si>
    <t>jabil.com</t>
  </si>
  <si>
    <t>v=spf1 include:aspmx.pardot.com include:spf.protection.outlook.com include:spf.polydyne.com include:servers.mcsv.net include:amazonses.com include:47531300.spf01.hubspotemail.net " "a:b.spf.service-now.com a:c.spf.service-now.com a:d.spf.service-now.com " "ip4:8.14.198.160/31 ip4:8.14.198.235 ip4:8.14.198.237 ip4:65.205.13.181 ip4:5.61.117.80/28 ip4:63.65.31.241 ip4:69.31.5.41 -all</t>
  </si>
  <si>
    <t>v=DMARC1; p=quarantine; rua=mailto:DMARC_reporting@jabil.com; ruf=mailto:DMARC_reporting@jabil.com; pct=100; fo=1:d:s</t>
  </si>
  <si>
    <t>willistowerswatson.com</t>
  </si>
  <si>
    <t>v=DMARC1; p=reject; fo=1; rua=mailto:dmarc_agg@vali.email</t>
  </si>
  <si>
    <t>nrh.ie</t>
  </si>
  <si>
    <t>v=spf1 ip4:137.191.224.10 ip4:137.191.224.140 ip4:137.191.239.3 include:spf.protection.outlook.com include:spf.topsec.com include:email.freshdesk.com -all</t>
  </si>
  <si>
    <t>v=DMARC1;p=none;sp=reject;rua=mailto:211a5a2e44@rua.easydmarc.eu;ruf=mailto:211a5a2e44@ruf.easydmarc.eu;fo=1</t>
  </si>
  <si>
    <t>ittralee.ie</t>
  </si>
  <si>
    <t>v=spf1 ip4:193.120.143.134 ip4:34.250.42.90 ip4:193.1.234.12 ip4:52.215.76.190 ip4:193.1.178.21 include:spf.protection.outlook.com +a +mx -all</t>
  </si>
  <si>
    <t>v=DMARC1; p=quarantine; pct=100; sp=none; rua=mailto:svc_dmarc@mtu.ie</t>
  </si>
  <si>
    <t>dairymaster.com</t>
  </si>
  <si>
    <t>v=spf1 include:spf.protection.outlook.com ip4:185.8.112.72 a:gorlois.blacknight.ie include:_spf.act-on.net include:send.zcsend.eu a mx ~all</t>
  </si>
  <si>
    <t>v=DMARC1; p=quarantine; rua=mailto:dairymaster@eu.cp-dmarc.com; ruf=mailto:dairymaster@eu.cp-dmarc.com; fo=1; pct=100; adkim=r; aspf=r</t>
  </si>
  <si>
    <t>rehab.ie</t>
  </si>
  <si>
    <t>v=DMARC1; p=reject; sp=reject; rua=mailto:kh63j5azfi@rua.powerdmarc.com; ruf=mailto:kh63j5azfi@ruf.powerdmarc.com; pct=100; fo=0:1;</t>
  </si>
  <si>
    <t>https://app.powerbimi.com/15507/fe8ed087-b525-471f-b4c9-32e50b37dd5d.svg</t>
  </si>
  <si>
    <t>combilift.com</t>
  </si>
  <si>
    <t>v=spf1 include:eu._netblocks.mimecast.com a:parts.combiliftspareparts.com include:spf.protection.outlook.com include:_spf.ricambio.net include:_spf.mailspamprotection.com include:relay.mailchannels.net ip4:77.104.175.79 ip4:192.161.144.0/20 ip4:185.12.80." "0/22 ip4:188.172.128.0/20 ip4:216.198.0.0/18 ip4:185.56.84.4 ip4:185.56.84.9 ip4:185.56.84.19 ip4:167.89.0.0/17 ip4:208.117.48.0/20 ip4:50.31.32.0/19 ip4:198.37.144.0/20 ip4:198.21.0.0/21 ip4:192.254.112.0/20 ip4:168.245.0.0/17 ip4:149.72.0.0/16 ip4:159.1" "83.0.0/16 ~all</t>
  </si>
  <si>
    <t>v=DMARC1; p=reject; rua=mailto:1dd639777cd8332@rep.dmarcanalyzer.com; ruf=mailto:1dd639777cd8332@for.dmarcanalyzer.com; fo=1;</t>
  </si>
  <si>
    <t>gilead.com</t>
  </si>
  <si>
    <t>v=DMARC1; p=none; pct=100; fo=1; rua=mailto:dmarcreport@gilead.com,mailto:dmarc_rua@emaildefense.proofpoint.com; ruf=mailto:dmarc_ruf@emaildefense.proofpoint.com</t>
  </si>
  <si>
    <t>wisetek.net</t>
  </si>
  <si>
    <t>v=spf1 exists:%{i}.spf.hc889-37.c3s2.iphmx.com include:servers.mcsv.net include:spf.protection.outlook.com ~all</t>
  </si>
  <si>
    <t>v=DMARC1; p=quarantine; rua=mailto:dmarc@wisetek.net; ruf=mailto:dmarc@wisetek.net; fo=1; pct=100</t>
  </si>
  <si>
    <t>rigneydolphin.ie</t>
  </si>
  <si>
    <t>servicesource.com</t>
  </si>
  <si>
    <t>v=spf1 mx ip4:206.126.160.0/19 include:spf.protection.outlook.com include:mktomail.com include:aspmx.pardot.com ~all</t>
  </si>
  <si>
    <t>v=DMARC1; p=quarantine; pct=100; fo=1; rua=mailto:techops-alerts@servicesource.com; ruf=mailto:techops-alerts@servicesource.com; sp=reject; ri=84600</t>
  </si>
  <si>
    <t>db.com</t>
  </si>
  <si>
    <t>v=spf1 ip4:160.83.0.0/16 ~all</t>
  </si>
  <si>
    <t>v=DMARC1; p=reject; sp=reject; adkim=s; fo=1; ri=3600; rua=mailto:dmarc_rua@emaildefense.proofpoint.com; ruf=mailto:dmarc_ruf@emaildefense.proofpoint.com,mailto:dmarc.reports@db.com</t>
  </si>
  <si>
    <t>giraffe.ie</t>
  </si>
  <si>
    <t>v=DMARC1; p=quarantine; sp=none; rua=mailto:dmarc_ations@giraffe.ie!10m; ruf=mailto:dmarc_ations@giraffe.ie!10m; rf=afrf; pct=100; ri=86400;</t>
  </si>
  <si>
    <t>emeraldfs.ie</t>
  </si>
  <si>
    <t>kirbygroup.com</t>
  </si>
  <si>
    <t>v=spf1 redirect=aen1o4d6._spf._d.mim.ec</t>
  </si>
  <si>
    <t>v=DMARC1; p=reject; rua=mailto:3dcde944d360625@rep.dmarcanalyzer.com; ruf=mailto:3dcde944d360625@for.dmarcanalyzer.com; fo=1;</t>
  </si>
  <si>
    <t>https://www.kirbygroup.com/wp-content/uploads/K-Logo.svg</t>
  </si>
  <si>
    <t>statestreet.com</t>
  </si>
  <si>
    <t>v=spf1 a ip4:192.250.166.0/24 ip4:192.250.80.0/24 ip4:192.250.175.1 ip4:192.250.85.1 ip4:192.250.175.5 ip4:192.250.85.5 include:spf.protection.outlook.com -all</t>
  </si>
  <si>
    <t>v=DMARC1;" "p=quarantine;" "fo=1;" "ri=3600;" "rua=mailto:state-street@rua.agari.com;" "ruf=mailto:state-street@ruf.agari.com</t>
  </si>
  <si>
    <t>bd.com</t>
  </si>
  <si>
    <t>v=spf1 include:%{i}._ip.%{h}._ehlo.%{d}._spf.vali.email include:mktomail.com ~all</t>
  </si>
  <si>
    <t>v=DMARC1; p=reject; rua=mailto:dmarc_agg@vali.email; ruf=mailto:NDQwNTIy@ruf.vali.email; fo=1</t>
  </si>
  <si>
    <t>westmeathcoco.ie</t>
  </si>
  <si>
    <t>v=spf1 a:dispatch-eu.ppe-hosted.com ip4:213.143.154.166/32 ~all</t>
  </si>
  <si>
    <t>tyndall.ie</t>
  </si>
  <si>
    <t>v=spf1 ip4:143.239.64.131 include:spf.protection.outlook.com -all</t>
  </si>
  <si>
    <t>v=DMARC1; p=quarantine;sp=quarantine; rua=mailto:z09tjnba@ag.eu.dmarcian.com, mailto:dmarc@tyndall.ie; ruf=mailto:dmarc@tyndall.ie; fo=1</t>
  </si>
  <si>
    <t>careyglass.com</t>
  </si>
  <si>
    <t>v=spf1 ip4:83.70.128.217 ip4:84.203.183.130  include:spf.protection.outlook.com -all</t>
  </si>
  <si>
    <t>v=DMARC1; p=quarantine; pct=100; rua=mailto:re+re3b8klgrkr@dmarc.postmarkapp.com; sp=none; aspf=r;</t>
  </si>
  <si>
    <t>alcon.com</t>
  </si>
  <si>
    <t>v=spf1 redirect=b0f5qc91._spf._d.mim.ec</t>
  </si>
  <si>
    <t>v=DMARC1; p=reject; rua=mailto:f762a5e1e929449@rep.dmarcanalyzer.com; ruf=mailto:f762a5e1e929449@for.dmarcanalyzer.com; fo=1;</t>
  </si>
  <si>
    <t>citywesthotel.com</t>
  </si>
  <si>
    <t>v=spf1 include:spf.protection.outlook.com include:spfa.cpmails.com -all</t>
  </si>
  <si>
    <t>v=DMARC1; p=reject; rua=mailto:citywesthotel@eu.cp-dmarc.com; ruf=mailto:citywesthotel@eu.cp-dmarc.com; fo=1</t>
  </si>
  <si>
    <t>ashfordcastle.com</t>
  </si>
  <si>
    <t>v=spf1 ip4:159.134.255.74/32 include:spf_3a.oracleindustry.com include:spf.protection.outlook.com -all</t>
  </si>
  <si>
    <t>castlecourthotel.ie</t>
  </si>
  <si>
    <t>v=spf1 a mx include:spf.newsletter.ie include:spf.mandrillapp.com a:mailon.spamtitan.com include:spf.protection.outlook.com include:spf.myhost.ie -all</t>
  </si>
  <si>
    <t>stjosephsfoundation.ie</t>
  </si>
  <si>
    <t>v=spf1 a ip4:78.143.180.118 include:spf.protection.outlook.com include:spf.hes.trendmicro.com  -all</t>
  </si>
  <si>
    <t>abilitywest.ie</t>
  </si>
  <si>
    <t>v=DMARC1;p=quarantine;rua=mailto:3aa244375d@rua.easydmarc.eu;ruf=mailto:3aa244375d@ruf.easydmarc.eu;fo=1;</t>
  </si>
  <si>
    <t>barnardos.ie</t>
  </si>
  <si>
    <t>v=spf1 a include:spf.protection.outlook.com include:spf.blacknight.ie include:servers.mcsv.net ip4:148.252.8.218 ip4:148.252.8.222 include:_spf.eu.messagegears.net include:authsmtp.com include:authsmtp.co.uk include:authsmtp.net include:spf.zohomail3" "60.eu include:barnardos-ie.mail.protection.outlook.com -all</t>
  </si>
  <si>
    <t>focusireland.ie</t>
  </si>
  <si>
    <t>v=spf1 ip4:146.0.48.27 include:spf.protection.outlook.com include:spf.mtasv.net ip4:141.193.32.0/23 ip4:159.135.140.80/29 ip4:159.135.132.128/25 ip4:161.38.204.0/22 ip4:87.253.232.0/21 ip4:185.189.236.0/22 ip4:185.211.120.0/22 ip4:185.250.236.0/22 ip" "4:143.55.236.0/22 ip4:198.244.60.0/22 ip4:204.220.160.0/21 ip4:209.61.151.0/24 ip4:166.78.68.0/22 ip4:198.61.254.0/23 ip4:192.237.158.0/23 ip4:23.253.182.0/23 ip4:104.130.96.0/28 ip4:146.20.113.0/24 ip4:146.20.191.0/24 ip4:159.135.224.0/20 ip4:69.72." "32.0/20 ip4:104.130.122.0/23 ip4:146.20.112.0/26 ip4:161.38.192.0/20 ip4:143.55.224.0/21 ip4:143.55.232.0/22 ip4:159.112.240.0/20 ip4:198.244.48.0/20 ip4:204.220.168.0/21 ip4:204.220.176.0/20 include:servers.mcsv.net include:customers.clickdimensions" ".com include:_spf.eu.messagegears.net include:spf.mandrillapp.com include:amazonses.com -all</t>
  </si>
  <si>
    <t>v=DMARC1; p=quarantine; sp=reject; adkim=r; aspf=s; fo=1</t>
  </si>
  <si>
    <t>capita.co.uk</t>
  </si>
  <si>
    <t>v=spf1 include:spf1.capita.co.uk include:spf2.capita.co.uk include:spf3.capita.co.uk -all</t>
  </si>
  <si>
    <t>newireland.ie</t>
  </si>
  <si>
    <t>cheeverstownschool.ie</t>
  </si>
  <si>
    <t>kildarechillingco.ie</t>
  </si>
  <si>
    <t>v=spf1 ip4:217.115.113.32 ip4:193.120.46.36 include:spf.protection.outlook.com ~all</t>
  </si>
  <si>
    <t>dewvalley.com</t>
  </si>
  <si>
    <t>v=spf1 include:spf.mailanyone.net include:spf.seg.trustwave.com include:spf.protection.outlook.com -all</t>
  </si>
  <si>
    <t>highfieldhealthcare.ie</t>
  </si>
  <si>
    <t>v=spf1 mx ip4:62.77.176.181/32 ip4:86.43.118.230/32 ip4:5.149.173.102/32 a:mail1.eircom.net a:mail2.highfieldhealthcare.ie include:spf.theemaillaundry.net include:spf.protection.outlook.com include:spf.topsec.com include:spf1.emailsecurity.app -all</t>
  </si>
  <si>
    <t>pettitts.ie</t>
  </si>
  <si>
    <t>v=spf1 include:spf.protection.outlook.com include:spf.ess.de.barracudanetworks.com -all</t>
  </si>
  <si>
    <t>nightline-delivers.com</t>
  </si>
  <si>
    <t>v=spf1 include:mailcontrol.com include:spf.protection.outlook.com ?all</t>
  </si>
  <si>
    <t>doyleshippinggroup.com</t>
  </si>
  <si>
    <t>stobartair.com</t>
  </si>
  <si>
    <t>dbs.ie</t>
  </si>
  <si>
    <t>v=spf1 ip4:89.101.121.155 include:_u.dbs.ie._spf.smart.ondmarc.com include:_spf.salesforce.com -all</t>
  </si>
  <si>
    <t>v=DMARC1; p=none; sp=reject; fo=1; pct=100; ri=86400; rua=mailto:edc840a1@inbox.ondmarc.com,mailto:dmarc-reports@dbs.ie,mailto:56bd0390677b448f90363758eedc263f@dmarc-reports.cloudflare.net; ruf=mailto:edc840a1@inbox.ondmarc.com,mailto:dmarc-reports@dbs.ie</t>
  </si>
  <si>
    <t>it-tallaght.ie</t>
  </si>
  <si>
    <t>v=spf1 include:spf.protection.outlook.com ip4:52.31.49.108/32 ip4:52.31.29.196/32 ip4:212.78.228.11 include:wpm.flywire.com -all</t>
  </si>
  <si>
    <t>ncad.ie</t>
  </si>
  <si>
    <t>v=spf1 mx ip4:193.1.215.0/24 ip4:193.1.216.0/23  include:spf.elluciancloud.com include:mailsecure.net include:_spf.google.com -all</t>
  </si>
  <si>
    <t>ait.ie</t>
  </si>
  <si>
    <t>v=spf1 include:spf.protection.outlook.com ip6:2001:770:50:4300::12 a:mail.mindaclient.com -all</t>
  </si>
  <si>
    <t>tipperary-water.ie</t>
  </si>
  <si>
    <t>top.ie</t>
  </si>
  <si>
    <t>v=spf1 include:eu._netblocks.mimecast.com include:%{ir}.%{v}.%{d}.spf.has.pphosted.com ~all</t>
  </si>
  <si>
    <t>v=DMARC1; p=none; fo=1; rua=mailto:dmarc_rua@emaildefense.proofpoint.com; ruf=mailto:dmarc_ruf@emaildefense.proofpoint.com;</t>
  </si>
  <si>
    <t>autolaunch.com</t>
  </si>
  <si>
    <t>laois.ie</t>
  </si>
  <si>
    <t>icsmortgages.ie</t>
  </si>
  <si>
    <t>v=spf1 include:spf.protection.outlook.com include:de._netblocks.mimecast.com include:spf-00379401.pphosted.com -all</t>
  </si>
  <si>
    <t>vistamed.net</t>
  </si>
  <si>
    <t>v=spf1 include:_spf.salesforce.com include:spf.protection.outlook.com ip4:86.43.120.144 ip4:83.70.207.254 ip4:75.16.150.51 -all</t>
  </si>
  <si>
    <t>valeofoods.ie</t>
  </si>
  <si>
    <t>v=spf1 ip4:84.207.208.2 ip4:193.203.126.0/24 ip4:95.83.231.64/28 ip4:95.83.225.81 ip4:95.83.225.86 ip4:95.83.225.82  a:smtp-out6.electric.net a:smtp-out4.electric.net include:spf.protection.outlook.com include:de._netblocks.mimecast.com include:auths" "mtp.com -all</t>
  </si>
  <si>
    <t>zimmerbiomet.com</t>
  </si>
  <si>
    <t>v=spf1 ip4:69.160.206.21 ip4:12.40.148.10 ip4:12.215.190.194 ip4:12.235.93.254 ip4:213.95.132.52 ip4:213.155.74.87 ip4:213.155.74.157 ip4:213.155.74.23 ip4:213.155.74.133 ip4:20.119.174.191 ip4:20.230.106.230 ip4:20.114.186.35 ip4:20.119.207.133 include:s" "pf.protection.outlook.com include:spf.mailpro.com -all</t>
  </si>
  <si>
    <t>cgglobal.com</t>
  </si>
  <si>
    <t>v=spf1 include:zohomail.in mx include:spf.protection.outlook.com ~all</t>
  </si>
  <si>
    <t>v=DMARC1; p=none; rua=mailto:cg.dmarc@cgglobal.com; ruf=mailto:cg.dmarc@cgglobal.com; fo=1; adkim=s; aspf=s; pct=100; sp=quarantine</t>
  </si>
  <si>
    <t>e6.com</t>
  </si>
  <si>
    <t>v=spf1 include:za._netblocks.mimecast.com ip4:69.90.144.18 include:eu._netblocks.mimecast.com include:_spf.createsend.com ~all</t>
  </si>
  <si>
    <t>v=DMARC1; p=quarantine; fo=1; pct=100; rua=mailto:07011f233254679@rep.dmarcanalyzer.com; ruf=mailto:07011f233254679@for.dmarcanalyzer.com</t>
  </si>
  <si>
    <t>norlandmanagedservices.co.uk</t>
  </si>
  <si>
    <t>v=spf1 mx include:spf.protection.outlook.com ip4:103.37.228.0/24 ip4:159.222.40.0/23 ip4:185.69.116.0/22 ip4:192.34.68.0/24 ip4:192.34.69.0/24 ip4:208.68.245.0/24 ip4:208.68.246.0/24 ip4:208.68.247.0/24 ~all</t>
  </si>
  <si>
    <t>v=DMARC1; p=none; rua=mailto:dmarc_rua@emaildefense.proofpoint.com; ruf=mailto:dmarc_ruf@emaildefense.proofpoint.com;fo=1</t>
  </si>
  <si>
    <t>capitacustomersolutions.ie</t>
  </si>
  <si>
    <t>fbd.ie</t>
  </si>
  <si>
    <t>v=spf1 mx ip4:193.95.146.199 ip4:193.120.219.3 include:spf.protection.outlook.com -all</t>
  </si>
  <si>
    <t>v=DMARC1; p=quarantine; sp=reject; rua=mailto:dmarcreports@fbd.ie; ruf=mailto:dmarcreports@fbd.ie; rf=afrf; fo=1; pct=100; ri=86400; adkim=s; aspf=s</t>
  </si>
  <si>
    <t>nolantransport.com</t>
  </si>
  <si>
    <t>v=spf1 include:_spf.nolantransport.com ~all</t>
  </si>
  <si>
    <t>v=DMARC1;p=none;rua=mailto:b0d7a466d4@rua.easydmarc.eu;ruf=mailto:b0d7a466d4@ruf.easydmarc.eu;fo=1;</t>
  </si>
  <si>
    <t>transport.ie</t>
  </si>
  <si>
    <t>v=spf1 ip4:31.193.219.67 include:spfext.itservices.gov.ie include:spf.protection.outlook.com include:newsletter.ie ~all</t>
  </si>
  <si>
    <t>offaly.ie</t>
  </si>
  <si>
    <t>williamfry.com</t>
  </si>
  <si>
    <t>v=spf1 include:_u.williamfry.com._spf.smart.ondmarc.com include:spf.protection.outlook.com ~all</t>
  </si>
  <si>
    <t>v=DMARC1; p=reject; pct=100; sp=reject; rua=mailto:030586eb@inbox.ondmarc.com; ruf=mailto:030586eb@inbox.ondmarc.com; adkim=r; aspf=r; fo=0; rf=afrf; ri=3600</t>
  </si>
  <si>
    <t>https://vmc.digicert.com/ddb0f8fb-3ffb-42e8-8c3a-e1709c7e87ea.svg</t>
  </si>
  <si>
    <t>epswater.com</t>
  </si>
  <si>
    <t>v=spf1 include:outlook.com include:spf.sendinblue.com mx ~all</t>
  </si>
  <si>
    <t>bernedsen.ie</t>
  </si>
  <si>
    <t>alkermes.com</t>
  </si>
  <si>
    <t>v=spf1 ip4:155.212.24.4 include:spf-00049901.pphosted.com include:%{ir}.%{v}.%{d}.spf.has.pphosted.com include:mailgun.org include:spf.agiloft.com ~all</t>
  </si>
  <si>
    <t>cardinalhealth.com</t>
  </si>
  <si>
    <t>v=spf1 exists:%{i}.spf.hc2781-64.iphmx.com include:_spf.salesforce.com include:spf-a.opntxtdns.com include:7698986.spf08.hubspotemail.net include:sendgrid.net include:amazonses.com ip4:12.19.100.11 ip4:208.185.229.41 ip4:208.185.229.42 ip4:208.185.22" "9.43 ip4:208.185.229.44 ip4:208.185.229.45 ip4:72.3.202.3 ip4:198.89.160.32 ip4:198.89.160.35 ip4:199.230.200.199 ip4:199.230.252.114 ~all</t>
  </si>
  <si>
    <t>v=DMARC1; p=reject; rua=mailto:dmarcreports@cardinalhealth.com; ruf=mailto:dmarcreports@cardinalhealth.com</t>
  </si>
  <si>
    <t>https://www.cardinalhealth.com/content/dam/corp/email/images/logos/ch-wingspan-4x4.svg</t>
  </si>
  <si>
    <t>moriartygroup.ie</t>
  </si>
  <si>
    <t>v=spf1 ip4:93.107.109.74 ip4:89.101.125.14 include:spf.protection.outlook.com include:netaffinity.net include:sendgrid.net -all</t>
  </si>
  <si>
    <t>doyleshipping.ie</t>
  </si>
  <si>
    <t>dccae.gov.ie</t>
  </si>
  <si>
    <t>v=spf1 ip4:137.191.239.189 ip4:193.1.193.165 ip4:193.178.1.33 ip4:137.191.224.10 ip4:137.191.224.140  include:spfext.itservices.gov.ie -all</t>
  </si>
  <si>
    <t>originenterprises.com</t>
  </si>
  <si>
    <t>v=spf1 include:de._netblocks.mimecast.com include:_u.originenterprises.com._spf.dmarcly.com include:spf.protection.outlook.com -all</t>
  </si>
  <si>
    <t>marriott.ie</t>
  </si>
  <si>
    <t>zurich.ie</t>
  </si>
  <si>
    <t>v=spf1 ip4:195.28.240.37 ip4:195.28.240.44 ip4:213.94.214.20 ip4:213.94.214.22 ip4:195.28.226.207 ip4:195.28.226.226 ip4:206.252.39.11 ip4:206.252.42.11 ip4:34.248.130.34 include:cmail1.com include:spf-002e5d02.pphosted.com include:spf-002e5d04.pphosted.c" "om ~all</t>
  </si>
  <si>
    <t>v=DMARC1; p=reject; rua=mailto:dmarc_rua@emaildefense.proofpoint.com; ruf=mailto:dmarc_ruf@emaildefense.proofpoint.com;fo=1</t>
  </si>
  <si>
    <t>radleyeng.com</t>
  </si>
  <si>
    <t>v=spf1 ip4:89.101.38.222 ip4:83.147.156.194 include:spf.protection.outlook.com include:remarkable.com ~all</t>
  </si>
  <si>
    <t>v=DMARC1; p=quarantine; rua=mailto:a7b45ec2@mxtoolbox.dmarc-report.com; ruf=mailto:a7b45ec2@forensics.dmarc-report.com; fo=1; pct=5</t>
  </si>
  <si>
    <t>aon.ie</t>
  </si>
  <si>
    <t>v=spf1 include:spf.mailjet.com include:spf.aon.net include:spf-00196902.pphosted.com -all</t>
  </si>
  <si>
    <t>v=DMARC1; p=reject; fo=1; rua=mailto:dmarc_agg@vali.email; ruf=mailto:NDM1ODAx@ruf.vali.email</t>
  </si>
  <si>
    <t>https://vmc.digicert.com/b8896f1b-258f-494d-8b95-684bd31c8bd9.svg</t>
  </si>
  <si>
    <t>wardandburke.com</t>
  </si>
  <si>
    <t>v=spf1 include:spf.protection.outlook.com include:spf.eu.exclaimer.net a mx ip4:13.79.6.151 -all</t>
  </si>
  <si>
    <t>v=DMARC1; p=quarantine ; fo=1; rua=mailto:a9gm7n4p@ag.eu.dmarcian.com,mailto:dmarc@wardandburke.com; ruf=mailto:a9gm7n4p@fr.eu.dmarcian.com,mailto:dmarc@wardandburke.com; rf=afrf; pct=30</t>
  </si>
  <si>
    <t>roadbridge.ie</t>
  </si>
  <si>
    <t>v=spf1 ip4:89.204.254.122 ip4:51.141.9.125  include:spf.protection.outlook.com include:spf.smtp2go.com ~all</t>
  </si>
  <si>
    <t>v=DMARC1; p=reject; rua=mailto:dmarc.reporting@roadbridge.ie;ruf=mailto:dmarc.reporting@roadbridge.ie; fo=1;</t>
  </si>
  <si>
    <t>sisk.ie</t>
  </si>
  <si>
    <t>v=spf1 ip4:93.94.119.196 ip4:82.198.141.134 ip4:162.247.160.0/21 include:spf.protection.outlook.com include:_spf.axxerion.com -all</t>
  </si>
  <si>
    <t>v=DMARC1; p=none; rua=mailto:DMARCreports@siskgroup.ie; pct=20;</t>
  </si>
  <si>
    <t>designergroup.ie</t>
  </si>
  <si>
    <t>esbi.ie</t>
  </si>
  <si>
    <t>v=spf1 mx a: include:spf.protection.outlook.com ~all</t>
  </si>
  <si>
    <t>zurichlife.ie</t>
  </si>
  <si>
    <t>cmetb.ie</t>
  </si>
  <si>
    <t>v=spf1 ip4:91.216.241.2 include:relay.mailchannels.net include:spf.protection.outlook.com include:spf.dcsnet.ie -all</t>
  </si>
  <si>
    <t>v=DMARC1; p=reject; rua=mailto:dmarcsupport@cmetb.ie</t>
  </si>
  <si>
    <t>health.gov.ie</t>
  </si>
  <si>
    <t>v=spf1 a mx ip4:137.191.247.36 ip4:18.130.212.176 include:spf.protection.outlook.com ~all</t>
  </si>
  <si>
    <t>v=DMARC1; p=quarantine; pct=100; adkim=r; aspf=r; rua=mailto:dmarc_agg@vali.email</t>
  </si>
  <si>
    <t>peamount.ie</t>
  </si>
  <si>
    <t>v=spf1 include:_u.peamount.ie._spf.smart.ondmarc.com ~all</t>
  </si>
  <si>
    <t>v=DMARC1; p=reject; pct=100; sp=none; rua=mailto:d6325d09@inbox.ondmarc.com; ruf=mailto:d6325d09@inbox.ondmarc.com; adkim=r; aspf=r; fo=1; rf=afrf; ri=3600</t>
  </si>
  <si>
    <t>slron.ie</t>
  </si>
  <si>
    <t>starwoodhotels.com</t>
  </si>
  <si>
    <t>v=spf1 include:spf-003bff01.pphosted.com include:spf.protection.outlook.com ip4:65.118.252.64/27 ip4:68.15.235.14 ip4:68.15.235.15 ip4:68.15.235.16 ip4:68.15.235.17 ip4:168.245.57.57 ip4:50.31.38.19 ip4:167.89.18.211 include:mail.zendesk.com include:sendg" "rid.net include:spf.vsrv.host ~all</t>
  </si>
  <si>
    <t>v=DMARC1; p=quarantine; pct=100; rua=mailto:atp@1hotels.com,mailto:dmarc_rua@emaildefense.proofpoint.com; ruf=mailto:dmarc_ruf@emaildefense.proofpoint.com;fo=1</t>
  </si>
  <si>
    <t>molex.com</t>
  </si>
  <si>
    <t>v=spf1 include:%{ir}.%{v}.%{d}.spf.has.pphosted.com include:mktomail.com -all</t>
  </si>
  <si>
    <t>pemberton.ie</t>
  </si>
  <si>
    <t>v=spf1 include:_u.pemberton.ie._spf.smart.ondmarc.com -all</t>
  </si>
  <si>
    <t>v=DMARC1; p=reject; pct=100; sp=reject; rua=mailto:3fb658a1@inbox.eu.redsift.cloud; ruf=mailto:3fb658a1@inbox.eu.redsift.cloud; adkim=r; aspf=r; fo=1; rf=afrf; ri=86400</t>
  </si>
  <si>
    <t>leo-pharma.ie</t>
  </si>
  <si>
    <t>westpharma.com</t>
  </si>
  <si>
    <t>v=spf1 include:spf1.westpharma.com include:_spf.atlassian.net include:spf.protection.outlook.com ip4:32.66.192.11 ip4:32.66.192.12 ip4:32.66.192.13 ip4:32.66.192.14 ip4:32.66.192.15 ~all</t>
  </si>
  <si>
    <t>v=DMARC1; p=quarantine; pct=100; fo=1; rua=mailto:dmarc_agg@vali.email,mailto:Webmaster@westpharma.com; ruf=mailto:Webmaster@westpharma.com;</t>
  </si>
  <si>
    <t>chanellegroup.ie</t>
  </si>
  <si>
    <t>v=spf1 a mx include:spf.protection.outlook.com include:spf.mandrillapp.com -all</t>
  </si>
  <si>
    <t>v=DMARC1; p=quarantine; rua=mailto:dmarc@chanellegroup.ie; ruf=mailto:dmarc@chanellegroup.ie; pct=50</t>
  </si>
  <si>
    <t>kerry.com</t>
  </si>
  <si>
    <t>v=spf1 redirect=4xei67yy._spf._d.mim.ec</t>
  </si>
  <si>
    <t>v=DMARC1; p=reject; rua=mailto:dmarc_rua@emaildefense.proofpoint.com,mailto:6214fcb17775132@rep.dmarcanalyzer.com; ruf=mailto:dmarc_ruf@emaildefense.proofpoint.com,mailto:6214fcb17775132@for.dmarcanalyzer.com; fo=1</t>
  </si>
  <si>
    <t>enterprise-ireland.com</t>
  </si>
  <si>
    <t>v=spf1 ip4:137.191.232.68 ip4:91.210.233.143 ip4:159.183.203.109 include:spf.protection.outlook.com include:nw007.com  include:inc.emailr.com include:mktomail.com include:_spf.createsend.com include:spf_c.oraclecloud.com -all</t>
  </si>
  <si>
    <t>v=DMARC1; p=reject; rua=mailto:dmarc_agg@vali.email,mailto:payfhdig@ag.eu.dmarcian.com; ruf=mailto:payfhdig@fr.eu.dmarcian.com; aspf=r;</t>
  </si>
  <si>
    <t>ie.depaulcharity.org</t>
  </si>
  <si>
    <t>workday.com</t>
  </si>
  <si>
    <t>v=spf1 include:workday.com._nspf.vali.email include:%{i}._ip.%{h}._ehlo.%{d}._spf.vali.email ~all</t>
  </si>
  <si>
    <t>v=DMARC1; p=reject; rua=mailto:dmarc_agg@vali.email,mailto:aad996bd@mxtoolbox.dmarc-report.com,mailto:dmarc_agg@dmarc.250ok.net</t>
  </si>
  <si>
    <t>https://amplify.valimail.com/bimi/workday/7XC05l7wsxC-workday_inc_1202938645.svg</t>
  </si>
  <si>
    <t>independent.ie</t>
  </si>
  <si>
    <t>v=spf1 ip4:83.71.187.233 ip4:89.101.141.135 ip4:83.71.187.253 ip4:89.101.157.129 ip4:5.61.115.80/26 include:rlyhosts.be include:spf.protection.outlook.com include:mailgun.org -all</t>
  </si>
  <si>
    <t>https://www.independent.ie/editorial/logo/independent.svg</t>
  </si>
  <si>
    <t>lufthansa-technik.com</t>
  </si>
  <si>
    <t>v=spf1 mx include:_spf.lufthansa.com -all</t>
  </si>
  <si>
    <t>v=DMARC1; p=reject; fo=1; ri=3600; rua=mailto:lufthansa@rua.agari.com</t>
  </si>
  <si>
    <t>marymount.ie</t>
  </si>
  <si>
    <t>v=spf1 ip4:137.191.231.94 ip4:54.246.195.203 ip4:52.214.137.168 ip4:91.223.9.26 include:spf.ess.de.barracudanetworks.com include:spf.protection.outlook.com include:authsmtp.com -all</t>
  </si>
  <si>
    <t>elverys.ie</t>
  </si>
  <si>
    <t>v=spf1 a mx ip4:185.57.113.74 ip4:82.141.205.1 ip4:62.209.54.82 ip4:62.209.54.83 ip4:62.209.54.84 include:spf.mailanyone.net include:spf.mandrillapp.com include:mail.zendesk.com include:spf.protection.outlook.com include:spf.givex.com -all</t>
  </si>
  <si>
    <t>v=DMARC1; p=none; rua=mailto:dmarcreports@elverys.ie</t>
  </si>
  <si>
    <t>itsligo.ie</t>
  </si>
  <si>
    <t>v=spf1 include:spf.protection.outlook.com include:spf1.itsligo.ie include:spf2.itsligo.ie include:spf3.itsligo.ie include:spf4.itsligo.ie include:spf.mandrillapp.com include:spf.mailjet.com include:servers.mcsv.net include:cyberriskaware.com -all</t>
  </si>
  <si>
    <t>v=DMARC1; p=none; ruf=mailto:dmarc@itsligo.ie; rua=mailto:dmarc@itsligo.ie</t>
  </si>
  <si>
    <t>clarecare.ie</t>
  </si>
  <si>
    <t>siskgroup.ie</t>
  </si>
  <si>
    <t>v=spf1 ip4:93.94.119.196 ip4:82.198.141.134 include:spf.protection.outlook.com -all</t>
  </si>
  <si>
    <t>novartis.com</t>
  </si>
  <si>
    <t>pepsico.ie</t>
  </si>
  <si>
    <t>cagneycontractcleaning.ie</t>
  </si>
  <si>
    <t>v=spf1 a:spf.webtrade.ie include:spf.protection.outlook.com -all</t>
  </si>
  <si>
    <t>hsbc.com</t>
  </si>
  <si>
    <t>v=spf1 include:spf-00299f02.pphosted.com include:spf1.hsbc.com include:spf2.hsbc.com include:spf3.hsbc.com  include:spf-002f0603.pphosted.com ~all</t>
  </si>
  <si>
    <t>mckechnie-cleaning.ie</t>
  </si>
  <si>
    <t>v=spf1 a mx ip4:77.68.91.107 ip4:104.156.181.224 include:spf.protection.outlook.com include:spf.ess.de.barracudanetworks.com ~all</t>
  </si>
  <si>
    <t>sligococo.ie</t>
  </si>
  <si>
    <t>v=spf1 ip4:213.143.154.166 include:spf.topsec.com include:spf.protection.outlook.com -all</t>
  </si>
  <si>
    <t>v=DMARC1;p=reject;rua=mailto:211a5a2e44@rua.easydmarc.eu;ruf=mailto:211a5a2e44@ruf.easydmarc.eu;fo=1</t>
  </si>
  <si>
    <t>coombe.ie</t>
  </si>
  <si>
    <t>v=spf1 a mx ip4:137.191.232.0/28 include:spf.topsec.com -all</t>
  </si>
  <si>
    <t>stpatricks.ie</t>
  </si>
  <si>
    <t>v=spf1 include:spf.mailanyone.net include:mailgun.org mx a include:spf.protection.outlook.com -all</t>
  </si>
  <si>
    <t>sanmina.com</t>
  </si>
  <si>
    <t>v=spf1 mx ip4:143.116.250.174 include:_spf.google.com include:us-spf.email.litmos.com include:spf.protection.outlook.com -all</t>
  </si>
  <si>
    <t>v=DMARC1;" "p=reject;" "rua=mailto:dmarc.admin@sanmina.com;" "ruf=mailto:dmarc.admin@sanmina.com;" "sp=none;" "pct=100</t>
  </si>
  <si>
    <t>thermoking.com</t>
  </si>
  <si>
    <t>v=spf1 include:%{ir}.%{v}.%{d}.spf.has.pphosted.com include:_spf.qualtrics.com include:mktomail.com include:spf.mailjet.com ~all</t>
  </si>
  <si>
    <t>penseurope.com</t>
  </si>
  <si>
    <t>v=spf1 include:spf.protection.outlook.com include:_netblocks.mimecast.com ~all</t>
  </si>
  <si>
    <t>v=DMARC1; p=quarantine; pct=100; rua=mailto:dmark.reports@pens.com; ruf=mailto:dmark.reports@pens.com; fo=1; sp=none;</t>
  </si>
  <si>
    <t>conduit.ie</t>
  </si>
  <si>
    <t>sammccauley.com</t>
  </si>
  <si>
    <t>v=spf1 a mx a:lh50.dnsireland.com ip4:78.137.164.90 ip4:217.182.232.174 ip4:52.208.178.150 ip4:63.33.117.194 ip4:108.128.27.196 ip4:54.73.165.7 ip4:185.201.16.0/22 a:spfips.antispamcloud.com a:release.antispamcloud.com include:spf2.antispamcloud.com ~all</t>
  </si>
  <si>
    <t>corriboil.com</t>
  </si>
  <si>
    <t>v=spf1 include:spf.protection.outlook.com include:spf.ess.uk.barracudanetworks.com include:spf.mailjet.com ip4:84.203.183.218 include:amazonses.com include:spf.mandrillapp.com include:spf-eu.emailsignatures365.com -all</t>
  </si>
  <si>
    <t>v=DMARC1; p=reject; fo=1; rua=mailto:rua+corriboil.com@dmarc.barracudanetworks.com; ruf=mailto:ruf+corriboil.com@dmarc.barracudanetworks.com</t>
  </si>
  <si>
    <t>accenture.com</t>
  </si>
  <si>
    <t>v=spf1 include:_spfa.exchange.accenture.com include:_spfb.exchange.accenture.com -all</t>
  </si>
  <si>
    <t>v=DMARC1;p=reject;fo=1;aspf=s;rua=mailto:dmarc_rua@emaildefense.proofpoint.com;ruf=mailto:dmarc_ruf@emaildefense.proofpoint.com</t>
  </si>
  <si>
    <t>tcbrokers.com</t>
  </si>
  <si>
    <t>irishdistillers.ie</t>
  </si>
  <si>
    <t>v=DMARC1; p=none; fo=1; rua=mailto:dmarc_rua@pernod-ricard.com; ruf=mailto:dmarc_ruf@pernod-ricard.com</t>
  </si>
  <si>
    <t>cavancoco.ie</t>
  </si>
  <si>
    <t>v=spf1 a ip4:93.90.117.1/24 ip4:93.90.115.1/24 ip4:91.199.74.184 include:spf.topsec.com include:spf.blacknight.ie include:spf.protection.outlook.com include:sendersrv.com ip4:213.143.154.166 -all</t>
  </si>
  <si>
    <t>mccannfitzgerald.com</t>
  </si>
  <si>
    <t>three.ie</t>
  </si>
  <si>
    <t>v=spf1 ip4:62.40.38.69 ip4:18.168.51.200 ip4:18.168.140.58 ip4:148.59.101.16/28 a:ironport.three.ie include:amazonses.com include:spf.protection.outlook.com include:spf.mandrillapp.com include:eu.khoros-mail.com include:_spf.salesforce.com ~all</t>
  </si>
  <si>
    <t>v=DMARC1; p=none; fo=1; rua=mailto:three@rua.netcraft.com; ruf=mailto:three@ruf.netcraft.com</t>
  </si>
  <si>
    <t>dell.com</t>
  </si>
  <si>
    <t>v=DMARC1; p=reject; fo=1; rua=mailto:dmarc_rua@emaildefense.proofpoint.com,mailto:dmarc.reports.rua@dell.com; ruf=mailto:dmarc_ruf@emaildefense.proofpoint.com,mailto:dmarc.reports.ruf@dell.com</t>
  </si>
  <si>
    <t>allphar.ie</t>
  </si>
  <si>
    <t>v=spf1 include:spf-00779101.pphosted.com include:spf.protection.outlook.com a:mail1.allphar.ie ip4:89.101.228.97 -all</t>
  </si>
  <si>
    <t>allianz.ie</t>
  </si>
  <si>
    <t>v=spf1 mx include:spf.allianz.com ip4:168.114.112.22 ip4:168.114.112.23 ip4:54.229.2.165 ip4:208.73.7.175 include:_spf.salesforce.com include:_spf-dc33.sapsf.eu -all</t>
  </si>
  <si>
    <t>bnpparibas.ie</t>
  </si>
  <si>
    <t>v=DMARC1; p=reject; fo=1; rua=mailto:f1rg2pej@ag.eu.dmarcian.com; ruf=mailto:f1rg2pej@fr.eu.dmarcian.com</t>
  </si>
  <si>
    <t>suireng.ie</t>
  </si>
  <si>
    <t>v=spf1 include:_spf.mlsend.com +include:spf.webhostingireland.ie +include:spf.hornetsecurity.com +include:spf.protection.outlook.com +include:_spf.salesforce.com +ip4:91.210.235.220 +ip4:89.101.149.121 +ip4:172.16.10.10 +ip4:89.101.77.201 +ip4:40.69.24.17" "8 +ip4:20.238.80.39 +ip4:18.168.51.200 +ip4:18.168.140.58 +ip4:148.59.101.16/28  ~all</t>
  </si>
  <si>
    <t>v=DMARC1;p=reject;sp=reject;adkim=r;aspf=r;pct=100;fo=0;rf=afrf;ri=86400</t>
  </si>
  <si>
    <t>synergy365.ie</t>
  </si>
  <si>
    <t>v=spf1 a include:_spf.google.com include:spf.protection.outlook.com include:amazonses.com ~all</t>
  </si>
  <si>
    <t>icg.ie</t>
  </si>
  <si>
    <t>bamcivil.ie</t>
  </si>
  <si>
    <t>v=spf1 include:bamcivil.ie._nspf.vali.email include:%{i}._ip.%{h}._ehlo.%{d}._spf.vali.email ~all</t>
  </si>
  <si>
    <t>candcgroupplc.ie</t>
  </si>
  <si>
    <t>harveynorman.ie</t>
  </si>
  <si>
    <t>v=spf1 include:au._netblocks.mimecast.com ~all</t>
  </si>
  <si>
    <t>v=DMARC1; p=quarantine; pct=100; fo=1; rua=mailto:admrpt@harveynorman.ie; ruf=mailto:admrpt@harveynorman.ie</t>
  </si>
  <si>
    <t>boliden.com</t>
  </si>
  <si>
    <t>v=spf1" " mx" " ip4:62.20.82.185" " ip4:62.183.198.32/27" " ip4:212.181.0.10" " ip4:195.67.21.5" " ip4:195.67.21.7" " ip4:195.67.39.75" " ip4:131.207.55.48/29" " ip4:149.72.30.77" " ip4:76.223.128.48" " ip4:76.223.128.49" " ip4:76.223.128.50" " include:spf.nebu.com" " include:spf.protection.outlook.com" " include:spf.mailjet.com" " a:smtp-out1.tucaas.com" " a:smtp-out2.tucaas.com" " a:c.spf.service-now.com" " -all</t>
  </si>
  <si>
    <t>v=DMARC1; p=quarantine; rua=mailto:dmarc_report@boliden.com; ruf=mailto:spoofingtrap@boliden.com; fo=1;</t>
  </si>
  <si>
    <t>ailesbury.com</t>
  </si>
  <si>
    <t>v=DMARC1; rua=mailto:83e992e4131d544@rep.dmarcanalyzer.com; p=none; sp=none;</t>
  </si>
  <si>
    <t>nmh.ie</t>
  </si>
  <si>
    <t>v=spf1 ip4:137.191.231.131 ip4:54.76.73.176 -all</t>
  </si>
  <si>
    <t>v=DMARC1; p=none; rua=mailto:dmarc@nmh.ie; ruf=mailto:dmarc@nmh.ie; fo=1; adkim=s; aspf=s</t>
  </si>
  <si>
    <t>cleaningcontractors.ie</t>
  </si>
  <si>
    <t>hermitageclinic.ie</t>
  </si>
  <si>
    <t>v=spf1 ip4:172.25.16.175 ip4:172.25.16.176 ip4:89.101.132.10 include:eu._netblocks.mimecast.com include:spf.protection.outlook.com include:spf-00273701.pphosted.com ~all</t>
  </si>
  <si>
    <t>v=DMARC1; p=none; rua=mailto:za37gjmn@ag.eu.dmarcian.com;</t>
  </si>
  <si>
    <t>algoodbody.ie</t>
  </si>
  <si>
    <t>v=spf1 a ip4:89.100.177.79 ip4:89.100.177.113 include:eu._netblocks.mimecast.com include:_spf.fireeyecloud.com ~all</t>
  </si>
  <si>
    <t>v=DMARC1; p=reject; rua=mailto:2ac55f7ef3f4033@rep.dmarcanalyzer.com; ruf=mailto:2ac55f7ef3f4033@for.dmarcanalyzer.com; fo=1;</t>
  </si>
  <si>
    <t>roadstone.ie</t>
  </si>
  <si>
    <t>v=spf1 include:_spf.crh.com include:spf.mandrillapp.com ip4:208.68.95.163 ip4:46.22.136.190 include:servers.mcsv.net -all</t>
  </si>
  <si>
    <t>salesforce.com</t>
  </si>
  <si>
    <t>v=spf1 include:_spf.google.com include:_spf.salesforce.com exists:%{i}._spf.corp.salesforce.com ~all</t>
  </si>
  <si>
    <t>v=DMARC1;p=reject;pct=100;fo=1;ruf=mailto:d@ruf.agari.com,mailto:dmarc_ruf@emaildefense.proofpoint.com;rua=mailto:d@rua.agari.com,mailto:dmarc_rua@emaildefense.proofpoint.com,mailto:dmarc_agg@vali.email</t>
  </si>
  <si>
    <t>https://www.salesforce.com/content/dam/web/en_us/www/images/home/bimi-salesforce-logo.svg</t>
  </si>
  <si>
    <t>gmit.ie</t>
  </si>
  <si>
    <t>v=spf1 include:spf.protection.outlook.com include:spf1.gmit.ie ip4:92.52.102.162 ip4:34.241.149.181 a:newmail.ancheim.ie a:gwmailfilter.gmit.ie a:sendgrid.unit4cloud.com ip4:168.245.121.45 -all</t>
  </si>
  <si>
    <t>v=DMARC1; p=none; ruf=mailto:dmarc@gmit.ie; rua=mailto:dmarc@gmit.ie</t>
  </si>
  <si>
    <t>arthurcox.com</t>
  </si>
  <si>
    <t>v=spf1 include:_u.arthurcox.com._spf.smart.ondmarc.com ~all</t>
  </si>
  <si>
    <t>v=DMARC1; p=quarantine; pct=100; fo=1; ri=3600; rua=mailto:a4ee46fb@inbox.ondmarc.com; ruf=mailto:a4ee46fb@inbox.ondmarc.com;</t>
  </si>
  <si>
    <t>blarney.com</t>
  </si>
  <si>
    <t>v=spf1 include:_spf.granite.ie include:authsmtp.com include:servers.mcsv.net include:spf.topsec.com include:spf.protection.outlook.com ip4:77.107.241.9 -all</t>
  </si>
  <si>
    <t>igb.ie</t>
  </si>
  <si>
    <t>v=spf1 ip4:54.246.225.76 ip4:54.246.225.97 ip4:208.73.7.181 include:_senderspf.copernica.com include:spf.protection.outlook.com include:spf.ess.uk.barracudanetworks.com -all</t>
  </si>
  <si>
    <t>v=DMARC1;p=none;pct=100;rua=mailto:dmarc@smtpeter.com</t>
  </si>
  <si>
    <t>kcetb.ie</t>
  </si>
  <si>
    <t>#v=spf1 +a +mx -all</t>
  </si>
  <si>
    <t>v=DMARC1; p=none; pct=100; rua=mailto:DMARCReports@kcetb.ie; ruf=mailto:DMARCReports@KCETB.ie</t>
  </si>
  <si>
    <t>blackrock-clinic.com</t>
  </si>
  <si>
    <t>v=spf1 include:servers.mcsv.net include:spf.protection.outlook.com include:spf-00273701.pphosted.com include:spf-eu.emailsignatures365.com ~all</t>
  </si>
  <si>
    <t>btireland.ie</t>
  </si>
  <si>
    <t>v=spf1 a:outbound.btireland.ie a:mxbackup.esat.net mx ip4:193.95.153.18 ip4:193.95.153.17 ip4:194.145.128.72 include:cmail1.com ~all</t>
  </si>
  <si>
    <t>mondelezinternational.ie</t>
  </si>
  <si>
    <t>rcsi.ie</t>
  </si>
  <si>
    <t>v=spf1 include:_spf2.rcsi.ie include:_spf3.rcsi.ie include:_spf.google.com include:spf.protection.outlook.com include:spf-eu.emailsignatures365.com include:elluciancloud.com ~all</t>
  </si>
  <si>
    <t>v=DMARC1; p=none; rua=mailto:noc@rcsi.ie</t>
  </si>
  <si>
    <t>merckmillipore.com</t>
  </si>
  <si>
    <t>v=spf1 include:spf-005f4802.pphosted.com include:spf.protection.outlook.com ~all</t>
  </si>
  <si>
    <t>v=DMARC1; p=none; sp=none; fo=1; rua=mailto:dmarc_reports@m.group; ruf=mailto:dmarc_reports@m.group</t>
  </si>
  <si>
    <t>sivuh.ie</t>
  </si>
  <si>
    <t>v=spf1 ip4:93.94.119.58 -all</t>
  </si>
  <si>
    <t>dkit.ie</t>
  </si>
  <si>
    <t>v=spf1 mx a ip4:116.203.110.13 ip4:159.69.3.23 ip4:193.120.142.176 ip4:193.120.143.70 ip4:193.120.143.134 ip4:193.120.143.138 ip4:52.31.29.196 ip4:52.213.53.209 ip4:54.229.16.46 a:mailrelay.ancheim.ie mx:lgcsb.ie a:relay.lgcsb.ie a:Exch-Cas-2013.dkit.ie" " include:spf.protection.outlook.com include:amazonses.com include:eu.transmail.net include:_tuf-spf.touchnet.com include:em6920.dkit.ie include:sendgrid.net -all</t>
  </si>
  <si>
    <t>v=DMARC1; p=quarantine; rua=mailto:postmaster@dkit.ie</t>
  </si>
  <si>
    <t>ml.com</t>
  </si>
  <si>
    <t>v=spf1 include:bankofamerica.com ~all</t>
  </si>
  <si>
    <t>https://vmc.digicert.com/de3b1533-f5df-4bd8-8123-35bc9a3aa6fd.svg</t>
  </si>
  <si>
    <t>rotunda.ie</t>
  </si>
  <si>
    <t>v=spf1 +ip4:137.191.232.39 +ip4:137.191.232.40 +ip4:35.189.100.238 +a:mail.rotunda.ie include:spf.protection.outlook.com +mx -all</t>
  </si>
  <si>
    <t>v=DMARC1; p=none; fo=1; ri=3600; rua=mailto:803718f3c7f0419789d042a6530eaa18@dmarc-reports.cloudflare.net,mailto:postmaster@rotunda.ie; ruf=mailto:postmaster@rotunda.ie</t>
  </si>
  <si>
    <t>libertyinsurance.ie</t>
  </si>
  <si>
    <t>v=spf1 include:spf.lmig.com ~all</t>
  </si>
  <si>
    <t>v=DMARC1;" "p=none;" "sp=none;" "pct=100;" "ri=3600;</t>
  </si>
  <si>
    <t>eielectronics.com</t>
  </si>
  <si>
    <t>v=spf1 include:spf.protection.outlook.com include:spf.mandrillapp.com -all</t>
  </si>
  <si>
    <t>clarecoco.ie</t>
  </si>
  <si>
    <t>v=spf1 include:spf.topsec.com include:spf.protection.outlook.com include:_spf.mlsend.com ip4:193.178.30.150 ip4:213.143.154.166 ip4:137.191.234.226 -all</t>
  </si>
  <si>
    <t>vmware.com</t>
  </si>
  <si>
    <t>v=spf1 include:_spf.vmware.com include:_spop.vmware.com include:mktomail.com include:_spf1.vmware.com include:stspg-customer.com include:spf.protection.outlook.com include:aspmx.pardot.com ip4:103.28.42.0/24 ip4:27.126.146.0/24 ip4:146.88.28.0/24 -all</t>
  </si>
  <si>
    <t>v=DMARC1; p=none; sp=none; adkim=r; aspf=r; rua=mailto:dmarc_agg@vali.email,mailto:dmarc-reports@vmware.com; ruf=mailto:dmarc-reports@vmware.com; fo=1</t>
  </si>
  <si>
    <t>kainos.com</t>
  </si>
  <si>
    <t>v=spf1 redirect=kainos.com.hosted.spf-report.com</t>
  </si>
  <si>
    <t>v=DMARC1; p=reject; sp=reject; rua=mailto:9aa1d4e2@mxtoolbox.dmarc-report.com; ruf=mailto:9aa1d4e2@forensics.dmarc-report.com,mailto:dmarc@kainos.com; adkim=s; aspf=s; fo=1; pct=100</t>
  </si>
  <si>
    <t>matheson.com</t>
  </si>
  <si>
    <t>v=spf1 include:de._netblocks.mimecast.com include:spf-uk.vx-email.com include:spf.protection.outlook.com ip4:86.47.138.103/32 ~all</t>
  </si>
  <si>
    <t>v=DMARC1; p=quarantine; rua=mailto:cb5c344d2de4124@rep.dmarcanalyzer.com; ruf=mailto:cb5c344d2de4124@for.dmarcanalyzer.com; fo=1;</t>
  </si>
  <si>
    <t>loetb.ie</t>
  </si>
  <si>
    <t>v=spf1 include:spf.dcsnet.ie include:spf.protection.outlook.com include:_spf.granite.ie a:mail1.dcsnet.ie a:mail2.dcsnet.ie -all</t>
  </si>
  <si>
    <t>materprivate.ie</t>
  </si>
  <si>
    <t>v=spf1 mx a ip4:109.70.209.92 ip4:74.127.26.11 ip4:109.70.209.90 ip4:91.220.45.49 a:mailvm.materprivate.ie a:filetx.digitalplanet.ie a:mailon.spamtitan.com include:spf.protection.outlook.com" " include:spf.eu1.defend.egress.com include:servers.mcsv.net ip4:91.220.45.40 a:dispatch-eu.ppe-hosted.com -all</t>
  </si>
  <si>
    <t>v=DMARC1;p=none;pct=100;rua=mailto:ec61c46e1d@rua.easydmarc.us;ruf=mailto:ec61c46e1d@ruf.easydmarc.us;fo=1;</t>
  </si>
  <si>
    <t>vhi.ie</t>
  </si>
  <si>
    <t>v=spf1 mx ip4:193.104.136.17 ip4:52.210.16.151 include:amazonses.com include:spf.topsec.com include:_spf.salesforce.com include:spf.protection.outlook.com include:_spf.meddbase.com -all</t>
  </si>
  <si>
    <t>v=DMARC1; p=quarantine; rua=mailto:mxreport@vhi.ie; ruf=mailto:mxreport@vhi.ie; fo=1; adkim=s; aspf=s;</t>
  </si>
  <si>
    <t>derrycourt.ie</t>
  </si>
  <si>
    <t>v=spf1 ip4:85.91.15.46 ip4:91.210.232.100 ip4:144.2.242.175 include:spf.protection.outlook.com include:_spf.salesforce.com include:spf.topsec.com include:authsmtp.com include:spf-eu.emailsignatures365.com include:spf.mailjet.com include:spf.constantcontac" "t.com -all</t>
  </si>
  <si>
    <t>bostonscientific.com</t>
  </si>
  <si>
    <t>v=spf1 include:_u.bostonscientific.com._spf.smart.ondmarc.com ~all</t>
  </si>
  <si>
    <t>v=DMARC1; p=reject; pct=100; sp=reject; rua=mailto:595d978f@inbox.ondmarc.com; ruf=mailto:595d978f@inbox.ondmarc.com; adkim=r; aspf=r; fo=1; rf=afrf; ri=3600</t>
  </si>
  <si>
    <t>ntma.ie</t>
  </si>
  <si>
    <t>v=spf1 mx ip4:78.153.205.64/28 ip4:137.191.233.25 ip4:78.153.203.154 ip4:205.138.36.10 ip4:159.135.145.156 ip4:5.61.115.80/28 ip4:198.2.128.0/18 ip4:205.201.128.0/20 ip4:148.105.8.0/21 ip4:13.69.226.128/25 ip4:13.74.106.128/25 include:spf.protection." "outlook.com exists:%{i}._spf.mta.salesforce.com include:res.cisco.com include:successfactors.eu include:_spf.messagegears.net include:_spf.eu.messagegears.net ~all</t>
  </si>
  <si>
    <t>v=DMARC1; p=none; rua=mailto:dmarc_reports@ntma.ie; ruf=mailto:dmarc_reports@ntma.ie;</t>
  </si>
  <si>
    <t>bocsi.ie</t>
  </si>
  <si>
    <t>v=spf1 mx a include:spf.protection.outlook.com include:autotask.net ~all</t>
  </si>
  <si>
    <t>hpe.com</t>
  </si>
  <si>
    <t>v=spf1 include:%{ir}.%{v}.%{d}.spf.has.pphosted.com include:spf-002e3701.pphosted.com include:spf-002e3702.pphosted.com include:_spf.salesforce.com include:308166.spf02.hubspotemail.net  ~all</t>
  </si>
  <si>
    <t>sarsecurity.ie</t>
  </si>
  <si>
    <t>manguardplus.ie</t>
  </si>
  <si>
    <t>v=spf1 ip4:93.107.105.0 ip4:213.233.141.18 ip4:81.173.14.75 ip4:213.79.45.112 include:spf.protection.outlook.com include:spf.exclaimer.net a:mx1.webcore.cloud a:mx2.webcore.cloud include:spf.smtp2go.com  -all</t>
  </si>
  <si>
    <t>kerry.ie</t>
  </si>
  <si>
    <t>v=spf1 ip4:149.72.72.185 ip4:12.40.84.162 ip4:194.69.173.150 ip4:194.69.173.151 include:spf.protection.outlook.com include:de._netblocks.mimecast.com include:_spf.salesforce.com include:mktomail.com include:_spf.spotme.com include:aws.de1.spf.staffbase.co" "m -all</t>
  </si>
  <si>
    <t>aryzta.com</t>
  </si>
  <si>
    <t>v=spf1 exists:%{i}.spf.aryzta.iphmx.com include:spf.messagelabs.com a:b.spf.service-now.com a:c.spf.service-now.com a:d.spf.service-now.com" " ip4:183.181.96.66 ip4:194.218.198.67 ip4:194.55.91.82 ip4:62.216.235.71 ip4:62.216.235.103 include:spf.protection.outlook.com ~all</t>
  </si>
  <si>
    <t>v=DMARC1;p=reject;pct=100;fo=1;rua=mailto:7rajixlj@ag.eu.dmarcian.com;ruf=mailto:7rajixlj@fr.eu.dmarcian.com</t>
  </si>
  <si>
    <t>hertz.com</t>
  </si>
  <si>
    <t>v=DMARC1; p=quarantine; fo=1; rua=mailto:dmarc_rua@emaildefense.proofpoint.com,mailto:dmarc_rua@hertz.com; ruf=mailto:dmarc_ruf@emaildefense.proofpoint.com,mailto:dmarc_ruf@hertz.com</t>
  </si>
  <si>
    <t>alps.ie</t>
  </si>
  <si>
    <t>v=spf1 include:_spf.salesforce.com include:spf.protection.outlook.com -all</t>
  </si>
  <si>
    <t>v=DMARC1; p=none; rua=mailto:mis@alps.ie; ruf=mailto:mis@alps.ie; fo=1</t>
  </si>
  <si>
    <t>coillte.ie</t>
  </si>
  <si>
    <t>v=spf1 include:autotask.net include:spf.protection.outlook.com include:sendgrid.net include:spf.topsec.com include:spf.eu.exclaimer.net ip4:185.5.241.97/27 ip4:146.0.55.97/27 ip4:185.5.241.68/32 ip4:213.168.232.34/32 ip4:213.168.232.38/32 ip4:213.168" ".232.42/32 ip4:213.168.232.46/32 -all</t>
  </si>
  <si>
    <t>v=DMARC1;p=quarantine;sp=quarantine;rua=mailto:211a5a2e44@rua.easydmarc.eu;ruf=mailto:211a5a2e44@ruf.easydmarc.eu;fo=1</t>
  </si>
  <si>
    <t>iconplc.com</t>
  </si>
  <si>
    <t>wit.ie</t>
  </si>
  <si>
    <t>v=spf1 ip4:34.240.68.23 ip4:34.254.2.161 mx include:spf.protection.outlook.com include:spf.mailjet.com include:_spf.google.com -all</t>
  </si>
  <si>
    <t>v=DMARC1;p=none; pct=100;rua=mailto:djt@wit.ie;ruf=mailto:djt@wit.ie</t>
  </si>
  <si>
    <t>manorfarm.ie</t>
  </si>
  <si>
    <t>v=spf1 include:spf.topsec.com include:spf.protection.outlook.com include:spf_ip.fouredge.se ~all</t>
  </si>
  <si>
    <t>lilly.ie</t>
  </si>
  <si>
    <t>v=DMARC1;p=reject;pct=100;rua=mailto:lilly@rua.dmp.cisco.com</t>
  </si>
  <si>
    <t>waterfordcouncil.ie</t>
  </si>
  <si>
    <t>v=spf1 include:spf.anu.net ip4:34.253.61.97 ip4:213.143.154.166 include:spf.topsec.com include:spf.protection.outlook.com  ~all</t>
  </si>
  <si>
    <t>v=DMARC1;p=none;sp=none;rua=mailto:211a5a2e44@rua.easydmarc.eu;ruf=mailto:211a5a2e44@ruf.easydmarc.eu;fo=1;</t>
  </si>
  <si>
    <t>acuvue.com</t>
  </si>
  <si>
    <t>v=DMARC1; p=reject; fo=1; ri=3600; rua=mailto:jnj@rua.dmp.cisco.com,mailto:jnj@rua.agari.com; ruf=mailto:jnj@ruf.dmp.cisco.com,mailto:jnj@ruf.agari.com</t>
  </si>
  <si>
    <t>mylan.ie</t>
  </si>
  <si>
    <t>merit.com</t>
  </si>
  <si>
    <t>v=spf1 include:spfa.cpmails.com include:spf-0026ba02.pphosted.com include:mailgun.org ip4:198.161.200.100 ip4:52.162.207.40/29 ip4:52.252.140.200/29 ip4:35.156.0.138 ip4:37.139.12.94 ip4:193.3.183.0/25 mx ~all</t>
  </si>
  <si>
    <t>cookmedical.com</t>
  </si>
  <si>
    <t>liebherr.com</t>
  </si>
  <si>
    <t>v=DMARC1; p=reject; sp=reject; aspf=s; fo=1; rua=mailto:dmarc_rua@emaildefense.proofpoint.com; ruf=mailto:dmarc_ruf@emaildefense.proofpoint.com</t>
  </si>
  <si>
    <t>courtsservices.ie</t>
  </si>
  <si>
    <t>pmg.ie</t>
  </si>
  <si>
    <t>linesight.com</t>
  </si>
  <si>
    <t>v=spf1 ip4:89.101.228.112/28 ip4:149.72.127.121 ip4:18.168.51.200 ip4:18.168.140.58 ip4:148.59.101.16/28 ip4:23.21.109.197 ip4:23.21.109.212 ip4:147.160.167.0/26 ip4:137.135.185.191 " "include:spf.protection.outlook.com include:spf.emailsignatures365.com include:spf.zohomail360.eu include:_spf.act-on.net include:spf_c.oraclecloud.com include:mktomail.com exists:%{i}._spf.mta.salesforce.com include:_spf" ".psm.knowbe4.com ~all</t>
  </si>
  <si>
    <t>v=DMARC1; p=reject; rua=mailto:dmarc@linesight.com; ruf=mailto:dmarc@linesight.com; fo=1;</t>
  </si>
  <si>
    <t>analog.com</t>
  </si>
  <si>
    <t>v=spf1 ip4:137.71.173.56 ip4:137.71.173.58 include:spf.protection.outlook.com include:spf-00128a01.pphosted.com -all</t>
  </si>
  <si>
    <t>v=DMARC1; p=quarantine; fo=1; rua=mailto:dmarc-analog-com-rua@analog.com; ruf=mailto:dmarc-analog-com-ruf@analog.com</t>
  </si>
  <si>
    <t>ksg.ie</t>
  </si>
  <si>
    <t>v=spf1 redirect=ksg.ie.spf.hornetdmarc.com</t>
  </si>
  <si>
    <t>v=DMARC1; p=none; pct=100; rua=mailto:a.hx2nw8g9@reports.hornetdmarc.com</t>
  </si>
  <si>
    <t>beaconhospital.ie</t>
  </si>
  <si>
    <t>v=spf1 mx a:mail.beaconhospital.ie include:sharepointonline.com ip4:192.124.249.118 ip4:185.224.197.201 -all</t>
  </si>
  <si>
    <t>v=DMARC1; p=none; fo=1; rua=mailto:dmarc_report@beaconhospital.ie; ruf=mailto:dmarc_report@beaconhospital.ie</t>
  </si>
  <si>
    <t>eason.com</t>
  </si>
  <si>
    <t>v=spf1 include:spf.mxhichina.com -all</t>
  </si>
  <si>
    <t>svph.ie</t>
  </si>
  <si>
    <t>v=spf1 include:spf.topsec.com ip4:137.191.237.224/27 ip4:139.59.178.253 ~all</t>
  </si>
  <si>
    <t>v=DMARC1;p=reject;sp=none;rua=mailto:211a5a2e44@rua.easydmarc.eu;ruf=mailto:211a5a2e44@ruf.easydmarc.eu;fo=1</t>
  </si>
  <si>
    <t>version1.com</t>
  </si>
  <si>
    <t>v=spf1 include:_spf.eu.messagegears.net include:spf.protection.outlook.com include:nw010.com include:_spf.brainier.com a:c.spf.service-now.com  include:spf1.workhuman.com include:amazonses.com include:139674475.spf08.hubspotemail.net ~all</t>
  </si>
  <si>
    <t>https://s3-eu-west-1.amazonaws.com/crl.version1.com/Version1-logo.svg</t>
  </si>
  <si>
    <t>munsterjoinery.ie</t>
  </si>
  <si>
    <t>v=spf1 ip4:109.106.104.53 include:spf.mailanyone.net ~all</t>
  </si>
  <si>
    <t>dbei.ie</t>
  </si>
  <si>
    <t>mercuryeng.com</t>
  </si>
  <si>
    <t>v=spf1 include:spf.protection.outlook.com include:_netblocks.mimecast.com include:mail.zendesk.com include:_spf-dc57.sapsf.eu ip4:217.112.146.90 -all</t>
  </si>
  <si>
    <t>v=DMARC1; p=reject; rua=mailto:rua@mercuryeng.com,mailto:2c541c8369bd818@rep.dmarcanalyzer.com; ruf=mailto:ruf@mercuryeng.com,mailto:2c541c8369bd818@for.dmarcanalyzer.com; fo=1;</t>
  </si>
  <si>
    <t>inmplc.com</t>
  </si>
  <si>
    <t>v=spf1 include:mailcontrol.com include:spf.protection.outlook.com -all</t>
  </si>
  <si>
    <t>v=DMARC1; p=none; rua=mailto:dmarcreports@independent.ie</t>
  </si>
  <si>
    <t>momentumsupport.eu</t>
  </si>
  <si>
    <t>corkcity.ie</t>
  </si>
  <si>
    <t>v=spf1 include:sendgrid.net include:spf.protection.outlook.com include:_spf.psm.knowbe4.com include:amazonses.com include:spf.mailjet.com include:one.zoho.eu ip4:34.253.61.97 ip4:137.191.227.194 ip4:137.191.227.234 ip4:137.191.237.194 ip4:213.143.154" ".166 ~all</t>
  </si>
  <si>
    <t>dlrcoco.ie</t>
  </si>
  <si>
    <t>v=spf1 include:eu._netblocks.mimecast.com include:spf.topsec.com include:spf.protection.outlook.com include:spf.mailjet.com ip4:213.143.154.166 ip4:51.254.190.26 ip4:51.254.190.10 ip4:51.254.190.13 ip4:52.17.60.159 ip4:99.81.217.139 " "ip4:142.93.129.113 -all</t>
  </si>
  <si>
    <t>v=DMARC1; p=reject; rua=mailto:45ccfef76185555@rep.dmarcanalyzer.com; ruf=mailto:45ccfef76185555@for.dmarcanalyzer.com; fo=1;</t>
  </si>
  <si>
    <t>muh.ie</t>
  </si>
  <si>
    <t>v=spf1 ip4:137.191.231.178/32 ip4:137.191.231.179/32 include:de._netblocks.mimecast.com include:amazonses.com include:authsmtp.com ~all</t>
  </si>
  <si>
    <t>v=DMARC1; p=none; rua=mailto:dmarc_reports@muh.ie,mailto:dmarc_agg@vali.email;</t>
  </si>
  <si>
    <t>cuh.ie</t>
  </si>
  <si>
    <t>v=spf1 ip4:137.191.248.195 ip4:137.191.248.196 ip4:193.120.69.8 include:mailcontrol.com include:authsmtp.com include:spf.protection.outlook.com ~all</t>
  </si>
  <si>
    <t>knnetworkservices.com</t>
  </si>
  <si>
    <t>creganna.com</t>
  </si>
  <si>
    <t>v=spf1 ip4:69.46.21.82/32 ip4:198.37.148.199/32 ip4:12.23.76.241/32 include:mxlogic.net include:spf.protection.outlook.com include:sharepointonline.com ~all</t>
  </si>
  <si>
    <t>arnotts.ie</t>
  </si>
  <si>
    <t>v=spf1 a ip4:37.110.219.152 ip4:89.101.232.203 include:_spf_3rdparty.arnotts.ie ~all</t>
  </si>
  <si>
    <t>v=DMARC1; p=quarantine; rua=mailto:btsupport@arnotts.ie; ruf=mailto:btsupport@arnotts.ie; fo=1; pct=100</t>
  </si>
  <si>
    <t>pramerica.ie</t>
  </si>
  <si>
    <t>v=spf1 include:spf.prudential.com include:spf.protection.outlook.com ~all</t>
  </si>
  <si>
    <t>v=DMARC1; p=quarantine; rua=mailto:ivrejeuw@ag.c1.dmarcian.com;</t>
  </si>
  <si>
    <t>sap.com</t>
  </si>
  <si>
    <t>v=spf1 redirect=_spf.sap.com</t>
  </si>
  <si>
    <t>v=DMARC1; p=reject; pct=100; adkim=s; aspf=s; rua=mailto:mailauth-reports@sap.com</t>
  </si>
  <si>
    <t>connollyhospital.ie</t>
  </si>
  <si>
    <t>olchc.ie</t>
  </si>
  <si>
    <t>v=spf1 +a +mx +ip4:34.248.16.77 include:spf.webhostingireland.ie include:spf.protection.outlook.com ~all</t>
  </si>
  <si>
    <t>galway.ie</t>
  </si>
  <si>
    <t>v=spf1 ip4:137.191.229.73 ip4:137.191.229.75 include:spf.protection.outlook.com -all</t>
  </si>
  <si>
    <t>bausch.com</t>
  </si>
  <si>
    <t>v=spf1 mx ip4:161.242.0.0/16 ip4:20.72.141.232 ip4:20.110.18.118 include:spf.protection.outlook.com include:_spf-dc57.sapsf.eu include:_spf.salesforce.com include:docebosaas.com ~all</t>
  </si>
  <si>
    <t>v=DMARC1; p=none; rua=mailto:52jwurap@ag.dmarcian.com;</t>
  </si>
  <si>
    <t>mayo.ie</t>
  </si>
  <si>
    <t>v=spf1 include:spf.protection.outlook.com include:_netblocks.mimecast.com include:spf.topsec.com a ip4:137.191.225.163 ip4:89.185.145.185 -all</t>
  </si>
  <si>
    <t>cit.ie</t>
  </si>
  <si>
    <t>v=spf1 ip4:193.120.143.134 include:spf.protection.outlook.com -all</t>
  </si>
  <si>
    <t>v=DMARC1; p=none; rua=mailto:svc_dmarc@mtu.ie</t>
  </si>
  <si>
    <t>deloitte.ie</t>
  </si>
  <si>
    <t>v=spf1 exists:%{i}.spf.deloitteie.c3s2.iphmx.com include:spf2.deloitte.ie include:_spf.createsend.com include:_spf.eu.messagegears.net include:spf.protection.outlook.com -all</t>
  </si>
  <si>
    <t>v=DMARC1; p=reject; sp=none; fo=1; ri=3600; rua=mailto:deloitte-global@rua.dmp.cisco.com; ruf=mailto:deloitte-global@ruf.dmp.cisco.com</t>
  </si>
  <si>
    <t>paddypowerbetfair.com</t>
  </si>
  <si>
    <t>v=spf1 include:spf.protection.outlook.com include:nw010.com include:cust-spf.exacttarget.com include:_spf.salesforce.com include:mail.zendesk.com include:de._netblocks.mimecast.com ip4:217.112.150.5 ip4:185.20.95.20 ip4:217.112.150.38 ip4:217.112.150.47 i" "p4:217.112.150.48 ip4:94.236.83.186 ip4:54.195.28.80 ip4:213.187.237.32 ip4:52.213.120.101 ip4:54.76.240.229 ip4:52.49.201.246 include:spf.mandrillapp.com include:_spf.psm.knowbe4.com -all</t>
  </si>
  <si>
    <t>v=DMARC1; p=reject; rua=mailto:dfdb1ef5f58b4ea79a28474e1abf009f@dmarc-reports.cloudflare.net</t>
  </si>
  <si>
    <t>environ.ie</t>
  </si>
  <si>
    <t>v=spf1  mx ip4:137.191.226.88/29 ip4:137.191.229.96/28 include:spfext.itservices.gov.ie -all</t>
  </si>
  <si>
    <t>v=DMARC1; p=none; rua=mailto:dmarc@housing.gov.ie; ruf=mailto:dmarc@housing.gov.ie; fo=0; adkim=r; aspf=r; pct=100; rf=afrf; ri=604800</t>
  </si>
  <si>
    <t>fingal.ie</t>
  </si>
  <si>
    <t>v=spf1 mx include:spf.protection.outlook.com ip4:137.191.240.163 ip4:213.143.154.166 include:spf.mailjet.com include:spf.topsec.com -all</t>
  </si>
  <si>
    <t>v=DMARC1; p=reject; rua=mailto:dmarc_agg@vali.email; pct=100; fo=1;</t>
  </si>
  <si>
    <t>kildarecountycouncil.ie</t>
  </si>
  <si>
    <t>v=spf1 mx a include:_spf.livemail.co.uk ~all</t>
  </si>
  <si>
    <t>petermark.ie</t>
  </si>
  <si>
    <t>v=spf1 a ip4:62.190.159.144/28 ip4:62.190.59.144/28 include:spf.protection.outlook.com include:sendgrid.net include:spf.givex.com include:authsmtp.com include:relay.mailchannels.net   ~all</t>
  </si>
  <si>
    <t>v=DMARC1;p=quarantine;rua=mailto:cc789e6eee@rua.easydmarc.eu;ruf=mailto:cc789e6eee@ruf.easydmarc.eu;fo=1;</t>
  </si>
  <si>
    <t>https://assets.easydmarc.com/9808008439/bimi-petermark-ie-3bd74e3e.svg</t>
  </si>
  <si>
    <t>crescentshoppingcentre.ie</t>
  </si>
  <si>
    <t>v=spf1 ip4:178.63.81.198/32 ip4:144.76.75.138/32 ip4:144.76.75.187/32 ip4:188.40.29.197/32 a mx ptr -all</t>
  </si>
  <si>
    <t>ul.ie</t>
  </si>
  <si>
    <t>v=spf1 ip4:139.60.152.0/22 include:spf.protection.outlook.com include:spf.topdesk.net ip4:195.154.27.41 ip4:149.202.76.209 ip4:193.120.142.176 ip4:193.120.143.134 ip4:193.120.143.138 ip4:193.1.100.0/21 include:spf1.ul.ie -all</t>
  </si>
  <si>
    <t>v=DMARC1; p=quarantine; rua=mailto:dmarc_reporting@ul.ie;</t>
  </si>
  <si>
    <t>lidl.ie</t>
  </si>
  <si>
    <t>v=spf1 include:_spfg.mail.schwarz ip4:94.236.83.186 ip4:52.58.140.247 ip4:52.58.125.153 ip4:52.58.101.176 ip4:52.58.71.98 ip4:52.58.208.11 ip4:52.58.208.17 ip4:52.28.33.180 ip4:52.29.33.71 ip4:81.246.117.64/26 ip4:81.246.126.128/25 ip4:91.183.148.64/" "27 ip4:217.111.201.64/28 ip4:212.35.104.128/26 ip4:212.35.104.176/28 ip4:185.145.13.98 -all</t>
  </si>
  <si>
    <t>v=DMARC1;p=reject;adkim=r;aspf=r;rua=mailto:schwarz-dmarc-rua@sasms.mail.schwarz</t>
  </si>
  <si>
    <t>grosvenorservices.com</t>
  </si>
  <si>
    <t>v=spf1 include:_u.grosvenorservices.com._spf.smart.ondmarc.com include:sendgrid.net -all</t>
  </si>
  <si>
    <t>v=DMARC1; p=reject; pct=100; fo=1; ri=3600; rua=mailto:216342b8@inbox.ondmarc.com; ruf=mailto:216342b8@inbox.ondmarc.com;</t>
  </si>
  <si>
    <t>vodafone.ie</t>
  </si>
  <si>
    <t>v=spf1 include:spf2.vodafone.com ip4:167.89.0.0/17 -all</t>
  </si>
  <si>
    <t>v=DMARC1; p=reject; rua=mailto:adeeb5c538f9684@rep.dmarcanalyzer.com; ruf=mailto:adeeb5c538f9684@for.dmarcanalyzer.com; fo=0</t>
  </si>
  <si>
    <t>united-drug.com</t>
  </si>
  <si>
    <t>v=spf1 include:_u.united-drug.com._spf.smart.ondmarc.com -all</t>
  </si>
  <si>
    <t>v=DMARC1; p=none; pct=100; sp=none; rua=mailto:3fb658a1@inbox.eu.redsift.cloud; ruf=mailto:3fb658a1@inbox.eu.redsift.cloud; adkim=r; aspf=r; fo=1; rf=afrf; ri=86400</t>
  </si>
  <si>
    <t>ericsson.com</t>
  </si>
  <si>
    <t>v=spf1 ip4:193.180.251.71/32 ip4:193.180.251.72/31 ip4:198.24.6.0/25 ip4:192.176.1.74/32 ip4:213.68.11.254/32 ip4" ":109.203.101.205/32 ip4:129.192.139.193/32 ip4:129.192.129.0/24 ip4:130.100.64.168/32 include:spf.protection.outlook.com ~all</t>
  </si>
  <si>
    <t>v=DMARC1; p=reject; fo=1; ri=3600; rua=mailto:ericsson@rua.agari.com; ruf=mailto:ericsson@ruf.agari.com</t>
  </si>
  <si>
    <t>https://www.ericsson.com/bimi/ericsson_ab_vmc_2025.svg</t>
  </si>
  <si>
    <t>dell.ie</t>
  </si>
  <si>
    <t>v=spf1 ip4:23.253.197.137 -all</t>
  </si>
  <si>
    <t>sodexo.com</t>
  </si>
  <si>
    <t>v=spf1 a:smtpgate.sodexo.com include:spf-00009201.pphosted.com include:spf.sodexo.com -all</t>
  </si>
  <si>
    <t>sdcc.ie</t>
  </si>
  <si>
    <t>v=spf1 mx include:spf.protection.outlook.com ip4:137.191.230.202 -all</t>
  </si>
  <si>
    <t>keelings.ie</t>
  </si>
  <si>
    <t>v=spf1 ip4: 5.61.115.48/28 include:nw005.com -all</t>
  </si>
  <si>
    <t>v=DMARC1; p=none; sp=none; rua=mailto:dmarc_report@keelings.ie; ruf=mailto:dmarc_report@keelings.ie; fo=1;</t>
  </si>
  <si>
    <t>fbdgroup.com</t>
  </si>
  <si>
    <t>citi.com</t>
  </si>
  <si>
    <t>v=spf1 a:1._spf.citigroup.com a:2._spf.citigroup.com a:mailir.citi.com include:spf-00123c01.pphosted.com include:_spf.lwo.locaweb.com.br redirect=ext1._spf.citigroup.com</t>
  </si>
  <si>
    <t>v=DMARC1; p=reject; rua=mailto:dmarc_rua@emaildefense.proofpoint.com,mailto:dmarc.reports.rua@citi.com</t>
  </si>
  <si>
    <t>abtran.com</t>
  </si>
  <si>
    <t>v=spf1 ip4:150.70.0.0/16 ip4:91.209.74.0/24 ip4:160.34.64.14/32 ip4:138.1.16.88/32 include:spf.tmes.trendmicro.eu include:spf.protection.outlook.com include:rnmk.com include:authsmtp.com include:amazonses.com -all</t>
  </si>
  <si>
    <t>v=DMARC1; p=quarantine; rua=mailto:dmarc@abtran.com; ruf=mailto:dmarc@abtran.com; fo=1</t>
  </si>
  <si>
    <t>compass-group.ie</t>
  </si>
  <si>
    <t>v=spf1 mx include:spf.protection.outlook.com ip4:52.212.227.234 -all</t>
  </si>
  <si>
    <t>v=DMARC1; p=reject; pct=100; rua=mailto:gxq2lm1e@ag.eu.dmarcadvisor.com; ruf=mailto:gxq2lm1e@fr.eu.dmarcadvisor.com; fo=1; ri=60</t>
  </si>
  <si>
    <t>telent.com</t>
  </si>
  <si>
    <t>v=spf1 ip4:51.140.205.44 ip4:104.45.90.69 ip4:82.141.247.90 ip4:80.6.91.150 ip4:203.55.21.31 ip4:213.143.152.2 ip4:20.68.241.51 ip4:51.132.83.216 ip4:51.104.201.83 ip4:20.26.49.116 ip4:51.11.110.125 ip4:51.132.164.243 ip4:20.90.56.1 mx include:spf.prote" "ction.outlook.com include:spf.emailsignatures365.com include:aspmx.pardot.com a:c.spf.service-now.com a:d.spf.service-now.com include:_spf.salesforce.com include:spf_c.oraclecloud.com ~all</t>
  </si>
  <si>
    <t>v=DMARC1;p=quarantine;sp=quarantine;fo=1;rua=mailto:dmarc-rua@telent.com;ruf=mailto:dmarc-ruf@telent.com</t>
  </si>
  <si>
    <t>aib.ie</t>
  </si>
  <si>
    <t>v=spf1 include:aib.ie._nspf.vali.email include:%{i}._ip.%{h}._ehlo.%{d}._spf.vali.email ~all</t>
  </si>
  <si>
    <t>dcu.ie</t>
  </si>
  <si>
    <t>v=spf1 include:_spf.google.com ip4:136.206.1.100 ip4:198.187.196.100 ip4:193.120.143.134 include:spf-eu.exlibrisgroup.com include:spf.protection.outlook.com include:mail.zendesk.com ~all</t>
  </si>
  <si>
    <t>v=DMARC1; p=reject; rua=mailto:dmarc@dcu.ie, mailto:xp52vxju@ag.eu.dmarcian.com</t>
  </si>
  <si>
    <t>dudublin.ie</t>
  </si>
  <si>
    <t>ilim.com</t>
  </si>
  <si>
    <t>fexco.com</t>
  </si>
  <si>
    <t>dit.ie</t>
  </si>
  <si>
    <t>v=spf1 include:spf1.dit.ie include:spf2.dit.ie include:_spf.google.com include:irdub.iii.com include:a._spf.brightspace.com -all</t>
  </si>
  <si>
    <t>nuigalway.ie</t>
  </si>
  <si>
    <t>v=spf1 ip4:95.172.90.143 ip4:95.172.90.156 ip4:206.132.28.57 ip4:92.52.102.162 ip4:206.132.28.20 ip4:140.203.202.74 ip4:140.203.12.209" " include:spf.protection.outlook.com ip4:82.195.135.109 ip4:147.197.215.112 ip4:80.93.26.177 include:listserv.heanet.ie include:spf-eu.exlibrisgroup.com include:mh.blackboard.com" " ip4:193.120.143.70 ip4:193.120.252.86 include:servers.mcsv.net -all</t>
  </si>
  <si>
    <t>v=DMARC1;" "p=quarantine;" "rua=mailto:DMARC@universityofgalway.ie;</t>
  </si>
  <si>
    <t>corkcoco.ie</t>
  </si>
  <si>
    <t>v=spf1 mx include:spf.protection.outlook.com include:spf.topsec.com include:spf.mailjet.com include:spf.anu.net include:_spf.firmstep.com include:_spf.psm.knowbe4.com include:servers.mcsv.net ip4:137.191.236.2 ip4:193.120.143.138 ip4:213.143.154.166 " "-all</t>
  </si>
  <si>
    <t>v=DMARC1; p=none; pct=100; fo=1; ri=3600; rua=mailto:12c2c213@inbox.ondmarc.com; ruf=mailto:12c2c213@inbox.ondmarc.com;</t>
  </si>
  <si>
    <t>emc.com</t>
  </si>
  <si>
    <t>musgravegroup.ie</t>
  </si>
  <si>
    <t>ornua.com</t>
  </si>
  <si>
    <t>v=spf1 ip4:212.2.161.110 ip4:213.137.181" ".78 include:spf.protection.outlook.com i" "nclude:spf.mailjet.com include:spf.messa" "gelabs.com include:sendgrid.net include:" "_spf.mlsend.com -all</t>
  </si>
  <si>
    <t>v=DMARC1; p=reject; pct=100; fo=1; ri=36" "00; rua=mailto:f9d420a7@inbox.eu.redsift" ".cloud; ruf=mailto:f9d420a7@inbox.eu.red" "sift.cloud</t>
  </si>
  <si>
    <t>https://bimi.entrust.net/ornu" "a.com/logo.svg</t>
  </si>
  <si>
    <t>amnch.ie</t>
  </si>
  <si>
    <t>v=spf1 mx a ip4:137.191.244.4/32 ip4:137.191.241.24/32 ip4:18.185.115.0/25 ip4:18.185.115.128/26 ip4:34.253.238.128/26 ip4:34.253.238.192/26 include:spf.tmes.trendmicro.com include:spf.topsec.com include:spf.cirqahosting.com -all</t>
  </si>
  <si>
    <t>sodexo.ie</t>
  </si>
  <si>
    <t>aramark.ie</t>
  </si>
  <si>
    <t>v=spf1 exists:%{i}._i.%{d}._d.espf.agari.com include:%{d}.5b.spf-protect.agari.com -all</t>
  </si>
  <si>
    <t>v=DMARC1; p=reject; fo=1; ri=3600; rua=mailto:aramark@rua.agari.com; ruf=mailto:aramark@ruf.agari.com</t>
  </si>
  <si>
    <t>mater.ie</t>
  </si>
  <si>
    <t>v=spf1 ip4:84.203.136.181 ip4:84.203.136.182 include:spf.protection.outlook.com -all</t>
  </si>
  <si>
    <t>v=DMARC1;p=none;sp=none;pct=100;rua=mailto:infosec@mater.ie;ri=86400;aspf=r;adkim=r</t>
  </si>
  <si>
    <t>stvincents.ie</t>
  </si>
  <si>
    <t>v=DMARC1; p=reject; rua=mailto:c75762f7@mxtoolbox.dmarc-report.com; ruf=mailto:c75762f7@forensics.dmarc-report.com; fo=1</t>
  </si>
  <si>
    <t>dublinairportauthority.com</t>
  </si>
  <si>
    <t>v=DMARC1; p=none; fo=1; rua=mailto:dmarc_alerts@daa.ie</t>
  </si>
  <si>
    <t>iss.ie</t>
  </si>
  <si>
    <t>v=spf1 mx a -all</t>
  </si>
  <si>
    <t>v=DMARC1; p=quarantine; rua=mailto:0741f6cf@mxtoolbox.dmarc-report.com; ruf=mailto:0741f6cf@forensics.dmarc-report.com; fo=1; pct=80</t>
  </si>
  <si>
    <t>dublinbus.ie</t>
  </si>
  <si>
    <t>v=spf1 ip4:194.106.151.242 include:_netblocks.mimecast.com include:spf.protection.outlook.com include:_spf.mlsend.com -all</t>
  </si>
  <si>
    <t>v=DMARC1; p=reject; rua=mailto:1682ed89ae77559@rep.dmarcanalyzer.com; ruf=mailto:1682ed89ae77559@for.dmarcanalyzer.com; fo=1;</t>
  </si>
  <si>
    <t>stjames.ie</t>
  </si>
  <si>
    <t>v=spf1 mx include:spf.tmes.trendmicro.com ~all</t>
  </si>
  <si>
    <t>cuh.hse.ie</t>
  </si>
  <si>
    <t>apple.com</t>
  </si>
  <si>
    <t>v=spf1 include:_spf.apple.com include:_spf-txn.apple.com ~all</t>
  </si>
  <si>
    <t>v=DMARC1; p=quarantine; sp=reject; rua=mailto:d@rua.agari.com; ruf=mailto:d@ruf.agari.com;</t>
  </si>
  <si>
    <t>https://www.apple.com/bimi/v2/apple.svg</t>
  </si>
  <si>
    <t>dundrum.ie</t>
  </si>
  <si>
    <t>v=spf1 include:_spf.google.com include:cmail1.com ip4:207.126.144.0/20 ip4:185.132.183.149 ip4:185.183.30.200 include:spf.protection.outlook.com include:asp-spf1.yardi.com include:asp-spf2.yardi.com include:spf.tmes.trendmicro.com include:spf.UK.exclaimer" ".net ~all</t>
  </si>
  <si>
    <t>v=DMARC1; p=quarantine; rua=mailto:dundrumire@dmarcrua.tmes.trendmicro.eu; pct=50</t>
  </si>
  <si>
    <t>ryanair.com</t>
  </si>
  <si>
    <t>v=spf1 include:ryanair.com._nspf.vali.email include:%{i}._ip.%{h}._ehlo.%{d}._spf.vali.email include:_netblocks.mimecast.com include:_spf-dc57.sapsf.eu ~all</t>
  </si>
  <si>
    <t>https://amplify.valimail.com/bimi/ryanair/JgDx5m5g7Bx-ryanair_dac_1323452655.svg</t>
  </si>
  <si>
    <t>garda.ie</t>
  </si>
  <si>
    <t>v=spf1 mx ip4:137.191.224.102 ip4:137.191.224.122 ip4:137.191.224.89 ip4:137.191.225.35 ip4:137.191.225.37 ip4:169.254.231.133 ip4:169.254.39.133 ip4:193.178.100.71 include:spf.protection.outlook.com -all</t>
  </si>
  <si>
    <t>bankofireland.com</t>
  </si>
  <si>
    <t>greencore.com</t>
  </si>
  <si>
    <t>snclavalin.com</t>
  </si>
  <si>
    <t>v=spf1 ip4:66.252.152.206 ip4:66.252.152.227 ip4:142.242.2.248 ip4:142.242.2.91 ip4:51.140.185.73 ip4:51.145.26.67 ip4:51.140.29.80 ip4:142.242.7.15 ip4:142.242.7.16 include:spf-0028ed01.pphosted.com include:spf.power365.quest.com" " include:spf.protection.outlook.com ip4:18.168.51.200 ip4:18.168.140.58 include:spf-001bd701.pphosted.com include:spf-001bd702.pphosted.com include:spf-001bd703.pphosted.com ip4:204.93.133.100 -all</t>
  </si>
  <si>
    <t>v=DMARC1; p=none; fo=1; rua=mailto:snc_dmarc_rua@snclgroup.com,mailto:dmarc_rua@emaildefense.proofpoint.com; ruf=mailto:snc_dmarc_ruf@snclgroup.com,mailto:dmarc_ruf@emaildefense.proofpoint.com</t>
  </si>
  <si>
    <t>County</t>
  </si>
  <si>
    <t>Dublin</t>
  </si>
  <si>
    <t>Cork</t>
  </si>
  <si>
    <t>Louth</t>
  </si>
  <si>
    <t>Wexford</t>
  </si>
  <si>
    <t>Mayo</t>
  </si>
  <si>
    <t>Limerick</t>
  </si>
  <si>
    <t>Donegal</t>
  </si>
  <si>
    <t>Galway</t>
  </si>
  <si>
    <t>Sligo</t>
  </si>
  <si>
    <t>Clare</t>
  </si>
  <si>
    <t>Waterford</t>
  </si>
  <si>
    <t>Cavan</t>
  </si>
  <si>
    <t>Monaghan</t>
  </si>
  <si>
    <t>Tipperary</t>
  </si>
  <si>
    <t>Kerry</t>
  </si>
  <si>
    <t>Meath</t>
  </si>
  <si>
    <t>Kildare</t>
  </si>
  <si>
    <t>Kilkenny</t>
  </si>
  <si>
    <t>Laois</t>
  </si>
  <si>
    <t>Leitrim</t>
  </si>
  <si>
    <t>Longford</t>
  </si>
  <si>
    <t>Offaly</t>
  </si>
  <si>
    <t>Roscommon</t>
  </si>
  <si>
    <t>Westmeath</t>
  </si>
  <si>
    <t>Wicklow</t>
  </si>
  <si>
    <t>Carlow</t>
  </si>
  <si>
    <t>Employee Count</t>
  </si>
  <si>
    <t>Row Labels</t>
  </si>
  <si>
    <t>(blank)</t>
  </si>
  <si>
    <t>Grand Total</t>
  </si>
  <si>
    <t>Count of dmarc_policy</t>
  </si>
  <si>
    <t>Column Labels</t>
  </si>
  <si>
    <t>misconfigured</t>
  </si>
  <si>
    <t>no dmarc</t>
  </si>
  <si>
    <t>county</t>
  </si>
  <si>
    <t>with-dmarc</t>
  </si>
  <si>
    <t>percentage-with-dmarc</t>
  </si>
  <si>
    <t>Invalid SPF Syntax</t>
  </si>
  <si>
    <t>spf-implementation</t>
  </si>
  <si>
    <t>Not found</t>
  </si>
  <si>
    <t>Soft Fail</t>
  </si>
  <si>
    <t>Neutral</t>
  </si>
  <si>
    <t>Pass</t>
  </si>
  <si>
    <t>Fail</t>
  </si>
  <si>
    <t>CompanySize</t>
  </si>
  <si>
    <t>Count of spf-implementation</t>
  </si>
  <si>
    <t>≤50</t>
  </si>
  <si>
    <t>1001+</t>
  </si>
  <si>
    <t>101–250</t>
  </si>
  <si>
    <t>251–500</t>
  </si>
  <si>
    <t>501–1000</t>
  </si>
  <si>
    <t>51–100</t>
  </si>
  <si>
    <t>Company Size</t>
  </si>
  <si>
    <t>Any form of adoption</t>
  </si>
  <si>
    <t>Not yet adopted or invalid</t>
  </si>
  <si>
    <t>Misconfigured</t>
  </si>
  <si>
    <t>p=none</t>
  </si>
  <si>
    <t>p=quarantine</t>
  </si>
  <si>
    <t>p=reject</t>
  </si>
  <si>
    <t>Not yet adopted</t>
  </si>
  <si>
    <t>Count of CompanySize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</si>
</sst>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42E4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0" fontId="0" fillId="0" borderId="0" xfId="0" applyNumberFormat="1"/>
    <xf numFmtId="0" fontId="18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l Wochna" refreshedDate="45942.520259953701" createdVersion="8" refreshedVersion="8" minRefreshableVersion="3" recordCount="2835" xr:uid="{03E0BDF6-6F54-44D7-BA0E-9A5009B20FF9}">
  <cacheSource type="worksheet">
    <worksheetSource ref="A1:K1048576" sheet="with-counties"/>
  </cacheSource>
  <cacheFields count="11">
    <cacheField name="domain" numFmtId="0">
      <sharedItems containsBlank="1"/>
    </cacheField>
    <cacheField name="spf_category" numFmtId="0">
      <sharedItems containsBlank="1"/>
    </cacheField>
    <cacheField name="spf-implementation" numFmtId="0">
      <sharedItems containsBlank="1"/>
    </cacheField>
    <cacheField name="spf_raw" numFmtId="0">
      <sharedItems containsBlank="1" longText="1"/>
    </cacheField>
    <cacheField name="dkim_found" numFmtId="0">
      <sharedItems containsBlank="1"/>
    </cacheField>
    <cacheField name="dmarc_policy" numFmtId="0">
      <sharedItems containsBlank="1" count="8">
        <s v="no dmarc"/>
        <s v="quarantine"/>
        <s v="none"/>
        <s v="reject"/>
        <s v="misconfigured"/>
        <m/>
        <s v="no" u="1"/>
        <s v="mis" u="1"/>
      </sharedItems>
    </cacheField>
    <cacheField name="dmarc_raw" numFmtId="0">
      <sharedItems containsBlank="1" longText="1"/>
    </cacheField>
    <cacheField name="bimi" numFmtId="0">
      <sharedItems containsBlank="1"/>
    </cacheField>
    <cacheField name="bimi_logo_url" numFmtId="0">
      <sharedItems containsBlank="1"/>
    </cacheField>
    <cacheField name="County" numFmtId="0">
      <sharedItems containsBlank="1" count="27">
        <s v="Dublin"/>
        <s v="Cork"/>
        <s v="Louth"/>
        <s v="Wexford"/>
        <s v="Mayo"/>
        <s v="Limerick"/>
        <s v="Donegal"/>
        <s v="Galway"/>
        <s v="Sligo"/>
        <s v="Clare"/>
        <s v="Waterford"/>
        <s v="Cavan"/>
        <s v="Monaghan"/>
        <s v="Tipperary"/>
        <s v="Kerry"/>
        <s v="Meath"/>
        <s v="Kildare"/>
        <s v="Kilkenny"/>
        <s v="Laois"/>
        <s v="Leitrim"/>
        <s v="Longford"/>
        <s v="Offaly"/>
        <s v="Roscommon"/>
        <s v="Westmeath"/>
        <s v="Wicklow"/>
        <s v="Carlow"/>
        <m/>
      </sharedItems>
    </cacheField>
    <cacheField name="Employee Count" numFmtId="0">
      <sharedItems containsString="0" containsBlank="1" containsNumber="1" containsInteger="1" minValue="50" maxValue="50000" count="182"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2"/>
        <n v="83"/>
        <n v="85"/>
        <n v="86"/>
        <n v="88"/>
        <n v="89"/>
        <n v="90"/>
        <n v="92"/>
        <n v="93"/>
        <n v="94"/>
        <n v="95"/>
        <n v="96"/>
        <n v="97"/>
        <n v="98"/>
        <n v="99"/>
        <n v="100"/>
        <n v="103"/>
        <n v="104"/>
        <n v="105"/>
        <n v="106"/>
        <n v="107"/>
        <n v="108"/>
        <n v="109"/>
        <n v="110"/>
        <n v="114"/>
        <n v="115"/>
        <n v="120"/>
        <n v="124"/>
        <n v="125"/>
        <n v="127"/>
        <n v="130"/>
        <n v="135"/>
        <n v="136"/>
        <n v="137"/>
        <n v="140"/>
        <n v="143"/>
        <n v="144"/>
        <n v="145"/>
        <n v="149"/>
        <n v="150"/>
        <n v="154"/>
        <n v="155"/>
        <n v="156"/>
        <n v="160"/>
        <n v="161"/>
        <n v="163"/>
        <n v="165"/>
        <n v="166"/>
        <n v="167"/>
        <n v="168"/>
        <n v="169"/>
        <n v="170"/>
        <n v="175"/>
        <n v="180"/>
        <n v="185"/>
        <n v="190"/>
        <n v="195"/>
        <n v="197"/>
        <n v="198"/>
        <n v="200"/>
        <n v="205"/>
        <n v="210"/>
        <n v="213"/>
        <n v="220"/>
        <n v="230"/>
        <n v="235"/>
        <n v="240"/>
        <n v="245"/>
        <n v="250"/>
        <n v="251"/>
        <n v="260"/>
        <n v="265"/>
        <n v="267"/>
        <n v="270"/>
        <n v="275"/>
        <n v="280"/>
        <n v="286"/>
        <n v="290"/>
        <n v="300"/>
        <n v="310"/>
        <n v="320"/>
        <n v="330"/>
        <n v="340"/>
        <n v="347"/>
        <n v="350"/>
        <n v="354"/>
        <n v="360"/>
        <n v="370"/>
        <n v="380"/>
        <n v="385"/>
        <n v="390"/>
        <n v="393"/>
        <n v="400"/>
        <n v="410"/>
        <n v="420"/>
        <n v="434"/>
        <n v="450"/>
        <n v="451"/>
        <n v="459"/>
        <n v="460"/>
        <n v="470"/>
        <n v="480"/>
        <n v="500"/>
        <n v="515"/>
        <n v="520"/>
        <n v="540"/>
        <n v="550"/>
        <n v="560"/>
        <n v="570"/>
        <n v="600"/>
        <n v="614"/>
        <n v="623"/>
        <n v="625"/>
        <n v="650"/>
        <n v="680"/>
        <n v="700"/>
        <n v="715"/>
        <n v="720"/>
        <n v="750"/>
        <n v="800"/>
        <n v="850"/>
        <n v="900"/>
        <n v="970"/>
        <n v="1000"/>
        <n v="1100"/>
        <n v="1150"/>
        <n v="1200"/>
        <n v="1300"/>
        <n v="1400"/>
        <n v="1500"/>
        <n v="1600"/>
        <n v="1610"/>
        <n v="1800"/>
        <n v="1931"/>
        <n v="2000"/>
        <n v="2300"/>
        <n v="2400"/>
        <n v="2500"/>
        <n v="2660"/>
        <n v="2800"/>
        <n v="3000"/>
        <n v="3500"/>
        <n v="4000"/>
        <n v="4500"/>
        <n v="5500"/>
        <n v="11000"/>
        <n v="12850"/>
        <n v="14779"/>
        <n v="16000"/>
        <n v="5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l Wochna" refreshedDate="45942.520637847221" createdVersion="8" refreshedVersion="8" minRefreshableVersion="3" recordCount="2835" xr:uid="{BD546691-4DD0-4E34-BBE4-7295C804A03E}">
  <cacheSource type="worksheet">
    <worksheetSource ref="A1:L1048576" sheet="with-counties"/>
  </cacheSource>
  <cacheFields count="12">
    <cacheField name="domain" numFmtId="0">
      <sharedItems containsBlank="1"/>
    </cacheField>
    <cacheField name="spf_category" numFmtId="0">
      <sharedItems containsBlank="1"/>
    </cacheField>
    <cacheField name="spf-implementation" numFmtId="0">
      <sharedItems containsBlank="1" count="7">
        <s v="Fail"/>
        <s v="Soft Fail"/>
        <s v="Not found"/>
        <s v="Invalid SPF Syntax"/>
        <s v="Neutral"/>
        <s v="Pass"/>
        <m/>
      </sharedItems>
    </cacheField>
    <cacheField name="spf_raw" numFmtId="0">
      <sharedItems containsBlank="1" longText="1"/>
    </cacheField>
    <cacheField name="dkim_found" numFmtId="0">
      <sharedItems containsBlank="1"/>
    </cacheField>
    <cacheField name="dmarc_policy" numFmtId="0">
      <sharedItems containsBlank="1" count="6">
        <s v="no dmarc"/>
        <s v="quarantine"/>
        <s v="none"/>
        <s v="reject"/>
        <s v="misconfigured"/>
        <m/>
      </sharedItems>
    </cacheField>
    <cacheField name="dmarc_raw" numFmtId="0">
      <sharedItems containsBlank="1" longText="1"/>
    </cacheField>
    <cacheField name="bimi" numFmtId="0">
      <sharedItems containsBlank="1"/>
    </cacheField>
    <cacheField name="bimi_logo_url" numFmtId="0">
      <sharedItems containsBlank="1"/>
    </cacheField>
    <cacheField name="County" numFmtId="0">
      <sharedItems containsBlank="1" count="27">
        <s v="Dublin"/>
        <s v="Cork"/>
        <s v="Louth"/>
        <s v="Wexford"/>
        <s v="Mayo"/>
        <s v="Limerick"/>
        <s v="Donegal"/>
        <s v="Galway"/>
        <s v="Sligo"/>
        <s v="Clare"/>
        <s v="Waterford"/>
        <s v="Cavan"/>
        <s v="Monaghan"/>
        <s v="Tipperary"/>
        <s v="Kerry"/>
        <s v="Meath"/>
        <s v="Kildare"/>
        <s v="Kilkenny"/>
        <s v="Laois"/>
        <s v="Leitrim"/>
        <s v="Longford"/>
        <s v="Offaly"/>
        <s v="Roscommon"/>
        <s v="Westmeath"/>
        <s v="Wicklow"/>
        <s v="Carlow"/>
        <m/>
      </sharedItems>
    </cacheField>
    <cacheField name="Employee Count" numFmtId="0">
      <sharedItems containsString="0" containsBlank="1" containsNumber="1" containsInteger="1" minValue="50" maxValue="50000" count="182"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2"/>
        <n v="83"/>
        <n v="85"/>
        <n v="86"/>
        <n v="88"/>
        <n v="89"/>
        <n v="90"/>
        <n v="92"/>
        <n v="93"/>
        <n v="94"/>
        <n v="95"/>
        <n v="96"/>
        <n v="97"/>
        <n v="98"/>
        <n v="99"/>
        <n v="100"/>
        <n v="103"/>
        <n v="104"/>
        <n v="105"/>
        <n v="106"/>
        <n v="107"/>
        <n v="108"/>
        <n v="109"/>
        <n v="110"/>
        <n v="114"/>
        <n v="115"/>
        <n v="120"/>
        <n v="124"/>
        <n v="125"/>
        <n v="127"/>
        <n v="130"/>
        <n v="135"/>
        <n v="136"/>
        <n v="137"/>
        <n v="140"/>
        <n v="143"/>
        <n v="144"/>
        <n v="145"/>
        <n v="149"/>
        <n v="150"/>
        <n v="154"/>
        <n v="155"/>
        <n v="156"/>
        <n v="160"/>
        <n v="161"/>
        <n v="163"/>
        <n v="165"/>
        <n v="166"/>
        <n v="167"/>
        <n v="168"/>
        <n v="169"/>
        <n v="170"/>
        <n v="175"/>
        <n v="180"/>
        <n v="185"/>
        <n v="190"/>
        <n v="195"/>
        <n v="197"/>
        <n v="198"/>
        <n v="200"/>
        <n v="205"/>
        <n v="210"/>
        <n v="213"/>
        <n v="220"/>
        <n v="230"/>
        <n v="235"/>
        <n v="240"/>
        <n v="245"/>
        <n v="250"/>
        <n v="251"/>
        <n v="260"/>
        <n v="265"/>
        <n v="267"/>
        <n v="270"/>
        <n v="275"/>
        <n v="280"/>
        <n v="286"/>
        <n v="290"/>
        <n v="300"/>
        <n v="310"/>
        <n v="320"/>
        <n v="330"/>
        <n v="340"/>
        <n v="347"/>
        <n v="350"/>
        <n v="354"/>
        <n v="360"/>
        <n v="370"/>
        <n v="380"/>
        <n v="385"/>
        <n v="390"/>
        <n v="393"/>
        <n v="400"/>
        <n v="410"/>
        <n v="420"/>
        <n v="434"/>
        <n v="450"/>
        <n v="451"/>
        <n v="459"/>
        <n v="460"/>
        <n v="470"/>
        <n v="480"/>
        <n v="500"/>
        <n v="515"/>
        <n v="520"/>
        <n v="540"/>
        <n v="550"/>
        <n v="560"/>
        <n v="570"/>
        <n v="600"/>
        <n v="614"/>
        <n v="623"/>
        <n v="625"/>
        <n v="650"/>
        <n v="680"/>
        <n v="700"/>
        <n v="715"/>
        <n v="720"/>
        <n v="750"/>
        <n v="800"/>
        <n v="850"/>
        <n v="900"/>
        <n v="970"/>
        <n v="1000"/>
        <n v="1100"/>
        <n v="1150"/>
        <n v="1200"/>
        <n v="1300"/>
        <n v="1400"/>
        <n v="1500"/>
        <n v="1600"/>
        <n v="1610"/>
        <n v="1800"/>
        <n v="1931"/>
        <n v="2000"/>
        <n v="2300"/>
        <n v="2400"/>
        <n v="2500"/>
        <n v="2660"/>
        <n v="2800"/>
        <n v="3000"/>
        <n v="3500"/>
        <n v="4000"/>
        <n v="4500"/>
        <n v="5500"/>
        <n v="11000"/>
        <n v="12850"/>
        <n v="14779"/>
        <n v="16000"/>
        <n v="50000"/>
        <m/>
      </sharedItems>
    </cacheField>
    <cacheField name="CompanySize" numFmtId="0">
      <sharedItems containsBlank="1" count="7">
        <s v="≤50"/>
        <s v="51–100"/>
        <s v="101–250"/>
        <s v="251–500"/>
        <s v="501–1000"/>
        <s v="1001+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5">
  <r>
    <s v="ormsby-rhodes.ie"/>
    <s v="minus"/>
    <s v="Fail"/>
    <s v="v=spf1 ip4:185.2.5.95 include:spf.protection.outlook.com -all"/>
    <m/>
    <x v="0"/>
    <m/>
    <m/>
    <m/>
    <x v="0"/>
    <x v="0"/>
  </r>
  <r>
    <s v="cluid.ie"/>
    <s v="tilde"/>
    <s v="Soft Fail"/>
    <s v="v=spf1 ip4:5.149.235.189 ip4:95.83.236.19 ip4:95.83.236.20 ip4:89.100.126.130 ip4:212.17.32.37 ip4:52.164.121.112 ip4:13.69.249.254 a:cluidserver.pointblank.ie include:spf.protection.outlook.com include:spf.eu.exclaimer.net include:_spf.psm.knowbe4.c&quot; &quot;om ip4:23.21.109.197 ip4:23.21.109.212 ip4:52.49.201.246 ip4:52.49.201.246 ip4:147.160.167.0/26 ~all"/>
    <s v="yes"/>
    <x v="1"/>
    <s v="v=DMARC1; p=quarantine; pct=100; rua=mailto:dmarc_agg@vali.email; ruf=mailto:jmongan@cluid.ie; fo=1"/>
    <m/>
    <m/>
    <x v="0"/>
    <x v="0"/>
  </r>
  <r>
    <s v="coru.ie"/>
    <s v="tilde"/>
    <s v="Soft Fail"/>
    <s v="v=spf1 mx ip4:137.191.239.45 include:spf.protection.outlook.com a:mail1.coru.ie a:partnerspf.rmmservice.com ~all"/>
    <m/>
    <x v="2"/>
    <s v="v=DMARC1; p=none;"/>
    <m/>
    <m/>
    <x v="0"/>
    <x v="0"/>
  </r>
  <r>
    <s v="nmbi.ie"/>
    <s v="minus"/>
    <s v="Fail"/>
    <s v="v=spf1 mx a ip4:5.61.115.48/28 include:nw005.com include:spf.protection.outlook.com include:spf.sendinblue.com include:spf.mailjet.com include:mailgun.org -all"/>
    <s v="yes"/>
    <x v="1"/>
    <s v="v=DMARC1; p=quarantine; sp=none; rua=mailto:dmarc@nmbi.ie!10m,mailto:dmarc@nmbi.ie; ruf=mailto:dmarc@nmbi.ie!10m; rf=afrf; pct=100; ri=86400;"/>
    <m/>
    <m/>
    <x v="0"/>
    <x v="0"/>
  </r>
  <r>
    <s v="ifa.ie"/>
    <s v="tilde"/>
    <s v="Soft Fail"/>
    <s v="v=spf1 mx ip4:81.17.244.62 ip4:78.137.160.212 include:spf.mandrillapp.com include:spf.protection.outlook.com ~all"/>
    <s v="yes"/>
    <x v="2"/>
    <s v="v=DMARC1; p=none;"/>
    <m/>
    <m/>
    <x v="0"/>
    <x v="0"/>
  </r>
  <r>
    <s v="mtas.ie"/>
    <s v="minus"/>
    <s v="Fail"/>
    <s v="v=spf1 include:spf.protection.outlook.com -all"/>
    <m/>
    <x v="0"/>
    <m/>
    <m/>
    <m/>
    <x v="1"/>
    <x v="0"/>
  </r>
  <r>
    <s v="irishjobs.ie"/>
    <s v="minus"/>
    <s v="Fail"/>
    <s v="v=spf1 include:stepstone.com include:mcxplatform.de a:dc3.bigmachines.com ip4:18.196.229.239 ip4:3.121.95.49 ip4:208.73.7.175 include:_spf.salesforce.com -all"/>
    <m/>
    <x v="2"/>
    <s v="v=DMARC1; p=none; rua=mailto:e3805f1a6f24587@rep.dmarcanalyzer.com; ruf=mailto:e3805f1a6f24587@for.dmarcanalyzer.com; fo=1"/>
    <m/>
    <m/>
    <x v="0"/>
    <x v="0"/>
  </r>
  <r>
    <s v="priorityplacements.ie"/>
    <s v="minus"/>
    <s v="Fail"/>
    <s v="v=spf1 include:spf.protection.outlook.com include:eu.mailgun.org -all"/>
    <m/>
    <x v="0"/>
    <m/>
    <m/>
    <m/>
    <x v="0"/>
    <x v="0"/>
  </r>
  <r>
    <s v="servisource.ie"/>
    <s v="tilde"/>
    <s v="Soft Fail"/>
    <s v="v=spf1 include:spf.protection.outlook.com include:sendgrid.net ip4:212.54.130.143 include:servers.mcsv.net include:_spf.salesforce.com include:_spf.123formbuilder.com include:_spf.arlo.co ~all"/>
    <s v="yes"/>
    <x v="2"/>
    <s v="v=DMARC1; p=none; rua=mailto:dmarc_agg@vali.email"/>
    <m/>
    <m/>
    <x v="2"/>
    <x v="0"/>
  </r>
  <r>
    <s v="wrightcover.ie"/>
    <s v="minus"/>
    <s v="Fail"/>
    <s v="v=spf1 include:_netblocks.mimecast.com ip4:77.107.241.132 a:mailanyone.net a:remote.wrightcover.ie include:spf.protection.outlook.com include:spf.mailjet.com -all"/>
    <s v="yes"/>
    <x v="2"/>
    <s v="v=DMARC1; p=none; rua=mailto:dmarc_agg@vali.email; ruf=mailto:dmarc.forensics@wrightcover.ie; sp=none; fo=1"/>
    <m/>
    <m/>
    <x v="3"/>
    <x v="0"/>
  </r>
  <r>
    <s v="fotawildlife.ie"/>
    <s v="minus"/>
    <s v="Fail"/>
    <s v="v=spf1 mx a include:spf.protection.outlook.com include:spf.antispamcloud.com include:spf.ess.de.barracudanetworks.com -all"/>
    <s v="yes"/>
    <x v="2"/>
    <s v="v=DMARC1; p=none; rua=mailto:rua@dmarc.brevo.com"/>
    <m/>
    <m/>
    <x v="1"/>
    <x v="0"/>
  </r>
  <r>
    <s v="fltc.ie"/>
    <s v="tilde"/>
    <s v="Soft Fail"/>
    <s v="v=spf1 a mx ip4:89.101.237.110 ip4:213.94.221.65 ip4:205.201.133.57 ip4:213.94.221.67 ip4:52.178.140.205 ip4:31.193.1.160 ip4:31.193.1.161 include:servers.mcsv.net include:spf.protection.outlook.com  ~all"/>
    <s v="yes"/>
    <x v="1"/>
    <s v="v=DMARC1; p=quarantine;"/>
    <m/>
    <m/>
    <x v="0"/>
    <x v="0"/>
  </r>
  <r>
    <s v="hyc.ie"/>
    <s v="minus"/>
    <s v="Fail"/>
    <s v="v=spf1 include:spf.protection.outlook.com include:servers.mcsv.net include:e2ma.net ip4:95.83.247.217 -all"/>
    <s v="yes"/>
    <x v="2"/>
    <s v="v=DMARC1; p=none; rua=mailto:gary@hyc.ie;"/>
    <m/>
    <m/>
    <x v="0"/>
    <x v="0"/>
  </r>
  <r>
    <s v="luttrellstowncastleresort.com"/>
    <s v="no"/>
    <s v="Not found"/>
    <m/>
    <m/>
    <x v="0"/>
    <m/>
    <m/>
    <m/>
    <x v="0"/>
    <x v="0"/>
  </r>
  <r>
    <s v="claremorristennisclub.com"/>
    <s v="minus"/>
    <s v="Fail"/>
    <s v="v=spf1 -all"/>
    <m/>
    <x v="0"/>
    <m/>
    <m/>
    <m/>
    <x v="4"/>
    <x v="0"/>
  </r>
  <r>
    <s v="fmi.ie"/>
    <s v="minus"/>
    <s v="Fail"/>
    <s v="v=spf1 include:spf.protection.outlook.com a:spf.psi-fusion.com -all"/>
    <s v="yes"/>
    <x v="3"/>
    <s v="v=DMARC1; p=reject; pct=100; adkim=s; aspf=s; sp=reject; fo=1; rf=afrf; ri=86400; rua=mailto:dmarc@fmi.ie; ruf=mailto:dmarc@fmi.ie;"/>
    <m/>
    <m/>
    <x v="0"/>
    <x v="0"/>
  </r>
  <r>
    <s v="jwt.com"/>
    <s v="tilde"/>
    <s v="Soft Fail"/>
    <s v="v=spf1 ip4:204.10.135.8 ip4:137.117.86.137 include:spfx.jwt.com include:spf.protection.outlook.com include:amazonses.com include:_spf.emailcampaigns.net include:servers.mcsv.net ~all"/>
    <s v="yes"/>
    <x v="3"/>
    <s v="v=DMARC1; p=reject; pct=100; fo=1; adkim=r; aspf=r; rua=mailto:dmarc_rua@emaildefense.proofpoint.com,mailto:dmarmsgs@jwt.com; ruf=mailto:dmarc_ruf@emaildefense.proofpoint.com"/>
    <m/>
    <m/>
    <x v="0"/>
    <x v="0"/>
  </r>
  <r>
    <s v="pkf.ie"/>
    <s v="minus"/>
    <s v="Fail"/>
    <s v="v=spf1 include:spf.protection.outlook.com include:eu.zeptomail.net include:45303191.spf08.hubspotemail.net include:spf.exclaimer.net include:spf.smtp2go.com include:spf.turbo-smtp.com include:spf.clikitmedia.com include:usermail.zohocreator.eu include:eu.&quot; &quot;zcsend.net -all"/>
    <m/>
    <x v="0"/>
    <m/>
    <m/>
    <m/>
    <x v="0"/>
    <x v="0"/>
  </r>
  <r>
    <s v="theflyingenterprise.com"/>
    <s v="minus"/>
    <s v="Fail"/>
    <s v="v=spf1 include:spf.protection.outlook.com -all"/>
    <m/>
    <x v="0"/>
    <m/>
    <m/>
    <m/>
    <x v="1"/>
    <x v="0"/>
  </r>
  <r>
    <s v="brazenhead.com"/>
    <s v="minus"/>
    <s v="Fail"/>
    <s v="v=spf1 include:spf.protection.outlook.com -all"/>
    <s v="yes"/>
    <x v="0"/>
    <m/>
    <m/>
    <m/>
    <x v="0"/>
    <x v="0"/>
  </r>
  <r>
    <s v="halfwayhousedublin.com"/>
    <s v="minus"/>
    <s v="Fail"/>
    <s v="v=spf1 include:spf.protection.outlook.com -all"/>
    <m/>
    <x v="0"/>
    <m/>
    <m/>
    <m/>
    <x v="0"/>
    <x v="0"/>
  </r>
  <r>
    <s v="oneillspubdublin.com"/>
    <s v="tilde"/>
    <s v="Soft Fail"/>
    <s v="v=spf1 a include:spf.blacknight.ie  ~all"/>
    <m/>
    <x v="0"/>
    <m/>
    <m/>
    <m/>
    <x v="0"/>
    <x v="0"/>
  </r>
  <r>
    <s v="bobbybyrnes.ie"/>
    <s v="minus"/>
    <s v="Fail"/>
    <s v="v=spf1 include:spf.protection.outlook.com  -all"/>
    <m/>
    <x v="0"/>
    <m/>
    <m/>
    <m/>
    <x v="5"/>
    <x v="0"/>
  </r>
  <r>
    <s v="brubakers.ie"/>
    <s v="no"/>
    <s v="Not found"/>
    <m/>
    <m/>
    <x v="0"/>
    <m/>
    <m/>
    <m/>
    <x v="2"/>
    <x v="0"/>
  </r>
  <r>
    <s v="barsquare.ie"/>
    <s v="no"/>
    <s v="Not found"/>
    <m/>
    <m/>
    <x v="0"/>
    <m/>
    <m/>
    <m/>
    <x v="4"/>
    <x v="0"/>
  </r>
  <r>
    <s v="carzone.ie"/>
    <s v="minus"/>
    <s v="Fail"/>
    <s v="v=spf1 include:spf.protection.outlook.com include:eu._netblocks.mimecast.com include:_spf.salesforce.com ip4:185.43.125.61 -all"/>
    <m/>
    <x v="3"/>
    <s v="v=DMARC1; p=reject; fo=1; rua=mailto:dmarc_agg@auth.returnpath.net; ruf=mailto:dmarc_afrf@auth.returnpath.net"/>
    <m/>
    <m/>
    <x v="0"/>
    <x v="0"/>
  </r>
  <r>
    <s v="edco.ie"/>
    <s v="minus"/>
    <s v="Fail"/>
    <s v="v=spf1 include:spf.edco.ie -all"/>
    <s v="yes"/>
    <x v="3"/>
    <s v="v=DMARC1; p=reject; rua=mailto:d2457e076b15997@rep.dmarcanalyzer.com; ruf=mailto:d2457e076b15997@for.dmarcanalyzer.com; fo=1;"/>
    <m/>
    <m/>
    <x v="0"/>
    <x v="0"/>
  </r>
  <r>
    <s v="mooneyboats.ie"/>
    <s v="minus"/>
    <s v="Fail"/>
    <s v="v=spf1 a:dispatch-eu.ppe-hosted.com include:spf.protection.outlook.com include:amazonses.com -all include:mailgun.org ~all"/>
    <s v="yes"/>
    <x v="3"/>
    <s v="v=DMARC1; p=reject; sp=reject; adkim=s; aspf=s; fo=1; pct=50; rua=mailto:dmarcreports@mooneyboats.ie; ruf=mailto:dmarcreports@mooneyboats.ie"/>
    <m/>
    <m/>
    <x v="6"/>
    <x v="0"/>
  </r>
  <r>
    <s v="globalshares.com"/>
    <s v="tilde"/>
    <s v="Soft Fail"/>
    <s v="v=spf1 include:spf.protection.outlook.com include:email.chargebee.com include:_spf.createsend.com include:_spf.salesforce.com ~all"/>
    <s v="yes"/>
    <x v="3"/>
    <s v="v=DMARC1; p=reject; sp=reject; fo=1; ri=3600; rua=mailto:sec_dmarc@globalshares.com; ruf=mailto:sec_dmarc@globalshares.com"/>
    <m/>
    <m/>
    <x v="1"/>
    <x v="0"/>
  </r>
  <r>
    <s v="qpark.ie"/>
    <s v="no"/>
    <s v="Not found"/>
    <m/>
    <m/>
    <x v="0"/>
    <m/>
    <m/>
    <m/>
    <x v="0"/>
    <x v="0"/>
  </r>
  <r>
    <s v="rpcredit.ie"/>
    <s v="minus"/>
    <s v="Fail"/>
    <s v="v=spf1 include:spf.protection.outlook.com -all"/>
    <m/>
    <x v="0"/>
    <m/>
    <m/>
    <m/>
    <x v="0"/>
    <x v="0"/>
  </r>
  <r>
    <s v="marygearychildcare.ie"/>
    <s v="minus"/>
    <s v="Fail"/>
    <s v="v=spf1 include:spf.protection.outlook.com include:wpdatacenter.com -all"/>
    <m/>
    <x v="0"/>
    <m/>
    <m/>
    <m/>
    <x v="1"/>
    <x v="0"/>
  </r>
  <r>
    <s v="walshwaste.com"/>
    <s v="minus"/>
    <s v="Fail"/>
    <s v="v=spf1 include:spf.protection.outlook.com include:spf.topsec.com include:shops.shopify.com include:_spf.elasticemail.com ip4:3.251.232.128 ip4:13.38.202.32 ip4:83.70.177.131 -all"/>
    <s v="yes"/>
    <x v="1"/>
    <s v="v=DMARC1; p=quarantine; pct=100; rua=mailto:dmarc@zenotec.ie; ruf=mailto:dmarc@zenotec.ie; fo=1"/>
    <m/>
    <m/>
    <x v="7"/>
    <x v="0"/>
  </r>
  <r>
    <s v="stericyclegxpsystems.com"/>
    <s v="no"/>
    <s v="Not found"/>
    <m/>
    <m/>
    <x v="0"/>
    <m/>
    <m/>
    <m/>
    <x v="1"/>
    <x v="0"/>
  </r>
  <r>
    <s v="cumnor.ie"/>
    <s v="minus"/>
    <s v="Fail"/>
    <s v="v=spf1 ip4:93.95.81.142 include:spf.protection.outlook.com -all"/>
    <s v="yes"/>
    <x v="0"/>
    <m/>
    <m/>
    <m/>
    <x v="1"/>
    <x v="0"/>
  </r>
  <r>
    <s v="mcgintyoshea.ie"/>
    <s v="tilde"/>
    <s v="Soft Fail"/>
    <s v="v=spf1 ip4:93.95.85.34 include:spf.protection.outlook.com ~all"/>
    <s v="yes"/>
    <x v="2"/>
    <s v="v=DMARC1; p=none; rua=mailto:dmarcreports@mcgintyoshea.ie;"/>
    <m/>
    <m/>
    <x v="1"/>
    <x v="0"/>
  </r>
  <r>
    <s v="csea.ie"/>
    <s v="tilde"/>
    <s v="Soft Fail"/>
    <s v="v=spf1 a mx ip4:89.101.148.249/29 include:csea.ie include:spf.protection.outlook.com include:spf.eu.exclaimer.net include:spf.messagelabs.com ~all"/>
    <s v="yes"/>
    <x v="2"/>
    <s v="v=DMARC1; p=none; rua=mailto:postmaster@csea.ie; ruf=mailto:postmaster@csea.ie; fo=1"/>
    <m/>
    <m/>
    <x v="0"/>
    <x v="0"/>
  </r>
  <r>
    <s v="garlandconsultancy.com"/>
    <s v="minus"/>
    <s v="Fail"/>
    <s v="v=spf1 include:spf.protection.outlook.com include:arctechpro.com include:_spf.createsend.com -all"/>
    <m/>
    <x v="2"/>
    <s v="v=DMARC1; p=none; rua=mailto:info@garlandconsultancy.com"/>
    <m/>
    <m/>
    <x v="0"/>
    <x v="0"/>
  </r>
  <r>
    <s v="colas.ie"/>
    <s v="minus"/>
    <s v="Fail"/>
    <s v="v=spf1 include:spf1.speig.fr include:spf2.speig.fr include:spf3.speig.fr include:spf4.speig.fr -all"/>
    <m/>
    <x v="0"/>
    <m/>
    <m/>
    <m/>
    <x v="7"/>
    <x v="0"/>
  </r>
  <r>
    <s v="jodireland.com"/>
    <s v="tilde"/>
    <s v="Soft Fail"/>
    <s v="v=spf1 include:_spf.google.com include:_8bebbd256f3eaddbc783e2d96955ced6.spf.dnssmarthost.net ~all"/>
    <s v="yes"/>
    <x v="2"/>
    <s v="v=DMARC1; p=none;"/>
    <m/>
    <m/>
    <x v="8"/>
    <x v="0"/>
  </r>
  <r>
    <s v="keatingconstruction.ie"/>
    <s v="tilde"/>
    <s v="Soft Fail"/>
    <s v="v=spf1 ip4:185.43.232.206 include:spf.antispamcloud.com ip4:78.137.164.82 a mx ~all"/>
    <s v="yes"/>
    <x v="0"/>
    <m/>
    <m/>
    <m/>
    <x v="9"/>
    <x v="0"/>
  </r>
  <r>
    <s v="bannon.ie"/>
    <s v="tilde"/>
    <s v="Soft Fail"/>
    <s v="v=spf1 include:_netblocks.mimecast.com include:cmail1.com include:_spf.createsend.com include:asp-spf1.yardi.com include:asp-spf2.yardi.com ~all"/>
    <m/>
    <x v="2"/>
    <s v="v=DMARC1; p=none; rua=mailto:7e410ab55013444@rep.dmarcanalyzer.com; ruf=mailto:7e410ab55013444@for.dmarcanalyzer.com; fo=1;"/>
    <m/>
    <m/>
    <x v="0"/>
    <x v="0"/>
  </r>
  <r>
    <s v="colliers.com"/>
    <s v="tilde"/>
    <s v="Soft Fail"/>
    <s v="v=spf1 include:%{ir}.%{v}.%{d}.spf.has.pphosted.com ~all"/>
    <s v="yes"/>
    <x v="3"/>
    <s v="v=DMARC1; p=reject; fo=1; rua=mailto:dmarc_rua@emaildefense.proofpoint.com; ruf=mailto:dmarc_ruf@emaildefense.proofpoint.com;"/>
    <m/>
    <m/>
    <x v="0"/>
    <x v="0"/>
  </r>
  <r>
    <s v="conneelybuilders.ie"/>
    <s v="minus"/>
    <s v="Fail"/>
    <s v="v=spf1 include:spf.protection.outlook.com -all"/>
    <m/>
    <x v="0"/>
    <m/>
    <m/>
    <m/>
    <x v="7"/>
    <x v="0"/>
  </r>
  <r>
    <s v="gaietyschool.com"/>
    <s v="tilde"/>
    <s v="Soft Fail"/>
    <s v="v=spf1 +a +mx +a:it36.siteground.eu  include:gaietyschool.com.spf.auto.dnssmarthost.net ~all"/>
    <s v="yes"/>
    <x v="2"/>
    <s v="v=DMARC1; p=none; aspf=r; adkim=r;"/>
    <m/>
    <m/>
    <x v="0"/>
    <x v="0"/>
  </r>
  <r>
    <s v="afilias.info"/>
    <s v="tilde"/>
    <s v="Soft Fail"/>
    <s v="v=spf1 include:pw7or2j8w4.powerspf.com ~all"/>
    <s v="yes"/>
    <x v="2"/>
    <s v="v=DMARC1; p=none; rua=mailto:mb6wv3ayfl@rua.powerdmarc.com; ruf=mailto:mb6wv3ayfl@ruf.powerdmarc.com; fo=1;"/>
    <m/>
    <m/>
    <x v="0"/>
    <x v="0"/>
  </r>
  <r>
    <s v="magnetnetworks.com"/>
    <s v="tilde"/>
    <s v="Soft Fail"/>
    <s v="v=spf1 ip4:82.33.246.106/32 ip4:85.91.0.0/21 ip4:212.17.32.0/26 ip4:34.249.234.126/32 include:spf.protection.outlook.com include:salesforce.com include:et._spf.pardot.com ~all"/>
    <m/>
    <x v="0"/>
    <m/>
    <m/>
    <m/>
    <x v="0"/>
    <x v="0"/>
  </r>
  <r>
    <s v="mtld.mobi"/>
    <s v="no"/>
    <s v="Not found"/>
    <m/>
    <m/>
    <x v="0"/>
    <m/>
    <m/>
    <m/>
    <x v="0"/>
    <x v="0"/>
  </r>
  <r>
    <s v="websense.com"/>
    <s v="tilde"/>
    <s v="Soft Fail"/>
    <s v="v=spf1 ip4:204.15.64.0/21 ip4:204.14.232.0/21 ip4:202.129.242.0/25 ip4:195.244.16.20/32 ip4:195.244.16.42/32 include:mailcontrol.com &quot; &quot; include:cust-spf.exacttarget.com include:spf.braintreegateway.com include:_bhcc.websense.com include:mktomail.com include:_spf.vsn.voltage.com include:_spf.salesforce.com ~all"/>
    <s v="yes"/>
    <x v="1"/>
    <s v="v=DMARC1;p=quarantine;pct=100;rua=mailto:dmarc-reports@websense.com;ruf=mailto:dmarc-failures@websense.com"/>
    <m/>
    <m/>
    <x v="0"/>
    <x v="0"/>
  </r>
  <r>
    <s v="sonru.com"/>
    <s v="no"/>
    <s v="Not found"/>
    <m/>
    <m/>
    <x v="0"/>
    <m/>
    <m/>
    <m/>
    <x v="3"/>
    <x v="0"/>
  </r>
  <r>
    <s v="tonykirwanplanthire.ie"/>
    <s v="minus"/>
    <s v="Fail"/>
    <s v="v=spf1 include:spf.protection.outlook.com include:spf1.emailsecurity.app -all"/>
    <s v="yes"/>
    <x v="2"/>
    <s v="v=DMARC1;p=none;sp=none;adkim=r;aspf=r;pct=100;fo=0;rf=afrf;ri=86400"/>
    <m/>
    <m/>
    <x v="10"/>
    <x v="0"/>
  </r>
  <r>
    <s v="parkwest.ie"/>
    <s v="minus"/>
    <s v="Fail"/>
    <s v="v=spf1 ip4:194.37.255.0/24 ip4:91.198.224.0/24  include:spf.protection.outlook.com include:outbound-smtp14.blacknight.com include:spf.topsec.com -all"/>
    <s v="yes"/>
    <x v="0"/>
    <m/>
    <m/>
    <m/>
    <x v="0"/>
    <x v="0"/>
  </r>
  <r>
    <s v="stauntons.ie"/>
    <s v="tilde"/>
    <s v="Soft Fail"/>
    <s v="v=spf1 a mx a:vms1.getonline.ie ~all"/>
    <m/>
    <x v="2"/>
    <s v="v=DMARC1; p=none"/>
    <m/>
    <m/>
    <x v="4"/>
    <x v="0"/>
  </r>
  <r>
    <s v="smcc.ie"/>
    <s v="minus"/>
    <s v="Fail"/>
    <s v="v=spf1 include:mail.zendesk.com include:em4453.smcc.ie include:em8797.smcc.ie include:_spf.psm.knowbe4.com include:spf.protection.outlook.com include:spf.exclaimer.net include:spf-00779101.pphosted.com -all"/>
    <s v="yes"/>
    <x v="1"/>
    <s v="v=DMARC1; p=quarantine"/>
    <m/>
    <m/>
    <x v="3"/>
    <x v="0"/>
  </r>
  <r>
    <s v="donohoedrinks.com"/>
    <s v="minus"/>
    <s v="Fail"/>
    <s v="v=spf1  ip4:83.71.203.1 ip4:195.7.41.97  include:spf.protection.outlook.com -all"/>
    <s v="yes"/>
    <x v="1"/>
    <s v="v=DMARC1; p=quarantine; rua=mailto:it@donohoedrinks.com; sp=quarantine; aspf=r;"/>
    <m/>
    <m/>
    <x v="10"/>
    <x v="0"/>
  </r>
  <r>
    <s v="naturgy.ie"/>
    <s v="no"/>
    <s v="Not found"/>
    <m/>
    <m/>
    <x v="0"/>
    <m/>
    <m/>
    <m/>
    <x v="0"/>
    <x v="0"/>
  </r>
  <r>
    <s v="wfl.ie"/>
    <s v="minus"/>
    <s v="Fail"/>
    <s v="v=spf1 ip4:159.235.227.193 include:spf.protection.outlook.com -all"/>
    <s v="yes"/>
    <x v="3"/>
    <s v="v=DMARC1; p=reject; sp=none; fo=1; pct=100;"/>
    <m/>
    <m/>
    <x v="0"/>
    <x v="0"/>
  </r>
  <r>
    <s v="ctsgroup.ie"/>
    <s v="tilde"/>
    <s v="Soft Fail"/>
    <s v="v=spf1 a:mail.ctsgroup.ie ip4:86.43.73.9 ip4:93.107.121.35 ip4:89.106.141.206 include:spf.topsec.com include:spf.protection.outlook.com include:spf1.emailsecurity.app ~all"/>
    <m/>
    <x v="1"/>
    <s v="v=DMARC1; p=quarantine; rua=mailto:5ca671dd@mxtoolbox.DMARC-report.com,mailto:5ca671dd@mxtoolbox.dmarc-report.com; ruf=mailto:5ca671dd@forensics.DMARC-report.com,mailto:5ca671dd@forensics.dmarc-report.com; fo=1"/>
    <m/>
    <m/>
    <x v="10"/>
    <x v="0"/>
  </r>
  <r>
    <s v="pqe.ie"/>
    <s v="minus"/>
    <s v="Fail"/>
    <s v="v=spf1 include:spf.protection.outlook.com -all"/>
    <m/>
    <x v="1"/>
    <s v="v=DMARC1; p=quarantine "/>
    <m/>
    <m/>
    <x v="11"/>
    <x v="0"/>
  </r>
  <r>
    <s v="fehilytimoney.ie"/>
    <s v="no"/>
    <s v="Not found"/>
    <m/>
    <m/>
    <x v="0"/>
    <m/>
    <m/>
    <m/>
    <x v="1"/>
    <x v="0"/>
  </r>
  <r>
    <s v="ocsireland.com"/>
    <s v="tilde"/>
    <s v="Soft Fail"/>
    <s v="v=spf1 include:spf.protection.outlook.com include:_spf.salesforce.com ~all"/>
    <s v="yes"/>
    <x v="1"/>
    <s v="v=DMARC1; p=quarantine; pct=100; rua=mailto:cee87cbe@in.mailhardener.com"/>
    <m/>
    <m/>
    <x v="1"/>
    <x v="0"/>
  </r>
  <r>
    <s v="bmce.ie"/>
    <s v="tilde"/>
    <s v="Soft Fail"/>
    <s v="v=spf1 ip4:89.101.125.242 include:spf.protection.outlook.com include:spf.mtaroutes.com ip4:78.153.218.39 ip6:2a01:a8:dc3:323:0:0:0:228 ~all"/>
    <m/>
    <x v="2"/>
    <s v="v=DMARC1; p=none; pct=100; fo=1; ri=3600; ruf=mailto:admin@bmce.ie;"/>
    <m/>
    <m/>
    <x v="0"/>
    <x v="0"/>
  </r>
  <r>
    <s v="instantupright.com"/>
    <s v="tilde"/>
    <s v="Soft Fail"/>
    <s v="v=spf1 ip4:89.33.236.40 ip4:217.156.86.170 +a +mx +ip4:157.90.207.158 +ip4:148.251.17.126 +ip4:89.46.6.12 +ip4:31.14.12.93 +ip4:188.34.132.206 +include:spf.protection.outlook.com ~all"/>
    <s v="yes"/>
    <x v="2"/>
    <s v="v=DMARC1; p=none; rua=mailto:rua@dmarc.brevo.com"/>
    <m/>
    <m/>
    <x v="0"/>
    <x v="0"/>
  </r>
  <r>
    <s v="wme.ie"/>
    <s v="minus"/>
    <s v="Fail"/>
    <s v="v=spf1 ip4:88.81.127.118 a:spamtitan.aniar.ie include:spf.protection.outlook.com -all"/>
    <m/>
    <x v="0"/>
    <m/>
    <m/>
    <m/>
    <x v="4"/>
    <x v="0"/>
  </r>
  <r>
    <s v="mds-int.net"/>
    <s v="no"/>
    <s v="Not found"/>
    <m/>
    <m/>
    <x v="0"/>
    <m/>
    <m/>
    <m/>
    <x v="12"/>
    <x v="0"/>
  </r>
  <r>
    <s v="sepam.com"/>
    <s v="minus"/>
    <s v="Fail"/>
    <s v="v=spf1 include:spf.protection.outlook.com include:_spf.bullhornmail.com -all"/>
    <s v="yes"/>
    <x v="2"/>
    <s v="v=DMARC1;p=none;pct=100;rua=mailto:itadmin@sepam.com;ruf=mailto:itadmin@sepam.com;ri=86400;aspf=r;adkim=r;fo=1"/>
    <m/>
    <m/>
    <x v="13"/>
    <x v="0"/>
  </r>
  <r>
    <s v="tullowoil.com"/>
    <s v="minus"/>
    <s v="Fail"/>
    <s v="v=spf1 ip4:146.177.56.171 include:spf.protection.outlook.com include:_spf.psm.knowbe4.com a:b.spf.service-now.com a:c.spf.service-now.com a:d.spf.service-now.com -all"/>
    <s v="yes"/>
    <x v="3"/>
    <s v="v=DMARC1; p=reject; rua=mailto:l5cepqur@ag.eu.dmarcadvisor.com; ruf=mailto:dmarcforensics@tullowoil.com;"/>
    <m/>
    <m/>
    <x v="0"/>
    <x v="0"/>
  </r>
  <r>
    <s v="astonswealth.ie"/>
    <s v="no"/>
    <s v="Not found"/>
    <m/>
    <m/>
    <x v="0"/>
    <m/>
    <m/>
    <m/>
    <x v="0"/>
    <x v="0"/>
  </r>
  <r>
    <s v="duffandphelps.com"/>
    <s v="minus"/>
    <s v="Fail"/>
    <s v="v=spf1 ip4:148.163.138.138 ip4:148.163.134.147 include:usb._netblocks.mimecast.com include:sharepointonline.com include:mail.zendesk.com -all"/>
    <m/>
    <x v="3"/>
    <s v="v=DMARC1; p=reject; fo=1; rua=mailto:61d8746384f3986@rep.dmarcanalyzer.com; ruf=mailto:61d8746384f3986@for.dmarcanalyzer.com"/>
    <m/>
    <m/>
    <x v="0"/>
    <x v="0"/>
  </r>
  <r>
    <s v="firstderivatives.com"/>
    <s v="tilde"/>
    <s v="Soft Fail"/>
    <s v="v=spf1 ip4:80.169.143.229 ip4:203.169.11.2 ip4:208.100.16.170 ip4:70.42.76.5 ip4:147.154.189.0/24 include:spf.protection.outlook.com include:aspmx.pardot.com include:_spf.google.com include:spf_c.oraclecloud.com ~all"/>
    <s v="yes"/>
    <x v="2"/>
    <s v="v=DMARC1; p=none; pct=100; fo=1; ri=3600; rua=mailto:8d431987@inbox.ondmarc.com; ruf=mailto:8d431987@inbox.ondmarc.com; "/>
    <m/>
    <m/>
    <x v="0"/>
    <x v="0"/>
  </r>
  <r>
    <s v="genevatrading.com"/>
    <s v="minus"/>
    <s v="Fail"/>
    <s v="v=spf1 include:spf.protection.outlook.com include:spf-002ca501.pphosted.com ip4:38.32.97.155/32 ip4:184.105.249.139/32 -all"/>
    <s v="yes"/>
    <x v="3"/>
    <s v="v=DMARC1;p=reject;pct=100;rua=mailto:6d73ab12dd@rua.easydmarc.us;ruf=mailto:6d73ab12dd@ruf.easydmarc.us;ri=86400;fo=1;"/>
    <m/>
    <m/>
    <x v="0"/>
    <x v="0"/>
  </r>
  <r>
    <s v="oranmorelodgehotel.ie"/>
    <s v="tilde"/>
    <s v="Soft Fail"/>
    <s v="v=spf1 ip4:185.43.232.196 ip4:78.137.164.92 ip4:78.137.164.122 +a +mx +include:relay.mailchannels.net ~all"/>
    <s v="yes"/>
    <x v="0"/>
    <m/>
    <m/>
    <m/>
    <x v="7"/>
    <x v="0"/>
  </r>
  <r>
    <s v="aquadome.ie"/>
    <s v="tilde"/>
    <s v="Soft Fail"/>
    <s v="v=spf1 +a +mx include:aquadome.ie.spf.auto.dnssmarthost.net ~all"/>
    <s v="yes"/>
    <x v="2"/>
    <s v="v=DMARC1; p=none; aspf=r; adkim=r;"/>
    <m/>
    <m/>
    <x v="14"/>
    <x v="0"/>
  </r>
  <r>
    <s v="auraleisure.ie"/>
    <s v="tilde"/>
    <s v="Soft Fail"/>
    <s v="v=spf1 include:spf.reg365.net include:_spf.elasticemail.com ~all"/>
    <m/>
    <x v="2"/>
    <s v="v=DMARC1;p=none;"/>
    <m/>
    <m/>
    <x v="15"/>
    <x v="0"/>
  </r>
  <r>
    <s v="whitford.ie"/>
    <s v="minus"/>
    <s v="Fail"/>
    <s v="v=spf1 ip4:190.180.144.248 ip4:91.136.49.205 ip4:86.41.245.112 include:spf.protection.outlook.com include:netaffinity.net -all"/>
    <s v="yes"/>
    <x v="0"/>
    <m/>
    <m/>
    <m/>
    <x v="3"/>
    <x v="0"/>
  </r>
  <r>
    <s v="connectgroup.ie"/>
    <s v="tilde"/>
    <s v="Soft Fail"/>
    <s v="v=spf1 ip4:190.180.145.98 ip4:190.180.145.25 a mx include:relay.mailchannels.net ~all"/>
    <s v="yes"/>
    <x v="1"/>
    <s v="v=DMARC1;p=quarantine;pct=100"/>
    <m/>
    <m/>
    <x v="0"/>
    <x v="0"/>
  </r>
  <r>
    <s v="alltrans.ie"/>
    <s v="minus"/>
    <s v="Fail"/>
    <s v="v=spf1 ip4:185.108.130.131 +a +mx +ip4:78.31.104.234 include:8338112.spf03.hubspotemail.net include:spf.protection.outlook.com include:spf.eu.signature365.net -all"/>
    <s v="yes"/>
    <x v="2"/>
    <s v="v=DMARC1; p=none; fo=1; rua=mailto:rua+alltrans.ie@dmarc.barracudanetworks.com; ruf=mailto:ruf+alltrans.ie@dmarc.barracudanetworks.com"/>
    <m/>
    <m/>
    <x v="0"/>
    <x v="0"/>
  </r>
  <r>
    <s v="harbourinternationalfreight.com"/>
    <s v="no"/>
    <s v="Not found"/>
    <m/>
    <m/>
    <x v="0"/>
    <m/>
    <m/>
    <m/>
    <x v="0"/>
    <x v="0"/>
  </r>
  <r>
    <s v="superiorexpress.ie"/>
    <s v="minus"/>
    <s v="Fail"/>
    <s v="v=spf1 ip4:46.4.83.175 ip4:162.144.32.188 ip4:139.162.201.221 ip4:77.104.129.94 ip4:86.47.96.190 include:spf.protection.outlook.com -all"/>
    <s v="yes"/>
    <x v="4"/>
    <s v="v=DMARC1; p= quarantine; sp=none; fo=1; pct=100;"/>
    <m/>
    <m/>
    <x v="0"/>
    <x v="0"/>
  </r>
  <r>
    <s v="cosgravetransport.com"/>
    <s v="minus"/>
    <s v="Fail"/>
    <s v="v=spf1 a mx include:spf.elive.net include:spf.protection.outlook.com -all"/>
    <s v="yes"/>
    <x v="2"/>
    <s v="v=DMARC1; p=none; rua=mailto:support@paqit.com;"/>
    <m/>
    <m/>
    <x v="5"/>
    <x v="0"/>
  </r>
  <r>
    <s v="cmdltd.ie"/>
    <s v="minus"/>
    <s v="Fail"/>
    <s v="v=spf1 include:spf.protection.outlook.com include:spf1.cmdltd.metakeeper.com include:_spf.elasticemail.com -all"/>
    <m/>
    <x v="2"/>
    <s v="v=DMARC1;p=none;"/>
    <m/>
    <m/>
    <x v="4"/>
    <x v="0"/>
  </r>
  <r>
    <s v="wrightsofmarino.com"/>
    <s v="minus"/>
    <s v="Fail"/>
    <s v="v=spf1 include:spf.protection.outlook.com -all"/>
    <m/>
    <x v="0"/>
    <m/>
    <m/>
    <m/>
    <x v="0"/>
    <x v="0"/>
  </r>
  <r>
    <s v="cuhcpc.ie"/>
    <s v="tilde"/>
    <s v="Soft Fail"/>
    <s v="v=spf1 include:spf.hornetsecurity.com ip4:82.141.252.58 ~all"/>
    <m/>
    <x v="0"/>
    <m/>
    <m/>
    <m/>
    <x v="1"/>
    <x v="0"/>
  </r>
  <r>
    <s v="corkfertilitycentre.com"/>
    <s v="minus"/>
    <s v="Fail"/>
    <s v="v=spf1 +a +mx  include:spf.protection.outlook.com ip4:89.101.214.6 ip4:89.100.116.153 -all"/>
    <s v="yes"/>
    <x v="0"/>
    <m/>
    <m/>
    <m/>
    <x v="1"/>
    <x v="0"/>
  </r>
  <r>
    <s v="stjamesprivateclinic.com"/>
    <s v="no"/>
    <s v="Not found"/>
    <m/>
    <m/>
    <x v="0"/>
    <m/>
    <m/>
    <m/>
    <x v="0"/>
    <x v="0"/>
  </r>
  <r>
    <s v="aiseiri.ie"/>
    <s v="tilde"/>
    <s v="Soft Fail"/>
    <s v="v=spf1 include:spf.protection.outlook.com include:spf.ess.de.barracudanetworks.com ~all"/>
    <s v="yes"/>
    <x v="1"/>
    <s v="v=DMARC1; p=quarantine; rua=mailto:dmarc-reports@aiseiri.ie; ruf=mailto:dmarc-failures@aiseiri.ie; sp=none; aspf=r;"/>
    <m/>
    <m/>
    <x v="13"/>
    <x v="0"/>
  </r>
  <r>
    <s v="thekeoghpractice.ie"/>
    <s v="no"/>
    <s v="Not found"/>
    <m/>
    <m/>
    <x v="0"/>
    <m/>
    <m/>
    <m/>
    <x v="10"/>
    <x v="0"/>
  </r>
  <r>
    <s v="partnershipcork.ie"/>
    <s v="tilde"/>
    <s v="Soft Fail"/>
    <s v="v=spf1 mx a ip4:194.125.128.221 ip4:77.107.206.59 include:_spf.snwlhostedeu.com include:spf.protection.outlook.com ~all"/>
    <m/>
    <x v="0"/>
    <m/>
    <m/>
    <m/>
    <x v="1"/>
    <x v="0"/>
  </r>
  <r>
    <s v="dldc.org"/>
    <s v="minus"/>
    <s v="Fail"/>
    <s v="v=spf1 include:spf.protection.outlook.com -all"/>
    <m/>
    <x v="0"/>
    <m/>
    <m/>
    <m/>
    <x v="6"/>
    <x v="0"/>
  </r>
  <r>
    <s v="dbei.gov.ie"/>
    <s v="minus"/>
    <s v="Fail"/>
    <s v="v=spf1 -all"/>
    <m/>
    <x v="3"/>
    <s v="v=DMARC1; p=reject; pct=100; fo=1; ri=3600; rua=mailto:bfa65a29@inbox.ondmarc.com; ruf=mailto:bfa65a29@inbox.ondmarc.com;"/>
    <m/>
    <m/>
    <x v="0"/>
    <x v="0"/>
  </r>
  <r>
    <s v="doras.org"/>
    <s v="tilde"/>
    <s v="Soft Fail"/>
    <s v="v=spf1 a mx include:_spf.mlsend.com include:spf.protection.outlook.com ~all"/>
    <s v="yes"/>
    <x v="1"/>
    <s v="v=DMARC1; p=quarantine; sp=quarantine"/>
    <m/>
    <m/>
    <x v="5"/>
    <x v="0"/>
  </r>
  <r>
    <s v="southmayo.com"/>
    <s v="minus"/>
    <s v="Fail"/>
    <s v="v=spf1 include:spf.protection.outlook.com -all"/>
    <m/>
    <x v="0"/>
    <m/>
    <m/>
    <m/>
    <x v="4"/>
    <x v="0"/>
  </r>
  <r>
    <s v="breifnecollege.ie"/>
    <s v="minus"/>
    <s v="Fail"/>
    <s v="v=spf1 include:spf.protection.outlook.com include:spf.dcsnet.ie -all"/>
    <s v="yes"/>
    <x v="3"/>
    <s v="v=DMARC1; p=reject; rua=mailto:dmarcsupport@breifnecollege.ie"/>
    <m/>
    <m/>
    <x v="11"/>
    <x v="0"/>
  </r>
  <r>
    <s v="loretocavan.ie"/>
    <s v="minus"/>
    <s v="Fail"/>
    <s v="v=spf1 include:spf.protection.outlook.com include:loretocavan.ie.spf.auto.dnssmarthost.net -all"/>
    <s v="yes"/>
    <x v="2"/>
    <s v="v=DMARC1; p=none; aspf=r; adkim=r;"/>
    <m/>
    <m/>
    <x v="11"/>
    <x v="0"/>
  </r>
  <r>
    <s v="ashton.ie"/>
    <s v="minus"/>
    <s v="Fail"/>
    <s v="v=spf1 include:spf.protection.outlook.com include:spf.brevo.com -all"/>
    <m/>
    <x v="2"/>
    <s v="v=DMARC1; p=none; rua=mailto:rua@dmarc.brevo.com"/>
    <m/>
    <m/>
    <x v="1"/>
    <x v="0"/>
  </r>
  <r>
    <s v="bishopstowncs.ie"/>
    <s v="tilde"/>
    <s v="Soft Fail"/>
    <s v="v=spf1 include:spf.reg365.net ~all"/>
    <m/>
    <x v="0"/>
    <m/>
    <m/>
    <m/>
    <x v="1"/>
    <x v="0"/>
  </r>
  <r>
    <s v="boherbuecs.com"/>
    <s v="minus"/>
    <s v="Fail"/>
    <s v="v=spf1 include:spf.protection.outlook.com -all"/>
    <m/>
    <x v="0"/>
    <m/>
    <m/>
    <m/>
    <x v="1"/>
    <x v="0"/>
  </r>
  <r>
    <s v="colaisteanphiarsaigh.ie"/>
    <s v="no"/>
    <s v="Not found"/>
    <m/>
    <m/>
    <x v="0"/>
    <m/>
    <m/>
    <m/>
    <x v="1"/>
    <x v="0"/>
  </r>
  <r>
    <s v="colaistetreasa.com"/>
    <s v="tilde"/>
    <s v="Soft Fail"/>
    <s v="v=spf1 include:_spf.mail.hostinger.com ~all"/>
    <m/>
    <x v="0"/>
    <m/>
    <m/>
    <m/>
    <x v="1"/>
    <x v="0"/>
  </r>
  <r>
    <s v="loretofermoy.ie"/>
    <s v="minus"/>
    <s v="Fail"/>
    <s v="v=spf1 include:spf.protection.outlook.com -all"/>
    <m/>
    <x v="0"/>
    <m/>
    <m/>
    <m/>
    <x v="1"/>
    <x v="0"/>
  </r>
  <r>
    <s v="northpres.ie"/>
    <s v="no"/>
    <s v="Not found"/>
    <m/>
    <m/>
    <x v="0"/>
    <m/>
    <m/>
    <m/>
    <x v="1"/>
    <x v="0"/>
  </r>
  <r>
    <s v="deelecollege.ie"/>
    <s v="tilde"/>
    <s v="Soft Fail"/>
    <s v="v=spf1 ip4:190.180.145.98 ip4:190.180.145.89 ip4:91.136.49.195 +a +mx +ip4:207.55.255.4 ~all"/>
    <s v="yes"/>
    <x v="0"/>
    <m/>
    <m/>
    <m/>
    <x v="6"/>
    <x v="0"/>
  </r>
  <r>
    <s v="ardscoilrisdublin.ie"/>
    <s v="tilde"/>
    <s v="Soft Fail"/>
    <s v="v=spf1 a include:spf.blacknight.ie  ~all"/>
    <m/>
    <x v="0"/>
    <m/>
    <m/>
    <m/>
    <x v="0"/>
    <x v="0"/>
  </r>
  <r>
    <s v="assumptionwalkinstown.ie"/>
    <s v="no"/>
    <s v="Not found"/>
    <m/>
    <m/>
    <x v="0"/>
    <m/>
    <m/>
    <m/>
    <x v="0"/>
    <x v="0"/>
  </r>
  <r>
    <s v="blakestowncs.ie"/>
    <s v="tilde"/>
    <s v="Soft Fail"/>
    <s v="v=spf1 include:_spf.google.com include:spf.protection.outlook.com include:servers.mcsv.net include:teamworkdesk.com ~all"/>
    <s v="yes"/>
    <x v="0"/>
    <m/>
    <m/>
    <m/>
    <x v="0"/>
    <x v="0"/>
  </r>
  <r>
    <s v="cbcmonkstown.ie"/>
    <s v="tilde"/>
    <s v="Soft Fail"/>
    <s v="v=spf1 include:_spf.google.com ~all"/>
    <m/>
    <x v="0"/>
    <m/>
    <m/>
    <m/>
    <x v="0"/>
    <x v="0"/>
  </r>
  <r>
    <s v="clonkeencollege.ie"/>
    <s v="minus"/>
    <s v="Fail"/>
    <s v="v=spf1 +a +mx +ip4:185.224.198.57 +ip4:217.78.1.157 +include:spf.protection.outlook.com -all"/>
    <s v="yes"/>
    <x v="0"/>
    <m/>
    <m/>
    <m/>
    <x v="0"/>
    <x v="0"/>
  </r>
  <r>
    <s v="colaisteeanna.ie"/>
    <s v="minus"/>
    <s v="Fail"/>
    <s v="v=spf1 mx ip4:89.101.164.123 include:spf.protection.outlook.com -all"/>
    <s v="yes"/>
    <x v="0"/>
    <m/>
    <m/>
    <m/>
    <x v="0"/>
    <x v="0"/>
  </r>
  <r>
    <s v="holyfaithclontarf.com"/>
    <s v="minus"/>
    <s v="Fail"/>
    <s v="v=spf1 include:spf.protection.outlook.com -all"/>
    <m/>
    <x v="0"/>
    <m/>
    <m/>
    <m/>
    <x v="0"/>
    <x v="0"/>
  </r>
  <r>
    <s v="loretohighschool.com"/>
    <s v="mis"/>
    <s v="Invalid SPF Syntax"/>
    <s v="v=spf1 ip4:78.153.209.30 include:spf.protection.outlook.com include:spf.blacknight.ie -alll"/>
    <s v="yes"/>
    <x v="1"/>
    <s v="v=DMARC1;p=quarantine;sp=none;adkim=r;aspf=r;pct=100;rf=afrf;ri=86400"/>
    <m/>
    <m/>
    <x v="0"/>
    <x v="0"/>
  </r>
  <r>
    <s v="mountsackville.ie"/>
    <s v="tilde"/>
    <s v="Soft Fail"/>
    <s v="v=spf1 +a +mx +ip4:78.31.107.104 +include:relay.mailchannels.net +ip4:109.200.26.186 +include:spf.protection.outlook.com exists:%{i}._spf.inkyphishfence.com ~all"/>
    <m/>
    <x v="0"/>
    <m/>
    <m/>
    <m/>
    <x v="0"/>
    <x v="0"/>
  </r>
  <r>
    <s v="oatlands.ie"/>
    <s v="no"/>
    <s v="Not found"/>
    <m/>
    <m/>
    <x v="0"/>
    <m/>
    <m/>
    <m/>
    <x v="0"/>
    <x v="0"/>
  </r>
  <r>
    <s v="stcolumbas.ie"/>
    <s v="tilde"/>
    <s v="Soft Fail"/>
    <s v="v=spf1 a mx ip4:185.224.198.155 ip4:185.224.198.249 ip4:87.42.190.134 include:_spf.google.com include:_spf.createsend.com ~all"/>
    <s v="yes"/>
    <x v="2"/>
    <s v="v=DMARC1;p=none;sp=none;adkim=r;aspf=r;pct=100;fo=0;rf=afrf;ri=86400"/>
    <m/>
    <m/>
    <x v="0"/>
    <x v="0"/>
  </r>
  <r>
    <s v="stfintanshs.ie"/>
    <s v="no"/>
    <s v="Not found"/>
    <m/>
    <m/>
    <x v="0"/>
    <m/>
    <m/>
    <m/>
    <x v="0"/>
    <x v="0"/>
  </r>
  <r>
    <s v="stjosephsrush.ie"/>
    <s v="tilde"/>
    <s v="Soft Fail"/>
    <s v="v=spf1 a mx ptr ip4:46.244.12.15 include:spf.protection.outlook.com ~all"/>
    <m/>
    <x v="0"/>
    <m/>
    <m/>
    <m/>
    <x v="0"/>
    <x v="0"/>
  </r>
  <r>
    <s v="stkevinscollege.com"/>
    <s v="tilde"/>
    <s v="Soft Fail"/>
    <s v="v=spf1 a mx include:spf.blacknight.ie include:spf.protection.outlook.com ~all"/>
    <m/>
    <x v="0"/>
    <m/>
    <m/>
    <m/>
    <x v="0"/>
    <x v="0"/>
  </r>
  <r>
    <s v="stkevinscc.ie"/>
    <s v="minus"/>
    <s v="Fail"/>
    <s v="v=spf1 include:spf.protection.outlook.com include:spf.dcsnet.ie  -all"/>
    <s v="yes"/>
    <x v="0"/>
    <m/>
    <m/>
    <m/>
    <x v="0"/>
    <x v="0"/>
  </r>
  <r>
    <s v="stpaulscollege.ie"/>
    <s v="minus"/>
    <s v="Fail"/>
    <s v="v=spf1 a include:spf.blacknight.com include:spf.protection.outlook.com -all"/>
    <m/>
    <x v="0"/>
    <m/>
    <m/>
    <m/>
    <x v="0"/>
    <x v="0"/>
  </r>
  <r>
    <s v="straphaelas.ie"/>
    <s v="minus"/>
    <s v="Fail"/>
    <s v="v=spf1 87.42.112.137/24 include:spf.protection.outlook.com -all"/>
    <s v="yes"/>
    <x v="1"/>
    <s v="v=DMARC1; p=quarantine; sp=reject;"/>
    <m/>
    <m/>
    <x v="0"/>
    <x v="0"/>
  </r>
  <r>
    <s v="teresian.ie"/>
    <s v="tilde"/>
    <s v="Soft Fail"/>
    <s v="v=spf1 include:spf.protection.outlook.com mx:schoolmail.aladdin.ie ~all"/>
    <m/>
    <x v="0"/>
    <m/>
    <m/>
    <m/>
    <x v="0"/>
    <x v="0"/>
  </r>
  <r>
    <s v="colaisteiognaid.ie"/>
    <s v="tilde"/>
    <s v="Soft Fail"/>
    <s v="v=spf1 +ip4:66.206.3.250  ip4:23.111.150.226 ip4:185.62.37.155 +a +mx +ip4:54.36.17.64 include:spf.protection.outlook.com +include:colaisteiognaid.ie ~all"/>
    <m/>
    <x v="0"/>
    <m/>
    <m/>
    <m/>
    <x v="7"/>
    <x v="0"/>
  </r>
  <r>
    <s v="taylorshill.ie"/>
    <s v="no"/>
    <s v="Not found"/>
    <m/>
    <m/>
    <x v="0"/>
    <m/>
    <m/>
    <m/>
    <x v="7"/>
    <x v="0"/>
  </r>
  <r>
    <s v="colaistenasceilge.ie"/>
    <s v="minus"/>
    <s v="Fail"/>
    <s v="v=spf1 include:spf.protection.outlook.com -all"/>
    <m/>
    <x v="0"/>
    <m/>
    <m/>
    <m/>
    <x v="14"/>
    <x v="0"/>
  </r>
  <r>
    <s v="prestralee.ie"/>
    <s v="minus"/>
    <s v="Fail"/>
    <s v="v=spf1 include:spf.protection.outlook.com include:prestralee.ie.spf.auto.dnssmarthost.net -all"/>
    <s v="yes"/>
    <x v="2"/>
    <s v="v=DMARC1; p=none; aspf=r; adkim=r;"/>
    <m/>
    <m/>
    <x v="14"/>
    <x v="0"/>
  </r>
  <r>
    <s v="ardscoilrathangan.ie"/>
    <s v="no"/>
    <s v="Not found"/>
    <m/>
    <m/>
    <x v="0"/>
    <m/>
    <m/>
    <m/>
    <x v="16"/>
    <x v="0"/>
  </r>
  <r>
    <s v="athycollege.ie"/>
    <s v="no"/>
    <s v="Not found"/>
    <m/>
    <m/>
    <x v="0"/>
    <m/>
    <m/>
    <m/>
    <x v="16"/>
    <x v="0"/>
  </r>
  <r>
    <s v="stmaryscollegenaas.ie"/>
    <s v="no"/>
    <s v="Not found"/>
    <m/>
    <m/>
    <x v="0"/>
    <m/>
    <m/>
    <m/>
    <x v="16"/>
    <x v="0"/>
  </r>
  <r>
    <s v="cbskilkenny.ie"/>
    <s v="tilde"/>
    <s v="Soft Fail"/>
    <s v="v=spf1 a include:_spf.google.com include:spf.blacknight.com ~all"/>
    <m/>
    <x v="0"/>
    <m/>
    <m/>
    <m/>
    <x v="17"/>
    <x v="0"/>
  </r>
  <r>
    <s v="heywood.ie"/>
    <s v="minus"/>
    <s v="Fail"/>
    <s v="v=spf1 include:spf.protection.outlook.com -all"/>
    <m/>
    <x v="0"/>
    <m/>
    <m/>
    <m/>
    <x v="18"/>
    <x v="0"/>
  </r>
  <r>
    <s v="portlaoisecollege.ie"/>
    <s v="tilde"/>
    <s v="Soft Fail"/>
    <s v="v=spf1 include:_spf.google.com ~all"/>
    <m/>
    <x v="1"/>
    <s v="v=DMARC1; p=quarantine; pct=100; rua=mailto:ict@loetb.ie"/>
    <m/>
    <m/>
    <x v="18"/>
    <x v="0"/>
  </r>
  <r>
    <s v="carrickcs.ie"/>
    <s v="minus"/>
    <s v="Fail"/>
    <s v="v=spf1 include:spf.protection.outlook.com -all"/>
    <m/>
    <x v="1"/>
    <s v="v=DMARC1; p=quarantine; adkim=r; aspf=r; rua=mailto:dmarc_rua@onsecureserver.net;"/>
    <m/>
    <m/>
    <x v="19"/>
    <x v="0"/>
  </r>
  <r>
    <s v="cbssextonstreet.ie"/>
    <s v="tilde"/>
    <s v="Soft Fail"/>
    <s v="v=spf1 include:_spf.google.com ~all"/>
    <s v="yes"/>
    <x v="2"/>
    <s v="v=DMARC1; p=none; rua=dmarc-reports@cbssextonstreet.ie"/>
    <m/>
    <m/>
    <x v="5"/>
    <x v="0"/>
  </r>
  <r>
    <s v="colaistenanonagle.ie"/>
    <s v="tilde"/>
    <s v="Soft Fail"/>
    <s v="v=spf1 +a +mx +a:mail.colaistenanonagle.ie  ip4:78.47.221.220 ip4:88.208.193.106 ip4:83.138.8.86 include:spf.protection.outlook.com ~all"/>
    <s v="yes"/>
    <x v="0"/>
    <m/>
    <m/>
    <m/>
    <x v="5"/>
    <x v="0"/>
  </r>
  <r>
    <s v="hazelc.ie"/>
    <s v="no"/>
    <s v="Not found"/>
    <m/>
    <m/>
    <x v="0"/>
    <m/>
    <m/>
    <m/>
    <x v="5"/>
    <x v="0"/>
  </r>
  <r>
    <s v="moynecs.ie"/>
    <s v="minus"/>
    <s v="Fail"/>
    <s v="v=spf1 ip4:185.43.232.189 +mx +a +ip4:78.137.164.99 +include:spf.antispamcloud.com -all"/>
    <s v="yes"/>
    <x v="0"/>
    <m/>
    <m/>
    <m/>
    <x v="20"/>
    <x v="0"/>
  </r>
  <r>
    <s v="dgs.ie"/>
    <s v="minus"/>
    <s v="Fail"/>
    <s v="v=spf1 +a +ip4:87.232.32.223 +ip4:91.216.241.100 +include:relay.mailchannels.net +include:spf.protection.outlook.com -all"/>
    <m/>
    <x v="2"/>
    <s v="v=DMARC1;  p=none; rua=mailto:f2a8355cebbb4e10ba0a19190fc8aa17@dmarc-reports.cloudflare.net"/>
    <m/>
    <m/>
    <x v="2"/>
    <x v="0"/>
  </r>
  <r>
    <s v="ballyhauniscs.ie"/>
    <s v="minus"/>
    <s v="Fail"/>
    <s v="v=spf1 include:spf.protection.outlook.com -all"/>
    <m/>
    <x v="0"/>
    <m/>
    <m/>
    <m/>
    <x v="4"/>
    <x v="0"/>
  </r>
  <r>
    <s v="davittcollege.com"/>
    <s v="minus"/>
    <s v="Fail"/>
    <s v="v=spf1 include:spf.protection.outlook.com include:spf.topsec.com -all"/>
    <m/>
    <x v="3"/>
    <s v="v=DMARC1;p=reject;sp=reject;rua=mailto:211a5a2e44@rua.easydmarc.eu;ruf=mailto:211a5a2e44@ruf.easydmarc.eu;fo=1"/>
    <m/>
    <m/>
    <x v="4"/>
    <x v="0"/>
  </r>
  <r>
    <s v="gortnorabbey.ie"/>
    <s v="tilde"/>
    <s v="Soft Fail"/>
    <s v="v=spf1 +a +mx +ip4:91.210.235.155 include:spf.webhostingireland.ie ~all"/>
    <s v="yes"/>
    <x v="0"/>
    <m/>
    <m/>
    <m/>
    <x v="4"/>
    <x v="0"/>
  </r>
  <r>
    <s v="beaufortcollege.ie"/>
    <s v="no"/>
    <s v="Not found"/>
    <m/>
    <m/>
    <x v="0"/>
    <m/>
    <m/>
    <m/>
    <x v="15"/>
    <x v="0"/>
  </r>
  <r>
    <s v="loretonavan.ie"/>
    <s v="tilde"/>
    <s v="Soft Fail"/>
    <s v="v=spf1 include:_spf.google.com ~all"/>
    <s v="yes"/>
    <x v="0"/>
    <m/>
    <m/>
    <m/>
    <x v="15"/>
    <x v="0"/>
  </r>
  <r>
    <s v="invercollege.ie"/>
    <s v="minus"/>
    <s v="Fail"/>
    <s v="v=spf1 include:spf.protection.outlook.com include:spf.dcsnet.ie -all"/>
    <s v="yes"/>
    <x v="3"/>
    <s v="v=DMARC1; p=reject; rua=mailto:dmarcsupport@invercollege.ie"/>
    <m/>
    <m/>
    <x v="12"/>
    <x v="0"/>
  </r>
  <r>
    <s v="bccns.ie"/>
    <s v="minus"/>
    <s v="Fail"/>
    <s v="v=spf1 include:spf.protection.outlook.com -all"/>
    <s v="yes"/>
    <x v="1"/>
    <s v="v=DMARC1; p=quarantine; pct=100; rua=mailto:ict@loetb.ie"/>
    <m/>
    <m/>
    <x v="21"/>
    <x v="0"/>
  </r>
  <r>
    <s v="colaistechoilmtullamore.ie"/>
    <s v="minus"/>
    <s v="Fail"/>
    <s v="v=spf1 include:spf.protection.outlook.com -all"/>
    <m/>
    <x v="0"/>
    <m/>
    <m/>
    <m/>
    <x v="21"/>
    <x v="0"/>
  </r>
  <r>
    <s v="killinaschool.ie"/>
    <s v="no"/>
    <s v="Not found"/>
    <m/>
    <m/>
    <x v="0"/>
    <m/>
    <m/>
    <m/>
    <x v="21"/>
    <x v="0"/>
  </r>
  <r>
    <s v="colaistechiarainathlone.ie"/>
    <s v="tilde"/>
    <s v="Soft Fail"/>
    <s v="v=spf1 include:_spf.google.com ~all"/>
    <m/>
    <x v="2"/>
    <s v="v=DMARC1; p=none;"/>
    <m/>
    <m/>
    <x v="22"/>
    <x v="0"/>
  </r>
  <r>
    <s v="rosconvent.ie"/>
    <s v="tilde"/>
    <s v="Soft Fail"/>
    <s v="v=spf1 a include:spf.blacknight.ie ~all"/>
    <m/>
    <x v="0"/>
    <m/>
    <m/>
    <m/>
    <x v="22"/>
    <x v="0"/>
  </r>
  <r>
    <s v="cbshighschoolclonmel.ie"/>
    <s v="no"/>
    <s v="Not found"/>
    <m/>
    <m/>
    <x v="0"/>
    <m/>
    <m/>
    <m/>
    <x v="13"/>
    <x v="0"/>
  </r>
  <r>
    <s v="cbsthurles.ie"/>
    <s v="minus"/>
    <s v="Fail"/>
    <s v="v=spf1 include:spf.protection.outlook.com include:authsmtp.com -all"/>
    <m/>
    <x v="0"/>
    <m/>
    <m/>
    <m/>
    <x v="13"/>
    <x v="0"/>
  </r>
  <r>
    <s v="ourladystemplemore.ie"/>
    <s v="minus"/>
    <s v="Fail"/>
    <s v="v=spf1 ip4:185.43.232.17 include:spf.webhostingireland.ie +ip4:81.17.241.121 +include:spf.protection.outlook.com -all"/>
    <s v="yes"/>
    <x v="0"/>
    <m/>
    <m/>
    <m/>
    <x v="13"/>
    <x v="0"/>
  </r>
  <r>
    <s v="stdeclans.com"/>
    <s v="no"/>
    <s v="Not found"/>
    <m/>
    <m/>
    <x v="0"/>
    <m/>
    <m/>
    <m/>
    <x v="10"/>
    <x v="0"/>
  </r>
  <r>
    <s v="mullingarcc.ie"/>
    <s v="no"/>
    <s v="Not found"/>
    <m/>
    <m/>
    <x v="0"/>
    <m/>
    <m/>
    <m/>
    <x v="23"/>
    <x v="0"/>
  </r>
  <r>
    <s v="ramsgrangecommunityschool.ie"/>
    <s v="no"/>
    <s v="Not found"/>
    <m/>
    <m/>
    <x v="0"/>
    <m/>
    <m/>
    <m/>
    <x v="3"/>
    <x v="0"/>
  </r>
  <r>
    <s v="dominicanwicklow.net"/>
    <s v="tilde"/>
    <s v="Soft Fail"/>
    <s v="v=spf1 a include:spf.blacknight.ie  ~all"/>
    <m/>
    <x v="0"/>
    <m/>
    <m/>
    <m/>
    <x v="24"/>
    <x v="0"/>
  </r>
  <r>
    <s v="glenartcollege.ie"/>
    <s v="no"/>
    <s v="Not found"/>
    <m/>
    <m/>
    <x v="0"/>
    <m/>
    <m/>
    <m/>
    <x v="24"/>
    <x v="0"/>
  </r>
  <r>
    <s v="presbray.com"/>
    <s v="no"/>
    <s v="Not found"/>
    <m/>
    <m/>
    <x v="0"/>
    <m/>
    <m/>
    <m/>
    <x v="24"/>
    <x v="0"/>
  </r>
  <r>
    <s v="richardsonsfoods.ie"/>
    <s v="tilde"/>
    <s v="Soft Fail"/>
    <s v="v=spf1 +a +mx +ip4:91.210.235.75 include:spf.webhostingireland.ie ~all"/>
    <s v="yes"/>
    <x v="0"/>
    <m/>
    <m/>
    <m/>
    <x v="5"/>
    <x v="0"/>
  </r>
  <r>
    <s v="rathsallagh.com"/>
    <s v="tilde"/>
    <s v="Soft Fail"/>
    <s v="v=spf1 include:_spf.google.com include:netaffinity.net include:authsmtp.com include:guestline.net include:roomlynx.net ~all"/>
    <s v="yes"/>
    <x v="2"/>
    <s v="v=DMARC1; p=none; pct=100; fo=1"/>
    <m/>
    <m/>
    <x v="24"/>
    <x v="0"/>
  </r>
  <r>
    <s v="stedmundsburyhosp.com"/>
    <s v="no"/>
    <s v="Not found"/>
    <m/>
    <m/>
    <x v="0"/>
    <m/>
    <m/>
    <m/>
    <x v="0"/>
    <x v="0"/>
  </r>
  <r>
    <s v="bailiehotel.com"/>
    <s v="minus"/>
    <s v="Fail"/>
    <s v="v=spf1 include:spf.protection.outlook.com -all"/>
    <m/>
    <x v="0"/>
    <m/>
    <m/>
    <m/>
    <x v="11"/>
    <x v="0"/>
  </r>
  <r>
    <s v="castlehotel.ie"/>
    <s v="minus"/>
    <s v="Fail"/>
    <s v="v=spf1 include:spf.protection.outlook.com include:_spf.bookassist.com include:guestline.net include:roomlynx.net -all"/>
    <m/>
    <x v="0"/>
    <m/>
    <m/>
    <m/>
    <x v="1"/>
    <x v="0"/>
  </r>
  <r>
    <s v="castlemartyrresort.ie"/>
    <s v="tilde"/>
    <s v="Soft Fail"/>
    <s v="v=spf1 ip4:93.95.81.66 ip4:20.26.217.83 include:spf.protection.outlook.com include:spf.synxis.com include:email2.guestfolio.net include:spf.guestjoy.com include:sendgrid.net ~all"/>
    <s v="yes"/>
    <x v="2"/>
    <s v="v=DMARC1; p=none; fo=1;"/>
    <m/>
    <m/>
    <x v="1"/>
    <x v="0"/>
  </r>
  <r>
    <s v="commodorehotel.ie"/>
    <s v="minus"/>
    <s v="Fail"/>
    <s v="v=spf1 include:spf.protection.outlook.com include:netaffinity.net -all"/>
    <m/>
    <x v="0"/>
    <m/>
    <m/>
    <m/>
    <x v="1"/>
    <x v="0"/>
  </r>
  <r>
    <s v="themontenottehotel.com"/>
    <s v="minus"/>
    <s v="Fail"/>
    <s v="v=spf1 ip4:86.47.248.161 include:spf.protection.outlook.com include:_spf.bookassist.com a:mail.mindaclient.com -all"/>
    <s v="yes"/>
    <x v="0"/>
    <m/>
    <m/>
    <m/>
    <x v="1"/>
    <x v="0"/>
  </r>
  <r>
    <s v="tridenthotel.com"/>
    <s v="minus"/>
    <s v="Fail"/>
    <s v="v=spf1 include:eu._netblocks.mimecast.com include:spf.protection.outlook.com include:spf.messagelabs.com -all"/>
    <m/>
    <x v="0"/>
    <m/>
    <m/>
    <m/>
    <x v="1"/>
    <x v="0"/>
  </r>
  <r>
    <s v="ballyliffinlodge.com"/>
    <s v="minus"/>
    <s v="Fail"/>
    <s v="v=spf1 include:spf.protection.outlook.com -all"/>
    <m/>
    <x v="0"/>
    <m/>
    <m/>
    <m/>
    <x v="6"/>
    <x v="0"/>
  </r>
  <r>
    <s v="clanreehotel.com"/>
    <s v="tilde"/>
    <s v="Soft Fail"/>
    <s v="v=spf1 include:_spf.google.com include:netaffinity.net ~all"/>
    <m/>
    <x v="2"/>
    <s v="v=DMARC1; p=none; pct=100; fo=1"/>
    <m/>
    <m/>
    <x v="6"/>
    <x v="0"/>
  </r>
  <r>
    <s v="abbeyhoteldonegal.com"/>
    <s v="minus"/>
    <s v="Fail"/>
    <s v="v=spf1 include:spf.protection.outlook.com -all"/>
    <m/>
    <x v="0"/>
    <m/>
    <m/>
    <m/>
    <x v="6"/>
    <x v="0"/>
  </r>
  <r>
    <s v="millparkhotel.com"/>
    <s v="minus"/>
    <s v="Fail"/>
    <s v="v=spf1 include:spf.protection.outlook.com include:netaffinity.net -all"/>
    <m/>
    <x v="0"/>
    <m/>
    <m/>
    <m/>
    <x v="6"/>
    <x v="0"/>
  </r>
  <r>
    <s v="carlsonrezidor.com"/>
    <s v="no"/>
    <s v="Not found"/>
    <m/>
    <m/>
    <x v="0"/>
    <m/>
    <m/>
    <m/>
    <x v="0"/>
    <x v="0"/>
  </r>
  <r>
    <s v="dheaddresscitywest.com"/>
    <s v="no"/>
    <s v="Not found"/>
    <m/>
    <m/>
    <x v="0"/>
    <m/>
    <m/>
    <m/>
    <x v="0"/>
    <x v="0"/>
  </r>
  <r>
    <s v="fitzsimonshotel.com"/>
    <s v="no"/>
    <s v="Not found"/>
    <m/>
    <m/>
    <x v="0"/>
    <m/>
    <m/>
    <m/>
    <x v="0"/>
    <x v="0"/>
  </r>
  <r>
    <s v="jackson-court.ie"/>
    <s v="minus"/>
    <s v="Fail"/>
    <s v="v=spf1 include:spf.protection.outlook.com -all"/>
    <m/>
    <x v="0"/>
    <m/>
    <m/>
    <m/>
    <x v="0"/>
    <x v="0"/>
  </r>
  <r>
    <s v="lucanspahotel.ie"/>
    <s v="minus"/>
    <s v="Fail"/>
    <s v="v=spf1 mx a ip4:89.101.198.6 include:spf.protection.outlook.com include:netaffinity.net -all"/>
    <m/>
    <x v="2"/>
    <s v="v=DMARC1; p=none; pct=100; fo=1"/>
    <m/>
    <m/>
    <x v="0"/>
    <x v="0"/>
  </r>
  <r>
    <s v="mercantilehotel.ie"/>
    <s v="minus"/>
    <s v="Fail"/>
    <s v="v=spf1 include:lpqt0po9p3.powerspf.com include:netaffinity.net -all"/>
    <s v="yes"/>
    <x v="3"/>
    <s v="v=DMARC1; p=reject; rua=mailto:beefr04q77@rua.powerdmarc.com; ruf=mailto:beefr04q77@ruf.powerdmarc.com; pct=100; fo=0:1:d:s;"/>
    <m/>
    <m/>
    <x v="0"/>
    <x v="0"/>
  </r>
  <r>
    <s v="metrohoteldublin.com"/>
    <s v="tilde"/>
    <s v="Soft Fail"/>
    <s v="v=spf1 include:spf.protection.outlook.com include:netaffinity.net include:sendgrid.net  ~all"/>
    <s v="yes"/>
    <x v="1"/>
    <s v="v=DMARC1; p=quarantine; pct=100; fo=1"/>
    <m/>
    <m/>
    <x v="0"/>
    <x v="0"/>
  </r>
  <r>
    <s v="premgroup.com"/>
    <s v="minus"/>
    <s v="Fail"/>
    <s v="v=spf1 include:spf.flexmail.eu include:spf.protection.outlook.com include:servers.mcsv.net include:spf.exclaimer.net include:_spf.salesforce.com ip4:69.164.84.0/24 ip4:65.79.172.0/27 ip4:216.245.190.192/27 ip4:129.152.34.0/28 ip4:160.34.200.0/28 ip4:129.1&quot; &quot;52.162.176/28 ip4:160.34.216.0/28 ip4:160.34.38.32/27 ip4:130.35.1.1/32 ip4:138.1.127.97/32 ip4:147.154.118.178/32 ip4:147.154.9.86/32 ip4:138.1.52.50/32 ip4:147.154.25.123/32 ip4:147.154.153.87/32 ip4:138.1.67.161/32 ip4:138.1.65.17/32 ip4:147.154.96.78/&quot; &quot;32 ip4:147.154.103.202/32 ip4:147.154.110.197/32 ip4:192.29.151.17/32 ip4:192.29.149.57/32 ip4:192.29.210.71/32 ip4:192.29.208.181/32 ip4:192.29.201.11/32 ip4:192.29.194.52/32 ip4:147.154.229.183/32 ip4:147.154.224.142/32 ip4:147.154.236.253/32 ip4:128.17&quot; &quot;7.144.7/32 ip4:128.177.144.190/31 ip4:128.177.154.7/32 ip4:128.177.154.190/31 ip4:65.216.181.5/32 ip4:65.221.28.5/32 ip4:213.70.228.37/30 ip4:194.14.5.235/32 ip4:195.122.184.14/32 -all"/>
    <s v="yes"/>
    <x v="3"/>
    <s v="v=DMARC1; p=reject; rua=mailto:coreilly@premgroup.com; ruf=mailto:coreilly@premgroup.com; sp=reject; aspf=s; ri=86400"/>
    <m/>
    <m/>
    <x v="0"/>
    <x v="0"/>
  </r>
  <r>
    <s v="whitesandshotel.ie"/>
    <s v="tilde"/>
    <s v="Soft Fail"/>
    <s v="v=spf1 include:_spf.google.com include:guestline.net include:roomlynx.net ~all"/>
    <m/>
    <x v="0"/>
    <m/>
    <m/>
    <m/>
    <x v="0"/>
    <x v="0"/>
  </r>
  <r>
    <s v="abbeyglen.ie"/>
    <s v="minus"/>
    <s v="Fail"/>
    <s v="v=spf1 a:mail.anu.net a:spamtitan.anu.net a:ams2-c7-1.anuhosting.net include:_spf.google.com include:spf.sendingservice.net -all"/>
    <m/>
    <x v="2"/>
    <s v="v=DMARC1; p=none;"/>
    <m/>
    <m/>
    <x v="7"/>
    <x v="0"/>
  </r>
  <r>
    <s v="ballynahinch-castle.com"/>
    <s v="tilde"/>
    <s v="Soft Fail"/>
    <s v="v=spf1 include:outlook.com ~all"/>
    <s v="yes"/>
    <x v="2"/>
    <s v="v=DMARC1; p=none;"/>
    <m/>
    <m/>
    <x v="7"/>
    <x v="0"/>
  </r>
  <r>
    <s v="clybaunhotel.ie"/>
    <s v="minus"/>
    <s v="Fail"/>
    <s v="v=spf1 a mx include:spf.irishdomains.com include:netaffinity.net include:spf.protection.outlook.com include:sendgrid.net -all"/>
    <m/>
    <x v="2"/>
    <s v="v=DMARC1; p=none;"/>
    <m/>
    <m/>
    <x v="7"/>
    <x v="0"/>
  </r>
  <r>
    <s v="glenlo.com"/>
    <s v="no"/>
    <s v="Not found"/>
    <m/>
    <m/>
    <x v="0"/>
    <m/>
    <m/>
    <m/>
    <x v="7"/>
    <x v="0"/>
  </r>
  <r>
    <s v="imperialhotelgalway.ie"/>
    <s v="minus"/>
    <s v="Fail"/>
    <s v="v=spf1 a:spf.webtrade.ie mx include:netaffinity.net include:guestline.net include:roomlynx.net include:spf.protection.outlook.com -all"/>
    <m/>
    <x v="0"/>
    <m/>
    <m/>
    <m/>
    <x v="7"/>
    <x v="0"/>
  </r>
  <r>
    <s v="maldronhotelsandyroadgalway.com"/>
    <s v="no"/>
    <s v="Not found"/>
    <m/>
    <m/>
    <x v="0"/>
    <m/>
    <m/>
    <m/>
    <x v="7"/>
    <x v="0"/>
  </r>
  <r>
    <s v="renvyle.com"/>
    <s v="tilde"/>
    <s v="Soft Fail"/>
    <s v="v=spf1 include:_spf.google.com include:_spf.bookassist.com ~all"/>
    <m/>
    <x v="0"/>
    <m/>
    <m/>
    <m/>
    <x v="7"/>
    <x v="0"/>
  </r>
  <r>
    <s v="thehousehotel.ie"/>
    <s v="minus"/>
    <s v="Fail"/>
    <s v="v=spf1 include:spamtitan.tierneys.ie include:spf.reg365.net include:spf.mandrillapp.com include:spf.protection.outlook.com -all"/>
    <s v="yes"/>
    <x v="0"/>
    <m/>
    <m/>
    <m/>
    <x v="7"/>
    <x v="0"/>
  </r>
  <r>
    <s v="ladygregoryhotel.ie"/>
    <s v="minus"/>
    <s v="Fail"/>
    <s v="v=spf1 include:spf.protection.outlook.com -all"/>
    <m/>
    <x v="0"/>
    <m/>
    <m/>
    <m/>
    <x v="7"/>
    <x v="0"/>
  </r>
  <r>
    <s v="westwoodhousehotel.com"/>
    <s v="no"/>
    <s v="Not found"/>
    <m/>
    <m/>
    <x v="0"/>
    <m/>
    <m/>
    <m/>
    <x v="7"/>
    <x v="0"/>
  </r>
  <r>
    <s v="ardnasidhe.com"/>
    <s v="minus"/>
    <s v="Fail"/>
    <s v="v=spf1 include:spf.protection.outlook.com -all"/>
    <s v="yes"/>
    <x v="2"/>
    <s v="v=DMARC1; p=none; sp=none; aspf=s; fo=1;rua=mailto:dmarc_rua@emaildefense.proofpoint.com; ruf=mailto:dmarc_ruf@emaildefense.proofpoint.com"/>
    <m/>
    <m/>
    <x v="14"/>
    <x v="0"/>
  </r>
  <r>
    <s v="parkkenmare.com"/>
    <s v="minus"/>
    <s v="Fail"/>
    <s v="v=spf1 include:guestline.net include:roomlynx.net include:spf.synxis.com include:spf.protection.outlook.com include:spf.mtasv.net include:secureserver.net -all"/>
    <s v="yes"/>
    <x v="2"/>
    <s v="v=DMARC1; p=none; rua=mailto:08e2ee1be1bb410d89b1cb364fcfa891@dmarc-reports.cloudflare.net,mailto:dmarkreporting@parkkenmare.com"/>
    <m/>
    <m/>
    <x v="14"/>
    <x v="0"/>
  </r>
  <r>
    <s v="grandhoteltralee.com"/>
    <s v="minus"/>
    <s v="Fail"/>
    <s v="v=spf1 include:spf.protection.outlook.com -all"/>
    <s v="yes"/>
    <x v="2"/>
    <s v="v=DMARC1; p=none;"/>
    <m/>
    <m/>
    <x v="14"/>
    <x v="0"/>
  </r>
  <r>
    <s v="ospreyhotel.ie"/>
    <s v="no"/>
    <s v="Not found"/>
    <m/>
    <s v="yes"/>
    <x v="2"/>
    <s v="v=DMARC1; p=none; rua=mailto:dmarc_agg@vali.email"/>
    <m/>
    <m/>
    <x v="16"/>
    <x v="0"/>
  </r>
  <r>
    <s v="rivercourthotel.com"/>
    <s v="tilde"/>
    <s v="Soft Fail"/>
    <s v="v=spf1 a ip4:40.95.65.65 include:spf.protection.outlook.com include:netaffinity.net include:email2.guestfolio.net ~all"/>
    <m/>
    <x v="1"/>
    <s v="v=DMARC1; p=quarantine; pct=100; fo=1"/>
    <m/>
    <m/>
    <x v="17"/>
    <x v="0"/>
  </r>
  <r>
    <s v="kilkennyhibernianhotel.com"/>
    <s v="minus"/>
    <s v="Fail"/>
    <s v="v=spf1 mx include:netaffinity.net include:_spf.wire.threatspike.com include:spf.protection.outlook.com a:mail.mindaclient.com -all"/>
    <s v="yes"/>
    <x v="2"/>
    <s v="v=DMARC1; p=none;"/>
    <m/>
    <m/>
    <x v="17"/>
    <x v="0"/>
  </r>
  <r>
    <s v="loughrynn.ie"/>
    <s v="minus"/>
    <s v="Fail"/>
    <s v="v=spf1 include:spf.protection.outlook.com include:authsmtp.com include:sendgrid.net include:mailgun.org include:spf.topsec.com -all"/>
    <m/>
    <x v="0"/>
    <m/>
    <m/>
    <m/>
    <x v="19"/>
    <x v="0"/>
  </r>
  <r>
    <s v="absolutehotel.com"/>
    <s v="minus"/>
    <s v="Fail"/>
    <s v="v=spf1 include:spf.protection.outlook.com include:oracleindustry.com include:spf_3a.oracleindustry.com include:*.oracleindustry.com -all"/>
    <m/>
    <x v="0"/>
    <m/>
    <m/>
    <m/>
    <x v="5"/>
    <x v="0"/>
  </r>
  <r>
    <s v="greenhillsgroup.com"/>
    <s v="minus"/>
    <s v="Fail"/>
    <s v="v=spf1 mx a include:netaffinity.net include:spf.protection.outlook.com -all"/>
    <m/>
    <x v="0"/>
    <m/>
    <m/>
    <m/>
    <x v="5"/>
    <x v="0"/>
  </r>
  <r>
    <s v="limerickcityhotel.ie"/>
    <s v="tilde"/>
    <s v="Soft Fail"/>
    <s v="v=spf1 include:spf.protection.outlook.com a mx include:netaffinity.net +ip4:66.206.3.250 +ip4:23.111.150.226 ~all"/>
    <m/>
    <x v="0"/>
    <m/>
    <m/>
    <m/>
    <x v="5"/>
    <x v="0"/>
  </r>
  <r>
    <s v="devoninnhotel.ie"/>
    <s v="minus"/>
    <s v="Fail"/>
    <s v="v=spf1 include:spf.protection.outlook.com -all"/>
    <m/>
    <x v="0"/>
    <m/>
    <m/>
    <m/>
    <x v="5"/>
    <x v="0"/>
  </r>
  <r>
    <s v="savoylimerick.com"/>
    <s v="minus"/>
    <s v="Fail"/>
    <s v="v=spf1 include:spf.protection.outlook.com ip4:84.116.36.16 include:spf.exclaimer.net include:netaffinity.net include:guestline.net include:spf.resdiary.com -all"/>
    <s v="yes"/>
    <x v="1"/>
    <s v="v=DMARC1; p=quarantine; rua=mailto:altaf@savoylimerick.com; ruf=mailto:altaf@savoylimerick.com; sp=none;"/>
    <m/>
    <m/>
    <x v="5"/>
    <x v="0"/>
  </r>
  <r>
    <s v="boynevalleyhotel.ie"/>
    <s v="minus"/>
    <s v="Fail"/>
    <s v="v=spf1 include:spf.protection.outlook.com include:_spf.bookassist.com -all"/>
    <m/>
    <x v="0"/>
    <m/>
    <m/>
    <m/>
    <x v="2"/>
    <x v="0"/>
  </r>
  <r>
    <s v="broadhavenbay.com"/>
    <s v="tilde"/>
    <s v="Soft Fail"/>
    <s v="v=spf1 include:_spf.google.com include:spf.protection.outlook.com include:netaffinity.net ~all"/>
    <s v="yes"/>
    <x v="1"/>
    <s v="v=DMARC1; p=quarantine; fo=1; rua=mailto:dmarc_reports@broadhavenbay.com; ruf=mailto:dmarc_reports@broadhavenbay.com"/>
    <m/>
    <m/>
    <x v="4"/>
    <x v="0"/>
  </r>
  <r>
    <s v="theellisonhotel.ie"/>
    <s v="tilde"/>
    <s v="Soft Fail"/>
    <s v="v=spf1 include:spf.protection.outlook.com include:netaffinity.net ~all"/>
    <m/>
    <x v="2"/>
    <s v="v=DMARC1; p=none;"/>
    <m/>
    <m/>
    <x v="4"/>
    <x v="0"/>
  </r>
  <r>
    <s v="westportplazahotel.ie"/>
    <s v="minus"/>
    <s v="Fail"/>
    <s v="v=spf1 include:spf.newsletter.ie include:spf.mandrillapp.com include:spf.protection.outlook.com -all"/>
    <s v="yes"/>
    <x v="2"/>
    <s v="v=DMARC1; p=none;"/>
    <m/>
    <m/>
    <x v="4"/>
    <x v="0"/>
  </r>
  <r>
    <s v="theglencarnhotel.ie"/>
    <s v="minus"/>
    <s v="Fail"/>
    <s v="v=spf1 include:spf.protection.outlook.com -all"/>
    <m/>
    <x v="0"/>
    <m/>
    <m/>
    <m/>
    <x v="12"/>
    <x v="0"/>
  </r>
  <r>
    <s v="pierheadhotel.ie"/>
    <s v="tilde"/>
    <s v="Soft Fail"/>
    <s v="v=spf1 a include:spf.blacknight.ie  ~all"/>
    <m/>
    <x v="0"/>
    <m/>
    <m/>
    <m/>
    <x v="8"/>
    <x v="0"/>
  </r>
  <r>
    <s v="theglasshouse.ie"/>
    <s v="question"/>
    <s v="Neutral"/>
    <s v="v=spf1 include:spf.protection.outlook.com include:servers.mcsv.net include:netaffinity.net ?all"/>
    <m/>
    <x v="0"/>
    <m/>
    <m/>
    <m/>
    <x v="8"/>
    <x v="0"/>
  </r>
  <r>
    <s v="cahirhousehotel.ie"/>
    <s v="minus"/>
    <s v="Fail"/>
    <s v="v=spf1 include:spf.protection.outlook.com include:_spf.bookassist.com -all"/>
    <m/>
    <x v="0"/>
    <m/>
    <m/>
    <m/>
    <x v="13"/>
    <x v="0"/>
  </r>
  <r>
    <s v="carraighotel.com"/>
    <s v="minus"/>
    <s v="Fail"/>
    <s v="v=spf1 include:spf.protection.outlook.com -all"/>
    <s v="yes"/>
    <x v="2"/>
    <s v="v=DMARC1; p=none; rua=mailto:noel@solveit.ie; ruf=mailto:noel@solveit.ie; fo=1"/>
    <m/>
    <m/>
    <x v="13"/>
    <x v="0"/>
  </r>
  <r>
    <s v="dooleys-hotel.ie"/>
    <s v="minus"/>
    <s v="Fail"/>
    <s v="v=spf1 include:spf.protection.outlook.com include:netaffinity.net -all"/>
    <m/>
    <x v="2"/>
    <s v="v=DMARC1; p=none"/>
    <m/>
    <m/>
    <x v="10"/>
    <x v="0"/>
  </r>
  <r>
    <s v="fitzwiltonhotel.ie"/>
    <s v="tilde"/>
    <s v="Soft Fail"/>
    <s v="v=spf1 include:spf.protection.outlook.com include:netaffinity.net ip4:95.83.230.162 include:spf.newsletter.ie include:spf.blacknight.com include:mail.smtp2go.com ~all"/>
    <s v="yes"/>
    <x v="2"/>
    <s v="v=DMARC1; p=none; rua=mailto:dmarc@lantech.uriports.com; ruf=mailto:dmarc@lantech.uriports.com; fo=1:d:s"/>
    <m/>
    <m/>
    <x v="10"/>
    <x v="0"/>
  </r>
  <r>
    <s v="goldcoastgolfresort.com"/>
    <s v="minus"/>
    <s v="Fail"/>
    <s v="v=spf1 include:spf.protection.outlook.com  +a +mx -all"/>
    <m/>
    <x v="0"/>
    <m/>
    <m/>
    <m/>
    <x v="10"/>
    <x v="0"/>
  </r>
  <r>
    <s v="osheas-hotel.com"/>
    <s v="minus"/>
    <s v="Fail"/>
    <s v="v=spf1 +a +mx +a:stgmail.dmacmedia.ie -all"/>
    <m/>
    <x v="4"/>
    <s v="v=DMARC1"/>
    <m/>
    <m/>
    <x v="10"/>
    <x v="0"/>
  </r>
  <r>
    <s v="majestic-hotel.ie"/>
    <s v="tilde"/>
    <s v="Soft Fail"/>
    <s v="v=spf1 a mx ip4:84.51.238.228/25 ip4:84.51.238.227/25 include:netaffinity.net ip4:78.153.205.192/27 ~all"/>
    <m/>
    <x v="2"/>
    <s v="v=DMARC1; p=none"/>
    <m/>
    <m/>
    <x v="10"/>
    <x v="0"/>
  </r>
  <r>
    <s v="shamrocklodgehotel.ie"/>
    <s v="minus"/>
    <s v="Fail"/>
    <s v="v=spf1 include:spf.protection.outlook.com include:spf.reg365.net -all"/>
    <s v="yes"/>
    <x v="0"/>
    <m/>
    <m/>
    <m/>
    <x v="23"/>
    <x v="0"/>
  </r>
  <r>
    <s v="hotelcurracloe.com"/>
    <s v="tilde"/>
    <s v="Soft Fail"/>
    <s v="v=spf1 include:_spf.protonmail.ch ~all"/>
    <s v="yes"/>
    <x v="2"/>
    <s v="v=DMARC1; p=none; rua=mailto:dmarc_agg@vali.email"/>
    <m/>
    <m/>
    <x v="3"/>
    <x v="0"/>
  </r>
  <r>
    <s v="seafieldhotel.com"/>
    <s v="tilde"/>
    <s v="Soft Fail"/>
    <s v="v=spf1 mx a:mail.seafieldhotel.com include:mailanyone.net ip6:2001:978:2a01:0:6:0:1089:1092 include:spf.protection.outlook.com include:netaffinity.net include:authsmtp.com include:sendgrid.net ~all"/>
    <s v="yes"/>
    <x v="2"/>
    <s v="v=DMARC1; p=none;"/>
    <m/>
    <m/>
    <x v="3"/>
    <x v="0"/>
  </r>
  <r>
    <s v="esplanadehotel.ie"/>
    <s v="minus"/>
    <s v="Fail"/>
    <s v="v=spf1 include:spf.protection.outlook.com -all"/>
    <m/>
    <x v="0"/>
    <m/>
    <m/>
    <m/>
    <x v="24"/>
    <x v="0"/>
  </r>
  <r>
    <s v="grandhotel.ie"/>
    <s v="minus"/>
    <s v="Fail"/>
    <s v="v=spf1 include:spf.protection.outlook.com include:authsmtp.com -all"/>
    <m/>
    <x v="0"/>
    <m/>
    <m/>
    <m/>
    <x v="24"/>
    <x v="0"/>
  </r>
  <r>
    <s v="whoward.eu"/>
    <s v="minus"/>
    <s v="Fail"/>
    <s v="v=spf1 a include:spf.protection.outlook.com -all"/>
    <s v="yes"/>
    <x v="2"/>
    <s v="v=DMARC1; p=none; rua=mailto:dmarc_agg@vali.email"/>
    <m/>
    <m/>
    <x v="16"/>
    <x v="0"/>
  </r>
  <r>
    <s v="ckt.ie"/>
    <s v="minus"/>
    <s v="Fail"/>
    <s v="v=spf1 a include:spf.protection.outlook.com a:servers.mcsv.net a:mail.ckt.ie -all"/>
    <s v="yes"/>
    <x v="1"/>
    <s v="v=DMARC1; p=quarantine;"/>
    <m/>
    <m/>
    <x v="1"/>
    <x v="0"/>
  </r>
  <r>
    <s v="kennedys-law.com"/>
    <s v="minus"/>
    <s v="Fail"/>
    <s v="v=spf1 include:eu._netblocks.mimecast.com include:spf-uk.vx-email.com include:docebosaas.com a:b.spf.service-now.com a:c.spf.service-now.com a:d.spf.service-now.com -all"/>
    <m/>
    <x v="3"/>
    <s v="v=DMARC1; p=reject; rua=mailto:d51658bb6f81247@rep.dmarcanalyzer.com; ruf=mailto:d51658bb6f81247@for.dmarcanalyzer.com; fo=1;"/>
    <m/>
    <m/>
    <x v="0"/>
    <x v="0"/>
  </r>
  <r>
    <s v="tipperarylibraries.ie"/>
    <s v="no"/>
    <s v="Not found"/>
    <m/>
    <m/>
    <x v="0"/>
    <m/>
    <m/>
    <m/>
    <x v="13"/>
    <x v="0"/>
  </r>
  <r>
    <s v="harvestfinancial.ie"/>
    <s v="tilde"/>
    <s v="Soft Fail"/>
    <s v="v=spf1 include:%{ir}.%{v}.%{d}.spf.has.pphosted.com ~all"/>
    <m/>
    <x v="3"/>
    <s v="v=DMARC1; p=reject; rua=mailto:dmarc_rua@emaildefense.proofpoint.com; ruf=mailto:dmarc_ruf@emaildefense.proofpoint.com; fo=1;"/>
    <m/>
    <m/>
    <x v="0"/>
    <x v="0"/>
  </r>
  <r>
    <s v="intesasanpaololife.ie"/>
    <s v="minus"/>
    <s v="Fail"/>
    <s v="v=spf1 include:spf.intesasanpaolo.com include:spf.protection.outlook.com -all"/>
    <s v="yes"/>
    <x v="1"/>
    <s v="v=DMARC1; p=quarantine; fo=1; pct=100; ri=3600; rua=mailto:intesa-sanpaolo@rua.dmp.cisco.com; ruf=mailto:intesa-sanpaolo@ruf.dmp.cisco.com"/>
    <m/>
    <m/>
    <x v="0"/>
    <x v="0"/>
  </r>
  <r>
    <s v="odonovaneng.ie"/>
    <s v="minus"/>
    <s v="Fail"/>
    <s v="v=spf1 include:spf.protection.outlook.com include:spf.mailspamprotection.com include:odonovaneng.ie.spf.auto.dnssmarthost.net -all"/>
    <s v="yes"/>
    <x v="2"/>
    <s v="v=DMARC1; p=none; aspf=r; adkim=r;"/>
    <m/>
    <m/>
    <x v="1"/>
    <x v="0"/>
  </r>
  <r>
    <s v="cartow.ie"/>
    <s v="tilde"/>
    <s v="Soft Fail"/>
    <s v="v=spf1 include:spf.reg365.net ~all"/>
    <m/>
    <x v="0"/>
    <m/>
    <m/>
    <m/>
    <x v="0"/>
    <x v="0"/>
  </r>
  <r>
    <s v="odrem.ie"/>
    <s v="mis"/>
    <s v="Invalid SPF Syntax"/>
    <s v="v=spf1 ip4:217.115.115.25 +mx +a +a:spf.webtrade.ie include:spf.protection.outlook.com include:relay.mailchannels.net include:asp-spf1.yardi.com  include:eu.transmail.net include:spf.zoho.eu include:spf.ess.de.barracudanetworks.com ~allinclude:user.zohobo&quot; &quot;okings.eu"/>
    <s v="yes"/>
    <x v="2"/>
    <s v="v=DMARC1; p=none; rua=mailto:it-monitor@odpm.ie"/>
    <m/>
    <m/>
    <x v="0"/>
    <x v="0"/>
  </r>
  <r>
    <s v="theiveaghtrust.ie"/>
    <s v="minus"/>
    <s v="Fail"/>
    <s v="v=spf1 include:spf1.emailsecurity.app include:spf.protection.outlook.com -all"/>
    <s v="yes"/>
    <x v="1"/>
    <s v="v=DMARC1; p=quarantine; pct=50"/>
    <m/>
    <m/>
    <x v="0"/>
    <x v="0"/>
  </r>
  <r>
    <s v="cellars.ie"/>
    <s v="no"/>
    <s v="Not found"/>
    <m/>
    <m/>
    <x v="0"/>
    <m/>
    <m/>
    <m/>
    <x v="0"/>
    <x v="0"/>
  </r>
  <r>
    <s v="gibneysteel.com"/>
    <s v="minus"/>
    <s v="Fail"/>
    <s v="v=spf1 include:spf.protection.outlook.com -all"/>
    <m/>
    <x v="0"/>
    <m/>
    <m/>
    <m/>
    <x v="15"/>
    <x v="0"/>
  </r>
  <r>
    <s v="seerys.ie"/>
    <s v="minus"/>
    <s v="Fail"/>
    <s v="v=spf1 ip4:194.165.184.231 include:spf.topsec.com include:spf.protection.outlook.com include:spf.ess.barracudanetworks.com include:spf.ess.de.barracudanetworks.com -all"/>
    <s v="yes"/>
    <x v="1"/>
    <s v="v=DMARC1; p=quarantine; rua=mailto:dmarc-reports@seerys.ie; ruf=mailto:dmarc-failures@seerys.ie; sp=none; aspf=r;"/>
    <m/>
    <m/>
    <x v="25"/>
    <x v="0"/>
  </r>
  <r>
    <s v="dinkinsbakery.com"/>
    <s v="tilde"/>
    <s v="Soft Fail"/>
    <s v="v=spf1 a include:spf.blacknight.ie include:spf.protection.outlook.com include:mailgun.org ~all"/>
    <s v="yes"/>
    <x v="0"/>
    <m/>
    <m/>
    <m/>
    <x v="12"/>
    <x v="0"/>
  </r>
  <r>
    <s v="cresthaven.ie"/>
    <s v="minus"/>
    <s v="Fail"/>
    <s v="v=spf1 +a +mx +ip4:78.153.200.194 +include:spf.protection.outlook.com -all"/>
    <m/>
    <x v="0"/>
    <m/>
    <m/>
    <m/>
    <x v="10"/>
    <x v="0"/>
  </r>
  <r>
    <s v="duconconcrete.com"/>
    <s v="minus"/>
    <s v="Fail"/>
    <s v="v=spf1 include:spf.protection.outlook.com -all"/>
    <m/>
    <x v="0"/>
    <m/>
    <m/>
    <m/>
    <x v="1"/>
    <x v="0"/>
  </r>
  <r>
    <s v="cementaid.ie"/>
    <s v="minus"/>
    <s v="Fail"/>
    <s v="v=spf1 include:spf.protection.outlook.com -all"/>
    <m/>
    <x v="0"/>
    <m/>
    <m/>
    <m/>
    <x v="0"/>
    <x v="0"/>
  </r>
  <r>
    <s v="accuris-networks.com"/>
    <s v="no"/>
    <s v="Not found"/>
    <m/>
    <m/>
    <x v="0"/>
    <m/>
    <m/>
    <m/>
    <x v="0"/>
    <x v="0"/>
  </r>
  <r>
    <s v="callpageboy.ie"/>
    <s v="minus"/>
    <s v="Fail"/>
    <s v="v=spf1 a mx ip4:83.70.177.138 ip4:82.141.228.162 ip4:5.149.169.209 ip4:83.71.171.193 ip4:83.174.183.150 include:spf.protection.outlook.com include:amazonses.com -all"/>
    <m/>
    <x v="0"/>
    <m/>
    <m/>
    <m/>
    <x v="0"/>
    <x v="0"/>
  </r>
  <r>
    <s v="convergint.com"/>
    <s v="minus"/>
    <s v="Fail"/>
    <s v="v=spf1 include:spf.protection.outlook.com include:spf1.convergint.com include:spf2.convergint.com -all"/>
    <s v="yes"/>
    <x v="3"/>
    <s v="v=DMARC1; p=reject; rua=mailto:zmxenhn4@ag.dmarcian.com; ruf=mailto:zmxenhn4@fr.dmarcian.com; pct=100;"/>
    <m/>
    <m/>
    <x v="0"/>
    <x v="0"/>
  </r>
  <r>
    <s v="traka.ie"/>
    <s v="minus"/>
    <s v="Fail"/>
    <s v="v=spf1 -all"/>
    <s v="yes"/>
    <x v="3"/>
    <s v="v=DMARC1; p=reject; rua=mailto:c617a603d59c866@rep.dmarcanalyzer.com; ruf=mailto:c617a603d59c866@for.dmarcanalyzer.com; pct=100; fo=1"/>
    <m/>
    <m/>
    <x v="2"/>
    <x v="0"/>
  </r>
  <r>
    <s v="tunstallemergencyresponse.ie"/>
    <s v="tilde"/>
    <s v="Soft Fail"/>
    <s v="v=spf1 +a +mx +a:ukm36.siteground.biz  include:tunstallemergencyresponse.ie.spf.auto.dnssmarthost.net ~all"/>
    <s v="yes"/>
    <x v="2"/>
    <s v="v=DMARC1; p=none; aspf=r; adkim=r;"/>
    <m/>
    <m/>
    <x v="3"/>
    <x v="0"/>
  </r>
  <r>
    <s v="shepherdsecurity.ie"/>
    <s v="no"/>
    <s v="Not found"/>
    <m/>
    <m/>
    <x v="0"/>
    <m/>
    <m/>
    <m/>
    <x v="24"/>
    <x v="0"/>
  </r>
  <r>
    <s v="calnan.ie"/>
    <s v="minus"/>
    <s v="Fail"/>
    <s v="v=spf1 ip4:91.216.241.2 include:relay.mailchannels.net +a +mx +ip4:217.199.187.190 +include:spf.protection.outlook.com +include:sendgrid.net -all"/>
    <s v="yes"/>
    <x v="0"/>
    <m/>
    <m/>
    <m/>
    <x v="1"/>
    <x v="0"/>
  </r>
  <r>
    <s v="doorfix.ie"/>
    <s v="minus"/>
    <s v="Fail"/>
    <s v="v=spf1 include:_spf_customer.mailwall.com -all"/>
    <m/>
    <x v="0"/>
    <m/>
    <m/>
    <m/>
    <x v="0"/>
    <x v="0"/>
  </r>
  <r>
    <s v="elfc.com"/>
    <s v="minus"/>
    <s v="Fail"/>
    <s v="v=spf1 ip4:87.120.240.162/32 ip4:87.120.240.163/32 ip4:87.120.240.166/32 ip4:31.193.216.246/32 ip4:83.70.146.193/32 include:spf.protection.outlook.com include:spf.mandrillapp.com include:servers.mcsv.net include:_netblocks.mimecast.com -all"/>
    <s v="yes"/>
    <x v="3"/>
    <s v="v=DMARC1; p=reject; rua=mailto:dmarc.reports@elfc.com"/>
    <m/>
    <m/>
    <x v="9"/>
    <x v="0"/>
  </r>
  <r>
    <s v="icsltd.ie"/>
    <s v="minus"/>
    <s v="Fail"/>
    <s v="v=spf1 ip4:93.107.164.183 include:spf.protection.outlook.com -all"/>
    <s v="yes"/>
    <x v="0"/>
    <m/>
    <m/>
    <m/>
    <x v="1"/>
    <x v="0"/>
  </r>
  <r>
    <s v="prophotonix.com"/>
    <s v="tilde"/>
    <s v="Soft Fail"/>
    <s v="v=spf1 include:spf.protection.outlook.com include:aspmx.pardot.com include:spf.emailsignatures365.com  include:spfa.cpmails.com ip4:212.147.129.75 ip4:216.17.79.152 ~all"/>
    <s v="yes"/>
    <x v="2"/>
    <s v="v=DMARC1; p=none; pct=100; rua=mailto:re+dnrazz1xeh4@dmarc.postmarkapp.com; sp=none; aspf=r;"/>
    <m/>
    <m/>
    <x v="1"/>
    <x v="0"/>
  </r>
  <r>
    <s v="te.com"/>
    <s v="mis"/>
    <s v="Invalid SPF Syntax"/>
    <s v="v=spf1 redirect=48i79tr9._spf._d.mim.ec"/>
    <s v="yes"/>
    <x v="3"/>
    <s v="v=DMARC1; p=reject; rua=mailto:52d1bf7cee2d365@rep.dmarcanalyzer.com; ruf=mailto:52d1bf7cee2d365@for.dmarcanalyzer.com; fo=1;"/>
    <m/>
    <m/>
    <x v="7"/>
    <x v="0"/>
  </r>
  <r>
    <s v="hccl.ie"/>
    <s v="minus"/>
    <s v="Fail"/>
    <s v="v=spf1 include:spf.protection.outlook.com -all"/>
    <m/>
    <x v="2"/>
    <s v="v=DMARC1; p=none;"/>
    <m/>
    <m/>
    <x v="13"/>
    <x v="0"/>
  </r>
  <r>
    <s v="tipperaryglass.ie"/>
    <s v="minus"/>
    <s v="Fail"/>
    <s v="v=spf1 +a +ip4:35.214.80.219 include:_spf.mailspamprotection.com +ip4:83.70.176.96 +ip4:86.43.86.55 include:spf.protection.outlook.com include:authsmtp.com -all"/>
    <m/>
    <x v="0"/>
    <m/>
    <m/>
    <m/>
    <x v="13"/>
    <x v="0"/>
  </r>
  <r>
    <s v="quiptech.com"/>
    <s v="minus"/>
    <s v="Fail"/>
    <s v="v=spf1 include:spf.protection.outlook.com include:_spf_cd.spamtitan.com include:4602553.spf10.hubspotemail.net include:5837445.spf02.hubspotemail.net mx a ip4:62.77.187.217 ip4:173.236.35.52 include:spf.mandrillapp.com include:spf-westeu.emailsignatures36&quot; &quot;5.com include:spf-eu.emailsignatures365.com -all"/>
    <s v="yes"/>
    <x v="3"/>
    <s v="v=DMARC1; p=reject; rua=mailto:dmarc@quiptech.com; aspf=r;"/>
    <m/>
    <m/>
    <x v="7"/>
    <x v="0"/>
  </r>
  <r>
    <s v="paganini.ie"/>
    <s v="minus"/>
    <s v="Fail"/>
    <s v="v=spf1 include:spf.protection.outlook.com include:spf.graphedia.ie -all"/>
    <m/>
    <x v="0"/>
    <m/>
    <m/>
    <m/>
    <x v="3"/>
    <x v="0"/>
  </r>
  <r>
    <s v="camfil.ie"/>
    <s v="tilde"/>
    <s v="Soft Fail"/>
    <s v="v=spf1 ip4:192.176.163.12/32 ip4:192.176.163.254/32 ip4:203.106.234.247/32 ip4:173.251.20.104/32 ip4:64.238.211.94/32 include:spf.protection.outlook.com include:customers.clickdimensions.com include:_spf.staysecuregroup.com ~all"/>
    <m/>
    <x v="2"/>
    <s v="v=DMARC1; p=none; rua=mailto:vqnx7ch8@ag.eu.dmarcadvisor.com;"/>
    <m/>
    <m/>
    <x v="0"/>
    <x v="0"/>
  </r>
  <r>
    <s v="fitzgeraldkitchens.com"/>
    <s v="tilde"/>
    <s v="Soft Fail"/>
    <s v="v=spf1 +a +mx +ip4:217.115.115.31 +include:relay.mailchannels.net +ip4:35.214.120.112 +include:_spf.mailspamprotection.com ~all"/>
    <s v="yes"/>
    <x v="2"/>
    <s v="v=DMARC1; p=none;"/>
    <m/>
    <m/>
    <x v="24"/>
    <x v="0"/>
  </r>
  <r>
    <s v="brandwellgroup.com"/>
    <s v="no"/>
    <s v="Not found"/>
    <m/>
    <m/>
    <x v="0"/>
    <m/>
    <m/>
    <m/>
    <x v="0"/>
    <x v="0"/>
  </r>
  <r>
    <s v="broderickbros.ie"/>
    <s v="minus"/>
    <s v="Fail"/>
    <s v="v=spf1 include:spfa.mailendo.com include:spf.protection.outlook.com ip4:23.102.16.255 ip4:23.101.63.165 -all"/>
    <s v="yes"/>
    <x v="3"/>
    <s v="v=DMARC1; p=reject; rua=mailto:dmarc@broderickbros.ie;"/>
    <m/>
    <m/>
    <x v="0"/>
    <x v="0"/>
  </r>
  <r>
    <s v="westgrovehotel.com"/>
    <s v="minus"/>
    <s v="Fail"/>
    <s v="v=spf1 include:spf.protection.outlook.com include:netaffinity.net include:authsmtp.com -all"/>
    <m/>
    <x v="0"/>
    <m/>
    <m/>
    <m/>
    <x v="16"/>
    <x v="0"/>
  </r>
  <r>
    <s v="mchc.ie"/>
    <s v="minus"/>
    <s v="Fail"/>
    <s v="v=spf1 ip4:89.101.65.130 include:spf.protection.outlook.com -all"/>
    <m/>
    <x v="0"/>
    <m/>
    <m/>
    <m/>
    <x v="0"/>
    <x v="0"/>
  </r>
  <r>
    <s v="kilkennylimestone.com"/>
    <s v="minus"/>
    <s v="Fail"/>
    <s v="v=spf1 ip4:194.78.7.52/32 ip4:194.78.12.34/32 include:spf.protection.outlook.com include:spfrerouting.xink.io include:spf.de-1.a.mimecastprotect.com -all"/>
    <s v="yes"/>
    <x v="3"/>
    <s v="v=DMARC1;p=reject;rua=mailto:dmarc@kilkennylimestone.com;ruf=mailto:dmarc.ruf@kilkennylimestone.com;fo=1;"/>
    <m/>
    <m/>
    <x v="17"/>
    <x v="0"/>
  </r>
  <r>
    <s v="keaneymedical.com"/>
    <s v="minus"/>
    <s v="Fail"/>
    <s v="v=spf1 ip4:213.190.156.39 ip4:89.100.203.146 ip4:217.115.118.160 include:spf.hornetsecurity.com include:spf.protection.outlook.com -all"/>
    <s v="yes"/>
    <x v="3"/>
    <s v="v=DMARC1; p=reject; sp=reject; adkim=s; aspf=s; pct=100;"/>
    <m/>
    <m/>
    <x v="0"/>
    <x v="0"/>
  </r>
  <r>
    <s v="asgard.ie"/>
    <s v="minus"/>
    <s v="Fail"/>
    <s v="v=spf1 include:spf.protection.outlook.com -all"/>
    <s v="yes"/>
    <x v="1"/>
    <s v="v=DMARC1; p=quarantine; rua=mailto:dmarc_agg@vali.email;"/>
    <m/>
    <m/>
    <x v="17"/>
    <x v="0"/>
  </r>
  <r>
    <s v="oxygen-care.com"/>
    <s v="minus"/>
    <s v="Fail"/>
    <s v="v=spf1 include:spf.protection.outlook.com -all"/>
    <m/>
    <x v="2"/>
    <s v="v=DMARC1; p=none; rua=mailto:rua@dmarc.brevo.com"/>
    <m/>
    <m/>
    <x v="24"/>
    <x v="0"/>
  </r>
  <r>
    <s v="foxbros.ie"/>
    <s v="minus"/>
    <s v="Fail"/>
    <s v="v=spf1 a include:spf.protection.outlook.com include:spf.graphedia.ie -all"/>
    <m/>
    <x v="0"/>
    <m/>
    <m/>
    <m/>
    <x v="3"/>
    <x v="0"/>
  </r>
  <r>
    <s v="cross-group.org"/>
    <s v="minus"/>
    <s v="Fail"/>
    <s v="v=spf1 a mx include:spf.protection.outlook.com include:_spf.salesforce.com ip4:142.93.35.76 ip4:62.232.136.170 ip4:93.94.112.230 a:mail.cross-refrig.ie include:spf.hornetsecurity.com -all"/>
    <s v="yes"/>
    <x v="1"/>
    <s v="v=DMARC1; p=quarantine; pct=100; rua=mailto:postmaster@cross-group.org;"/>
    <m/>
    <m/>
    <x v="1"/>
    <x v="0"/>
  </r>
  <r>
    <s v="edpac.com"/>
    <s v="minus"/>
    <s v="Fail"/>
    <s v="v=spf1 a include:spf.protection.outlook.com -all"/>
    <s v="yes"/>
    <x v="2"/>
    <s v="v=DMARC1; p=none; pct=100; rua=mailto:re+d0vu7qmb5cn@dmarc.postmarkapp.com; ruf=mailto:dmarc.reports@munters.com; fo=1;"/>
    <m/>
    <m/>
    <x v="1"/>
    <x v="0"/>
  </r>
  <r>
    <s v="cec.ie"/>
    <s v="minus"/>
    <s v="Fail"/>
    <s v="v=spf1 include:spf.protection.outlook.com include:_spf_cd.spamtitan.com include:mail.zendesk.com include:spf.mandrillapp.com mx a ip4:62.77.187.217 ip4:77.235.50.232 ip4:173.236.35.50 -all"/>
    <s v="yes"/>
    <x v="1"/>
    <s v="v=DMARC1; p=quarantine; rua=mailto:dmarc@cec.ie; aspf=s;"/>
    <m/>
    <m/>
    <x v="7"/>
    <x v="0"/>
  </r>
  <r>
    <s v="storefit.com"/>
    <s v="minus"/>
    <s v="Fail"/>
    <s v="v=spf1 include:spf.protection.outlook.com -all"/>
    <m/>
    <x v="0"/>
    <m/>
    <m/>
    <m/>
    <x v="1"/>
    <x v="0"/>
  </r>
  <r>
    <s v="bizquip.ie"/>
    <s v="mis"/>
    <s v="Invalid SPF Syntax"/>
    <s v="v=spf1 a:exchange.bizquip.ie ip4:45.145.103.81 ip4:185.216.77.180  ip4:193.120.173.194 ip4:178.17.36.18 include:sendgrid.net include:spf.protection.outlook.com include:icm-software.co.uk include:spf.constantcontact.com include:spf.eu.exclaimer.net ~a&quot; &quot;ll"/>
    <s v="yes"/>
    <x v="1"/>
    <s v="v=DMARC1; p=quarantine; aspf=s;"/>
    <m/>
    <m/>
    <x v="0"/>
    <x v="0"/>
  </r>
  <r>
    <s v="twl.ie"/>
    <s v="minus"/>
    <s v="Fail"/>
    <s v="v=spf1 ip4:217.115.124.157 include:spf.protection.outlook.com -all"/>
    <m/>
    <x v="0"/>
    <m/>
    <m/>
    <m/>
    <x v="0"/>
    <x v="0"/>
  </r>
  <r>
    <s v="fogartyconcrete.ie"/>
    <s v="minus"/>
    <s v="Fail"/>
    <s v="v=spf1 include:spf.protection.outlook.com -all"/>
    <m/>
    <x v="2"/>
    <s v="v=DMARC1; p=none; rua=mailto:rua@dmarc.brevo.com"/>
    <m/>
    <m/>
    <x v="13"/>
    <x v="0"/>
  </r>
  <r>
    <s v="furlongflooring.com"/>
    <s v="minus"/>
    <s v="Fail"/>
    <s v="v=spf1 include:amazonses.com include:eu._netblocks.mimecast.com include:spf.protection.outlook.com include:spf.razorblue.net.uk ip4:205.201.128.0/20 ip4:198.2.128.0/18 ip4:148.105.0.0/16 -all"/>
    <s v="yes"/>
    <x v="2"/>
    <s v="v=DMARC1; p=none; rua=mailto:dmarc@furlongflooring.com; ruf=mailto:dmarc@furlongflooring.com; fo=1"/>
    <m/>
    <m/>
    <x v="0"/>
    <x v="0"/>
  </r>
  <r>
    <s v="essexfordjoinery.com"/>
    <s v="minus"/>
    <s v="Fail"/>
    <s v="v=spf1 include:spf.protection.outlook.com include:essexfordjoinery.com.spf.auto.dnssmarthost.net -all"/>
    <s v="yes"/>
    <x v="2"/>
    <s v="v=DMARC1; p=none; aspf=r; adkim=r;"/>
    <m/>
    <m/>
    <x v="12"/>
    <x v="0"/>
  </r>
  <r>
    <s v="reynaers.ie"/>
    <s v="minus"/>
    <s v="Fail"/>
    <s v="v=spf1 -all"/>
    <m/>
    <x v="3"/>
    <s v="v=DMARC1; p=reject; rua=mailto:dmarc_agg@vali.email;"/>
    <m/>
    <m/>
    <x v="3"/>
    <x v="0"/>
  </r>
  <r>
    <s v="senatorwindows.ie"/>
    <s v="minus"/>
    <s v="Fail"/>
    <s v="v=spf1 ip4:185.178.69.243 ip4:185.178.69.25 ip4:82.141.230.229 ip4:185.2.66.183 include:spf.protection.outlook.com a:www.senatorwindows.ie include:spf.graphedia.ie -all"/>
    <s v="yes"/>
    <x v="1"/>
    <s v="v=DMARC1; p=quarantine; rua=mailto:9ffqjarb@ag.eu.dmarcian.com; ruf=mailto:9ffqjarb@fr.eu.dmarcian.com; fo=1; aspf=r; adkim=r"/>
    <m/>
    <m/>
    <x v="3"/>
    <x v="0"/>
  </r>
  <r>
    <s v="caterway.ie"/>
    <s v="tilde"/>
    <s v="Soft Fail"/>
    <s v="v=spf1 a:159.253.225.83 include:_spf.google.com ~all"/>
    <s v="yes"/>
    <x v="2"/>
    <s v="v=DMARC1; p=none; rua=mailto:dmarc@istsystems.uriports.com; ruf=mailto:dmarc@istsystems.uriports.com; fo=1:d:s"/>
    <m/>
    <m/>
    <x v="0"/>
    <x v="0"/>
  </r>
  <r>
    <s v="foodcentral.eu"/>
    <s v="minus"/>
    <s v="Fail"/>
    <s v="v=spf1 mx ip4:77.75.97.180 ip4:52.212.46.127/32 include:spf.protection.outlook.com include:spf.uk.exclaimer.net -all"/>
    <s v="yes"/>
    <x v="3"/>
    <s v="v=DMARC1; p=reject; adkim=s; aspf=s; rua=mailto:9vcyy61emh@rua.powerdmarc.com; ruf=mailto:9vcyy61emh@ruf.powerdmarc.com; pct=100; fo=1;"/>
    <m/>
    <m/>
    <x v="0"/>
    <x v="0"/>
  </r>
  <r>
    <s v="vidaliving.com"/>
    <s v="minus"/>
    <s v="Fail"/>
    <s v="v=spf1 include:spf.protection.outlook.com include:mailsenders.netsuite.com include:_spf.elasticemail.com include:spf1.emailsecurity.app include:spf.stackmail.com include:_spf.eu.sparkpostmail.com -all"/>
    <s v="yes"/>
    <x v="2"/>
    <s v="v=DMARC1; p=none; rua=mailto:administrator@vidaliving.com; ruf=mailto:administrator@vidaliving.com; fo=0:1:d:s"/>
    <m/>
    <m/>
    <x v="2"/>
    <x v="0"/>
  </r>
  <r>
    <s v="photo-me.com"/>
    <s v="tilde"/>
    <s v="Soft Fail"/>
    <s v="v=spf1 mx  a:mail-server.kis.fr a:mx-corporate.photo-me.eu a:quarantaine.photomaton.fr include:_spf.google.com  include:spf.mandrillapp.com  ip4:213.131.182.34 include:msgfocus.com ~all include:spf.dixa.io ~all"/>
    <m/>
    <x v="2"/>
    <s v="v=DMARC1; p=none; rua=mailto:rua@dmarc.brevo.com"/>
    <m/>
    <m/>
    <x v="0"/>
    <x v="0"/>
  </r>
  <r>
    <s v="campionpumps.com"/>
    <s v="no"/>
    <s v="Not found"/>
    <m/>
    <m/>
    <x v="0"/>
    <m/>
    <m/>
    <m/>
    <x v="0"/>
    <x v="0"/>
  </r>
  <r>
    <s v="campion.ie"/>
    <s v="question"/>
    <s v="Neutral"/>
    <s v="v=spf1 include:sendersrv.com ?all"/>
    <s v="yes"/>
    <x v="0"/>
    <m/>
    <m/>
    <m/>
    <x v="13"/>
    <x v="0"/>
  </r>
  <r>
    <s v="lennox.ie"/>
    <s v="minus"/>
    <s v="Fail"/>
    <s v="v=spf1 include:spf.protection.outlook.com -all"/>
    <s v="yes"/>
    <x v="2"/>
    <s v="v=DMARC1; p=none;"/>
    <m/>
    <m/>
    <x v="0"/>
    <x v="0"/>
  </r>
  <r>
    <s v="accuscience.ie"/>
    <s v="tilde"/>
    <s v="Soft Fail"/>
    <s v="v=spf1 include:spf.protection.outlook.com ~all"/>
    <s v="yes"/>
    <x v="2"/>
    <s v="v=DMARC1;  p=none; rua=mailto:0ad500f8a93e4e008abfbaecb8565685@dmarc-reports.cloudflare.net"/>
    <m/>
    <m/>
    <x v="16"/>
    <x v="0"/>
  </r>
  <r>
    <s v="marcobeveragesystems.com"/>
    <s v="tilde"/>
    <s v="Soft Fail"/>
    <s v="v=spf1 include:%{i}._ip.%{h}._ehlo.%{d}._spf.vali.email ~all"/>
    <s v="yes"/>
    <x v="3"/>
    <s v="v=DMARC1; p=reject; sp=reject; rua=mailto:dmarc_agg@vali.email,mailto:211a5a2e44@rua.easydmarc.eu; ruf=mailto:211a5a2e44@ruf.easydmarc.eu; fo=1"/>
    <m/>
    <m/>
    <x v="0"/>
    <x v="0"/>
  </r>
  <r>
    <s v="cavanbox.ie"/>
    <s v="no"/>
    <s v="Not found"/>
    <m/>
    <m/>
    <x v="0"/>
    <m/>
    <m/>
    <m/>
    <x v="11"/>
    <x v="0"/>
  </r>
  <r>
    <s v="euroflex.ie"/>
    <s v="tilde"/>
    <s v="Soft Fail"/>
    <s v="v=spf1 ip4:185.43.232.11 include:spf.webhostingireland.ie mx include:spf.protection.outlook.com ip4:81.17.241.214 ~all"/>
    <s v="yes"/>
    <x v="3"/>
    <s v="v=DMARC1;p=reject;rua=mailto:1472b967b4@rua.easydmarc.us;ruf=mailto:1472b967b4@ruf.easydmarc.us;fo=1"/>
    <m/>
    <m/>
    <x v="6"/>
    <x v="0"/>
  </r>
  <r>
    <s v="canon.ie"/>
    <s v="minus"/>
    <s v="Fail"/>
    <s v="v=spf1 include:canon-emea.com -all"/>
    <s v="yes"/>
    <x v="3"/>
    <s v="v=DMARC1; p=reject; rua=mailto:1559aaadaeb7147@rep.dmarcanalyzer.com; ruf=mailto:1559aaadaeb7147@for.dmarcanalyzer.com; fo=1;"/>
    <m/>
    <m/>
    <x v="0"/>
    <x v="0"/>
  </r>
  <r>
    <s v="fos.ie"/>
    <s v="minus"/>
    <s v="Fail"/>
    <s v="v=spf1 include:spf.protection.outlook.com a mx ip4:193.8.241.218 include:servers.icm-marketingportal.com -all"/>
    <m/>
    <x v="2"/>
    <s v="v=DMARC1; p=none;"/>
    <m/>
    <m/>
    <x v="23"/>
    <x v="0"/>
  </r>
  <r>
    <s v="abbott.com"/>
    <s v="tilde"/>
    <s v="Soft Fail"/>
    <s v="v=spf1 include:%{ir}.%{v}.%{d}.spf.has.pphosted.com ~all"/>
    <s v="yes"/>
    <x v="3"/>
    <s v="v=DMARC1; p=reject; fo=1; rua=mailto:dmarc_rua@emaildefense.proofpoint.com; ruf=mailto:dmarc_ruf@emaildefense.proofpoint.com"/>
    <m/>
    <m/>
    <x v="0"/>
    <x v="0"/>
  </r>
  <r>
    <s v="ricesteele.com"/>
    <s v="minus"/>
    <s v="Fail"/>
    <s v="v=spf1 a -all"/>
    <m/>
    <x v="0"/>
    <m/>
    <m/>
    <m/>
    <x v="0"/>
    <x v="0"/>
  </r>
  <r>
    <s v="rms.ie"/>
    <s v="minus"/>
    <s v="Fail"/>
    <s v="v=spf1 include:spf1.speig.fr include:spf2.speig.fr include:spf3.speig.fr include:spf4.speig.fr -all"/>
    <m/>
    <x v="0"/>
    <m/>
    <m/>
    <m/>
    <x v="16"/>
    <x v="0"/>
  </r>
  <r>
    <s v="embankment.ie"/>
    <s v="question"/>
    <s v="Neutral"/>
    <s v="v=spf1 include:spf.protection.outlook.com ?all"/>
    <m/>
    <x v="0"/>
    <m/>
    <m/>
    <m/>
    <x v="24"/>
    <x v="0"/>
  </r>
  <r>
    <s v="unitedcaps.com"/>
    <s v="minus"/>
    <s v="Fail"/>
    <s v="v=spf1 include:spf.protection.outlook.com include:unitedcaps.onmicrosoft.com include:protection.outlook.com  include:spf.eu.exclaimer.net ip4:217.31.73.243 -all"/>
    <s v="yes"/>
    <x v="2"/>
    <s v="v=DMARC1;p=none;pct=100;rua=mailto:IT-EmailSecurity-3f56e5c0b5874d1a95f95f2fdc627d72@unitedcaps.zoom.us;ruf=mailto:IT-EmailSecurity-3f56e5c0b5874d1a95f95f2fdc627d72@unitedcaps.zoom.us"/>
    <m/>
    <m/>
    <x v="24"/>
    <x v="0"/>
  </r>
  <r>
    <s v="begleys.ie"/>
    <s v="tilde"/>
    <s v="Soft Fail"/>
    <s v="v=spf1 mx include:cmail1.com include:spf.protection.outlook.com include:spf.emailsignatures365.com ~all"/>
    <m/>
    <x v="0"/>
    <m/>
    <m/>
    <m/>
    <x v="0"/>
    <x v="0"/>
  </r>
  <r>
    <s v="wholefoodswholesale.ie"/>
    <s v="no"/>
    <s v="Not found"/>
    <m/>
    <m/>
    <x v="0"/>
    <m/>
    <m/>
    <m/>
    <x v="0"/>
    <x v="0"/>
  </r>
  <r>
    <s v="wrightsofhowth.com"/>
    <s v="minus"/>
    <s v="Fail"/>
    <s v="v=spf1 include:spf.protection.outlook.com -all"/>
    <s v="yes"/>
    <x v="2"/>
    <s v="v=DMARC1; p=none;"/>
    <m/>
    <m/>
    <x v="0"/>
    <x v="0"/>
  </r>
  <r>
    <s v="4aceswholesale.ie"/>
    <s v="no"/>
    <s v="Not found"/>
    <m/>
    <m/>
    <x v="0"/>
    <m/>
    <m/>
    <m/>
    <x v="18"/>
    <x v="0"/>
  </r>
  <r>
    <s v="greenfieldfoods.ie"/>
    <s v="minus"/>
    <s v="Fail"/>
    <s v="v=spf1 ip4:80.249.246.174 include:spf.protection.outlook.com include:spf.topsec.com -all"/>
    <m/>
    <x v="0"/>
    <m/>
    <m/>
    <m/>
    <x v="12"/>
    <x v="0"/>
  </r>
  <r>
    <s v="pettreats.ie"/>
    <s v="tilde"/>
    <s v="Soft Fail"/>
    <s v="v=spf1 include:spf.protection.outlook.com mx +a include:relay.mailchannels.net ~all"/>
    <m/>
    <x v="0"/>
    <m/>
    <m/>
    <m/>
    <x v="23"/>
    <x v="0"/>
  </r>
  <r>
    <s v="mcdonogh.ie"/>
    <s v="minus"/>
    <s v="Fail"/>
    <s v="v=spf1 ip4:86.43.85.128 include:spf.protection.outlook.com ip4:212.78.228.74 -all"/>
    <s v="yes"/>
    <x v="0"/>
    <m/>
    <m/>
    <m/>
    <x v="7"/>
    <x v="0"/>
  </r>
  <r>
    <s v="flemingmedical.ie"/>
    <s v="minus"/>
    <s v="Fail"/>
    <s v="v=spf1 include:mailgun.org include:spf.messagelabs.com include:servers.mcsv.net include:sendgrid.net include:spf.protection.outlook.com include:spf.elive.net -all"/>
    <s v="yes"/>
    <x v="1"/>
    <s v="v=DMARC1; p=quarantine; fo=1; pct=100; rua=mailto:dmarc@flemingmedical.ie; ruf=mailto:dmarc@flemingmedical.ie;"/>
    <m/>
    <m/>
    <x v="5"/>
    <x v="0"/>
  </r>
  <r>
    <s v="irema.com"/>
    <s v="tilde"/>
    <s v="Soft Fail"/>
    <s v="v=spf1 a include:spf.blacknight.ie  ~all"/>
    <m/>
    <x v="2"/>
    <s v="v=DMARC1; p=none"/>
    <m/>
    <m/>
    <x v="5"/>
    <x v="0"/>
  </r>
  <r>
    <s v="gallagherbros.ie"/>
    <s v="minus"/>
    <s v="Fail"/>
    <s v="v=spf1 include:spf.protection.outlook.com -all"/>
    <m/>
    <x v="0"/>
    <m/>
    <m/>
    <m/>
    <x v="6"/>
    <x v="0"/>
  </r>
  <r>
    <s v="arignafuels.ie"/>
    <s v="minus"/>
    <s v="Fail"/>
    <s v="v=spf1 ip4:95.45.250.217 include:spf.protection.outlook.com -all"/>
    <m/>
    <x v="2"/>
    <s v="v=DMARC1;p=none;"/>
    <m/>
    <m/>
    <x v="22"/>
    <x v="0"/>
  </r>
  <r>
    <s v="thehelix.ie"/>
    <s v="tilde"/>
    <s v="Soft Fail"/>
    <s v="v=spf1 a include:spf.blacknight.ie ~all"/>
    <m/>
    <x v="0"/>
    <m/>
    <m/>
    <m/>
    <x v="0"/>
    <x v="0"/>
  </r>
  <r>
    <s v="aillweecave.ie"/>
    <s v="minus"/>
    <s v="Fail"/>
    <s v="v=spf1 ip4:78.137.164.79 ip4:91.102.80.14 include:spf.protection.outlook.com -all"/>
    <m/>
    <x v="2"/>
    <s v="v=DMARC1; p=none;"/>
    <m/>
    <m/>
    <x v="9"/>
    <x v="0"/>
  </r>
  <r>
    <s v="blarneycastle.ie"/>
    <s v="minus"/>
    <s v="Fail"/>
    <s v="v=spf1 include:spf.protection.outlook.com -all"/>
    <s v="yes"/>
    <x v="0"/>
    <m/>
    <m/>
    <m/>
    <x v="1"/>
    <x v="0"/>
  </r>
  <r>
    <s v="awac.com"/>
    <s v="tilde"/>
    <s v="Soft Fail"/>
    <s v="v=spf1 include:spf-00186d01.pphosted.com  include:_spf.salesforce.com include:spf.protection.outlook.com include:_spf.mitracloud.com include:_spf.highradius.com include:pr.highradius.com include:e2ma.net a:c.spf.service-now.com ~all"/>
    <m/>
    <x v="3"/>
    <s v="v=DMARC1; p=reject; fo=1; rua=mailto:dmarc_rua@emaildefense.proofpoint.com; ruf=mailto:dmarc_ruf@emaildefense.proofpoint.com"/>
    <m/>
    <m/>
    <x v="0"/>
    <x v="0"/>
  </r>
  <r>
    <s v="axiscapital.com"/>
    <s v="minus"/>
    <s v="Fail"/>
    <s v="v=spf1 exists:%{i}._i.%{d}._d.espf.agari-dns.net include:%{d}.f1.spf-protect.agari-dns.net -all"/>
    <s v="yes"/>
    <x v="3"/>
    <s v="v=DMARC1; p=reject; fo=1; ri=3600; rua=mailto:axis-capital@rua.agari.com; ruf=mailto:axis-capital@ruf.agari.com"/>
    <m/>
    <m/>
    <x v="0"/>
    <x v="0"/>
  </r>
  <r>
    <s v="renre.com"/>
    <s v="minus"/>
    <s v="Fail"/>
    <s v="v=spf1 include:eu._netblocks.mimecast.com include:spf.protection.outlook.com include:servers.mcsv.net a:dispatch-us.ppe-hosted.com a:dispatch-eu.ppe-hosted.com ip4:63.71.13.0/24 ip4:63.71.14.0/24 ip4:63.71.15.0/24 &quot; &quot;ip4:67.231.152.0/24 ip4:67.231.153.0/24 ip4:67.231.154.0/24 ip4:67.231.155.0/24 ip4:67.231.156.0/24 ip4:67.231.144.0/24 ip4:67.231.145.0/24 ip4:67.231.146.0/24 ip4:67.231.147.0/24 ip4:67.231.148.0/24 &quot; &quot;ip4:67.231.149.0/24  ip4:148.163.128.0/19 ip4:91.209.104.0/24 ip4:91.207.212.0/24 ip4:91.207.213.0/24 ip4:62.209.50.0/24 ip4:62.209.51.0/24 ip4:185.132.180.0/24 ip4:185.132.181.0/24 ip4:185.132.182.0/24 &quot; &quot;ip4:185.132.183.0/24 ip4:185.183.28.0/22 ip4:164.109.28.253/32 ip4:164.109.107.24/32 ip4:54.173.107.179/32 ip4:52.6.190.130/32 ip4:54.172.129.181/32 ip4:164.109.107.24/32 &quot; &quot;ip4:199.30.236.0/24 ip4:91.209.6.0/24 ip4:199.30.236.0/22 ip4:207.195.176.0/20 ip4:68.232.140.79 ip4:68.232.140.57 ip4:68.232.135.234 ip4:68.232.135.235 &quot; &quot;ip4:199.255.192.0/22 ip4:199.127.232.0/22 ip4:54.240.0.0/18 ip4:69.169.224.0/20 ip4:23.249.208.0/20 ip4:23.251.224.0/19 ip4:76.223.176.0/20 ip4:54.240.64.0/19 ip4:54.240.96.0/19 ip4:52.82.172.0/22 ip4:76.223.128.0/19 -all"/>
    <m/>
    <x v="3"/>
    <s v="v=DMARC1; p=reject; rua=mailto:dce820792adf497@rep.dmarcanalyzer.com; ruf=mailto:dce820792adf497@for.dmarcanalyzer.com; aspf=s; fo=1;"/>
    <m/>
    <m/>
    <x v="0"/>
    <x v="0"/>
  </r>
  <r>
    <s v="aimcashandcarry.ie"/>
    <s v="no"/>
    <s v="Not found"/>
    <m/>
    <m/>
    <x v="0"/>
    <m/>
    <m/>
    <m/>
    <x v="0"/>
    <x v="0"/>
  </r>
  <r>
    <s v="traditionalcheese.ie"/>
    <s v="minus"/>
    <s v="Fail"/>
    <s v="v=spf1 include:spf.protection.outlook.com -all"/>
    <s v="yes"/>
    <x v="0"/>
    <m/>
    <m/>
    <m/>
    <x v="0"/>
    <x v="0"/>
  </r>
  <r>
    <s v="glenisk.com"/>
    <s v="tilde"/>
    <s v="Soft Fail"/>
    <s v="v=spf1 ip4:83.138.8.118 include:relay.mailchannels.net include:spf.protection.outlook.com ~all"/>
    <s v="yes"/>
    <x v="2"/>
    <s v="v=DMARC1; p=none;"/>
    <m/>
    <m/>
    <x v="21"/>
    <x v="0"/>
  </r>
  <r>
    <s v="caseyconcrete.ie"/>
    <s v="minus"/>
    <s v="Fail"/>
    <s v="v=spf1 include:spf.protection.outlook.com include:scanscope.net -all"/>
    <m/>
    <x v="0"/>
    <m/>
    <m/>
    <m/>
    <x v="3"/>
    <x v="0"/>
  </r>
  <r>
    <s v="leisureworldcork.com"/>
    <s v="tilde"/>
    <s v="Soft Fail"/>
    <s v="v=spf1 include:legendware.co.uk include:spf.mandrillapp.com include:_spf.google.com ~all"/>
    <s v="yes"/>
    <x v="1"/>
    <s v="v=DMARC1;p=quarantine;pct=100;rua=mailto:60aa190da5@rua.easydmarc.eu;ruf=mailto:60aa190da5@ruf.easydmarc.eu;fo=1; sp=quarantine; adkim=s; aspf=s"/>
    <m/>
    <m/>
    <x v="1"/>
    <x v="0"/>
  </r>
  <r>
    <s v="arena7.ie"/>
    <s v="tilde"/>
    <s v="Soft Fail"/>
    <s v="v=spf1 include:emailsrvr.com ~all"/>
    <s v="yes"/>
    <x v="2"/>
    <s v="v=DMARC1; p=none;"/>
    <m/>
    <m/>
    <x v="6"/>
    <x v="0"/>
  </r>
  <r>
    <s v="cherryorchardequinecentre.ie"/>
    <s v="no"/>
    <s v="Not found"/>
    <m/>
    <m/>
    <x v="0"/>
    <m/>
    <m/>
    <m/>
    <x v="0"/>
    <x v="0"/>
  </r>
  <r>
    <s v="curragh.ie"/>
    <s v="minus"/>
    <s v="Fail"/>
    <s v="v=spf1 exists:%{i}.spf.acme.iphmx.com ip4:137.191.244.169 ip4:139.138.61.113 ip4:139.138.61.197 ip4:139.138.36.15 ip4:139.138.36.238 include:spf.protection.outlook.com include:spf2.tibus.net -all"/>
    <m/>
    <x v="0"/>
    <m/>
    <m/>
    <m/>
    <x v="16"/>
    <x v="0"/>
  </r>
  <r>
    <s v="mccreerycleaning.ie"/>
    <s v="tilde"/>
    <s v="Soft Fail"/>
    <s v="v=spf1 ip4:185.43.232.194 ip4:78.137.164.94 +a +mx +ip4:78.137.164.229 include:spf.protection.outlook.com ~all"/>
    <s v="yes"/>
    <x v="0"/>
    <m/>
    <m/>
    <m/>
    <x v="17"/>
    <x v="0"/>
  </r>
  <r>
    <s v="celticrosshotel.com"/>
    <s v="minus"/>
    <s v="Fail"/>
    <s v="v=spf1 include:spf.protection.outlook.com include:netaffinity.net -all"/>
    <m/>
    <x v="0"/>
    <m/>
    <m/>
    <m/>
    <x v="1"/>
    <x v="0"/>
  </r>
  <r>
    <s v="allinghamarmshotel.ie"/>
    <s v="minus"/>
    <s v="Fail"/>
    <s v="v=spf1 include:spf.protection.outlook.com -all"/>
    <m/>
    <x v="0"/>
    <m/>
    <m/>
    <m/>
    <x v="6"/>
    <x v="0"/>
  </r>
  <r>
    <s v="theclarence.ie"/>
    <s v="minus"/>
    <s v="Fail"/>
    <s v="v=spf1 include:spf.protection.outlook.com include:spf.eu.exclaimer.net include:oracleindustry.com include:microsdc.com mx a -all"/>
    <s v="yes"/>
    <x v="2"/>
    <s v="v=DMARC1; p=none;"/>
    <m/>
    <m/>
    <x v="0"/>
    <x v="0"/>
  </r>
  <r>
    <s v="southcourthotel.com"/>
    <s v="minus"/>
    <s v="Fail"/>
    <s v="v=spf1 include:spamtitan.tierneys.ie include:spf.protection.outlook.com -all"/>
    <m/>
    <x v="0"/>
    <m/>
    <m/>
    <m/>
    <x v="5"/>
    <x v="0"/>
  </r>
  <r>
    <s v="goreyshoppingcentre.ie"/>
    <s v="no"/>
    <s v="Not found"/>
    <m/>
    <m/>
    <x v="0"/>
    <m/>
    <m/>
    <m/>
    <x v="3"/>
    <x v="0"/>
  </r>
  <r>
    <s v="alliance-francaise.ie"/>
    <s v="tilde"/>
    <s v="Soft Fail"/>
    <s v="v=spf1 include:spf.protection.outlook.com include:servers.mcsv.net ip4:194.46.205.161 ~all"/>
    <s v="yes"/>
    <x v="2"/>
    <s v="v=DMARC1; p=none; rua=mailto:postmaster@alliance-francaise.ie; ruf=mailto:postmaster@alliance-francaise.ie"/>
    <m/>
    <m/>
    <x v="0"/>
    <x v="0"/>
  </r>
  <r>
    <s v="atlaslanguageschool.com"/>
    <s v="no"/>
    <s v="Not found"/>
    <m/>
    <s v="yes"/>
    <x v="2"/>
    <s v="v=DMARC1;  p=none; rua=mailto:ad5ef38d5c0c4fc5af4c8570e8920e40@dmarc-reports.cloudflare.net"/>
    <m/>
    <m/>
    <x v="0"/>
    <x v="0"/>
  </r>
  <r>
    <s v="sandfordlanguages.ie"/>
    <s v="tilde"/>
    <s v="Soft Fail"/>
    <s v="v=spf1 ip4:95.216.111.60 ip6:2a01:4f9:2b:4a9::698:f4da ip4:95.216.8.51 ip6:2a01:4f9:2a:84c::2 ip4:139.59.169.192 ip6:2a03:b0c0:1:d0::c13:b001 +include:_spf.google.com ~all"/>
    <s v="yes"/>
    <x v="3"/>
    <s v="v=DMARC1; p=reject; rua=mailto:83e992e4131d544@rep.dmarcanalyzer.com; ruf=mailto:83e992e4131d544@for.dmarcanalyzer.com; sp=none; fo=1;"/>
    <m/>
    <m/>
    <x v="0"/>
    <x v="0"/>
  </r>
  <r>
    <s v="dmwap.ie"/>
    <s v="no"/>
    <s v="Not found"/>
    <m/>
    <m/>
    <x v="0"/>
    <m/>
    <m/>
    <m/>
    <x v="0"/>
    <x v="0"/>
  </r>
  <r>
    <s v="innalabs.com"/>
    <s v="minus"/>
    <s v="Fail"/>
    <s v="v=spf1 ip4:31.216.232.154 ip4:213.133.70.74 include:spf.protection.outlook.com -all"/>
    <s v="yes"/>
    <x v="1"/>
    <s v="v=DMARC1;p=quarantine;rua=mailto:dmarc_agg@vali.email;ruf=mailto:dmarc_agg@vali.email;pct=100;fo=0:1;rf=afrf;ri=86400;sp=none"/>
    <m/>
    <m/>
    <x v="0"/>
    <x v="0"/>
  </r>
  <r>
    <s v="1cu.ie"/>
    <s v="minus"/>
    <s v="Fail"/>
    <s v="v=spf1 mx a:mail.1cu.ie a:mail.fscu.ie include:_spf.sonicsecuremail.eu include:spf.protection.outlook.com include:_spf.snwlhostedeu.com include:spf.mailjet.com include:spf.cuonline.well-it.com ip4:89.101.232.18 ip4:80.233.127.247 ip4:173.240.221.13 -all"/>
    <s v="yes"/>
    <x v="2"/>
    <s v="v=DMARC1; p=none; rua=mailto:dmarc@1cu.ie,mailto:rua@dmarc.brevo.com; ruf=mailto:dmarc@1cu.ie; fo=1"/>
    <m/>
    <m/>
    <x v="1"/>
    <x v="0"/>
  </r>
  <r>
    <s v="creditunionplus.ie"/>
    <s v="minus"/>
    <s v="Fail"/>
    <s v="v=spf1 include:spf.protection.outlook.com include:spf.mtasv.net include:spf.cuonline.well-it.com include:spf.mailjet.com include:spf.eu.exclaimer.net include:spf.newsletter.ie -all"/>
    <s v="yes"/>
    <x v="2"/>
    <s v="v=DMARC1; p=none; rua=mailto:it-team@creditunionplus.ie; ruf=mailto:it-team@creditunionplus.ie; fo=1; adkim=r; aspf=r; rf=afrf; sp=none"/>
    <m/>
    <m/>
    <x v="15"/>
    <x v="0"/>
  </r>
  <r>
    <s v="alturacu.ie"/>
    <s v="minus"/>
    <s v="Fail"/>
    <s v="v=spf1 include:myfreshworks.com include:spf.protection.outlook.com include:spf.mandrillapp.com include:amazonses.com include:spf.newsletter.ie -all"/>
    <s v="yes"/>
    <x v="2"/>
    <s v="v=DMARC1; p=none; rua=mailto:5c7388fcbd82.a@dmarcinput.com; ruf=mailto:5c7388fcbd82.f@dmarcinput.com; fo=1"/>
    <m/>
    <m/>
    <x v="3"/>
    <x v="0"/>
  </r>
  <r>
    <s v="wexfordcreditunion.ie"/>
    <s v="minus"/>
    <s v="Fail"/>
    <s v="v=spf1 mx ip4:86.43.68.83 ip4:45.94.72.67 ip4:86.41.245.186 include:_spf.sonicsecuremail.com include:_spf.sonicsecuremail.eu include:_spf.snwlhostedeu.com include:spf.protection.outlook.com include:spf.cuonline.well-it.com include:spf.mailjet.com -all"/>
    <m/>
    <x v="2"/>
    <s v="v=DMARC1;  p=none; rua=mailto:3ad1ce5667054cc1802444f27c22f884@dmarc-reports.cloudflare.net"/>
    <m/>
    <m/>
    <x v="3"/>
    <x v="0"/>
  </r>
  <r>
    <s v="ie.oliver.agency"/>
    <s v="no"/>
    <s v="Not found"/>
    <m/>
    <m/>
    <x v="0"/>
    <m/>
    <m/>
    <m/>
    <x v="0"/>
    <x v="0"/>
  </r>
  <r>
    <s v="pdvisual.ie"/>
    <s v="minus"/>
    <s v="Fail"/>
    <s v="v=spf1 include:spf.protection.outlook.com -all"/>
    <m/>
    <x v="0"/>
    <m/>
    <m/>
    <m/>
    <x v="0"/>
    <x v="0"/>
  </r>
  <r>
    <s v="playprint.com"/>
    <s v="no"/>
    <s v="Not found"/>
    <m/>
    <m/>
    <x v="0"/>
    <m/>
    <m/>
    <m/>
    <x v="0"/>
    <x v="0"/>
  </r>
  <r>
    <s v="enernoc.com"/>
    <s v="minus"/>
    <s v="Fail"/>
    <s v="v=spf1 include:spf.protection.outlook.com -all"/>
    <s v="yes"/>
    <x v="3"/>
    <s v="v=DMARC1; p=reject; fo=1; rua=mailto:dmarc_rua@emaildefense.proofpoint.com; ruf=mailto:dmarc_ruf@emaildefense.proofpoint.com"/>
    <m/>
    <m/>
    <x v="0"/>
    <x v="0"/>
  </r>
  <r>
    <s v="fireseal.ie"/>
    <s v="minus"/>
    <s v="Fail"/>
    <s v="v=spf1 include:spf.protection.outlook.com include:spf.smtp2go.com -all"/>
    <s v="yes"/>
    <x v="1"/>
    <s v="v=DMARC1; p=quarantine; fo=1; rua=mailto:dmarc@fireseal.ie; ruf=mailto:dmarc@fireseal.ie;"/>
    <m/>
    <m/>
    <x v="0"/>
    <x v="0"/>
  </r>
  <r>
    <s v="sanofi-aventis.com"/>
    <s v="tilde"/>
    <s v="Soft Fail"/>
    <s v="v=spf1 include:spf-a.sanofi.com include:spf-c.sanofi.com include:spf.protection.outlook.com include:de._netblocks.mimecast.com include:us._netblocks.mimecast.com ~all"/>
    <s v="yes"/>
    <x v="1"/>
    <s v="v=DMARC1; p=quarantine; rua=mailto:093b247be21b620@rep.dmarcanalyzer.com; ruf=mailto:093b247be21b620@for.dmarcanalyzer.com; fo=1;"/>
    <m/>
    <m/>
    <x v="0"/>
    <x v="0"/>
  </r>
  <r>
    <s v="ie.pattersonpumps.com"/>
    <s v="tilde"/>
    <s v="Soft Fail"/>
    <s v="v=spf1 include:spf.protection.outlook.com ~all"/>
    <s v="yes"/>
    <x v="0"/>
    <m/>
    <m/>
    <m/>
    <x v="23"/>
    <x v="0"/>
  </r>
  <r>
    <s v="writechltd.com"/>
    <s v="minus"/>
    <s v="Fail"/>
    <s v="v=spf1 include:spf.protection.outlook.com -all"/>
    <m/>
    <x v="0"/>
    <m/>
    <m/>
    <m/>
    <x v="23"/>
    <x v="0"/>
  </r>
  <r>
    <s v="crowleycarbon.com"/>
    <s v="tilde"/>
    <s v="Soft Fail"/>
    <s v="v=spf1 include:spf.mtasv.net include:_spf.google.com include:mail.zendesk.com  include:6472707.spf07.hubspotemail.net include:amazonses.com  include:spf_c.oracle.com include:spf_a.oracle.com  ~all"/>
    <s v="yes"/>
    <x v="2"/>
    <s v="v=DMARC1; rua=mailto:dmarc-reports@crowleycarbon.com; p=none; sp=none; adkim=r ; aspf=r"/>
    <m/>
    <m/>
    <x v="24"/>
    <x v="0"/>
  </r>
  <r>
    <s v="verde.ie"/>
    <s v="minus"/>
    <s v="Fail"/>
    <s v="v=spf1 include:spf.protection.outlook.com -all"/>
    <s v="yes"/>
    <x v="2"/>
    <s v="v=DMARC1; p=none; aspf=r; adkim=r;"/>
    <m/>
    <m/>
    <x v="24"/>
    <x v="0"/>
  </r>
  <r>
    <s v="3m.com"/>
    <s v="minus"/>
    <s v="Fail"/>
    <s v="v=spf1 include:%{ir}.%{v}.%{d}.spf.has.pphosted.com -all"/>
    <s v="yes"/>
    <x v="1"/>
    <s v="v=DMARC1; p=quarantine; fo=1; rua=mailto:dmarc_rua@emaildefense.proofpoint.com; ruf=mailto:dmarc_ruf@emaildefense.proofpoint.com;"/>
    <m/>
    <m/>
    <x v="0"/>
    <x v="0"/>
  </r>
  <r>
    <s v="11890.ie"/>
    <s v="minus"/>
    <s v="Fail"/>
    <s v="v=spf1 include:spf.protection.outlook.com -all"/>
    <m/>
    <x v="0"/>
    <m/>
    <m/>
    <m/>
    <x v="0"/>
    <x v="0"/>
  </r>
  <r>
    <s v="gmss.ie"/>
    <s v="tilde"/>
    <s v="Soft Fail"/>
    <s v="v=spf1 include:spf.protection.outlook.com include:_spf.elasticemail.com ~all"/>
    <m/>
    <x v="2"/>
    <s v="v=DMARC1; p=none;"/>
    <m/>
    <m/>
    <x v="0"/>
    <x v="0"/>
  </r>
  <r>
    <s v="pitneybowes.ie"/>
    <s v="no"/>
    <s v="Not found"/>
    <m/>
    <m/>
    <x v="0"/>
    <m/>
    <m/>
    <m/>
    <x v="0"/>
    <x v="0"/>
  </r>
  <r>
    <s v="spicers.ie"/>
    <s v="minus"/>
    <s v="Fail"/>
    <s v="v=spf1 ip4:194.151.190.162 ip4:130.117.253.164 include:eu._netblocks.mimecast.com include:emsd1.com -all"/>
    <m/>
    <x v="3"/>
    <s v="v=DMARC1; p=reject; pct=100; rua=mailto:xw1m59yr@ag.us.dmarcian.com;"/>
    <m/>
    <m/>
    <x v="0"/>
    <x v="0"/>
  </r>
  <r>
    <s v="theofficecentre.ie"/>
    <s v="tilde"/>
    <s v="Soft Fail"/>
    <s v="v=spf1 a include:spf.blacknight.ie ~all"/>
    <m/>
    <x v="0"/>
    <m/>
    <m/>
    <m/>
    <x v="18"/>
    <x v="0"/>
  </r>
  <r>
    <s v="westgatefoundation.ie"/>
    <s v="tilde"/>
    <s v="Soft Fail"/>
    <s v="v=spf1 ip4:185.199.220.81 include:_spf.google.com include:relay.k.io ~all"/>
    <m/>
    <x v="0"/>
    <m/>
    <m/>
    <m/>
    <x v="1"/>
    <x v="0"/>
  </r>
  <r>
    <s v="castlehomecare.ie"/>
    <s v="no"/>
    <s v="Not found"/>
    <m/>
    <m/>
    <x v="0"/>
    <m/>
    <m/>
    <m/>
    <x v="0"/>
    <x v="0"/>
  </r>
  <r>
    <s v="exchangehouse.ie"/>
    <s v="no"/>
    <s v="Not found"/>
    <m/>
    <m/>
    <x v="0"/>
    <m/>
    <m/>
    <m/>
    <x v="0"/>
    <x v="0"/>
  </r>
  <r>
    <s v="lycs.ie"/>
    <s v="minus"/>
    <s v="Fail"/>
    <s v="v=spf1 include:spf.protection.outlook.com -all"/>
    <s v="yes"/>
    <x v="2"/>
    <s v="v=DMARC1; p=none; rua=mailto:dmarc_agg@vali.email"/>
    <m/>
    <m/>
    <x v="0"/>
    <x v="0"/>
  </r>
  <r>
    <s v="macrobuilding.ie"/>
    <s v="mis"/>
    <s v="Invalid SPF Syntax"/>
    <s v="v=spf1 a mx include:spf.irishdomains.com"/>
    <m/>
    <x v="0"/>
    <m/>
    <m/>
    <m/>
    <x v="0"/>
    <x v="0"/>
  </r>
  <r>
    <s v="oxfamireland.org"/>
    <s v="mis"/>
    <s v="Invalid SPF Syntax"/>
    <s v="&quot;v=spf1 mx a     include:spf.protection.outlook.com  include:spf.mandrillapp.com include:sendgrid.net include:_spf.eu.messagegears.net include:customer.clickdimensions.com"/>
    <s v="yes"/>
    <x v="2"/>
    <s v="v=DMARC1; p=none; rua=mailto:rua@dmarc.brevo.com"/>
    <m/>
    <m/>
    <x v="0"/>
    <x v="0"/>
  </r>
  <r>
    <s v="ancosan.ie"/>
    <s v="minus"/>
    <s v="Fail"/>
    <s v="v=spf1 include:sendgrid.net include:spf.protection.outlook.com include:spf.zoho.eu include:eu.transmail.net include:servers.mcsv.net -all"/>
    <s v="yes"/>
    <x v="0"/>
    <m/>
    <m/>
    <m/>
    <x v="0"/>
    <x v="0"/>
  </r>
  <r>
    <s v="inspirewellbeing.ie"/>
    <s v="minus"/>
    <s v="Fail"/>
    <s v="v=spf1 include:spf.protection.outlook.com -all"/>
    <m/>
    <x v="0"/>
    <m/>
    <m/>
    <m/>
    <x v="15"/>
    <x v="0"/>
  </r>
  <r>
    <s v="daon.com"/>
    <s v="tilde"/>
    <s v="Soft Fail"/>
    <s v="v=spf1 ip4:77.75.100.150 ip4:110.145.205.30 include:spf.protection.outlook.com include:8526146.spf03.hubspotemail.net include:sendgrid.net include:relay.mailchannels.net include:_spf.salesforce.com ~all"/>
    <s v="yes"/>
    <x v="3"/>
    <s v="v=DMARC1;p=reject;rua=mailto:dmarc-aggregate@daon.com;ruf=mailto:dmarc-forensics@daon.com;"/>
    <m/>
    <m/>
    <x v="0"/>
    <x v="0"/>
  </r>
  <r>
    <s v="ellucian.com"/>
    <s v="mis"/>
    <s v="Invalid SPF Syntax"/>
    <s v="v=spf1 redirect=b2z771vc._spf._d.mim.ec"/>
    <s v="yes"/>
    <x v="3"/>
    <s v="v=DMARC1; p=reject; sp=none; rua=mailto:176efc8c0f93656@rep.dmarcanalyzer.com; ruf=mailto:176efc8c0f93656@for.dmarcanalyzer.com; fo=1;"/>
    <m/>
    <m/>
    <x v="0"/>
    <x v="0"/>
  </r>
  <r>
    <s v="labgroup.com"/>
    <s v="minus"/>
    <s v="Fail"/>
    <s v="v=spf1 mx ip4:185.202.251.0/27 ip4:92.42.179.103 include:labgroup.net include:servers.mcsv.net include:_spf.salesforce.com -all"/>
    <s v="yes"/>
    <x v="1"/>
    <s v="v=DMARC1; p=quarantine; pct=100; ruf=mailto:dmarc@labgroup.com; rua=mailto:dmarc@labgroup.com; adkim=r; aspf=r"/>
    <m/>
    <m/>
    <x v="0"/>
    <x v="0"/>
  </r>
  <r>
    <s v="oracle.com"/>
    <s v="tilde"/>
    <s v="Soft Fail"/>
    <s v="v=spf1 include:spf_s.oracle.com include:spf_r.oracle.com include:spf_c.oraclecloud.com include:spf_x.oracle.com include:spf_z.oracle.com include:stspg-customer.com ~all"/>
    <s v="yes"/>
    <x v="3"/>
    <s v="v=DMARC1;p=reject;rua=mailto:dmarc_rua@emaildefense.proofpoint.com;ruf=mailto:dmarc_ruf@emaildefense.proofpoint.com;fo=1"/>
    <m/>
    <m/>
    <x v="7"/>
    <x v="0"/>
  </r>
  <r>
    <s v="waterfordtechnologies.com"/>
    <s v="minus"/>
    <s v="Fail"/>
    <s v="v=spf1 include:zoho.com include:zcsend.net include:spf.protection.outlook.com ip4:78.153.205.203 -all"/>
    <s v="yes"/>
    <x v="1"/>
    <s v="v=DMARC1; p=quarantine; rua=mailto:dmarcrua@waterfordtechnologies.com; ruf=mailto:dmarcruf@waterfordtechnologies.com"/>
    <m/>
    <m/>
    <x v="10"/>
    <x v="0"/>
  </r>
  <r>
    <s v="carlowprecast.com"/>
    <s v="no"/>
    <s v="Not found"/>
    <m/>
    <m/>
    <x v="0"/>
    <m/>
    <m/>
    <m/>
    <x v="25"/>
    <x v="0"/>
  </r>
  <r>
    <s v="danmorrissey.com"/>
    <s v="no"/>
    <s v="Not found"/>
    <m/>
    <m/>
    <x v="0"/>
    <m/>
    <m/>
    <m/>
    <x v="25"/>
    <x v="0"/>
  </r>
  <r>
    <s v="priorityconstruction.ie"/>
    <s v="minus"/>
    <s v="Fail"/>
    <s v="v=spf1 include:spf.protection.outlook.com -all"/>
    <m/>
    <x v="0"/>
    <m/>
    <m/>
    <m/>
    <x v="0"/>
    <x v="0"/>
  </r>
  <r>
    <s v="drumderryagg.ie"/>
    <s v="mis"/>
    <s v="Invalid SPF Syntax"/>
    <s v="&quot;v=spf1 +a +mx +include:spf.myhost.ie ~all&quot;"/>
    <s v="yes"/>
    <x v="0"/>
    <m/>
    <m/>
    <m/>
    <x v="3"/>
    <x v="0"/>
  </r>
  <r>
    <s v="stamptransport.ie"/>
    <s v="tilde"/>
    <s v="Soft Fail"/>
    <s v="v=spf1 include:spf.reg365.net include:reflexion.net ~all"/>
    <s v="yes"/>
    <x v="0"/>
    <m/>
    <m/>
    <m/>
    <x v="3"/>
    <x v="0"/>
  </r>
  <r>
    <s v="cd-group.ie"/>
    <s v="tilde"/>
    <s v="Soft Fail"/>
    <s v="v=spf1 mx a ip4:81.149.208.176/32 ip4:90.155.123.227/32 a:stan.tibus.net include:tibus.net a:dispatch-eu.ppe-hosted.com include:eu._netblocks.mimecast.com ~all"/>
    <m/>
    <x v="0"/>
    <m/>
    <m/>
    <m/>
    <x v="0"/>
    <x v="0"/>
  </r>
  <r>
    <s v="greaneyglass.com"/>
    <s v="tilde"/>
    <s v="Soft Fail"/>
    <s v="v=spf1 +a +ip4:93.107.177.181 +ip4:85.119.248.0/22 +ip4:66.206.3.250 include:spf.protection.outlook.com include:spf.ess.de.barracudanetworks.com ~all"/>
    <s v="yes"/>
    <x v="0"/>
    <m/>
    <m/>
    <m/>
    <x v="7"/>
    <x v="0"/>
  </r>
  <r>
    <s v="ipf.ie"/>
    <s v="minus"/>
    <s v="Fail"/>
    <s v="v=spf1 ip4:192.0.78.208 ip4:192.0.78.137 ip4:86.47.44.47 include:spf.protection.outlook.com include:_spf.automattic.com a:server1.bis-platform.com -all"/>
    <s v="yes"/>
    <x v="1"/>
    <s v="v=DMARC1;p=quarantine;sp=reject;pct=100"/>
    <m/>
    <m/>
    <x v="0"/>
    <x v="0"/>
  </r>
  <r>
    <s v="clarionconsulting.com"/>
    <s v="minus"/>
    <s v="Fail"/>
    <s v="v=spf1 include:spf.protection.outlook.com -all"/>
    <m/>
    <x v="0"/>
    <m/>
    <m/>
    <m/>
    <x v="0"/>
    <x v="0"/>
  </r>
  <r>
    <s v="planetpayment.com"/>
    <s v="minus"/>
    <s v="Fail"/>
    <s v="v=spf1 a mx ip4:185.82.241.36 ip4:77.75.78.0/23 ip4:77.75.76.0/23 ip4:52.215.69.98 ip4:35.176.183.125 ip4:208.78.47.0/24 ip4:208.78.44.0/24 ip4:208.78.45.0/24 ip4:208.78.46.0/24 ip6:2a02:598::/32 include:spf.eu.exclaimer.net include:spf.protection.outlook&quot; &quot;.com include:_spf.salesforce.com include:sendgrid.net include:stspg-customer.com -all"/>
    <s v="yes"/>
    <x v="2"/>
    <s v="v=DMARC1; p=none; fo=1; rua=mailto:dmarc_agg@planetpayment.com;ruf=mailto:dmarc_afrf@planetpayment.com"/>
    <m/>
    <m/>
    <x v="7"/>
    <x v="0"/>
  </r>
  <r>
    <s v="ashdowncontrolsgroup.com"/>
    <s v="minus"/>
    <s v="Fail"/>
    <s v="v=spf1 ip4:31.193.221.178 include:spf.protection.outlook.com Include:spf.topsec.com -all"/>
    <s v="yes"/>
    <x v="2"/>
    <s v="v=DMARC1; p=none;"/>
    <m/>
    <m/>
    <x v="0"/>
    <x v="0"/>
  </r>
  <r>
    <s v="thedx.ie"/>
    <s v="tilde"/>
    <s v="Soft Fail"/>
    <s v="v=spf1 include:_netblocks.mimecast.com ~all"/>
    <m/>
    <x v="3"/>
    <s v="v=DMARC1; p=reject; rua=mailto:156cdf5e0adb438@rep.dmarcanalyzer.com; ruf=mailto:156cdf5e0adb438@for.dmarcanalyzer.com; fo=1;"/>
    <m/>
    <m/>
    <x v="0"/>
    <x v="0"/>
  </r>
  <r>
    <s v="dalc.ie"/>
    <s v="tilde"/>
    <s v="Soft Fail"/>
    <s v="v=spf1 +a +mx +ip4:77.235.57.23    +ip4:176.126.168.90 ~all"/>
    <s v="yes"/>
    <x v="1"/>
    <s v="v=DMARC1; p=quarantine; rua=mailto:admin2@dalc.ie; pct=100; ri=345600; adkim=s; aspf=s"/>
    <m/>
    <m/>
    <x v="0"/>
    <x v="0"/>
  </r>
  <r>
    <s v="hpcglobal.ie"/>
    <s v="tilde"/>
    <s v="Soft Fail"/>
    <s v="v=spf1 include:servers.mcsv.net  include:_netblocks.mimecast.com ~all"/>
    <m/>
    <x v="0"/>
    <m/>
    <m/>
    <m/>
    <x v="0"/>
    <x v="0"/>
  </r>
  <r>
    <s v="instituteofeducation.ie"/>
    <s v="minus"/>
    <s v="Fail"/>
    <s v="v=spf1 ip4:139.59.183.158 ip4:144.126.228.116 include:_spf.google.com include:spf.protection.outlook.com include:_spf.psm.knowbe4.com include:spf1.formassembly.com -all "/>
    <s v="yes"/>
    <x v="2"/>
    <s v="v=DMARC1;p=none;sp=none;pct=100;adkim=r;aspf=r;rua=mailto:italerts@instituteofeducation.ie;ruf=mailto:italerts@instituteofeducation.ie;ri=86400;fo=1"/>
    <m/>
    <m/>
    <x v="0"/>
    <x v="0"/>
  </r>
  <r>
    <s v="millwardbrown.com"/>
    <s v="tilde"/>
    <s v="Soft Fail"/>
    <s v="v=spf1 include:spf.protection.outlook.com include:_spf.grpitsrv.com include:aspmx.pardot.com include:servers.mcsv.net ip4:202.92.101.238 ip4:103.22.209.0/24 ~all"/>
    <s v="yes"/>
    <x v="3"/>
    <s v="v=DMARC1; p=reject;sp=reject; rua=mailto:dmarc_agg@vali.email"/>
    <m/>
    <m/>
    <x v="0"/>
    <x v="0"/>
  </r>
  <r>
    <s v="olivesafety.ie"/>
    <s v="tilde"/>
    <s v="Soft Fail"/>
    <s v="v=spf1 include:_spf.google.com include:amazonses.com ~all"/>
    <s v="yes"/>
    <x v="2"/>
    <s v="v=DMARC1; p=none;"/>
    <m/>
    <m/>
    <x v="0"/>
    <x v="0"/>
  </r>
  <r>
    <s v="skillsoft.com"/>
    <s v="minus"/>
    <s v="Fail"/>
    <s v="v=spf1 ip4:65.121.228.0/24 ip4:67.132.9.0/24 ip4:62.180.27.27 ip4:185.92.37.57 ip4:52.170.185.240/29 ip4:50.31.156.96/27 ip4:104.245.209.192/26 ip4:170.52.45.1 ip4:208.117.49.186 ip4:192.190.135.11 ip4:192.190.135.12 include:_spf.qualtrics.com&quot; &quot; include:spf.protection.outlook.com include:spfva.skillsoft.com include:spfmessagelabs.skillsoft.com include:emsd1.com -all"/>
    <s v="yes"/>
    <x v="1"/>
    <s v="v=DMARC1; p=quarantine; pct=100; rua=mailto:dmarc@skillsoft.com"/>
    <m/>
    <m/>
    <x v="0"/>
    <x v="0"/>
  </r>
  <r>
    <s v="weecare.ie"/>
    <s v="tilde"/>
    <s v="Soft Fail"/>
    <s v="v=spf1 ip4:185.43.232.221 ip4:78.137.164.67 +a +mx +ip4:78.137.164.121 +ip4:80.76.197.188/32 +ip4:78.137.164.72 +include:spf.antispamcloud.com +include:spf-ip.tdrnetworks.com ~all"/>
    <s v="yes"/>
    <x v="2"/>
    <s v="v=DMARC1; p=none;"/>
    <m/>
    <m/>
    <x v="0"/>
    <x v="0"/>
  </r>
  <r>
    <s v="scoiltriest.ie"/>
    <s v="minus"/>
    <s v="Fail"/>
    <s v="v=spf1 include:spf.protection.outlook.com -all"/>
    <s v="yes"/>
    <x v="0"/>
    <m/>
    <m/>
    <m/>
    <x v="1"/>
    <x v="0"/>
  </r>
  <r>
    <s v="stcolumbasgns.ie"/>
    <s v="tilde"/>
    <s v="Soft Fail"/>
    <s v="v=spf1 ip4:185.199.220.55 a mx ip4:77.72.4.74 include:relay.k.io ~all"/>
    <s v="yes"/>
    <x v="0"/>
    <m/>
    <m/>
    <m/>
    <x v="1"/>
    <x v="0"/>
  </r>
  <r>
    <s v="holyfamilysns.ie"/>
    <s v="no"/>
    <s v="Not found"/>
    <m/>
    <m/>
    <x v="2"/>
    <s v="\009 v=DMARC1; p=none;"/>
    <m/>
    <m/>
    <x v="0"/>
    <x v="0"/>
  </r>
  <r>
    <s v="ladyswellns.ie"/>
    <s v="no"/>
    <s v="Not found"/>
    <m/>
    <m/>
    <x v="0"/>
    <m/>
    <m/>
    <m/>
    <x v="0"/>
    <x v="0"/>
  </r>
  <r>
    <s v="stfiachrasjns.com"/>
    <s v="tilde"/>
    <s v="Soft Fail"/>
    <s v="v=spf1 include:spf.reg365.net ~all"/>
    <m/>
    <x v="0"/>
    <m/>
    <m/>
    <m/>
    <x v="0"/>
    <x v="0"/>
  </r>
  <r>
    <s v="stlukesns.ie"/>
    <s v="tilde"/>
    <s v="Soft Fail"/>
    <s v="v=spf1 +a +mx +ip4:217.115.115.247 include:relay.mailchannels.net ~all"/>
    <s v="yes"/>
    <x v="0"/>
    <m/>
    <m/>
    <m/>
    <x v="0"/>
    <x v="0"/>
  </r>
  <r>
    <s v="stmarksjs.ie"/>
    <s v="tilde"/>
    <s v="Soft Fail"/>
    <s v="v=spf1 include:_spf.google.com ~all"/>
    <s v="yes"/>
    <x v="2"/>
    <s v="v=DMARC1; p=none;"/>
    <m/>
    <m/>
    <x v="0"/>
    <x v="0"/>
  </r>
  <r>
    <s v="stthomas.ie"/>
    <s v="no"/>
    <s v="Not found"/>
    <m/>
    <s v="yes"/>
    <x v="2"/>
    <s v="v=DMARC1; p=none;"/>
    <m/>
    <m/>
    <x v="0"/>
    <x v="0"/>
  </r>
  <r>
    <s v="junior.renmoreschool.com"/>
    <s v="tilde"/>
    <s v="Soft Fail"/>
    <s v="v=spf1 ip4:162.55.130.111 include:_spf.svrsh.com ip4:91.210.235.20 include:spf.webhostingireland.ie +a +mx ~all"/>
    <s v="yes"/>
    <x v="0"/>
    <m/>
    <m/>
    <m/>
    <x v="7"/>
    <x v="0"/>
  </r>
  <r>
    <s v="scoileointrali.com"/>
    <s v="minus"/>
    <s v="Fail"/>
    <s v="v=spf1 include:spf.protection.outlook.com -all"/>
    <m/>
    <x v="0"/>
    <m/>
    <m/>
    <m/>
    <x v="14"/>
    <x v="0"/>
  </r>
  <r>
    <s v="kilcullenns.org"/>
    <s v="no"/>
    <s v="Not found"/>
    <m/>
    <m/>
    <x v="0"/>
    <m/>
    <m/>
    <m/>
    <x v="16"/>
    <x v="0"/>
  </r>
  <r>
    <s v="monaleenns.ie"/>
    <s v="no"/>
    <s v="Not found"/>
    <m/>
    <s v="yes"/>
    <x v="0"/>
    <m/>
    <m/>
    <m/>
    <x v="5"/>
    <x v="0"/>
  </r>
  <r>
    <s v="stvincentslisnagry.com"/>
    <s v="minus"/>
    <s v="Fail"/>
    <s v="v=spf1 include:spf.protection.outlook.com -all"/>
    <m/>
    <x v="0"/>
    <m/>
    <m/>
    <m/>
    <x v="5"/>
    <x v="0"/>
  </r>
  <r>
    <s v="sjns.ie"/>
    <s v="tilde"/>
    <s v="Soft Fail"/>
    <s v="v=spf1 a include:spf.blacknight.ie ~all"/>
    <s v="yes"/>
    <x v="0"/>
    <m/>
    <m/>
    <m/>
    <x v="2"/>
    <x v="0"/>
  </r>
  <r>
    <s v="ststephensns.ie"/>
    <s v="tilde"/>
    <s v="Soft Fail"/>
    <s v="v=spf1 include:_spf.google.com ~all"/>
    <m/>
    <x v="0"/>
    <m/>
    <m/>
    <m/>
    <x v="15"/>
    <x v="0"/>
  </r>
  <r>
    <s v="stlaurences.ie"/>
    <s v="no"/>
    <s v="Not found"/>
    <m/>
    <m/>
    <x v="0"/>
    <m/>
    <m/>
    <m/>
    <x v="24"/>
    <x v="0"/>
  </r>
  <r>
    <s v="meathchronicle.ie"/>
    <s v="minus"/>
    <s v="Fail"/>
    <s v="v=spf1 include:spf.protection.outlook.com -all"/>
    <m/>
    <x v="2"/>
    <s v="v=DMARC1; p=none;"/>
    <m/>
    <m/>
    <x v="15"/>
    <x v="0"/>
  </r>
  <r>
    <s v="norfishltd.com"/>
    <s v="minus"/>
    <s v="Fail"/>
    <s v="v=spf1 include:spf.protection.outlook.com a include:spf.blacknight.ie -all"/>
    <m/>
    <x v="0"/>
    <m/>
    <m/>
    <m/>
    <x v="6"/>
    <x v="0"/>
  </r>
  <r>
    <s v="morgansfinefish.com"/>
    <s v="tilde"/>
    <s v="Soft Fail"/>
    <s v="v=spf1 include:spf.protection.outlook.com +ip4:78.153.200.26 ~all"/>
    <m/>
    <x v="0"/>
    <m/>
    <m/>
    <m/>
    <x v="2"/>
    <x v="0"/>
  </r>
  <r>
    <s v="ballonmeats.ie"/>
    <s v="tilde"/>
    <s v="Soft Fail"/>
    <s v="v=spf1 a:dispatch-eu.ppe-hosted.com ~all"/>
    <s v="yes"/>
    <x v="0"/>
    <m/>
    <m/>
    <m/>
    <x v="25"/>
    <x v="0"/>
  </r>
  <r>
    <s v="glenaine.ie"/>
    <s v="minus"/>
    <s v="Fail"/>
    <s v="v=spf1 ip4:89.125.255.132 ip4:185.138.113.156 include:spf.protection.outlook.com -all"/>
    <s v="yes"/>
    <x v="2"/>
    <s v="v=DMARC1; p=none; fo=1; rua=mailto:rua+glenaine.ie@dmarc.barracudanetworks.com; ruf=mailto:ruf+glenaine.ie@dmarc.barracudanetworks.com"/>
    <m/>
    <m/>
    <x v="5"/>
    <x v="0"/>
  </r>
  <r>
    <s v="cpmire.com"/>
    <s v="minus"/>
    <s v="Fail"/>
    <s v="v=spf1 include:_spf.oneomnicom.com include:c7be9a0cp2ur.24-kwueeaw.gbr112.bnc.salesforce.com -all"/>
    <s v="yes"/>
    <x v="3"/>
    <s v="v=DMARC1; p=reject; rua=mailto:rc7yjbis@ag.us.dmarcian.com;"/>
    <m/>
    <m/>
    <x v="0"/>
    <x v="0"/>
  </r>
  <r>
    <s v="epislon.com"/>
    <s v="no"/>
    <s v="Not found"/>
    <m/>
    <m/>
    <x v="0"/>
    <m/>
    <m/>
    <m/>
    <x v="0"/>
    <x v="0"/>
  </r>
  <r>
    <s v="netaffinity.com"/>
    <s v="minus"/>
    <s v="Fail"/>
    <s v="v=spf1 include:spf.mandrillapp.com include:spf.protection.outlook.com include:stspg-customer.com include:servers.mcsv.net include:6755466.spf06.hubspotemail.net include:netaffinity.net -all"/>
    <s v="yes"/>
    <x v="2"/>
    <s v="v=DMARC1;p=none;sp=none;pct=100;fo=1;rua=mailto:dmarc_reports@netaffinity.com;ruf=mailto:dmarc_reports@netaffinity.com"/>
    <m/>
    <m/>
    <x v="0"/>
    <x v="0"/>
  </r>
  <r>
    <s v="bdflood.com"/>
    <s v="minus"/>
    <s v="Fail"/>
    <s v="v=spf1 include:spf.protection.outlook.com -all"/>
    <m/>
    <x v="0"/>
    <m/>
    <m/>
    <m/>
    <x v="15"/>
    <x v="0"/>
  </r>
  <r>
    <s v="96fm.ie"/>
    <s v="tilde"/>
    <s v="Soft Fail"/>
    <s v="v=spf1 include:_spf.google.com include:spf-00596a01.pphosted.com include:spf-00596a01.pphosted.com ~all"/>
    <s v="yes"/>
    <x v="3"/>
    <s v="v=DMARC1; p=reject; fo=1; rua=mailto:dmarc_rua@emaildefense.proofpoint.com; ruf=mailto:dmarc_ruf@emaildefense.proofpoint.com"/>
    <m/>
    <m/>
    <x v="1"/>
    <x v="0"/>
  </r>
  <r>
    <s v="lmfm.ie"/>
    <s v="minus"/>
    <s v="Fail"/>
    <s v="v=spf1 include:spf.protection.outlook.com include:_spf.google.com include:spf-00596a01.pphosted.com include:spf2.tibus.net -all"/>
    <m/>
    <x v="3"/>
    <s v="v=DMARC1; p=reject; fo=1; rua=mailto:dmarc_rua@emaildefense.proofpoint.com; ruf=mailto:dmarc_ruf@emaildefense.proofpoint.com"/>
    <m/>
    <m/>
    <x v="2"/>
    <x v="0"/>
  </r>
  <r>
    <s v="lafferty.ie"/>
    <s v="minus"/>
    <s v="Fail"/>
    <s v="v=spf1 ip4:38.84.192.41 ip4:206.71.173.245 include:spf.protection.outlook.com include:spf.emailsignatures365.com include:us._netblocks.mimecast.com include:servers.mcsv.net include:edgepilot.com include:appriver.com  include:spf.exclaimer.net -all"/>
    <s v="yes"/>
    <x v="2"/>
    <s v="v=DMARC1; p=none; sp=none; ri=86400"/>
    <m/>
    <m/>
    <x v="0"/>
    <x v="0"/>
  </r>
  <r>
    <s v="fsm.ie"/>
    <s v="tilde"/>
    <s v="Soft Fail"/>
    <s v="v=spf1 ip4:66.147.236.60 ip4:66.147.230.105 include:spf.protection.outlook.com +a +mx +ip4:66.147.237.67 +ip4:159.253.133.76 +ip4:5.10.78.75 ~all"/>
    <m/>
    <x v="0"/>
    <m/>
    <m/>
    <m/>
    <x v="15"/>
    <x v="0"/>
  </r>
  <r>
    <s v="oman.ie"/>
    <s v="minus"/>
    <s v="Fail"/>
    <s v="v=spf1 include:spf.protection.outlook.com -all"/>
    <s v="yes"/>
    <x v="1"/>
    <s v="v=DMARC1; p=quarantine; adkim=s; aspf=s"/>
    <m/>
    <m/>
    <x v="16"/>
    <x v="0"/>
  </r>
  <r>
    <s v="cabmotors.com"/>
    <s v="no"/>
    <s v="Not found"/>
    <m/>
    <m/>
    <x v="0"/>
    <m/>
    <m/>
    <m/>
    <x v="1"/>
    <x v="0"/>
  </r>
  <r>
    <s v="lydon.eu"/>
    <s v="tilde"/>
    <s v="Soft Fail"/>
    <s v="v=spf1 include:outlook.com ~all"/>
    <m/>
    <x v="0"/>
    <m/>
    <m/>
    <m/>
    <x v="4"/>
    <x v="0"/>
  </r>
  <r>
    <s v="navanhireanddiy.ie"/>
    <s v="tilde"/>
    <s v="Soft Fail"/>
    <s v="v=spf1 +a +mx +ip4:35.214.20.116 include:_spf.mailspamprotection.com ~all"/>
    <s v="yes"/>
    <x v="0"/>
    <m/>
    <m/>
    <m/>
    <x v="15"/>
    <x v="0"/>
  </r>
  <r>
    <s v="arkphire.com"/>
    <s v="minus"/>
    <s v="Fail"/>
    <s v="v=spf1 include:spf.protection.outlook.com include:spf.newsletter.ie include:sendgrid.net include:spf.exclaimer.net a:b.spf.service-now.com a:c.spf.service-now.com&quot; &quot; a:d.spf.service-now.com ip4:89.101.10.97/28 ip4:89.101.25.177/29 ip4:82.141.240.128/26 ip4:82.141.241.224/27 -all"/>
    <s v="yes"/>
    <x v="2"/>
    <s v="v=DMARC1; p=none; rua=mailto:e3dcfdf78abc146@rep.dmarcanalyzer.com,mailto:dmarc@arkphire.com; ruf=mailto:e3dcfdf78abc146@for.dmarcanalyzer.com,mailto:dmarc@arkphire.com; fo=1; pct=100"/>
    <m/>
    <m/>
    <x v="0"/>
    <x v="0"/>
  </r>
  <r>
    <s v="berendsen.ie"/>
    <s v="minus"/>
    <s v="Fail"/>
    <s v="v=spf1 ip4:77.107.237.83 ip4:52.232.61.92 include:spf.protection.outlook.com -all"/>
    <m/>
    <x v="0"/>
    <m/>
    <m/>
    <m/>
    <x v="1"/>
    <x v="0"/>
  </r>
  <r>
    <s v="avivastadium.ie"/>
    <s v="minus"/>
    <s v="Fail"/>
    <s v="v=spf1 include:spf.protection.outlook.com include:spf.hornetsecurity.com include:_spf.psm.knowbe4.com include:spf-4.inkyphishfence.com -all"/>
    <s v="yes"/>
    <x v="3"/>
    <s v="v=DMARC1; p=reject; rua=mailto:avivaadmin@avivastadium.ie,mailto:dmarc_rua@emaildefense.proofpoint.com; ruf=mailto:avivaadmin@avivastadium.ie,mailto:dmarc_ruf@emaildefense.proofpoint.com; sp=reject; ri=3600; rf=afrf; adkim=r; aspf=r; fo=1;"/>
    <m/>
    <m/>
    <x v="0"/>
    <x v="0"/>
  </r>
  <r>
    <s v="ogradycranehire.ie"/>
    <s v="minus"/>
    <s v="Fail"/>
    <s v="v=spf1 include:spf.protection.outlook.com -all"/>
    <m/>
    <x v="0"/>
    <m/>
    <m/>
    <m/>
    <x v="21"/>
    <x v="0"/>
  </r>
  <r>
    <s v="logicalis.com"/>
    <s v="minus"/>
    <s v="Fail"/>
    <s v="v=spf1 include:_spf.salesforce.com include:spf.protection.outlook.com include:amazonses.com include:4794662.spf10.hubspotemail.net -all"/>
    <s v="yes"/>
    <x v="3"/>
    <s v="v=DMARC1; p=reject; pct=100; rua=mailto:yydei0ub@ag.eu.dmarcian.com,mailto:dmarcreports@uk.logicalis.com; ruf=mailto:yydei0ub@fr.eu.dmarcian.com,mailto:dmarcreports@uk.logicalis.com; fo=1; "/>
    <m/>
    <m/>
    <x v="0"/>
    <x v="0"/>
  </r>
  <r>
    <s v="irishliftservices.ie"/>
    <s v="tilde"/>
    <s v="Soft Fail"/>
    <s v="v=spf1 include:_spf.irishliftservices_ie._d.easydmarc.pro ~all"/>
    <s v="yes"/>
    <x v="1"/>
    <s v="v=DMARC1;p=quarantine;pct=100;rua=mailto:3938f110be@rua.easydmarc.eu;ruf=mailto:3938f110be@ruf.easydmarc.eu;fo=1;"/>
    <m/>
    <m/>
    <x v="0"/>
    <x v="0"/>
  </r>
  <r>
    <s v="arris.com"/>
    <s v="minus"/>
    <s v="Fail"/>
    <s v="v=spf1 exists:%{i}.spf.commscope.iphmx.com ip4:198.135.207.215 ip4:198.135.207.230 ip4:198.135.207.129 ip4:216.234.147.109 ip4:216.234.147.12 ip4:216.234.147.37 ip4:216.234.147.17 ip4:216.234.144.41 ip4:198.90.68.141 ip4:198.90.68.142 ip4:198.90.68.143&quot; &quot; include:et._spf.pardot.com include:mktomail.com include:spf.protection.outlook.com -all"/>
    <s v="yes"/>
    <x v="2"/>
    <s v="v=DMARC1; p=none; rua=mailto:ryafobpc@ag.us.dmarcian.com;"/>
    <m/>
    <m/>
    <x v="1"/>
    <x v="0"/>
  </r>
  <r>
    <s v="nicb.ie"/>
    <s v="minus"/>
    <s v="Fail"/>
    <s v="v=spf1 ip6:fd1b:212c:a5f9::/48 -all"/>
    <m/>
    <x v="0"/>
    <m/>
    <m/>
    <m/>
    <x v="0"/>
    <x v="0"/>
  </r>
  <r>
    <s v="novartis.ie"/>
    <s v="no"/>
    <s v="Not found"/>
    <m/>
    <m/>
    <x v="3"/>
    <s v="v=DMARC1; p=reject; fo=1; rua=mailto:dmarc_rua@emaildefense.proofpoint.com; ruf=mailto:dmarc_ruf@emaildefense.proofpoint.com"/>
    <m/>
    <m/>
    <x v="0"/>
    <x v="0"/>
  </r>
  <r>
    <s v="teachaltra.ie"/>
    <s v="minus"/>
    <s v="Fail"/>
    <s v="v=spf1 include:spf.protection.outlook.com -all"/>
    <m/>
    <x v="0"/>
    <m/>
    <m/>
    <m/>
    <x v="1"/>
    <x v="0"/>
  </r>
  <r>
    <s v="brindleymanor.net"/>
    <s v="no"/>
    <s v="Not found"/>
    <m/>
    <m/>
    <x v="0"/>
    <m/>
    <m/>
    <m/>
    <x v="6"/>
    <x v="0"/>
  </r>
  <r>
    <s v="beechtree.ie"/>
    <s v="minus"/>
    <s v="Fail"/>
    <s v="v=spf1 include:spf.protection.outlook.com -all"/>
    <m/>
    <x v="0"/>
    <m/>
    <m/>
    <m/>
    <x v="0"/>
    <x v="0"/>
  </r>
  <r>
    <s v="harveyhealthcare.ie"/>
    <s v="minus"/>
    <s v="Fail"/>
    <s v="v=spf1 include:spf.protection.outlook.com mx a -all"/>
    <s v="yes"/>
    <x v="2"/>
    <s v="v=DMARC1; p=none;"/>
    <m/>
    <m/>
    <x v="0"/>
    <x v="0"/>
  </r>
  <r>
    <s v="hazelhallnursinghome.ie"/>
    <s v="minus"/>
    <s v="Fail"/>
    <s v="v=spf1 include:spf.protection.outlook.com -all"/>
    <s v="yes"/>
    <x v="0"/>
    <m/>
    <m/>
    <m/>
    <x v="16"/>
    <x v="0"/>
  </r>
  <r>
    <s v="lougherrilnursinghome.ie"/>
    <s v="tilde"/>
    <s v="Soft Fail"/>
    <s v="v=spf1 +a +mx +ip4:109.237.24.70 ~all"/>
    <s v="yes"/>
    <x v="0"/>
    <m/>
    <m/>
    <m/>
    <x v="19"/>
    <x v="0"/>
  </r>
  <r>
    <s v="drumbearnursinghome.ie"/>
    <s v="no"/>
    <s v="Not found"/>
    <m/>
    <m/>
    <x v="0"/>
    <m/>
    <m/>
    <m/>
    <x v="12"/>
    <x v="0"/>
  </r>
  <r>
    <s v="ferbanenursinghome.ie"/>
    <s v="minus"/>
    <s v="Fail"/>
    <s v="v=spf1 include:spf.protection.outlook.com -all"/>
    <m/>
    <x v="0"/>
    <m/>
    <m/>
    <m/>
    <x v="21"/>
    <x v="0"/>
  </r>
  <r>
    <s v="drumderrig.com"/>
    <s v="plus"/>
    <s v="Pass"/>
    <s v="v=spf1 +a +mx +all"/>
    <m/>
    <x v="0"/>
    <m/>
    <m/>
    <m/>
    <x v="22"/>
    <x v="0"/>
  </r>
  <r>
    <s v="silverstreamhealthcare.com"/>
    <s v="tilde"/>
    <s v="Soft Fail"/>
    <s v="v=spf1 +a +mx +include:spf.myhost.ie ~all"/>
    <m/>
    <x v="0"/>
    <m/>
    <m/>
    <m/>
    <x v="13"/>
    <x v="0"/>
  </r>
  <r>
    <s v="shannaghbay.ie"/>
    <s v="minus"/>
    <s v="Fail"/>
    <s v="v=spf1 mx a include:spf.avova.ie -all"/>
    <m/>
    <x v="0"/>
    <m/>
    <m/>
    <m/>
    <x v="24"/>
    <x v="0"/>
  </r>
  <r>
    <s v="abbeylandsnursinghome.com"/>
    <s v="tilde"/>
    <s v="Soft Fail"/>
    <s v="v=spf1 +a +mx +a:web2.iseek.host ip4:78.153.205.192/27 ~all"/>
    <m/>
    <x v="2"/>
    <s v="v=DMARC1; p=none"/>
    <m/>
    <m/>
    <x v="1"/>
    <x v="0"/>
  </r>
  <r>
    <s v="burgerking.ie"/>
    <s v="no"/>
    <s v="Not found"/>
    <m/>
    <m/>
    <x v="0"/>
    <m/>
    <m/>
    <m/>
    <x v="0"/>
    <x v="0"/>
  </r>
  <r>
    <s v="cafeenseine.ie"/>
    <s v="minus"/>
    <s v="Fail"/>
    <s v="v=spf1 include:asr3vew3b2.powerspf.com -all"/>
    <s v="yes"/>
    <x v="3"/>
    <s v="v=DMARC1; p=reject; rua=mailto:beefr04q77@rua.powerdmarc.com; ruf=mailto:beefr04q77@ruf.powerdmarc.com; pct=100; fo=0:1:d:s;"/>
    <s v="yes"/>
    <s v="https://hostedbimi.com/16771/1a193f1d-c062-4e79-9f8b-56f8efe50d0a.svg"/>
    <x v="0"/>
    <x v="0"/>
  </r>
  <r>
    <s v="cafejava.ie"/>
    <s v="no"/>
    <s v="Not found"/>
    <m/>
    <m/>
    <x v="0"/>
    <m/>
    <m/>
    <m/>
    <x v="0"/>
    <x v="0"/>
  </r>
  <r>
    <s v="fowlers.ie"/>
    <s v="no"/>
    <s v="Not found"/>
    <m/>
    <s v="yes"/>
    <x v="0"/>
    <m/>
    <m/>
    <m/>
    <x v="0"/>
    <x v="0"/>
  </r>
  <r>
    <s v="beresfordhotelifsc.com"/>
    <s v="tilde"/>
    <s v="Soft Fail"/>
    <s v="v=spf1 a include:spf.blacknight.ie include:_spf.bookassist.com ~all"/>
    <m/>
    <x v="3"/>
    <s v="v=DMARC1; p=reject; rua=mailto:admin@beresfordhotelifsc.ie;"/>
    <m/>
    <m/>
    <x v="0"/>
    <x v="0"/>
  </r>
  <r>
    <s v="marcopierrewhite.ie"/>
    <s v="tilde"/>
    <s v="Soft Fail"/>
    <s v="v=spf1 a include:_spf.google.com ~all"/>
    <m/>
    <x v="0"/>
    <m/>
    <m/>
    <m/>
    <x v="0"/>
    <x v="0"/>
  </r>
  <r>
    <s v="liffeyvalley.ie"/>
    <s v="minus"/>
    <s v="Fail"/>
    <s v="v=spf1 +a +mx -all"/>
    <m/>
    <x v="0"/>
    <m/>
    <m/>
    <m/>
    <x v="0"/>
    <x v="0"/>
  </r>
  <r>
    <s v="thealexhotel.ie"/>
    <s v="minus"/>
    <s v="Fail"/>
    <s v="v=spf1 include:ireshotels.com include:spf.protection.outlook.com include:_spf.prod.hydra.sophos.com -all"/>
    <s v="yes"/>
    <x v="0"/>
    <m/>
    <m/>
    <m/>
    <x v="0"/>
    <x v="0"/>
  </r>
  <r>
    <s v="sabadublin.com"/>
    <s v="mis"/>
    <s v="Invalid SPF Syntax"/>
    <s v="v=spf1 a mx\194\160include:spf.ess.de.barracudanetworks.com\194\160~all"/>
    <s v="yes"/>
    <x v="2"/>
    <s v="v=DMARC1; p=none"/>
    <m/>
    <m/>
    <x v="0"/>
    <x v="0"/>
  </r>
  <r>
    <s v="thunderroadcafe.ie"/>
    <s v="no"/>
    <s v="Not found"/>
    <m/>
    <m/>
    <x v="0"/>
    <m/>
    <m/>
    <m/>
    <x v="0"/>
    <x v="0"/>
  </r>
  <r>
    <s v="wagamama.ie"/>
    <s v="mis"/>
    <s v="Invalid SPF Syntax"/>
    <s v="v=spf1 ip4:83.206.208.128/25 ip4:81.252.92.0/23 ip4:86.64.210.0/23 include:spf.protection.outlook.com mx a -all&quot; &quot;ftjnfpuqhnpotn1pc6gt2hremu&quot; &quot;MS=ms83239902&quot; &quot;facebook-domain-verification=ht7h405c9ggnyegaokxk4g0hwxxwxp"/>
    <s v="yes"/>
    <x v="2"/>
    <s v="v=DMARC1; p=none;"/>
    <m/>
    <m/>
    <x v="0"/>
    <x v="0"/>
  </r>
  <r>
    <s v="mcswiggans.com"/>
    <s v="minus"/>
    <s v="Fail"/>
    <s v="v=spf1 include:spf.protection.outlook.com -all"/>
    <m/>
    <x v="0"/>
    <m/>
    <m/>
    <m/>
    <x v="7"/>
    <x v="0"/>
  </r>
  <r>
    <s v="campagne.ie"/>
    <s v="minus"/>
    <s v="Fail"/>
    <s v="v=spf1 include:spf.protection.outlook.com -all"/>
    <m/>
    <x v="0"/>
    <m/>
    <m/>
    <m/>
    <x v="17"/>
    <x v="0"/>
  </r>
  <r>
    <s v="rackethallhotel.com"/>
    <s v="minus"/>
    <s v="Fail"/>
    <s v="v=spf1 a mx include:netaffinity.net -all"/>
    <m/>
    <x v="0"/>
    <m/>
    <m/>
    <m/>
    <x v="13"/>
    <x v="0"/>
  </r>
  <r>
    <s v="spar.ie"/>
    <s v="tilde"/>
    <s v="Soft Fail"/>
    <s v="v=spf1 a mx ip4:185.2.66.37 include:spf.mandrillapp.com ~all"/>
    <m/>
    <x v="2"/>
    <s v="v=DMARC1; p=none"/>
    <m/>
    <m/>
    <x v="6"/>
    <x v="0"/>
  </r>
  <r>
    <s v="mchughgroup.ie"/>
    <s v="tilde"/>
    <s v="Soft Fail"/>
    <s v="v=spf1 ip4:108.128.211.214 +a +mx ~all"/>
    <s v="yes"/>
    <x v="1"/>
    <s v="v=DMARC1; p=quarantine; sp=none; rua=mailto:DMARC@mchughgroup.ie!10m,mailto:dmarc_agg@vali.email; ruf=mailto:DMARC@mchughgroup.ie!10m; rf=afrf; pct=100; ri=86400;"/>
    <m/>
    <m/>
    <x v="0"/>
    <x v="0"/>
  </r>
  <r>
    <s v="soundstore.ie"/>
    <s v="minus"/>
    <s v="Fail"/>
    <s v="v=spf1 +a +mx include:spf.protection.outlook.com include:relay.mailchannels.net include:spf.elive.net ip4:185.53.174.129 ip4:87.76.21.56 -all"/>
    <s v="yes"/>
    <x v="2"/>
    <s v="v=DMARC1; p=none; pct=100"/>
    <m/>
    <m/>
    <x v="1"/>
    <x v="0"/>
  </r>
  <r>
    <s v="thebookcentre.ie"/>
    <s v="question"/>
    <s v="Neutral"/>
    <s v="v=spf1 +ip4:80.93.29.16 +include:spf.smtp2go.com ?all"/>
    <s v="yes"/>
    <x v="2"/>
    <s v="v=DMARC1; p=none;"/>
    <m/>
    <m/>
    <x v="10"/>
    <x v="0"/>
  </r>
  <r>
    <s v="mondelez.ie"/>
    <s v="no"/>
    <s v="Not found"/>
    <m/>
    <m/>
    <x v="0"/>
    <m/>
    <m/>
    <m/>
    <x v="14"/>
    <x v="0"/>
  </r>
  <r>
    <s v="odeaandco.ie"/>
    <s v="minus"/>
    <s v="Fail"/>
    <s v="v=spf1 include:eu._netblocks.mimecast.com include:spf.protection.outlook.com include:spf.razorblue.net.uk -all"/>
    <m/>
    <x v="2"/>
    <s v="v=DMARC1; p=none; rua=mailto:dmarc@odeaandco.ie; ruf=mailto:dmarc@odeaandco.ie; fo=1"/>
    <m/>
    <m/>
    <x v="0"/>
    <x v="0"/>
  </r>
  <r>
    <s v="nextdirectory.ie"/>
    <s v="minus"/>
    <s v="Fail"/>
    <s v="v=spf1 include:_u.nextdirectory.ie._spf.smart.ondmarc.com -all"/>
    <s v="yes"/>
    <x v="3"/>
    <s v="v=DMARC1; p=reject; pct=100; sp=reject; rua=mailto:b47e7205@inbox.ondmarc.com; ruf=mailto:b47e7205@inbox.ondmarc.com; adkim=r; aspf=r; fo=0; rf=afrf; ri=3600"/>
    <m/>
    <m/>
    <x v="1"/>
    <x v="0"/>
  </r>
  <r>
    <s v="abercrombie.com"/>
    <s v="tilde"/>
    <s v="Soft Fail"/>
    <s v="v=spf1 ip4:8.25.72.77 ip4:8.25.72.78 ip4:74.214.24.253 include:spf.mandrillapp.com include:mailgun.org include:spf.ess.barracudanetworks.com include:_spf.wpvip.com include:spf-0026d501.pphosted.com ~all"/>
    <s v="yes"/>
    <x v="3"/>
    <s v="v=DMARC1;p=reject;fo=1;&quot; &quot;rua=mailto:DomainMgr@abercrombie.com;&quot; &quot;ruf=mailto:DomainMgr@abercrombie.com"/>
    <m/>
    <m/>
    <x v="0"/>
    <x v="0"/>
  </r>
  <r>
    <s v="tonyconnolly.com"/>
    <s v="minus"/>
    <s v="Fail"/>
    <s v="v=spf1 +ip4:78.129.221.13 +include:spf.protection.outlook.com -all"/>
    <s v="yes"/>
    <x v="0"/>
    <m/>
    <m/>
    <m/>
    <x v="5"/>
    <x v="0"/>
  </r>
  <r>
    <s v="dominicsmithelectrical.com"/>
    <s v="minus"/>
    <s v="Fail"/>
    <s v="v=spf1 include:spf.protection.outlook.com -all"/>
    <m/>
    <x v="0"/>
    <m/>
    <m/>
    <m/>
    <x v="0"/>
    <x v="0"/>
  </r>
  <r>
    <s v="kalgroup.ie"/>
    <s v="no"/>
    <s v="Not found"/>
    <m/>
    <m/>
    <x v="0"/>
    <m/>
    <m/>
    <m/>
    <x v="0"/>
    <x v="0"/>
  </r>
  <r>
    <s v="schuh.ie"/>
    <s v="minus"/>
    <s v="Fail"/>
    <s v="v=spf1 include:amazonses.com -all"/>
    <m/>
    <x v="2"/>
    <s v="v=DMARC1; p=none; rua=mailto:Alerts_Mail@schuh.co.uk"/>
    <m/>
    <m/>
    <x v="0"/>
    <x v="0"/>
  </r>
  <r>
    <s v="kenblack.ie"/>
    <s v="minus"/>
    <s v="Fail"/>
    <s v="v=spf1 a mx include:spf.protection.outlook.com -all"/>
    <s v="yes"/>
    <x v="0"/>
    <m/>
    <m/>
    <m/>
    <x v="18"/>
    <x v="0"/>
  </r>
  <r>
    <s v="toplinedoyles.ie"/>
    <s v="no"/>
    <s v="Not found"/>
    <m/>
    <m/>
    <x v="0"/>
    <m/>
    <m/>
    <m/>
    <x v="25"/>
    <x v="0"/>
  </r>
  <r>
    <s v="telfords.ie"/>
    <s v="minus"/>
    <s v="Fail"/>
    <s v="v=spf1 mx ip4:54.229.13.162 ip4:82.147.18.199/32 ip4:54.246.177.122/32 ip4:89.101.136.230/32 ip4:162.13.46.88/32 ip4:23.102.29.87 include:spf.protection.outlook.com include:spf.smtp2go.com include:dotmailer.co.uk include:amazonses.com -all"/>
    <s v="yes"/>
    <x v="3"/>
    <s v="v=DMARC1; p=reject; rua=mailto:220de43055e1045@rep.dmarcanalyzer.com; ruf=mailto:220de43055e1045@for.dmarcanalyzer.com; fo=1;"/>
    <m/>
    <m/>
    <x v="18"/>
    <x v="0"/>
  </r>
  <r>
    <s v="kavanaghmeatsireland.com"/>
    <s v="no"/>
    <s v="Not found"/>
    <m/>
    <s v="yes"/>
    <x v="0"/>
    <m/>
    <m/>
    <m/>
    <x v="3"/>
    <x v="0"/>
  </r>
  <r>
    <s v="towerrecords.ie"/>
    <s v="tilde"/>
    <s v="Soft Fail"/>
    <s v="v=spf1 include:sendgrid.net include:apm-internet.net include:spf.protection.outlook.com ~all"/>
    <m/>
    <x v="2"/>
    <s v="v=DMARC1; p=none;rua@dmarc.brevo.com"/>
    <m/>
    <m/>
    <x v="0"/>
    <x v="0"/>
  </r>
  <r>
    <s v="greatoutdoors.ie"/>
    <s v="minus"/>
    <s v="Fail"/>
    <s v="v=spf1 +ip4:104.27.188.218 +ip4:68.66.213.144 +ip4:68.66.213.14 +ip4:159.253.225.211 include:_spf.salesforce.com include:servers.mcsv.net include:sendgrid.net include:spf.mandrillapp.com include:spf.protection.outlook.com include:mailgun.org -all"/>
    <s v="yes"/>
    <x v="1"/>
    <s v="v=DMARC1; p=quarantine; ruf=mailto:kis0mjof@fr.dmarcian-eu.com; sp=none; fo=1; pct=1;"/>
    <m/>
    <m/>
    <x v="0"/>
    <x v="0"/>
  </r>
  <r>
    <s v="phloor.ie"/>
    <s v="minus"/>
    <s v="Fail"/>
    <s v="v=spf1 ip4:109.228.40.149 include:spf.protection.outlook.com -all"/>
    <m/>
    <x v="2"/>
    <s v="v=DMARC1; p=none; rua=mailto:dmarc@phloor.ie; ruf=mailto:dmarc@phloor.ie;"/>
    <m/>
    <m/>
    <x v="0"/>
    <x v="0"/>
  </r>
  <r>
    <s v="giftvouchershop.ie"/>
    <s v="question"/>
    <s v="Neutral"/>
    <s v="v=spf1 ip4:82.195.139.240/28 ip4:212.78.239.160/28 ip4:178.250.117.178 ip4:178.250.118.210 include:spf.protection.outlook.com ?all"/>
    <m/>
    <x v="2"/>
    <s v="v=DMARC1; p=none; rua=mailto:DL-O4A-ITTeam@bhnetwork.com; pct=25;"/>
    <m/>
    <m/>
    <x v="0"/>
    <x v="0"/>
  </r>
  <r>
    <s v="tilemerchant.ie"/>
    <s v="tilde"/>
    <s v="Soft Fail"/>
    <s v="v=spf1 mx a ip4:93.113.111.163 ip4:149.86.101.211 ip4:149.86.101.210 include:_spf.google.com include:mailgun.org include:spf.tilemerchant.hypernode.io ~all"/>
    <m/>
    <x v="2"/>
    <s v="v=DMARC1;  p=none; rua=mailto:63f7a5b8f82548eab4253fc44c08ac57@dmarc-reports.cloudflare.net"/>
    <m/>
    <m/>
    <x v="0"/>
    <x v="0"/>
  </r>
  <r>
    <s v="gilmores.ie"/>
    <s v="tilde"/>
    <s v="Soft Fail"/>
    <s v="v=spf1 include:_spf.google.com ~all"/>
    <s v="yes"/>
    <x v="0"/>
    <m/>
    <m/>
    <m/>
    <x v="11"/>
    <x v="0"/>
  </r>
  <r>
    <s v="opel.ie"/>
    <s v="minus"/>
    <s v="Fail"/>
    <s v="v=spf1 include:spf.hornetsecurity.com include:spf.protection.outlook.com -all"/>
    <m/>
    <x v="0"/>
    <m/>
    <m/>
    <m/>
    <x v="0"/>
    <x v="0"/>
  </r>
  <r>
    <s v="alhayesmotors.com"/>
    <s v="tilde"/>
    <s v="Soft Fail"/>
    <s v="v=spf1 include:_spf.google.com include:_spf.netdirector.auto ~all"/>
    <m/>
    <x v="1"/>
    <s v="v=DMARC1;p=quarantine ;pct=100;rua=mailto:reports@alhayesmotors.com;ruf=mailto:reports@alhayesmotors.com;aspf=r;adkim=r;"/>
    <m/>
    <m/>
    <x v="7"/>
    <x v="0"/>
  </r>
  <r>
    <s v="motorpark.ie"/>
    <s v="minus"/>
    <s v="Fail"/>
    <s v="v=spf1 include:spf.protection.outlook.com -all"/>
    <m/>
    <x v="0"/>
    <m/>
    <m/>
    <m/>
    <x v="7"/>
    <x v="0"/>
  </r>
  <r>
    <s v="downeys.ie"/>
    <s v="minus"/>
    <s v="Fail"/>
    <s v="v=spf1 include:spf.protection.outlook.com ip4:89.100.204.26 -all"/>
    <m/>
    <x v="0"/>
    <m/>
    <m/>
    <m/>
    <x v="18"/>
    <x v="0"/>
  </r>
  <r>
    <s v="briangeary.ie"/>
    <s v="minus"/>
    <s v="Fail"/>
    <s v="v=spf1 include:spf.protection.outlook.com -all"/>
    <m/>
    <x v="0"/>
    <m/>
    <m/>
    <m/>
    <x v="5"/>
    <x v="0"/>
  </r>
  <r>
    <s v="lyonsoflimerick.com"/>
    <s v="minus"/>
    <s v="Fail"/>
    <s v="v=spf1 include:spf.protection.outlook.com ip4:82.141.209.26 ip4:83.70.200.150 ip4:83.70.203.169 ip4:185.202.18.215 ip4:192.162.217.90 include:_spf.netdirector.auto -all"/>
    <m/>
    <x v="0"/>
    <m/>
    <m/>
    <m/>
    <x v="5"/>
    <x v="0"/>
  </r>
  <r>
    <s v="westwardscania.com"/>
    <s v="tilde"/>
    <s v="Soft Fail"/>
    <s v="v=spf1 a:smtp.cvrt.ie include:authsmtp.com include:teknosell.com include:spf.messagelabs.com include:spf.protection.outlook.com ~all"/>
    <s v="yes"/>
    <x v="2"/>
    <s v="v=DMARC1; p=none;"/>
    <m/>
    <m/>
    <x v="22"/>
    <x v="0"/>
  </r>
  <r>
    <s v="bolands.com"/>
    <s v="minus"/>
    <s v="Fail"/>
    <s v="v=spf1 a:outbound-smtp26.blacknight.com ip4:89.100.140.209 include:spf1.emailsecurity.app include:spf.protection.outlook.com include:spf.mailanyone.net -all"/>
    <s v="yes"/>
    <x v="0"/>
    <m/>
    <m/>
    <m/>
    <x v="10"/>
    <x v="0"/>
  </r>
  <r>
    <s v="dennehycommercials.com"/>
    <s v="no"/>
    <s v="Not found"/>
    <m/>
    <s v="yes"/>
    <x v="0"/>
    <m/>
    <m/>
    <m/>
    <x v="5"/>
    <x v="0"/>
  </r>
  <r>
    <s v="breentrans.com"/>
    <s v="minus"/>
    <s v="Fail"/>
    <s v="v=spf1 include:spf.mailanyone.net include:spf.protection.outlook.com ip4:37.128.193.132 -all"/>
    <s v="yes"/>
    <x v="0"/>
    <m/>
    <m/>
    <m/>
    <x v="3"/>
    <x v="0"/>
  </r>
  <r>
    <s v="thegalteegroup.ie"/>
    <s v="minus"/>
    <s v="Fail"/>
    <s v="v=spf1 include:spf.topsec.com include:spf.protection.outlook.com include:spf1.emailsecurity.app -all"/>
    <m/>
    <x v="2"/>
    <s v="v=DMARC1; p=none; rua=mailto:455a33e4@mxtoolbox.dmarc-report.com; ruf=mailto:455a33e4@forensics.dmarc-report.com; fo=1"/>
    <m/>
    <m/>
    <x v="5"/>
    <x v="0"/>
  </r>
  <r>
    <s v="rhenus.com"/>
    <s v="minus"/>
    <s v="Fail"/>
    <s v="v=spf1 include:_spf.rhenus_com._d.easydmarc.pro -all"/>
    <s v="yes"/>
    <x v="3"/>
    <s v="v=DMARC1;p=reject;sp=reject;pct=100;rua=mailto:a14f106890@rua.easydmarc.eu;ri=86400;aspf=s;adkim=s;"/>
    <s v="yes"/>
    <s v="https://assets.easydmarc.com/0286193727/bimi-rhenus-com-e076977e.svg"/>
    <x v="0"/>
    <x v="0"/>
  </r>
  <r>
    <s v="kcchardware.com"/>
    <s v="no"/>
    <s v="Not found"/>
    <m/>
    <m/>
    <x v="0"/>
    <m/>
    <m/>
    <m/>
    <x v="0"/>
    <x v="0"/>
  </r>
  <r>
    <s v="sligoairport.com"/>
    <s v="tilde"/>
    <s v="Soft Fail"/>
    <s v="v=spf1 ip4:185.43.232.239 +mx +a +ip4:78.137.164.56 +include:spf.antispamcloud.com ~all"/>
    <s v="yes"/>
    <x v="2"/>
    <s v="v=DMARC1; p=none;"/>
    <m/>
    <m/>
    <x v="8"/>
    <x v="0"/>
  </r>
  <r>
    <s v="shopequipment.ie"/>
    <s v="minus"/>
    <s v="Fail"/>
    <s v="v=spf1 a mx ip4:91.136.48.22 include:spf.topsec.com -all"/>
    <m/>
    <x v="0"/>
    <m/>
    <m/>
    <m/>
    <x v="0"/>
    <x v="0"/>
  </r>
  <r>
    <s v="eri.ucc.ie"/>
    <s v="no"/>
    <s v="Not found"/>
    <m/>
    <m/>
    <x v="0"/>
    <m/>
    <m/>
    <m/>
    <x v="1"/>
    <x v="0"/>
  </r>
  <r>
    <s v="frscaher.ie"/>
    <s v="no"/>
    <s v="Not found"/>
    <m/>
    <m/>
    <x v="0"/>
    <m/>
    <m/>
    <m/>
    <x v="13"/>
    <x v="0"/>
  </r>
  <r>
    <s v="radiocabs.ie"/>
    <s v="tilde"/>
    <s v="Soft Fail"/>
    <s v="v=spf1 ip4:190.180.144.237 ip4:207.55.255.20 +a +mx ~all"/>
    <s v="yes"/>
    <x v="0"/>
    <m/>
    <m/>
    <m/>
    <x v="0"/>
    <x v="0"/>
  </r>
  <r>
    <s v="stfanahans.ie"/>
    <s v="minus"/>
    <s v="Fail"/>
    <s v="v=spf1 include:spf.protection.outlook.com -all"/>
    <s v="yes"/>
    <x v="3"/>
    <s v="v=DMARC1;p=reject;sp=reject"/>
    <m/>
    <m/>
    <x v="1"/>
    <x v="0"/>
  </r>
  <r>
    <s v="stmarys.ie"/>
    <s v="no"/>
    <s v="Not found"/>
    <m/>
    <m/>
    <x v="0"/>
    <m/>
    <m/>
    <m/>
    <x v="0"/>
    <x v="0"/>
  </r>
  <r>
    <s v="eirecomposites.com"/>
    <s v="minus"/>
    <s v="Fail"/>
    <s v="v=spf1 a mx ip4:83.70.181.31 include:spf.protection.outlook.com include:spf.blacknight.ie -all"/>
    <m/>
    <x v="0"/>
    <m/>
    <m/>
    <m/>
    <x v="7"/>
    <x v="0"/>
  </r>
  <r>
    <s v="hewittcollege.com"/>
    <s v="no"/>
    <s v="Not found"/>
    <m/>
    <m/>
    <x v="0"/>
    <m/>
    <m/>
    <m/>
    <x v="1"/>
    <x v="0"/>
  </r>
  <r>
    <s v="balbriggancommunitycollege.com"/>
    <s v="no"/>
    <s v="Not found"/>
    <m/>
    <m/>
    <x v="0"/>
    <m/>
    <m/>
    <m/>
    <x v="0"/>
    <x v="0"/>
  </r>
  <r>
    <s v="greenhillscollege.ie"/>
    <s v="minus"/>
    <s v="Fail"/>
    <s v="v=spf1 include:spf.protection.outlook.com include:spf.dcsnet.ie ip4:142.132.206.101 -all"/>
    <s v="yes"/>
    <x v="0"/>
    <m/>
    <m/>
    <m/>
    <x v="0"/>
    <x v="0"/>
  </r>
  <r>
    <s v="dcuincorporation.ie"/>
    <s v="no"/>
    <s v="Not found"/>
    <m/>
    <m/>
    <x v="0"/>
    <m/>
    <m/>
    <m/>
    <x v="0"/>
    <x v="0"/>
  </r>
  <r>
    <s v="scfe.ie"/>
    <s v="minus"/>
    <s v="Fail"/>
    <s v="v=spf1 include:spf.protection.outlook.com include:spf.dcsnet.ie  ip4:87.38.115.3 -all"/>
    <s v="yes"/>
    <x v="0"/>
    <m/>
    <m/>
    <m/>
    <x v="0"/>
    <x v="0"/>
  </r>
  <r>
    <s v="gurteencollege.ie"/>
    <s v="tilde"/>
    <s v="Soft Fail"/>
    <s v="v=spf1 ip4:213.133.69.62 ip4:52.31.29.196 ip4:172.25.1.15 ip4:157.90.28.58 include:spf.elluciancloud.com include:spf.protection.outlook.com ~all"/>
    <s v="yes"/>
    <x v="2"/>
    <s v="v=DMARC1; p=none;"/>
    <m/>
    <m/>
    <x v="13"/>
    <x v="0"/>
  </r>
  <r>
    <s v="carlsonwagonlit.ie"/>
    <s v="no"/>
    <s v="Not found"/>
    <m/>
    <m/>
    <x v="0"/>
    <m/>
    <m/>
    <m/>
    <x v="0"/>
    <x v="0"/>
  </r>
  <r>
    <s v="aig.com"/>
    <s v="minus"/>
    <s v="Fail"/>
    <s v="v=spf1 ip4:167.247.86.9 ip4:167.247.86.11 exists:%{i}._i.%{d}._d.espf.agari.com include:%{d}.ac.spf-protect.agari.com -all"/>
    <s v="yes"/>
    <x v="3"/>
    <s v="v=DMARC1; p=reject; fo=1; ri=3600; rua=mailto:aig@rua.agari.com; ruf=mailto:aig@ruf.agari.com"/>
    <m/>
    <m/>
    <x v="0"/>
    <x v="0"/>
  </r>
  <r>
    <s v="kerrycoaches.com"/>
    <s v="minus"/>
    <s v="Fail"/>
    <s v="v=spf1 include:spf.protection.outlook.com -all"/>
    <m/>
    <x v="0"/>
    <m/>
    <m/>
    <m/>
    <x v="14"/>
    <x v="0"/>
  </r>
  <r>
    <s v="oconnellgroup.ie"/>
    <s v="tilde"/>
    <s v="Soft Fail"/>
    <s v="v=spf1 include:spf.protection.outlook.com ip4:84.203.181.54 ~all"/>
    <m/>
    <x v="2"/>
    <s v="v=DMARC1; p=none; fo=1; rua=mailto:rua+oconnellgroup.ie@dmarc.barracudanetworks.com; ruf=mailto:ruf+oconnellgroup.ie@dmarc.barracudanetworks.com"/>
    <m/>
    <m/>
    <x v="1"/>
    <x v="0"/>
  </r>
  <r>
    <s v="shs-group.co.uk"/>
    <s v="minus"/>
    <s v="Fail"/>
    <s v="v=spf1 ip4:194.168.219.43 ip4:95.154.206.87 include:eu._netblocks.mimecast.com include:spf.protection.outlook.com -all"/>
    <m/>
    <x v="0"/>
    <m/>
    <m/>
    <m/>
    <x v="0"/>
    <x v="0"/>
  </r>
  <r>
    <s v="kemptechnologies.com"/>
    <s v="minus"/>
    <s v="Fail"/>
    <s v="v=spf1 include:docebosaas.com include:mktomail.com include:mail.zendesk.com include:spf.protection.outlook.com include:_spf.salesforce.com include:sendgrid.net include:_spf.kemptechnologies.com include:us._netblocks.mimecast.com -all"/>
    <s v="yes"/>
    <x v="2"/>
    <s v="v=DMARC1; p=none; rua=mailto:c503e53751ee581@rep.dmarcanalyzer.com; ruf=mailto:c503e53751ee581@for.dmarcanalyzer.com; fo=1;"/>
    <m/>
    <m/>
    <x v="5"/>
    <x v="0"/>
  </r>
  <r>
    <s v="mull-coop.com"/>
    <s v="tilde"/>
    <s v="Soft Fail"/>
    <s v="v=spf1 ip4:190.180.145.25 +a +mx +include:spf.dub1.servername.online ~all"/>
    <s v="yes"/>
    <x v="0"/>
    <m/>
    <m/>
    <m/>
    <x v="13"/>
    <x v="0"/>
  </r>
  <r>
    <s v="sandisk.com"/>
    <s v="tilde"/>
    <s v="Soft Fail"/>
    <s v="v=spf1 include:spf1.sandisk.com include:spf2.sandisk.com include:spf3.sandisk.com include:spf4.sandisk.com include:amazonses.com include:spf5.sandisk.com include:spf.mandrillapp.com include:_spf.salesforce.com ~all"/>
    <s v="yes"/>
    <x v="1"/>
    <s v="v=DMARC1; p=quarantine; pct=100;rua=mailto:8xkq3jdr@ag.dmarcian.com,mailto:sndk-dmarc-rua@sandisk.com; ruf=mailto:sndk-dmarc-ruf@sandisk.com; rf=afrf; ri=7200"/>
    <m/>
    <m/>
    <x v="0"/>
    <x v="0"/>
  </r>
  <r>
    <s v="eirespan.com"/>
    <s v="minus"/>
    <s v="Fail"/>
    <s v="v=spf1 include:spf.protection.outlook.com -all"/>
    <m/>
    <x v="0"/>
    <m/>
    <m/>
    <m/>
    <x v="0"/>
    <x v="0"/>
  </r>
  <r>
    <s v="prepveg.ie"/>
    <s v="no"/>
    <s v="Not found"/>
    <m/>
    <m/>
    <x v="0"/>
    <m/>
    <m/>
    <m/>
    <x v="0"/>
    <x v="0"/>
  </r>
  <r>
    <s v="excel-industries.com"/>
    <s v="minus"/>
    <s v="Fail"/>
    <s v="v=spf1 mx ip4:185.122.133.78 ip4:83.70.152.89 ip4:83.70.152.90 ip4:185.32.253.199 ip4:185.32.253.174 include:spf1.emailsecurity.app include:spf.protection.outlook.com include:spf.ers.ie -all"/>
    <s v="yes"/>
    <x v="0"/>
    <m/>
    <m/>
    <m/>
    <x v="0"/>
    <x v="0"/>
  </r>
  <r>
    <s v="ibs.ie"/>
    <s v="no"/>
    <s v="Not found"/>
    <m/>
    <m/>
    <x v="0"/>
    <m/>
    <m/>
    <m/>
    <x v="5"/>
    <x v="0"/>
  </r>
  <r>
    <s v="univet.ie"/>
    <s v="minus"/>
    <s v="Fail"/>
    <s v="v=spf1 mx a ip4:93.90.117.1/24 ip4:93.90.115.1/24 include:spf.blacknight.ie include:spf.protection.outlook.com -all"/>
    <m/>
    <x v="0"/>
    <m/>
    <m/>
    <m/>
    <x v="11"/>
    <x v="0"/>
  </r>
  <r>
    <s v="recordati.ie"/>
    <s v="tilde"/>
    <s v="Soft Fail"/>
    <s v="v=spf1 a mx ip4:91.230.96.13 include:mailcontrol.com include:spf.protection.outlook.com ~all"/>
    <s v="yes"/>
    <x v="2"/>
    <s v="v=DMARC1; p=none; rua=mailto:dmarc.rua@recordati.com; ruf=mailto:dmarc.ruf@recordati.com; fo=1;"/>
    <m/>
    <m/>
    <x v="1"/>
    <x v="0"/>
  </r>
  <r>
    <s v="medsurgical.ie"/>
    <s v="no"/>
    <s v="Not found"/>
    <m/>
    <m/>
    <x v="0"/>
    <m/>
    <m/>
    <m/>
    <x v="0"/>
    <x v="0"/>
  </r>
  <r>
    <s v="clonmelhealthcare.com"/>
    <s v="minus"/>
    <s v="Fail"/>
    <s v="v=spf1 -all"/>
    <m/>
    <x v="3"/>
    <s v="v=DMARC1; p=reject; pct=100; fo=1; ri=3600; rua=mailto:9b1c90e3@inbox.ondmarc.com; ruf=mailto:9b1c90e3@inbox.ondmarc.com"/>
    <m/>
    <m/>
    <x v="13"/>
    <x v="0"/>
  </r>
  <r>
    <s v="jhmcloughlin.com"/>
    <s v="minus"/>
    <s v="Fail"/>
    <s v="v=spf1 mx a ip4:83.70.158.185 a:mail.jhmcloughlin.com a:smtp1r.cp.blacknight.com -all"/>
    <m/>
    <x v="0"/>
    <m/>
    <m/>
    <m/>
    <x v="16"/>
    <x v="0"/>
  </r>
  <r>
    <s v="jps.ie"/>
    <s v="tilde"/>
    <s v="Soft Fail"/>
    <s v="v=spf1 +mx +a +ip4:103.26.141.202 ~all"/>
    <s v="yes"/>
    <x v="0"/>
    <m/>
    <m/>
    <m/>
    <x v="0"/>
    <x v="0"/>
  </r>
  <r>
    <s v="dpl.ie"/>
    <s v="minus"/>
    <s v="Fail"/>
    <s v="v=spf1 ip4:89.101.198.154 ip4:213.94.201.241 include:spf.protection.outlook.com -all"/>
    <s v="yes"/>
    <x v="2"/>
    <s v="v=DMARC1; p=none; rua=mailto:alerts@dpl.ie; ruf=mailto:alerts@dpl.ie; fo=1"/>
    <m/>
    <m/>
    <x v="0"/>
    <x v="0"/>
  </r>
  <r>
    <s v="sigroofing.ie"/>
    <s v="minus"/>
    <s v="Fail"/>
    <s v="v=spf1 -all"/>
    <m/>
    <x v="2"/>
    <s v="v=DMARC1; p=none; rua=mailto:21e415078983506@rep.dmarcanalyzer.com; ruf=mailto:21e415078983506@for.dmarcanalyzer.com; fo=1;"/>
    <m/>
    <m/>
    <x v="0"/>
    <x v="0"/>
  </r>
  <r>
    <s v="tjomahony.ie"/>
    <s v="minus"/>
    <s v="Fail"/>
    <s v="v=spf1 a:spamtitan.datapac.com a:spamtitan1.datapac.com include:_spf_cd.spamtitan.com include:spf.protection.outlook.com ip4:43.228.184.6 ip4:103.47.204.4 ip4:103.2.140.82 ip4:103.2.143.7 ip4:45.79.238.223 ip4:172.105.254.10 ip4:185.220.63.95 -all"/>
    <m/>
    <x v="1"/>
    <s v="v=DMARC1; p=quarantine; rua=mailto:a888a4c669bc47d993ea4b0c64425376@dmarc-reports.cloudflare.net;"/>
    <m/>
    <m/>
    <x v="0"/>
    <x v="0"/>
  </r>
  <r>
    <s v="wogans.ie"/>
    <s v="minus"/>
    <s v="Fail"/>
    <s v="v=spf1 include:spf.protection.outlook.com include:spf.smtp2go.com include:spf-esec.heimdalsecurity.com -all"/>
    <s v="yes"/>
    <x v="2"/>
    <s v="v=DMARC1; p=none;"/>
    <m/>
    <m/>
    <x v="2"/>
    <x v="0"/>
  </r>
  <r>
    <s v="morrisdiy.com"/>
    <s v="tilde"/>
    <s v="Soft Fail"/>
    <s v="v=spf1 ip4:212.126.46.17/32 ip4:89.100.252.82/32 ip4:79.98.163.81/32 ip4:91.210.235.24 ip4:185.201.18.57 ip4:52.100.13.209 ip4:52.100.20.221 ip4:142.0.177.133 include:spf.turbo-smtp.com&quot; &quot; include:spf.protection.outlook.com include:sendgrid.net include:email-od.com include:amazonses.com ~all"/>
    <s v="yes"/>
    <x v="2"/>
    <s v="v=DMARC1;p=none;sp=none;pct=100;rua=mailto:dmarkerrors@morrisdiy.com;ruf=mailto:dmarkerrors@morrisdiy.com;ri=86400;aspf=r;adkim=r;fo=1"/>
    <m/>
    <m/>
    <x v="10"/>
    <x v="0"/>
  </r>
  <r>
    <s v="durtynellys.ie"/>
    <s v="minus"/>
    <s v="Fail"/>
    <s v="v=spf1 include:spf.protection.outlook.com include:spf.resdiary.com -all"/>
    <s v="yes"/>
    <x v="2"/>
    <s v="v=DMARC1; p=none; rua=mailto:rua@dmarc.brevo.com"/>
    <m/>
    <m/>
    <x v="9"/>
    <x v="0"/>
  </r>
  <r>
    <s v="bamcontractors.ie"/>
    <s v="tilde"/>
    <s v="Soft Fail"/>
    <s v="v=spf1 include:bamcontractors.ie._nspf.vali.email include:%{i}._ip.%{h}._ehlo.%{d}._spf.vali.email ~all"/>
    <s v="yes"/>
    <x v="3"/>
    <s v="v=DMARC1; p=reject; rua=mailto:dmarc_agg@vali.email"/>
    <m/>
    <m/>
    <x v="1"/>
    <x v="0"/>
  </r>
  <r>
    <s v="darraglynnnursinghome.com"/>
    <s v="tilde"/>
    <s v="Soft Fail"/>
    <s v="v=spf1 +a +mx +ip4:91.210.232.155 include:spf.webhostingireland.ie ~all"/>
    <s v="yes"/>
    <x v="0"/>
    <m/>
    <m/>
    <m/>
    <x v="1"/>
    <x v="0"/>
  </r>
  <r>
    <s v="dbschenker.ie"/>
    <s v="minus"/>
    <s v="Fail"/>
    <s v="v=spf1 -all"/>
    <m/>
    <x v="0"/>
    <m/>
    <m/>
    <m/>
    <x v="1"/>
    <x v="0"/>
  </r>
  <r>
    <s v="jdsfoods.ie"/>
    <s v="minus"/>
    <s v="Fail"/>
    <s v="v=spf1 include:_spf.spamtitan.com include:_spf_cd.spamtitan.com -all"/>
    <m/>
    <x v="1"/>
    <s v="v=DMARC1; p=quarantine; pct=25; fo=1; rua=mailto:postmaster@jdsfoods.ie; ruf=mailto:postmaster@jdsfoods.ie"/>
    <m/>
    <m/>
    <x v="1"/>
    <x v="0"/>
  </r>
  <r>
    <s v="silverkey.net"/>
    <s v="minus"/>
    <s v="Fail"/>
    <s v="v=spf1 -all"/>
    <m/>
    <x v="0"/>
    <m/>
    <m/>
    <m/>
    <x v="1"/>
    <x v="0"/>
  </r>
  <r>
    <s v="annabeg.ie"/>
    <s v="no"/>
    <s v="Not found"/>
    <m/>
    <m/>
    <x v="0"/>
    <m/>
    <m/>
    <m/>
    <x v="0"/>
    <x v="0"/>
  </r>
  <r>
    <s v="cafesol.ie"/>
    <s v="minus"/>
    <s v="Fail"/>
    <s v="v=spf1 include:spf.protection.outlook.com -all"/>
    <s v="yes"/>
    <x v="1"/>
    <s v="v=DMARC1; p=quarantine; pct=100; rua=mailto:re+j0wcxgivxui@dmarc.postmarkapp.com; sp=none; aspf=r;"/>
    <m/>
    <m/>
    <x v="0"/>
    <x v="0"/>
  </r>
  <r>
    <s v="denismahony.ie"/>
    <s v="minus"/>
    <s v="Fail"/>
    <s v="v=spf1 ip4:212.147.209.22 ip4:85.222.130.224/28 ip4:176.52.217.18 ip4:89.204.208.221 include:spf1.emailsecurity.app include:spf.protection.outlook.com include:_spf.salesforce.com include:_spf.google.com +a:cloud1.dmacmedia.ie -all"/>
    <s v="yes"/>
    <x v="1"/>
    <s v="v=DMARC1; p=quarantine"/>
    <m/>
    <m/>
    <x v="0"/>
    <x v="0"/>
  </r>
  <r>
    <s v="ecocem.ie"/>
    <s v="tilde"/>
    <s v="Soft Fail"/>
    <s v="v=spf1 mx a ip4:169.50.169.84 ip4:5.149.170.50 ip4:83.70.137.190 ip4:91.103.5.139 ip4:89.101.154.73 ip4:79.170.244.50 ip4:217.78.1.63 ip4:144.2.241.171 include:spf.protection.outlook.com include:spf.mailanyone.net include:sendgrid.net &quot; &quot;include:spf.irishdom&quot; &quot;ains.com include:s&quot; &quot;pf.mandrillapp.com ~all"/>
    <s v="yes"/>
    <x v="2"/>
    <s v="v=DMARC1;p=none;sp=none;adkim=r;aspf=r;pct=100;fo=0;rf=afrf;ri=86400"/>
    <m/>
    <m/>
    <x v="0"/>
    <x v="0"/>
  </r>
  <r>
    <s v="geogelec.com"/>
    <s v="minus"/>
    <s v="Fail"/>
    <s v="v=spf1 include:spf.protection.outlook.com -all"/>
    <m/>
    <x v="0"/>
    <m/>
    <m/>
    <m/>
    <x v="0"/>
    <x v="0"/>
  </r>
  <r>
    <s v="goalglobal.org"/>
    <s v="minus"/>
    <s v="Fail"/>
    <s v="v=spf1 include:spf.protection.outlook.com -all"/>
    <m/>
    <x v="0"/>
    <m/>
    <m/>
    <m/>
    <x v="0"/>
    <x v="0"/>
  </r>
  <r>
    <s v="gogginstransport.ie"/>
    <s v="tilde"/>
    <s v="Soft Fail"/>
    <s v="v=spf1 include:_spf.google.com ~all"/>
    <s v="yes"/>
    <x v="0"/>
    <m/>
    <m/>
    <m/>
    <x v="0"/>
    <x v="0"/>
  </r>
  <r>
    <s v="agency.ie"/>
    <s v="minus"/>
    <s v="Fail"/>
    <s v="v=spf1 include:spf.protection.outlook.com -all"/>
    <m/>
    <x v="0"/>
    <m/>
    <m/>
    <m/>
    <x v="0"/>
    <x v="0"/>
  </r>
  <r>
    <s v="jccatering.ie"/>
    <s v="no"/>
    <s v="Not found"/>
    <m/>
    <m/>
    <x v="0"/>
    <m/>
    <m/>
    <m/>
    <x v="0"/>
    <x v="0"/>
  </r>
  <r>
    <s v="marsh.com"/>
    <s v="tilde"/>
    <s v="Soft Fail"/>
    <s v="v=spf1 include:marsh.com._nspf.vali.email include:%{i}._ip.%{h}._ehlo.%{d}._spf.vali.email include:ncapp02.com ~all"/>
    <s v="yes"/>
    <x v="3"/>
    <s v="v=DMARC1; p=reject; rua=mailto:dmarc_agg@vali.email; fo=1; ri=3600"/>
    <m/>
    <m/>
    <x v="0"/>
    <x v="0"/>
  </r>
  <r>
    <s v="serfac.ie"/>
    <s v="tilde"/>
    <s v="Soft Fail"/>
    <s v="v=spf1 +a +mx +a:ams15.siteground.eu  include:serfac.ie.spf.auto.dnssmarthost.net ~all"/>
    <s v="yes"/>
    <x v="2"/>
    <s v="v=DMARC1; p=none; aspf=r; adkim=r;"/>
    <m/>
    <m/>
    <x v="0"/>
    <x v="0"/>
  </r>
  <r>
    <s v="sheridanscheesemongers.com"/>
    <s v="tilde"/>
    <s v="Soft Fail"/>
    <s v="v=spf1 include:spf.protection.outlook.com +ip4:78.153.205.203 ~all"/>
    <m/>
    <x v="2"/>
    <s v="v=DMARC1; p=none"/>
    <m/>
    <m/>
    <x v="0"/>
    <x v="0"/>
  </r>
  <r>
    <s v="sundayworld.com"/>
    <s v="tilde"/>
    <s v="Soft Fail"/>
    <s v="v=spf1 include:mailgun.org include:spf.protection.outlook.com ~all"/>
    <s v="yes"/>
    <x v="3"/>
    <s v="v=DMARC1; p=reject; pct=100; fo=1; ri=3600; rua=mailto:13dbc9fb@inbox.ondmarc.com;ruf=mailto:13dbc9fb@inbox.ondmarc.com;"/>
    <m/>
    <m/>
    <x v="0"/>
    <x v="0"/>
  </r>
  <r>
    <s v="thecastle-hotel.ie"/>
    <s v="no"/>
    <s v="Not found"/>
    <m/>
    <m/>
    <x v="0"/>
    <m/>
    <m/>
    <m/>
    <x v="0"/>
    <x v="0"/>
  </r>
  <r>
    <s v="townlink.ie"/>
    <s v="minus"/>
    <s v="Fail"/>
    <s v="v=spf1 ip4:144.2.242.121 ip4:89.101.223.2 ip4:212.126.59.52 ip4:93.107.119.112 include:spf.emailsignatures365.com include:spf.protection.outlook.com -all"/>
    <s v="yes"/>
    <x v="3"/>
    <s v="v=DMARC1; p=reject; pct=100;"/>
    <m/>
    <m/>
    <x v="0"/>
    <x v="0"/>
  </r>
  <r>
    <s v="triangle.ie"/>
    <s v="tilde"/>
    <s v="Soft Fail"/>
    <s v="v=spf1 ip4:195.27.3.4 ip4:195.27.3.7 mx a ptr a:aspmx.pardot.com include:spf.protection.outlook.com include:14487469.spf01.hubspotemail.net ~all"/>
    <m/>
    <x v="2"/>
    <s v="v=DMARC1;p=none;sp=none;pct=100;rua=mailto:57ebc7336d@rua.easydmarc.eu,mailto:dmarcreport@triangle.ie!10m,mailto:dmarc_agg@vali.email;ruf=mailto:57ebc7336d@ruf.easydmarc.eu;ri=86400;aspf=r;adkim=r;fo=1"/>
    <m/>
    <m/>
    <x v="0"/>
    <x v="0"/>
  </r>
  <r>
    <s v="westsidepress.com"/>
    <s v="minus"/>
    <s v="Fail"/>
    <s v="v=spf1 include:spf.protection.outlook.com include:spf.blacknight.ie include:sendgrid.net a:dispatch-eu.ppe-hosted.com -all include:mailgun.org ~all"/>
    <s v="yes"/>
    <x v="3"/>
    <s v="v=DMARC1; p=reject; sp=reject; adkim=s; aspf=s; fo=1; pct=50; rua=mailto:dmarcreports@westsidepress.com; ruf=mailto:dmarcreports@westsidepress.com"/>
    <m/>
    <m/>
    <x v="0"/>
    <x v="0"/>
  </r>
  <r>
    <s v="winroy.ie"/>
    <s v="minus"/>
    <s v="Fail"/>
    <s v="v=spf1 ip4:190.180.145.98 mx include:spf.elive.net include:spf.protection.outlook.com -all"/>
    <s v="yes"/>
    <x v="0"/>
    <m/>
    <m/>
    <m/>
    <x v="0"/>
    <x v="0"/>
  </r>
  <r>
    <s v="campusaccommodation.ie"/>
    <s v="tilde"/>
    <s v="Soft Fail"/>
    <s v="v=spf1 +ip4:66.206.3.250  ip4:23.111.150.226 ip4:192.124.249.113 +a +mx +ip4:185.62.37.155 include:netaffinity.net include:netaffinity.com ~all"/>
    <m/>
    <x v="0"/>
    <m/>
    <m/>
    <m/>
    <x v="7"/>
    <x v="0"/>
  </r>
  <r>
    <s v="mapfreassistance.ie"/>
    <s v="no"/>
    <s v="Not found"/>
    <m/>
    <m/>
    <x v="0"/>
    <m/>
    <m/>
    <m/>
    <x v="7"/>
    <x v="0"/>
  </r>
  <r>
    <s v="friendsofable.ie"/>
    <s v="tilde"/>
    <s v="Soft Fail"/>
    <s v="v=spf1 include:spf.reg365.net ~all"/>
    <m/>
    <x v="0"/>
    <m/>
    <m/>
    <m/>
    <x v="14"/>
    <x v="0"/>
  </r>
  <r>
    <s v="killarneycourthotel.com"/>
    <s v="minus"/>
    <s v="Fail"/>
    <s v="v=spf1 ip4:91.210.235.23 include:spf.webhostingireland.ie ip4:86.47.38.123 include:spf.protection.outlook.com include:_spf.bookassist.com -all"/>
    <s v="yes"/>
    <x v="2"/>
    <s v="v=DMARC1; p=none;"/>
    <m/>
    <m/>
    <x v="14"/>
    <x v="0"/>
  </r>
  <r>
    <s v="jhfitzpatrick.ie"/>
    <s v="minus"/>
    <s v="Fail"/>
    <s v="v=spf1 include:spf.protection.outlook.com ip4:89.204.213.51 -all"/>
    <s v="yes"/>
    <x v="2"/>
    <s v="v=DMARC1; p=none; fo=1; rua=mailto:1512e7904ab44d51a7d3981c9b6abbcb@dmarc-reports.cloudflare.net,mailto:rua+jhfitzpatrick.ie@dmarc.barracudanetworks.com; ruf=mailto:ruf+jhfitzpatrick.ie@dmarc.barracudanetworks.com"/>
    <m/>
    <m/>
    <x v="16"/>
    <x v="0"/>
  </r>
  <r>
    <s v="vei.ie"/>
    <s v="tilde"/>
    <s v="Soft Fail"/>
    <s v="v=spf1 include:spf-ipv4.vei.ie include:spf-ipv6.vei.ie include:spf.protection.outlook.com include:amazonses.com include:turbo-smtp.com include:spf.mailjet.com include:143443666.spf04.hubspotemail.net ~all"/>
    <s v="yes"/>
    <x v="2"/>
    <s v="v=DMARC1; p=none; pct=100; rua=mailto:re+rl5ifipinjs@dmarc.postmarkapp.com; sp=none; aspf=r;"/>
    <m/>
    <m/>
    <x v="16"/>
    <x v="0"/>
  </r>
  <r>
    <s v="curranalu.ie"/>
    <s v="minus"/>
    <s v="Fail"/>
    <s v="v=spf1 +ip4:66.206.3.250 include:spf.protection.outlook.com -all"/>
    <m/>
    <x v="0"/>
    <m/>
    <m/>
    <m/>
    <x v="5"/>
    <x v="0"/>
  </r>
  <r>
    <s v="frankhogan.ie"/>
    <s v="minus"/>
    <s v="Fail"/>
    <s v="v=spf1 include:spf.protection.outlook.com include:authsmtp.com -all"/>
    <m/>
    <x v="0"/>
    <m/>
    <m/>
    <m/>
    <x v="5"/>
    <x v="0"/>
  </r>
  <r>
    <s v="webtm.ie"/>
    <s v="minus"/>
    <s v="Fail"/>
    <s v="v=spf1 include:spf.protection.outlook.com -all"/>
    <m/>
    <x v="0"/>
    <m/>
    <m/>
    <m/>
    <x v="5"/>
    <x v="0"/>
  </r>
  <r>
    <s v="martinfoodequip.com"/>
    <s v="tilde"/>
    <s v="Soft Fail"/>
    <s v="v=spf1 ip4:162.241.218.166 a mx include:websitewelcome.com ~all"/>
    <s v="yes"/>
    <x v="0"/>
    <m/>
    <m/>
    <m/>
    <x v="2"/>
    <x v="0"/>
  </r>
  <r>
    <s v="colemanelectronics.ie"/>
    <s v="minus"/>
    <s v="Fail"/>
    <s v="v=spf1 a mx include:spf.protection.outlook.com include:_spf.elasticemail.com -all"/>
    <s v="yes"/>
    <x v="2"/>
    <s v="v=DMARC1; p=none; sp=none; adkim=r; aspf=r; rua=mailto:watchdog2@watchdog.kevlarr.io;"/>
    <m/>
    <m/>
    <x v="4"/>
    <x v="0"/>
  </r>
  <r>
    <s v="wyatthotel.com"/>
    <s v="tilde"/>
    <s v="Soft Fail"/>
    <s v="v=spf1 ip4:92.51.242.107 include:netaffinity.net include:oracleindustry.com include:mandrillapp.com ~all"/>
    <s v="yes"/>
    <x v="2"/>
    <s v="v=DMARC1;p=none;sp=none;adkim=r;aspf=r;pct=100;fo=0;rf=afrf;ri=86400"/>
    <m/>
    <m/>
    <x v="4"/>
    <x v="0"/>
  </r>
  <r>
    <s v="bellinterhouse.com"/>
    <s v="minus"/>
    <s v="Fail"/>
    <s v="v=spf1 include:spf.protection.outlook.com include:netaffinity.net include:authsmtp.com include:spfa.cpmails.com include:spf.resdiary.com include:servers.mcsv.net include:guestline.net include:roomlynx.net -all"/>
    <s v="yes"/>
    <x v="3"/>
    <s v="v=DMARC1; p=reject; pct=100; fo=1; ri=3600; rua=mailto:3fb8dd5c@inbox.ondmarc.com; ruf=mailto:3fb8dd5c@inbox.ondmarc.com;"/>
    <m/>
    <m/>
    <x v="15"/>
    <x v="0"/>
  </r>
  <r>
    <s v="headfortarms.ie"/>
    <s v="minus"/>
    <s v="Fail"/>
    <s v="v=spf1 include:spf.guestjoy.com include:netaffinity.net include:sendgrid.net include:spf.protection.outlook.com -all"/>
    <m/>
    <x v="2"/>
    <s v="v=DMARC1; p=none;"/>
    <m/>
    <m/>
    <x v="15"/>
    <x v="0"/>
  </r>
  <r>
    <s v="mckeon.ie"/>
    <s v="minus"/>
    <s v="Fail"/>
    <s v="v=spf1 include:spf.protection.outlook.com include:25584591.spf08.hubspotemail.net -all"/>
    <m/>
    <x v="2"/>
    <s v="v=DMARC1; p=none;"/>
    <m/>
    <m/>
    <x v="15"/>
    <x v="0"/>
  </r>
  <r>
    <s v="taskltd.ie"/>
    <s v="tilde"/>
    <s v="Soft Fail"/>
    <s v="v=spf1 ip4:5.77.32.219 ip4:151.236.51.84 ip4:213.175.204.54 +a +mx ~all"/>
    <s v="yes"/>
    <x v="0"/>
    <m/>
    <m/>
    <m/>
    <x v="15"/>
    <x v="0"/>
  </r>
  <r>
    <s v="tpwhelehan.ie"/>
    <s v="tilde"/>
    <s v="Soft Fail"/>
    <s v="v=spf1 a:spf.webtrade.ie a:mail1.uniphar.ie ip4:89.101.228.97  include:spf.protection.outlook.com ~all"/>
    <s v="yes"/>
    <x v="0"/>
    <m/>
    <m/>
    <m/>
    <x v="15"/>
    <x v="0"/>
  </r>
  <r>
    <s v="clcu.ie"/>
    <s v="minus"/>
    <s v="Fail"/>
    <s v="v=spf1 mx a:mailon.spamtitan.com include:spf.protection.outlook.com include:servers.mcsv.net ip4:188.166.22.194 -all"/>
    <s v="yes"/>
    <x v="1"/>
    <s v="v=DMARC1; p=quarantine; rua=mailto:dmarc@mtcsolutions.ie; fo=1"/>
    <m/>
    <m/>
    <x v="21"/>
    <x v="0"/>
  </r>
  <r>
    <s v="midlands103.com"/>
    <s v="tilde"/>
    <s v="Soft Fail"/>
    <s v="v=spf1 include:mfg.siteprotect.com ~all"/>
    <m/>
    <x v="0"/>
    <m/>
    <m/>
    <m/>
    <x v="21"/>
    <x v="0"/>
  </r>
  <r>
    <s v="surecom.ie"/>
    <s v="tilde"/>
    <s v="Soft Fail"/>
    <s v="v=spf1 ip4:5.149.174.97 include:spf.protection.outlook.com include:spf.ess.de.barracudanetworks.com ~all"/>
    <m/>
    <x v="0"/>
    <m/>
    <m/>
    <m/>
    <x v="13"/>
    <x v="0"/>
  </r>
  <r>
    <s v="thevikinghotelwaterford.ie"/>
    <s v="no"/>
    <s v="Not found"/>
    <m/>
    <m/>
    <x v="0"/>
    <m/>
    <m/>
    <m/>
    <x v="10"/>
    <x v="0"/>
  </r>
  <r>
    <s v="ing.com"/>
    <s v="minus"/>
    <s v="Fail"/>
    <s v="v=spf1 include:_spf.ing.net include:spf1.fraedom.com include:mailplus.nl include:slvmcp.nl ip4:89.20.160.55 ip4:78.136.53.254 ip4:95.138.135.251 ip4:92.52.81.2 ip4:146.148.26.249&quot; &quot; ip4:83.231.160.128/26 ip4:212.187.169.64/26 ip4:192.254.112.185 ip4:83.217.248.35 ip4:170.207.39.152/31 ip4:170.207.37.144/31 -all"/>
    <s v="yes"/>
    <x v="3"/>
    <s v="v=DMARC1;&quot; &quot;p=reject;rua=mailto:Global.Mail.DMARC@ing.com,mailto:ejdvezzq@ag.dmarcian-eu.com,mailto:dmarc.feedback@ing.nl"/>
    <m/>
    <m/>
    <x v="0"/>
    <x v="1"/>
  </r>
  <r>
    <s v="certificationeurope.com"/>
    <s v="minus"/>
    <s v="Fail"/>
    <s v="v=spf1 include:sendersrv.com +mx +a +ip4:217.78.2.46 +ip4:89.185.145.185 +ip4:89.185.136.227 +ip4:185.224.198.13 include:spf.protection.outlook.com include:spf.mandrillapp.com include:amazonses.com include:7608942.spf07.hubspotemail.net &quot; &quot; include:spf.uk.exclaimer.net -all"/>
    <s v="yes"/>
    <x v="2"/>
    <s v="v=DMARC1; p=none"/>
    <m/>
    <m/>
    <x v="0"/>
    <x v="1"/>
  </r>
  <r>
    <s v="alsaa.ie"/>
    <s v="mis"/>
    <s v="Invalid SPF Syntax"/>
    <s v="v=spf1 redirect=_stvgkusm5.sdmarc.net"/>
    <m/>
    <x v="2"/>
    <s v="v=DMARC1; p=none; pct=100; rua=mailto:a.tvgkusm5@sdmarc.net"/>
    <m/>
    <m/>
    <x v="0"/>
    <x v="1"/>
  </r>
  <r>
    <s v="assumptionjns.com"/>
    <s v="minus"/>
    <s v="Fail"/>
    <s v="v=spf1 include:spf.protection.outlook.com -all"/>
    <m/>
    <x v="0"/>
    <m/>
    <m/>
    <m/>
    <x v="0"/>
    <x v="1"/>
  </r>
  <r>
    <s v="stjohnsrathmullen.scoilnet.ie"/>
    <s v="no"/>
    <s v="Not found"/>
    <m/>
    <m/>
    <x v="0"/>
    <m/>
    <m/>
    <m/>
    <x v="2"/>
    <x v="1"/>
  </r>
  <r>
    <s v="croninco.ie"/>
    <s v="minus"/>
    <s v="Fail"/>
    <s v="v=spf1 include:spf.protection.outlook.com ip4:89.101.247.66/32 include:croninco.ie include:in.mailjet.com -all"/>
    <m/>
    <x v="0"/>
    <m/>
    <m/>
    <m/>
    <x v="0"/>
    <x v="2"/>
  </r>
  <r>
    <s v="gov.uk"/>
    <s v="minus"/>
    <s v="Fail"/>
    <s v="v=spf1 -all"/>
    <m/>
    <x v="3"/>
    <s v="v=DMARC1;p=reject;sp=none;np=reject;adkim=s;aspf=s;fo=1;rua=mailto:dmarc-rua@dmarc.service.gov.uk"/>
    <m/>
    <m/>
    <x v="0"/>
    <x v="2"/>
  </r>
  <r>
    <s v="maloneoregan.ie"/>
    <s v="no"/>
    <s v="Not found"/>
    <m/>
    <m/>
    <x v="0"/>
    <m/>
    <m/>
    <m/>
    <x v="10"/>
    <x v="2"/>
  </r>
  <r>
    <s v="northsidepartnership.ie"/>
    <s v="tilde"/>
    <s v="Soft Fail"/>
    <s v="v=spf1 include:spf.reg365.net ~all"/>
    <m/>
    <x v="0"/>
    <m/>
    <m/>
    <m/>
    <x v="0"/>
    <x v="2"/>
  </r>
  <r>
    <s v="staidans.ie"/>
    <s v="minus"/>
    <s v="Fail"/>
    <s v="v=spf1 include:spf.protection.outlook.com -all"/>
    <s v="yes"/>
    <x v="3"/>
    <s v="v=DMARC1; p=reject; rua=mailto:dmarcsupport@staidans.ie"/>
    <m/>
    <m/>
    <x v="11"/>
    <x v="2"/>
  </r>
  <r>
    <s v="dcscork.ie"/>
    <s v="tilde"/>
    <s v="Soft Fail"/>
    <s v="v=spf1 include:_spf.google.com ~all"/>
    <s v="yes"/>
    <x v="0"/>
    <m/>
    <m/>
    <m/>
    <x v="1"/>
    <x v="2"/>
  </r>
  <r>
    <s v="loretowexford.com"/>
    <s v="minus"/>
    <s v="Fail"/>
    <s v="v=spf1 include:spf.protection.outlook.com -all"/>
    <s v="yes"/>
    <x v="0"/>
    <m/>
    <m/>
    <m/>
    <x v="3"/>
    <x v="2"/>
  </r>
  <r>
    <s v="irelandseyeonline.com"/>
    <s v="no"/>
    <s v="Not found"/>
    <m/>
    <m/>
    <x v="0"/>
    <m/>
    <m/>
    <m/>
    <x v="0"/>
    <x v="2"/>
  </r>
  <r>
    <s v="lifecu.ie"/>
    <s v="mis"/>
    <s v="Invalid SPF Syntax"/>
    <s v="v=spf1 v=spf1 include:spf.protection.outlook.com include:eu._netblocks.mimecast.com ip4:83.71.221.29 ip4:86.44.17.120 a:mail.well-it.com include:spf.mtasv.net include:which50-email.com include:amazonses.com ip4:35.214.219.126 ip4:35.214.203.200 include:sp&quot; &quot;f.mailjet.com include:lifecu.ie.spf.auto.dnssmarthost.net include:spf.smtp2go.com -all"/>
    <s v="yes"/>
    <x v="2"/>
    <s v="v=DMARC1; p=none; fo=1; rua=mailto:dmarc_reports@lifecu.ie; ruf=mailto:dmarc_reports@lifecu.ie"/>
    <m/>
    <m/>
    <x v="16"/>
    <x v="2"/>
  </r>
  <r>
    <s v="quadient.com"/>
    <s v="tilde"/>
    <s v="Soft Fail"/>
    <s v="v=spf1 include:eu._netblocks.mimecast.com include:spf.protection.outlook.com include:spf.mailjet.com include:aspmx.pardot.com include:legacy.quadient.com ~all"/>
    <s v="yes"/>
    <x v="3"/>
    <s v="v=DMARC1;p=reject;sp=none;pct=100;rua=mailto:67a6853d7c@rua.easydmarc.us;ruf=mailto:67a6853d7c@ruf.easydmarc.us;fo=1;"/>
    <m/>
    <m/>
    <x v="0"/>
    <x v="2"/>
  </r>
  <r>
    <s v="esri-ireland.ie"/>
    <s v="minus"/>
    <s v="Fail"/>
    <s v="v=spf1 include:spf.protection.outlook.com include:_spf.messagegears.net include:_spf.salesforce.com include:_spf.psm.knowbe4.com include:_spf.dayforcehcm.com -all"/>
    <s v="yes"/>
    <x v="1"/>
    <s v="v=DMARC1; p=quarantine; fo=1; pct=100; sp=quarantine; rua=mailto:dmarc_agg@vali.email; ruf=mailto:jsidwell@esriuk.com"/>
    <m/>
    <m/>
    <x v="0"/>
    <x v="2"/>
  </r>
  <r>
    <s v="typetec.ie"/>
    <s v="minus"/>
    <s v="Fail"/>
    <s v="v=spf1 include:smtp.smileback.com include:spf.protection.outlook.com include:spf.myconnectwise.net ip4:198.244.177.159 -all"/>
    <s v="yes"/>
    <x v="2"/>
    <s v="v=DMARC1; p=none; rua=mailto:administrator@typetecgo.onmicrosoft.com; ruf=mailto:administrator@typetecgo.onmicrosoft.com; fo=1"/>
    <m/>
    <m/>
    <x v="0"/>
    <x v="2"/>
  </r>
  <r>
    <s v="riverstownns.ie"/>
    <s v="minus"/>
    <s v="Fail"/>
    <s v="v=spf1 include:spf.protection.outlook.com -all"/>
    <s v="yes"/>
    <x v="0"/>
    <m/>
    <m/>
    <m/>
    <x v="1"/>
    <x v="2"/>
  </r>
  <r>
    <s v="olocschool.ie"/>
    <s v="tilde"/>
    <s v="Soft Fail"/>
    <s v="v=spf1 +a +mx +a:c57950.sgvps.net  include:olocschool.ie.spf.auto.dnssmarthost.net ~all"/>
    <s v="yes"/>
    <x v="2"/>
    <s v="v=DMARC1; p=none; aspf=r; adkim=r;"/>
    <m/>
    <m/>
    <x v="0"/>
    <x v="2"/>
  </r>
  <r>
    <s v="stannesthecurragh.ie"/>
    <s v="minus"/>
    <s v="Fail"/>
    <s v="v=spf1 include:spf.protection.outlook.com -all"/>
    <m/>
    <x v="0"/>
    <m/>
    <m/>
    <m/>
    <x v="16"/>
    <x v="2"/>
  </r>
  <r>
    <s v="kilcooleprimaryschool.ie"/>
    <s v="tilde"/>
    <s v="Soft Fail"/>
    <s v="v=spf1 include:_spf.google.com ~all"/>
    <s v="yes"/>
    <x v="0"/>
    <m/>
    <m/>
    <m/>
    <x v="24"/>
    <x v="2"/>
  </r>
  <r>
    <s v="ballinderrynursinghome.com"/>
    <s v="no"/>
    <s v="Not found"/>
    <m/>
    <m/>
    <x v="0"/>
    <m/>
    <m/>
    <m/>
    <x v="7"/>
    <x v="2"/>
  </r>
  <r>
    <s v="bmw.ie"/>
    <s v="minus"/>
    <s v="Fail"/>
    <s v="v=spf1 include:spf.protection.outlook.com exists:%{i}.spf.bmwgroup.com -all"/>
    <s v="yes"/>
    <x v="3"/>
    <s v="v=DMARC1; p=reject; rua=mailto:bgm.aggregate@bmwgroup.com; ruf=mailto:bgm.forensic@bmwgroup.com"/>
    <m/>
    <m/>
    <x v="0"/>
    <x v="2"/>
  </r>
  <r>
    <s v="sinnottautos.ie"/>
    <s v="tilde"/>
    <s v="Soft Fail"/>
    <s v="v=spf1 include:spf.protection.outlook.com ~all"/>
    <m/>
    <x v="0"/>
    <m/>
    <m/>
    <m/>
    <x v="24"/>
    <x v="2"/>
  </r>
  <r>
    <s v="jvtierney.ie"/>
    <s v="minus"/>
    <s v="Fail"/>
    <s v="v=spf1 include:spf.protection.outlook.com -all"/>
    <m/>
    <x v="0"/>
    <m/>
    <m/>
    <m/>
    <x v="0"/>
    <x v="2"/>
  </r>
  <r>
    <s v="rathminescollege.ie"/>
    <s v="minus"/>
    <s v="Fail"/>
    <s v="v=spf1 include:spf.protection.outlook.com -all"/>
    <m/>
    <x v="0"/>
    <m/>
    <m/>
    <m/>
    <x v="0"/>
    <x v="2"/>
  </r>
  <r>
    <s v="miflues.ie"/>
    <s v="minus"/>
    <s v="Fail"/>
    <s v="v=spf1 include:spf.protection.outlook.com -all"/>
    <m/>
    <x v="2"/>
    <s v="v=DMARC1; p=none; rua=mailto:dmarc@lantech.uriports.com; ruf=mailto:dmarc@lantech.uriports.com; fo=1:d:s"/>
    <m/>
    <m/>
    <x v="15"/>
    <x v="2"/>
  </r>
  <r>
    <s v="tilestyle.ie"/>
    <s v="tilde"/>
    <s v="Soft Fail"/>
    <s v="v=spf1 ip4:185.32.255.186 ip4:23.227.38.65 ip4:40.107.104.78 ip4:198.2.190.164 include:spf.eu.exclaimer.net include:tilestylebm.onmicrosoft.com include:spf.protection.outlook.com ~all"/>
    <s v="yes"/>
    <x v="2"/>
    <s v="v=DMARC1; p=none; rua=mailto:313449450a664abdb36f0eb4148893d1@dmarc-reports.cloudflare.net;"/>
    <m/>
    <m/>
    <x v="0"/>
    <x v="2"/>
  </r>
  <r>
    <s v="busyfingerscreche.ie"/>
    <s v="minus"/>
    <s v="Fail"/>
    <s v="v=spf1 +a +mx +ip4:217.115.119.32 +include:spf.protection.outlook.com -all"/>
    <s v="yes"/>
    <x v="3"/>
    <s v="v=DMARC1; p=reject; pct=100"/>
    <m/>
    <m/>
    <x v="16"/>
    <x v="3"/>
  </r>
  <r>
    <s v="isk.ie"/>
    <s v="minus"/>
    <s v="Fail"/>
    <s v="v=spf1 ip4:91.210.235.11 include:spf.webhostingireland.ie include:spf.protection.outlook.com -all"/>
    <s v="yes"/>
    <x v="2"/>
    <s v="v=DMARC1; p=none;"/>
    <m/>
    <m/>
    <x v="14"/>
    <x v="3"/>
  </r>
  <r>
    <s v="delasalle.ie"/>
    <s v="tilde"/>
    <s v="Soft Fail"/>
    <s v="v=spf1 +include:relay.mailchannels.net include:_spf.google.com ~all"/>
    <s v="yes"/>
    <x v="2"/>
    <s v="v=DMARC1; p=none;"/>
    <m/>
    <m/>
    <x v="2"/>
    <x v="3"/>
  </r>
  <r>
    <s v="loretocollegemullingar.com"/>
    <s v="tilde"/>
    <s v="Soft Fail"/>
    <s v="v=spf1 +a +mx +ip4:35.214.132.134 include:_spf.mailspamprotection.com ~all"/>
    <s v="yes"/>
    <x v="0"/>
    <m/>
    <m/>
    <m/>
    <x v="23"/>
    <x v="3"/>
  </r>
  <r>
    <s v="mercykilbeggan.ie"/>
    <s v="tilde"/>
    <s v="Soft Fail"/>
    <s v="v=spf1 a mx include:spf.antispamcloud.com ip4:78.137.164.61 ~all"/>
    <s v="yes"/>
    <x v="0"/>
    <m/>
    <m/>
    <m/>
    <x v="23"/>
    <x v="3"/>
  </r>
  <r>
    <s v="impactirl.ie"/>
    <s v="tilde"/>
    <s v="Soft Fail"/>
    <s v="v=spf1 ip4:86.43.79.161 ip4:81.136.225.25 ip4:213.79.59.238 ip4:185.202.19.91 include:_spf.psm.knowbe4.com include:spf.protection.outlook.com ~all"/>
    <s v="yes"/>
    <x v="1"/>
    <s v="v=DMARC1; p=quarantine"/>
    <m/>
    <m/>
    <x v="0"/>
    <x v="3"/>
  </r>
  <r>
    <s v="illistrin.town.ie"/>
    <s v="no"/>
    <s v="Not found"/>
    <m/>
    <m/>
    <x v="0"/>
    <m/>
    <m/>
    <m/>
    <x v="6"/>
    <x v="3"/>
  </r>
  <r>
    <s v="holyfamilyjns.ie"/>
    <s v="no"/>
    <s v="Not found"/>
    <m/>
    <s v="yes"/>
    <x v="2"/>
    <s v="v=DMARC1; p=none;"/>
    <m/>
    <m/>
    <x v="0"/>
    <x v="3"/>
  </r>
  <r>
    <s v="stcolmcilles.org"/>
    <s v="minus"/>
    <s v="Fail"/>
    <s v="v=spf1 include:spf.protection.outlook.com -all"/>
    <m/>
    <x v="0"/>
    <m/>
    <m/>
    <m/>
    <x v="0"/>
    <x v="3"/>
  </r>
  <r>
    <s v="stjosephstullamore.ie"/>
    <s v="tilde"/>
    <s v="Soft Fail"/>
    <s v="v=spf1 +a +mx +ip4:35.242.133.245 ~all"/>
    <s v="yes"/>
    <x v="0"/>
    <m/>
    <m/>
    <m/>
    <x v="21"/>
    <x v="3"/>
  </r>
  <r>
    <s v="stt.ie"/>
    <s v="tilde"/>
    <s v="Soft Fail"/>
    <s v="v=spf1 a include:spf.blacknight.ie  ~all"/>
    <m/>
    <x v="0"/>
    <m/>
    <m/>
    <m/>
    <x v="13"/>
    <x v="4"/>
  </r>
  <r>
    <s v="bish.ie"/>
    <s v="minus"/>
    <s v="Fail"/>
    <s v="v=spf1 include:spf.protection.outlook.com -all"/>
    <m/>
    <x v="2"/>
    <s v="v=DMARC1; p=none"/>
    <m/>
    <m/>
    <x v="7"/>
    <x v="4"/>
  </r>
  <r>
    <s v="shstullamore.ie"/>
    <s v="tilde"/>
    <s v="Soft Fail"/>
    <s v="v=spf1 +a +mx +include:spf.myhost.ie include:spf.protection.outlook.com ~all"/>
    <s v="yes"/>
    <x v="1"/>
    <s v="v=DMARC1; p=quarantine; rua=mailto:ofe@shstullamore.ie; ruf=mailto:ofe@shstullamore.ie; sp=none; fo=1;"/>
    <m/>
    <m/>
    <x v="21"/>
    <x v="4"/>
  </r>
  <r>
    <s v="nrch.ie"/>
    <s v="minus"/>
    <s v="Fail"/>
    <s v="v=spf1 include:spf.protection.outlook.com include:mailanyone.net -all"/>
    <s v="yes"/>
    <x v="2"/>
    <s v="v=DMARC1; p=none; rua=mailto:rua@dmarc.brevo.com"/>
    <m/>
    <m/>
    <x v="3"/>
    <x v="4"/>
  </r>
  <r>
    <s v="cilprecision.ie"/>
    <s v="minus"/>
    <s v="Fail"/>
    <s v="v=spf1 include:spf.protection.outlook.com -all"/>
    <m/>
    <x v="0"/>
    <m/>
    <m/>
    <m/>
    <x v="10"/>
    <x v="4"/>
  </r>
  <r>
    <s v="abbeyhealthcare.ie"/>
    <s v="minus"/>
    <s v="Fail"/>
    <s v="v=spf1 include:spf.protection.outlook.com -all"/>
    <m/>
    <x v="0"/>
    <m/>
    <m/>
    <m/>
    <x v="0"/>
    <x v="4"/>
  </r>
  <r>
    <s v="theaddressconnolly.com"/>
    <s v="tilde"/>
    <s v="Soft Fail"/>
    <s v="v=spf1 +a +mx +ip4:81.17.241.117 include:spf.webhostingireland.ie include:spf.mandrillapp.com ~all"/>
    <m/>
    <x v="0"/>
    <m/>
    <m/>
    <m/>
    <x v="0"/>
    <x v="4"/>
  </r>
  <r>
    <s v="seai.ie"/>
    <s v="minus"/>
    <s v="Fail"/>
    <s v="v=spf1 ip4:137.191.235.70 include:spf.topsec.com include:spf.protection.outlook.com +ip4:52.209.222.127 include:servers.mcsv.net include:mailgun.org include:amazonses.com -all"/>
    <s v="yes"/>
    <x v="1"/>
    <s v="v=DMARC1;p=quarantine;rua=mailto:dmarc_agg@vali.email,mailto:dmarc@seai.ie;ruf=mailto:dmarc@seai.ie.;fo=1;sp=none;"/>
    <m/>
    <m/>
    <x v="0"/>
    <x v="4"/>
  </r>
  <r>
    <s v="bpps.ie"/>
    <s v="no"/>
    <s v="Not found"/>
    <m/>
    <m/>
    <x v="0"/>
    <m/>
    <m/>
    <m/>
    <x v="2"/>
    <x v="4"/>
  </r>
  <r>
    <s v="iosef.ie"/>
    <s v="question"/>
    <s v="Neutral"/>
    <s v="v=spf1 +a +mx +ip4:78.137.164.91 ?all"/>
    <m/>
    <x v="0"/>
    <m/>
    <m/>
    <m/>
    <x v="24"/>
    <x v="4"/>
  </r>
  <r>
    <s v="greenparknursinghome.ie"/>
    <s v="minus"/>
    <s v="Fail"/>
    <s v="v=spf1 include:spf.protection.outlook.com -all"/>
    <m/>
    <x v="0"/>
    <m/>
    <m/>
    <m/>
    <x v="7"/>
    <x v="4"/>
  </r>
  <r>
    <s v="louthleaderpartnership.ie"/>
    <s v="no"/>
    <s v="Not found"/>
    <m/>
    <m/>
    <x v="0"/>
    <m/>
    <m/>
    <m/>
    <x v="2"/>
    <x v="5"/>
  </r>
  <r>
    <s v="mindshareworld.com"/>
    <s v="tilde"/>
    <s v="Soft Fail"/>
    <s v="v=spf1 include:spf.groupm.com include:servers.mcsv.net include:customers.clickdimensions.com ~all"/>
    <m/>
    <x v="3"/>
    <s v="v=DMARC1; p=reject; pct=100; fo=1; adkim=r; aspf=r; rua=mailto:dmarc_rua@emaildefense.proofpoint.com; ruf=mailto:dmarc_ruf@emaildefense.proofpoint.com"/>
    <m/>
    <m/>
    <x v="0"/>
    <x v="5"/>
  </r>
  <r>
    <s v="internalresults.com"/>
    <s v="mis"/>
    <s v="Invalid SPF Syntax"/>
    <s v="v=spf1 redirect=b33zuv7x._spf._d.mim.ec"/>
    <s v="yes"/>
    <x v="3"/>
    <s v="v=DMARC1; p=reject; rua=mailto:12e5197a2ddb458@rep.dmarcanalyzer.com; ruf=mailto:12e5197a2ddb458@for.dmarcanalyzer.com; fo=1;"/>
    <m/>
    <m/>
    <x v="18"/>
    <x v="5"/>
  </r>
  <r>
    <s v="redfaire.com"/>
    <s v="mis"/>
    <s v="Invalid SPF Syntax"/>
    <s v="v=spf1 +a +mx +ip4:185.181.116.70 +include:spf.protection.outlook.com +include:servers.mcsv.net include:26234856.spf04.hubspotemail.net include:authsmtp.com +include:rp.oracleemaildelivery.com"/>
    <s v="yes"/>
    <x v="2"/>
    <s v="v=DMARC1; p=none;"/>
    <m/>
    <m/>
    <x v="5"/>
    <x v="5"/>
  </r>
  <r>
    <s v="mmd.ie"/>
    <s v="minus"/>
    <s v="Fail"/>
    <s v="v=spf1 a mx ip4:185.47.147.134 include:spf.protection.outlook.com include:mailgun.org -all"/>
    <m/>
    <x v="0"/>
    <m/>
    <m/>
    <m/>
    <x v="1"/>
    <x v="5"/>
  </r>
  <r>
    <s v="maclochlainn.ie"/>
    <s v="no"/>
    <s v="Not found"/>
    <m/>
    <m/>
    <x v="0"/>
    <m/>
    <m/>
    <m/>
    <x v="13"/>
    <x v="5"/>
  </r>
  <r>
    <s v="scotiacapital.com"/>
    <s v="minus"/>
    <s v="Fail"/>
    <s v="v=spf1 exists:%{i}._i.%{d}._d.espf.dmp.cisco.com include:%{d}.16.spf-protect.dmp.cisco.com -all"/>
    <m/>
    <x v="3"/>
    <s v="v=DMARC1; p=reject; fo=1; ri=3600; rua=mailto:scotiabank@rua.dmp.cisco.com; ruf=mailto:scotiabank@ruf.dmp.cisco.com"/>
    <m/>
    <m/>
    <x v="0"/>
    <x v="5"/>
  </r>
  <r>
    <s v="sca.com"/>
    <s v="minus"/>
    <s v="Fail"/>
    <s v="v=spf1 ip4:46.16.232.108 ip4:193.235.12.212 ip4:193.235.12.213 include:spf.protection.outlook.com include:spf1.emarketeer.com include:_vsp.oderland.com include:_spf-dc2.successfactors.com include:sendgrid.net include:servers.mcsv.net -all"/>
    <s v="yes"/>
    <x v="2"/>
    <s v="v=DMARC1; p=none; rua=mailto:dmarc_agg@vali.email;"/>
    <m/>
    <m/>
    <x v="0"/>
    <x v="5"/>
  </r>
  <r>
    <s v="eetc.ie"/>
    <s v="tilde"/>
    <s v="Soft Fail"/>
    <s v="v=spf1 +a +mx +ip4:185.43.232.188 include:spf.antispamcloud.com ~all"/>
    <s v="yes"/>
    <x v="0"/>
    <m/>
    <m/>
    <m/>
    <x v="3"/>
    <x v="5"/>
  </r>
  <r>
    <s v="cbscarlow.ie"/>
    <s v="tilde"/>
    <s v="Soft Fail"/>
    <s v="v=spf1 a include:spf.blacknight.ie  ~all"/>
    <m/>
    <x v="0"/>
    <m/>
    <m/>
    <m/>
    <x v="25"/>
    <x v="5"/>
  </r>
  <r>
    <s v="balcs.ie"/>
    <s v="minus"/>
    <s v="Fail"/>
    <s v="v=spf1 ip4:190.180.144.232 ip4:91.136.49.203 include:spf.protection.outlook.com +ip4:207.55.255.4 -all"/>
    <s v="yes"/>
    <x v="1"/>
    <s v="v=DMARC1; p=quarantine;"/>
    <m/>
    <m/>
    <x v="1"/>
    <x v="5"/>
  </r>
  <r>
    <s v="pbc-cork.ie"/>
    <s v="minus"/>
    <s v="Fail"/>
    <s v="v=spf1 include:spf.protection.outlook.com -all"/>
    <m/>
    <x v="0"/>
    <m/>
    <m/>
    <m/>
    <x v="1"/>
    <x v="5"/>
  </r>
  <r>
    <s v="movillecc.ie"/>
    <s v="no"/>
    <s v="Not found"/>
    <m/>
    <m/>
    <x v="0"/>
    <m/>
    <m/>
    <m/>
    <x v="6"/>
    <x v="5"/>
  </r>
  <r>
    <s v="glentiescomp.com"/>
    <s v="minus"/>
    <s v="Fail"/>
    <s v="v=spf1 ip4:83.138.8.86 ip4:83.138.8.113 include:spf.protection.outlook.com -all"/>
    <s v="yes"/>
    <x v="3"/>
    <s v="v=DMARC1; p=reject; pct=100;"/>
    <m/>
    <m/>
    <x v="6"/>
    <x v="5"/>
  </r>
  <r>
    <s v="deansrathcommunitycollege.ie"/>
    <s v="no"/>
    <s v="Not found"/>
    <m/>
    <m/>
    <x v="0"/>
    <m/>
    <m/>
    <m/>
    <x v="0"/>
    <x v="5"/>
  </r>
  <r>
    <s v="gonzaga.ie"/>
    <s v="minus"/>
    <s v="Fail"/>
    <s v="v=spf1 include:spf.protection.outlook.com ip4:89.101.231.2 ip4:87.38.200.2 -all"/>
    <s v="yes"/>
    <x v="2"/>
    <s v="v=DMARC1; p=none;"/>
    <m/>
    <m/>
    <x v="0"/>
    <x v="5"/>
  </r>
  <r>
    <s v="holychildcommunityschool.ie"/>
    <s v="tilde"/>
    <s v="Soft Fail"/>
    <s v="v=spf1 include:_spf.google.com ~all"/>
    <s v="yes"/>
    <x v="0"/>
    <m/>
    <m/>
    <m/>
    <x v="0"/>
    <x v="5"/>
  </r>
  <r>
    <s v="mercycoolock.ie"/>
    <s v="no"/>
    <s v="Not found"/>
    <m/>
    <s v="yes"/>
    <x v="0"/>
    <m/>
    <m/>
    <m/>
    <x v="0"/>
    <x v="5"/>
  </r>
  <r>
    <s v="olschool.ie"/>
    <s v="tilde"/>
    <s v="Soft Fail"/>
    <s v="v=spf1 include:_spf.google.com ~all"/>
    <s v="yes"/>
    <x v="0"/>
    <m/>
    <m/>
    <m/>
    <x v="0"/>
    <x v="5"/>
  </r>
  <r>
    <s v="stmichaelscollege.com"/>
    <s v="tilde"/>
    <s v="Soft Fail"/>
    <s v="v=spf1 include:_spf.google.com ~all"/>
    <s v="yes"/>
    <x v="0"/>
    <m/>
    <m/>
    <m/>
    <x v="0"/>
    <x v="5"/>
  </r>
  <r>
    <s v="hrc.ie"/>
    <s v="minus"/>
    <s v="Fail"/>
    <s v="v=spf1 include:spf.protection.outlook.com -all"/>
    <m/>
    <x v="0"/>
    <m/>
    <m/>
    <m/>
    <x v="7"/>
    <x v="5"/>
  </r>
  <r>
    <s v="confeycollege.org"/>
    <s v="no"/>
    <s v="Not found"/>
    <m/>
    <m/>
    <x v="0"/>
    <m/>
    <m/>
    <m/>
    <x v="16"/>
    <x v="5"/>
  </r>
  <r>
    <s v="cpckilcullen.com"/>
    <s v="tilde"/>
    <s v="Soft Fail"/>
    <s v="v=spf1 include:_spf.google.com ~all"/>
    <m/>
    <x v="0"/>
    <m/>
    <m/>
    <m/>
    <x v="16"/>
    <x v="5"/>
  </r>
  <r>
    <s v="glenstal.ie"/>
    <s v="no"/>
    <s v="Not found"/>
    <m/>
    <m/>
    <x v="0"/>
    <m/>
    <m/>
    <m/>
    <x v="5"/>
    <x v="5"/>
  </r>
  <r>
    <s v="villiers-school.com"/>
    <s v="minus"/>
    <s v="Fail"/>
    <s v="v=spf1 ip4:190.180.145.25 ip4:190.180.145.113 ip4:207.55.255.20 include:spf.protection.outlook.com -all"/>
    <s v="yes"/>
    <x v="2"/>
    <s v="v=DMARC1; p=none; sp=none; rua=mailto:itsystems@villiers-school.com"/>
    <m/>
    <m/>
    <x v="5"/>
    <x v="5"/>
  </r>
  <r>
    <s v="droghedacbs.ie"/>
    <s v="tilde"/>
    <s v="Soft Fail"/>
    <s v="v=spf1 a include:spf.blacknight.ie ~all"/>
    <m/>
    <x v="0"/>
    <m/>
    <m/>
    <m/>
    <x v="2"/>
    <x v="5"/>
  </r>
  <r>
    <s v="stmarysds.ie"/>
    <s v="minus"/>
    <s v="Fail"/>
    <s v="MS=ms35513928 v=spf1 include:spf.protection.outlook.com include:spf.antispamcloud.com -all"/>
    <s v="yes"/>
    <x v="3"/>
    <s v="v=DMARC1; p=reject; sp=reject; pct=100; rua=mailto:TaraLearning@stmarysds.ie; ruf=mailto:TaraLearning@stmarysds.ie;"/>
    <m/>
    <m/>
    <x v="2"/>
    <x v="5"/>
  </r>
  <r>
    <s v="ocarolancollege.ie"/>
    <s v="no"/>
    <s v="Not found"/>
    <m/>
    <m/>
    <x v="0"/>
    <m/>
    <m/>
    <m/>
    <x v="15"/>
    <x v="5"/>
  </r>
  <r>
    <s v="cti-clonmel.ie"/>
    <s v="minus"/>
    <s v="Fail"/>
    <s v="v=spf1 include:spf.protection.outlook.com -all"/>
    <m/>
    <x v="0"/>
    <m/>
    <m/>
    <m/>
    <x v="13"/>
    <x v="5"/>
  </r>
  <r>
    <s v="stmarysnenagh.ie"/>
    <s v="tilde"/>
    <s v="Soft Fail"/>
    <s v="v=spf1 include:_spf.google.com ~all"/>
    <s v="yes"/>
    <x v="0"/>
    <m/>
    <m/>
    <m/>
    <x v="13"/>
    <x v="5"/>
  </r>
  <r>
    <s v="mercywaterford.com"/>
    <s v="tilde"/>
    <s v="Soft Fail"/>
    <s v="v=spf1 ip4:96.127.128.194 +a +mx +ip4:108.163.227.58 +ip4:108.163.227.59 +ip4:108.163.227.62 ~all"/>
    <s v="yes"/>
    <x v="0"/>
    <m/>
    <m/>
    <m/>
    <x v="10"/>
    <x v="5"/>
  </r>
  <r>
    <s v="cbsmullingar.ie"/>
    <s v="no"/>
    <s v="Not found"/>
    <m/>
    <m/>
    <x v="0"/>
    <m/>
    <m/>
    <m/>
    <x v="23"/>
    <x v="5"/>
  </r>
  <r>
    <s v="colaistebride.ie"/>
    <s v="minus"/>
    <s v="Fail"/>
    <s v="v=spf1 include:spf.protection.outlook.com -all"/>
    <m/>
    <x v="0"/>
    <m/>
    <m/>
    <m/>
    <x v="3"/>
    <x v="5"/>
  </r>
  <r>
    <s v="eastvillage.ie"/>
    <s v="minus"/>
    <s v="Fail"/>
    <s v="v=spf1 include:spf.protection.outlook.com -all"/>
    <m/>
    <x v="0"/>
    <m/>
    <m/>
    <m/>
    <x v="1"/>
    <x v="5"/>
  </r>
  <r>
    <s v="roomex.com"/>
    <s v="minus"/>
    <s v="Fail"/>
    <s v="v=spf1 include:%{d}.97.spf-protect.dmp.cisco.com exists:%{i}._i.%{d}._d.espf.dmp.cisco.com -all"/>
    <s v="yes"/>
    <x v="1"/>
    <s v="v=DMARC1; p=quarantine; fo=1; ri=3600; rua=mailto:fleetcor-technologies@rua.agari.com; ruf=mailto:fleetcor-technologies@ruf.agari.com"/>
    <m/>
    <m/>
    <x v="0"/>
    <x v="5"/>
  </r>
  <r>
    <s v="barberstowncastle.ie"/>
    <s v="tilde"/>
    <s v="Soft Fail"/>
    <s v="v=spf1 ip4:83.71.146.82 include:spf.topsec.com include:spf.protection.outlook.com include:authsmtp.com include:netaffinity.net ~all"/>
    <m/>
    <x v="2"/>
    <s v="v=DMARC1; p=none; pct=100; fo=1"/>
    <m/>
    <m/>
    <x v="16"/>
    <x v="5"/>
  </r>
  <r>
    <s v="doolyshotel.com"/>
    <s v="minus"/>
    <s v="Fail"/>
    <s v="v=spf1 include:spf.protection.outlook.com -all"/>
    <m/>
    <x v="0"/>
    <m/>
    <m/>
    <m/>
    <x v="21"/>
    <x v="5"/>
  </r>
  <r>
    <s v="allspace.ie"/>
    <s v="tilde"/>
    <s v="Soft Fail"/>
    <s v="v=spf1 ip4:94.127.101.1 include:eu._netblocks.mimecast.com ~all"/>
    <s v="yes"/>
    <x v="2"/>
    <s v="v=DMARC1;p=none;sp=none;pct=100;rua=mailto:dmarc@portakabin.com;ruf=mailto:dmarc@portakabin.com;ri=86400;aspf=r;adkim=r;fo=1"/>
    <m/>
    <m/>
    <x v="0"/>
    <x v="5"/>
  </r>
  <r>
    <s v="chep.com"/>
    <s v="tilde"/>
    <s v="Soft Fail"/>
    <s v="v=spf1 include:%{ir}.%{v}.%{d}.spf.has.pphosted.com ~all"/>
    <s v="yes"/>
    <x v="3"/>
    <s v="v=DMARC1; p=reject; fo=1; rua=mailto:dmarc_rua@emaildefense.proofpoint.com; ruf=mailto:dmarc_ruf@emaildefense.proofpoint.com"/>
    <m/>
    <m/>
    <x v="0"/>
    <x v="5"/>
  </r>
  <r>
    <s v="flahavans.com"/>
    <s v="tilde"/>
    <s v="Soft Fail"/>
    <s v="v=spf1 mx ip4:86.43.114.32 ip4:212.17.61.118 ip4:78.153.205.203 a:web3.iseek.host a:gran.netsource.ie include:spf1.emailsecurity.app include:spf.protection.outlook.com include:_spf.createsend.com ~all"/>
    <m/>
    <x v="1"/>
    <s v="v=DMARC1; p=quarantine; rua=mailto:7bcc17c9@mxtoolbox.dmarc-report.com; ruf=mailto:7bcc17c9@forensics.dmarc-report.com; fo=1; pct=10"/>
    <m/>
    <m/>
    <x v="10"/>
    <x v="5"/>
  </r>
  <r>
    <s v="boran.ie"/>
    <s v="minus"/>
    <s v="Fail"/>
    <s v="v=spf1 include:spf.protection.outlook.com include:_spf.google.com ip4:93.107.166.134 ip4:185.190.205.38 ip4:185.190.205.41 ip4:82.152.39.50 ip4:93.107.176.57 ip4:193.57.217.228 ip4:185.32.252.248 ip4:91.85.32.151 ip4:80.229.189.164 ip4:80.229.212.29 -all"/>
    <s v="yes"/>
    <x v="3"/>
    <s v="v=DMARC1; p=reject; rua=mailto:dmarc@boran.com; ruf=mailto:dmarc@boran.com"/>
    <m/>
    <m/>
    <x v="16"/>
    <x v="5"/>
  </r>
  <r>
    <s v="megazyme.com"/>
    <s v="minus"/>
    <s v="Fail"/>
    <s v="v=spf1 include:email.freshdesk.com include:spf-005ee901.pphosted.com -all"/>
    <s v="yes"/>
    <x v="1"/>
    <s v="v=DMARC1; p=quarantine; rua=mailto:kis0mjof@ag.dmarcian-eu.com; ruf=mailto:kis0mjof@fr.dmarcian-eu.com; sp=none; fo=1; pct=1;"/>
    <m/>
    <m/>
    <x v="24"/>
    <x v="5"/>
  </r>
  <r>
    <s v="premierfish.ie"/>
    <s v="mis"/>
    <s v="Invalid SPF Syntax"/>
    <s v="v=spf1&quot; &quot;include:spf.protection.outlook.com&quot; &quot;-all"/>
    <m/>
    <x v="0"/>
    <m/>
    <m/>
    <m/>
    <x v="6"/>
    <x v="5"/>
  </r>
  <r>
    <s v="mcgraths.ie"/>
    <s v="minus"/>
    <s v="Fail"/>
    <s v="v=spf1 ip4:178.16.207.46 include:spf.topsec.com include:spf.protection.outlook.com  -all"/>
    <s v="yes"/>
    <x v="2"/>
    <s v="v=DMARC1; p=none; rua=mailto:DMARC@mcgraths.ie; aspf=s;"/>
    <m/>
    <m/>
    <x v="4"/>
    <x v="5"/>
  </r>
  <r>
    <s v="keeganquarries.com"/>
    <s v="tilde"/>
    <s v="Soft Fail"/>
    <s v="v=spf1 include:spf.protection.outlook.com include:spf.topsec.com ~all"/>
    <m/>
    <x v="3"/>
    <s v="v=DMARC1; p=reject"/>
    <m/>
    <m/>
    <x v="15"/>
    <x v="5"/>
  </r>
  <r>
    <s v="tinakilly.ie"/>
    <s v="tilde"/>
    <s v="Soft Fail"/>
    <s v="v=spf1 a mx ip4:194.163.137.11 ~all"/>
    <m/>
    <x v="1"/>
    <s v="v=DMARC1; p=quarantine; sp=quarantine;"/>
    <m/>
    <m/>
    <x v="24"/>
    <x v="5"/>
  </r>
  <r>
    <s v="turnersprinting.com"/>
    <s v="no"/>
    <s v="Not found"/>
    <m/>
    <m/>
    <x v="0"/>
    <m/>
    <m/>
    <m/>
    <x v="20"/>
    <x v="5"/>
  </r>
  <r>
    <s v="ncri.ie"/>
    <s v="mis"/>
    <s v="Invalid SPF Syntax"/>
    <s v="v=spf1 redirect=_s1lx2tte2.sdmarc.net"/>
    <s v="yes"/>
    <x v="2"/>
    <s v="v=DMARC1; p=none; pct=100; rua=mailto:a.1lx2tte2@sdmarc.net"/>
    <m/>
    <m/>
    <x v="1"/>
    <x v="5"/>
  </r>
  <r>
    <s v="headway.ie"/>
    <s v="minus"/>
    <s v="Fail"/>
    <s v="v=spf1 ip4:213.94.192.42 ip4:213.94.192.41 include:spf.protection.outlook.com -all"/>
    <m/>
    <x v="0"/>
    <m/>
    <m/>
    <m/>
    <x v="0"/>
    <x v="5"/>
  </r>
  <r>
    <s v="soft-ex.net"/>
    <s v="minus"/>
    <s v="Fail"/>
    <s v="v=spf1 mx ip4:193.120.166.35 include:spf.protection.outlook.com -all"/>
    <s v="yes"/>
    <x v="3"/>
    <s v="v=DMARC1;p=reject;rua=mailto:5e749ec92e@rua.easydmarc.com,mailto:itsupport@soft-ex.net;ruf=mailto:5e749ec92e@rua.easydmarc.com;fo=1"/>
    <m/>
    <m/>
    <x v="0"/>
    <x v="5"/>
  </r>
  <r>
    <s v="sysco-software.com"/>
    <s v="minus"/>
    <s v="Fail"/>
    <s v="v=spf1 include:spf.protection.outlook.com -all"/>
    <s v="yes"/>
    <x v="1"/>
    <s v="v=DMARC1; p=quarantine; pct=100"/>
    <m/>
    <m/>
    <x v="0"/>
    <x v="5"/>
  </r>
  <r>
    <s v="terminalfour.com"/>
    <s v="tilde"/>
    <s v="Soft Fail"/>
    <s v="v=spf1 include:spf2.terminalfour.com include:spf.hornetsecurity.com include:_spf.mlsend.com include:spf-eu.emailsignatures365.com include:spf.protection.outlook.com include:139505422.spf01.hubspotemail.net ~all"/>
    <s v="yes"/>
    <x v="2"/>
    <s v="v=DMARC1; p=none; pct=100; rua=mailto:re+gbbizxfyv8g@dmarc.postmarkapp.com; sp=none; aspf=r;"/>
    <m/>
    <m/>
    <x v="0"/>
    <x v="5"/>
  </r>
  <r>
    <s v="tangotelecom.com"/>
    <s v="tilde"/>
    <s v="Soft Fail"/>
    <s v="v=spf1 include:%{ir}.%{v}.%{d}.spf.has.pphosted.com ~all"/>
    <s v="yes"/>
    <x v="0"/>
    <m/>
    <m/>
    <m/>
    <x v="5"/>
    <x v="5"/>
  </r>
  <r>
    <s v="intelligo.ie"/>
    <s v="minus"/>
    <s v="Fail"/>
    <s v="v=spf1 ip4:62.13.147.77 ip4:149.5.40.136 ip4:87.192.160.73 ip4:149.71.161.153 include:spf.protection.outlook.com include:authsmtp.com include:relays.webhost-mail.com -all"/>
    <m/>
    <x v="0"/>
    <m/>
    <m/>
    <m/>
    <x v="24"/>
    <x v="5"/>
  </r>
  <r>
    <s v="thermodial.ie"/>
    <s v="minus"/>
    <s v="Fail"/>
    <s v="v=spf1 ip4:52.236.20.0/22 include:spf.protection.outlook.com include:spf-eu.emailsignatures365.com include:spf1.emailsecurity.app -all"/>
    <s v="yes"/>
    <x v="1"/>
    <s v="v=DMARC1; p=quarantine; rua=mailto:syncitdmarcreports@cuskensyncit.ie; ruf=mailto:syncitdmarcreports@cuskensyncit.ie; pct=50;"/>
    <m/>
    <m/>
    <x v="0"/>
    <x v="5"/>
  </r>
  <r>
    <s v="guidedogs.ie"/>
    <s v="minus"/>
    <s v="Fail"/>
    <s v="v=spf1 a mx ip4:86.47.36.232/32 ip4:86.47.52.101/32 ip4:78.143.145.190 include:mta.pentagoncomputers.com include:spf.protection.outlook.com include:spf.ess.de.barracudanetworks.com include:spf.mandrillapp.com -all"/>
    <s v="yes"/>
    <x v="1"/>
    <s v="v=DMARC1; p=quarantine; rua=mailto:dmarc-reports@guidedogs.ie; ruf=mailto:dmarc-failures@guidedogs.ie; sp=none; aspf=r;"/>
    <m/>
    <m/>
    <x v="1"/>
    <x v="5"/>
  </r>
  <r>
    <s v="sharavogue.ie"/>
    <s v="mis"/>
    <s v="Invalid SPF Syntax"/>
    <s v="v=spf1 a mx"/>
    <m/>
    <x v="0"/>
    <m/>
    <m/>
    <m/>
    <x v="0"/>
    <x v="5"/>
  </r>
  <r>
    <s v="athartadhg.ie"/>
    <s v="no"/>
    <s v="Not found"/>
    <m/>
    <m/>
    <x v="0"/>
    <m/>
    <m/>
    <m/>
    <x v="1"/>
    <x v="5"/>
  </r>
  <r>
    <s v="saintmarks.ie"/>
    <s v="mis"/>
    <s v="Invalid SPF Syntax"/>
    <s v="v=spf1 a mx"/>
    <m/>
    <x v="0"/>
    <m/>
    <m/>
    <m/>
    <x v="0"/>
    <x v="5"/>
  </r>
  <r>
    <s v="mercyconventprimarynaas.com"/>
    <s v="minus"/>
    <s v="Fail"/>
    <s v="v=spf1 -all"/>
    <m/>
    <x v="0"/>
    <m/>
    <m/>
    <m/>
    <x v="16"/>
    <x v="5"/>
  </r>
  <r>
    <s v="scoilaonghusa.ie"/>
    <s v="no"/>
    <s v="Not found"/>
    <m/>
    <m/>
    <x v="2"/>
    <s v="v=DMARC1; p=none"/>
    <m/>
    <m/>
    <x v="13"/>
    <x v="5"/>
  </r>
  <r>
    <s v="stfergalsnsbray.ie"/>
    <s v="no"/>
    <s v="Not found"/>
    <m/>
    <m/>
    <x v="0"/>
    <m/>
    <m/>
    <m/>
    <x v="24"/>
    <x v="5"/>
  </r>
  <r>
    <s v="wardfish.com"/>
    <s v="minus"/>
    <s v="Fail"/>
    <s v="v=spf1 include:spf.protection.outlook.com +include:evie.wurkservers.com  -all"/>
    <m/>
    <x v="0"/>
    <m/>
    <m/>
    <m/>
    <x v="6"/>
    <x v="5"/>
  </r>
  <r>
    <s v="barrystea.ie"/>
    <s v="tilde"/>
    <s v="Soft Fail"/>
    <s v="v=spf1 include:outlook.com include:servers.mcsv.net include:mailgun.org ~all"/>
    <s v="yes"/>
    <x v="1"/>
    <s v="v=DMARC1; p=quarantine; rua=mailto:dmarc@ufgsumyx.uriports.com; ruf=mailto:dmarc@ufgsumyx.uriports.com; fo=1:d:s"/>
    <m/>
    <m/>
    <x v="1"/>
    <x v="5"/>
  </r>
  <r>
    <s v="farmersjournal.ie"/>
    <s v="tilde"/>
    <s v="Soft Fail"/>
    <s v="v=spf1 a mx ip4:5.149.174.219 ip4:46.22.136.28 ip4:5.149.174.221 ip4:5.149.174.222 ip4:52.209.60.130 ip4:46.22.138.149 ip4:46.22.135.85 ip4:46.22.135.84 include:amazonses.com &quot; &quot;include:o365.crossware.co.nz include:spf.mailjet.com include:spf.mandrillapp.com include:spf.protection.outlook.com include:24904274.spf01.hubspotemail.net ~all"/>
    <s v="yes"/>
    <x v="2"/>
    <s v="v=DMARC1; p=none; rua=mailto:aggrep@farmersjournal.ie;"/>
    <m/>
    <m/>
    <x v="0"/>
    <x v="5"/>
  </r>
  <r>
    <s v="radiokerry.ie"/>
    <s v="tilde"/>
    <s v="Soft Fail"/>
    <s v="v=spf1 ip4:213.94.193.158 ~all"/>
    <m/>
    <x v="3"/>
    <s v="v=DMARC1; p=reject; pct=100; rua=mailto:71afbb4d@in.mailhardener.com; aspf=r; fo=1"/>
    <m/>
    <m/>
    <x v="14"/>
    <x v="5"/>
  </r>
  <r>
    <s v="clifftownhouse.com"/>
    <s v="no"/>
    <s v="Not found"/>
    <m/>
    <m/>
    <x v="0"/>
    <m/>
    <m/>
    <m/>
    <x v="0"/>
    <x v="5"/>
  </r>
  <r>
    <s v="woodiesdiy.com"/>
    <s v="question"/>
    <s v="Neutral"/>
    <s v="v=spf1 ip4:82.147.18.199/32 include:spf.protection.outlook.com ?all"/>
    <s v="yes"/>
    <x v="3"/>
    <s v="v=DMARC1; p=reject; rua=mailto:220de43055e1045@rep.dmarcanalyzer.com; ruf=mailto:220de43055e1045@for.dmarcanalyzer.com; fo=1;"/>
    <m/>
    <m/>
    <x v="0"/>
    <x v="5"/>
  </r>
  <r>
    <s v="claremarts.ie"/>
    <s v="no"/>
    <s v="Not found"/>
    <m/>
    <m/>
    <x v="0"/>
    <m/>
    <m/>
    <m/>
    <x v="9"/>
    <x v="5"/>
  </r>
  <r>
    <s v="agrigear.ie"/>
    <s v="minus"/>
    <s v="Fail"/>
    <s v="v=spf1 ip4:80.249.249.248 ip4:185.253.124.134 include:spf.protection.outlook.com -all"/>
    <s v="yes"/>
    <x v="1"/>
    <s v="v=DMARC1; p=quarantine; rua=mailto:cinnte@agrigear.ie;"/>
    <m/>
    <m/>
    <x v="11"/>
    <x v="5"/>
  </r>
  <r>
    <s v="clareyouthservice.org"/>
    <s v="minus"/>
    <s v="Fail"/>
    <s v="v=spf1 include:spf.protection.outlook.com ip4:34.251.246.197/32 ip4:34.254.147.8/32 -all"/>
    <m/>
    <x v="2"/>
    <s v="v=DMARC1; p=none;"/>
    <m/>
    <m/>
    <x v="9"/>
    <x v="5"/>
  </r>
  <r>
    <s v="cavanaghs.com"/>
    <s v="minus"/>
    <s v="Fail"/>
    <s v="v=spf1 include:spf.protection.outlook.com include:spf.mandrillapp.com include:authsmtp.com -all"/>
    <m/>
    <x v="0"/>
    <m/>
    <m/>
    <m/>
    <x v="1"/>
    <x v="5"/>
  </r>
  <r>
    <s v="maldronhotellimerick.com"/>
    <s v="no"/>
    <s v="Not found"/>
    <m/>
    <m/>
    <x v="0"/>
    <m/>
    <m/>
    <m/>
    <x v="5"/>
    <x v="5"/>
  </r>
  <r>
    <s v="monasterboice-inn.ie"/>
    <s v="no"/>
    <s v="Not found"/>
    <m/>
    <m/>
    <x v="0"/>
    <m/>
    <m/>
    <m/>
    <x v="2"/>
    <x v="5"/>
  </r>
  <r>
    <s v="avvio.com"/>
    <s v="minus"/>
    <s v="Fail"/>
    <s v="v=spf1 +a +mx +ip4:62.138.231.0/25 +ip4:217.115.118.14 +include:spf.protection.outlook.com exists:%{i}.spf.hc5098-53.iphmx.com -all"/>
    <s v="yes"/>
    <x v="2"/>
    <s v="v=DMARC1; p=none; aspf=r;"/>
    <m/>
    <m/>
    <x v="5"/>
    <x v="6"/>
  </r>
  <r>
    <s v="ccrcork.com"/>
    <s v="minus"/>
    <s v="Fail"/>
    <s v="v=spf1 include:spf.protection.outlook.com -all"/>
    <m/>
    <x v="0"/>
    <m/>
    <m/>
    <m/>
    <x v="1"/>
    <x v="6"/>
  </r>
  <r>
    <s v="scoildara.ie"/>
    <s v="minus"/>
    <s v="Fail"/>
    <s v="v=spf1 include:spf.protection.outlook.com -all"/>
    <m/>
    <x v="0"/>
    <m/>
    <m/>
    <m/>
    <x v="16"/>
    <x v="6"/>
  </r>
  <r>
    <s v="elephantandcastle.ie"/>
    <s v="minus"/>
    <s v="Fail"/>
    <s v="v=spf1 include:spf.protection.outlook.com include:spf.exclaimer.net include:servers.mcsv.net mx a -all"/>
    <s v="yes"/>
    <x v="0"/>
    <m/>
    <m/>
    <m/>
    <x v="0"/>
    <x v="6"/>
  </r>
  <r>
    <s v="avenuemouldsolutions.ie"/>
    <s v="no"/>
    <s v="Not found"/>
    <m/>
    <m/>
    <x v="0"/>
    <m/>
    <m/>
    <m/>
    <x v="8"/>
    <x v="7"/>
  </r>
  <r>
    <s v="acumenandtrust.com"/>
    <s v="minus"/>
    <s v="Fail"/>
    <s v="v=spf1 a include:spf.blacknight.ie include:spf.protection.outlook.com -all"/>
    <s v="yes"/>
    <x v="1"/>
    <s v="v=DMARC1; p=quarantine; sp=none; rua=mailto:dmarc@acumenandtrust.com!10m; ruf=mailto:dmarc@acumenandtrust.com!10m; rf=afrf; pct=100; ri=86400"/>
    <m/>
    <m/>
    <x v="0"/>
    <x v="7"/>
  </r>
  <r>
    <s v="frg.ie"/>
    <s v="tilde"/>
    <s v="Soft Fail"/>
    <s v="v=spf1 a include:spf.blacknight.ie  ~all"/>
    <m/>
    <x v="0"/>
    <m/>
    <m/>
    <m/>
    <x v="0"/>
    <x v="7"/>
  </r>
  <r>
    <s v="stnessans.ie"/>
    <s v="no"/>
    <s v="Not found"/>
    <m/>
    <m/>
    <x v="0"/>
    <m/>
    <m/>
    <m/>
    <x v="5"/>
    <x v="7"/>
  </r>
  <r>
    <s v="handm.com"/>
    <s v="no"/>
    <s v="Not found"/>
    <m/>
    <m/>
    <x v="1"/>
    <s v="v=DMARC1; p=quarantine; adkim=r; aspf=r; rua=mailto:dmarc_rua@onsecureserver.net;"/>
    <m/>
    <m/>
    <x v="1"/>
    <x v="7"/>
  </r>
  <r>
    <s v="fridays.ie"/>
    <s v="minus"/>
    <s v="Fail"/>
    <s v="v=spf1 include:spf.protection.outlook.com -all"/>
    <m/>
    <x v="0"/>
    <m/>
    <m/>
    <m/>
    <x v="0"/>
    <x v="7"/>
  </r>
  <r>
    <s v="stpatscs.com"/>
    <s v="tilde"/>
    <s v="Soft Fail"/>
    <s v="v=spf1 include:_spf.google.com ~all"/>
    <s v="yes"/>
    <x v="0"/>
    <m/>
    <m/>
    <m/>
    <x v="15"/>
    <x v="8"/>
  </r>
  <r>
    <s v="hsl.ie"/>
    <s v="minus"/>
    <s v="Fail"/>
    <s v="v=spf1 include:amazonses.com include:spf.protection.outlook.com ip4:84.39.235.25 ip4:84.39.235.30 ip4:95.45.223.10/32 ip4:158.255.228.72/29 ip4:157.96.36.176/28 ip4:195.14.68.113 ip4:83.166.177.33/29 ip4:157.96.42.241/29 include:_spf.salesforce.com i&quot; &quot;nclude:spf.topsec.com -all"/>
    <s v="yes"/>
    <x v="1"/>
    <s v="v=DMARC1; p=quarantine; rua=mailto:dmarc.reports@hsl.ie; ruf=mailto:dmarc.reports@hsl.ie; fo=1; aspf=r;"/>
    <m/>
    <m/>
    <x v="0"/>
    <x v="8"/>
  </r>
  <r>
    <s v="saintbrigids.ie"/>
    <s v="minus"/>
    <s v="Fail"/>
    <s v="v=spf1 a mx include:_spf.google.com -all"/>
    <m/>
    <x v="2"/>
    <s v="v=DMARC1; p=none;"/>
    <m/>
    <m/>
    <x v="0"/>
    <x v="8"/>
  </r>
  <r>
    <s v="mysticalrose.ie"/>
    <s v="minus"/>
    <s v="Fail"/>
    <s v="v=spf1 +a +mx +ip4:78.137.164.103 +ip4:185.43.232.185 +include:spf.protection.outlook.com -all"/>
    <s v="yes"/>
    <x v="0"/>
    <m/>
    <m/>
    <m/>
    <x v="7"/>
    <x v="8"/>
  </r>
  <r>
    <s v="lakesnursinghome.com"/>
    <s v="no"/>
    <s v="Not found"/>
    <m/>
    <m/>
    <x v="0"/>
    <m/>
    <m/>
    <m/>
    <x v="9"/>
    <x v="8"/>
  </r>
  <r>
    <s v="islamireland.ie"/>
    <s v="tilde"/>
    <s v="Soft Fail"/>
    <s v="v=spf1 ip4:178.79.170.171 ip6:2a01:7e00::f03c:91ff:fe73:28a9 include:_spf.google.com include:spf.protection.outlook.com ~all"/>
    <m/>
    <x v="0"/>
    <m/>
    <m/>
    <m/>
    <x v="0"/>
    <x v="9"/>
  </r>
  <r>
    <s v="corketb.ie"/>
    <s v="minus"/>
    <s v="Fail"/>
    <s v="v=spf1 include:spf.protection.outlook.com Include:spf.dcsnet.ie ip4:78.153.208.244 ip4:193.178.97.237/32 ip4:193.1.31.2/32 ip4:91.210.232.152 ip4:193.120.143.138 a:mail.esat-x.com ip4:193.120.143.134 a:mail01.mail.esat-x.com ip4:193.120.143.70 a:mail02.ma&quot; &quot;il.esat-x.com ip4:193.120.142.176 a:mail03.mail.esat-x.com a:mail04.mail.esat-x.com -all"/>
    <s v="yes"/>
    <x v="3"/>
    <s v="v=DMARC1;p=reject;sp=reject;rua=mailto:211a5a2e44@rua.easydmarc.eu;ruf=mailto:211a5a2e44@ruf.easydmarc.eu;fo=1"/>
    <m/>
    <m/>
    <x v="1"/>
    <x v="10"/>
  </r>
  <r>
    <s v="gaa.ie"/>
    <s v="tilde"/>
    <s v="Soft Fail"/>
    <s v="v=spf1 include:spf.protection.outlook.com ip4:212.78.241.41 ip4:89.185.145.185 ip4:194.46.129.99 ip4:52.213.128.155 ip4:212.108.93.10 ip4:192.254.118.86 ip4:84.23.11.0/27 ip4:92.51.245.37 ip4:205.201.128.0/20 ip4:198.2.128.0/18 ip4:148.105.8.0/21 ip4:216.&quot; &quot;34.99.11/32 ip4:216.34.99.12/30 ip4:216.34.99.16/30 ip4:46.22.142.67 include:_spf.createsend.com include:mail.zendesk.com include:_spf.emailcampaigns.net include:spf.zoho.eu ~all"/>
    <s v="yes"/>
    <x v="1"/>
    <s v="v=DMARC1; p=quarantine; sp=quarantine; rua=mailto:dmarc_agg@vali.email;"/>
    <m/>
    <m/>
    <x v="0"/>
    <x v="10"/>
  </r>
  <r>
    <s v="hea.ie"/>
    <s v="minus"/>
    <s v="Fail"/>
    <s v="v=spf1 ip4:193.1.200.58 include:spf.protection.outlook.com -all"/>
    <s v="yes"/>
    <x v="3"/>
    <s v="v=DMARC1; p=reject; pct=25; rua=mailto:dmarc.agg.reports@hea.ie,mailto:0af754660aa7778@rep.dmarcanalyzer.com; ruf=mailto:dmarc.for.reports@hea.ie,mailto:0af754660aa7778@for.dmarcanalyzer.com; rf=afrf; sp=reject; adkim=s; aspf=s; fo=0:1:d:s"/>
    <m/>
    <m/>
    <x v="0"/>
    <x v="10"/>
  </r>
  <r>
    <s v="iob.ie"/>
    <s v="minus"/>
    <s v="Fail"/>
    <s v="v=spf1 ip4:193.1.10.82 include:spf.protection.outlook.com include:_spf.123formbuilder.com -all"/>
    <s v="yes"/>
    <x v="0"/>
    <m/>
    <m/>
    <m/>
    <x v="0"/>
    <x v="10"/>
  </r>
  <r>
    <s v="creditunion.ie"/>
    <s v="minus"/>
    <s v="Fail"/>
    <s v="v=spf1 a mx:creditunion.ie ip4:149.72.180.197 ip4:80.93.18.146 include:sendgrid.net include:spf.protection.outlook.com include:spf.newsletter.ie include:_spf.intacct.com -all"/>
    <s v="yes"/>
    <x v="1"/>
    <s v="v=DMARC1; p=quarantine; rua=mailto:alerts@creditunion.ie; ruf=mailto:alerts@creditunion.ie; fo=1; pct=100"/>
    <m/>
    <m/>
    <x v="0"/>
    <x v="10"/>
  </r>
  <r>
    <s v="adecco.ie"/>
    <s v="tilde"/>
    <s v="Soft Fail"/>
    <s v="v=spf1 include:adecco.net ~all"/>
    <s v="yes"/>
    <x v="2"/>
    <s v="v=DMARC1; p=none; rua=mailto:2cd9750f0d9c816@rep.dmarcanalyzer.com; ruf=mailto:2cd9750f0d9c816@for.dmarcanalyzer.com; fo=1;"/>
    <m/>
    <m/>
    <x v="0"/>
    <x v="10"/>
  </r>
  <r>
    <s v="brightwater.ie"/>
    <s v="tilde"/>
    <s v="Soft Fail"/>
    <s v="v=spf1 ip4:5.149.175.214 ip4:185.151.30.139 ip4:23.21.122.59 ip4:217.173.110.138 ip4:80.169.137.178 ip4:80.169.42.78 include:spf.protection.outlook.com include:spf.stackmail.com include:_spf.bullhornmail.com ~all"/>
    <m/>
    <x v="2"/>
    <s v="v=DMARC1; p=none;"/>
    <m/>
    <m/>
    <x v="0"/>
    <x v="10"/>
  </r>
  <r>
    <s v="hastings.ie"/>
    <s v="minus"/>
    <s v="Fail"/>
    <s v="v=spf1 include:spf.hastings.ie include:spf.protection.outlook.com include:appliedexch.co.uk include:27003876.spf10.hubspotemail.net -all"/>
    <s v="yes"/>
    <x v="1"/>
    <s v="v=DMARC1; p=quarantine; pct=100; rua=mailto:dmarc@zenotec.ie; ruf=mailto:dmarc@zenotec.ie; fo=1"/>
    <m/>
    <m/>
    <x v="7"/>
    <x v="10"/>
  </r>
  <r>
    <s v="sinnfein.ie"/>
    <s v="tilde"/>
    <s v="Soft Fail"/>
    <s v="v=spf1 include:_spf.google.com ~all"/>
    <s v="yes"/>
    <x v="0"/>
    <m/>
    <m/>
    <m/>
    <x v="0"/>
    <x v="10"/>
  </r>
  <r>
    <s v="mandate.ie"/>
    <s v="tilde"/>
    <s v="Soft Fail"/>
    <s v="v=spf1 ip4:89.101.215.114 ip4:83.70.148.21 ip4:54.229.15.170 ip4:54.229.15.217 include:spf.protection.outlook.com ~all"/>
    <s v="yes"/>
    <x v="2"/>
    <s v="v=DMARC1;p=none;sp=none;adkim=r;aspf=r;pct=100;fo=0;rf=afrf;ri=86400;rua=mailto:dmarc@mandate.ie;ruf=mailto:dmarc@mandate.ie"/>
    <m/>
    <m/>
    <x v="10"/>
    <x v="10"/>
  </r>
  <r>
    <s v="shamrockgiftcompany.com"/>
    <s v="tilde"/>
    <s v="Soft Fail"/>
    <s v="v=spf1 include:_u.shamrockgiftcompany.com._spf.smart.ondmarc.com ~all"/>
    <s v="yes"/>
    <x v="3"/>
    <s v="v=DMARC1; p=reject; pct=100; sp=none; rua=mailto:c63b3432@inbox.ondmarc.com; ruf=mailto:c63b3432@inbox.ondmarc.com; adkim=r; aspf=r; fo=1; rf=afrf; ri=3600"/>
    <m/>
    <m/>
    <x v="0"/>
    <x v="10"/>
  </r>
  <r>
    <s v="arcbar.net"/>
    <s v="no"/>
    <s v="Not found"/>
    <m/>
    <m/>
    <x v="0"/>
    <m/>
    <m/>
    <m/>
    <x v="0"/>
    <x v="10"/>
  </r>
  <r>
    <s v="gibneys.com"/>
    <s v="tilde"/>
    <s v="Soft Fail"/>
    <s v="v=spf1 include:spf.reg365.net ~all"/>
    <m/>
    <x v="0"/>
    <m/>
    <m/>
    <m/>
    <x v="0"/>
    <x v="10"/>
  </r>
  <r>
    <s v="theturkshead.ie"/>
    <s v="no"/>
    <s v="Not found"/>
    <m/>
    <m/>
    <x v="0"/>
    <m/>
    <m/>
    <m/>
    <x v="0"/>
    <x v="10"/>
  </r>
  <r>
    <s v="huntsmaninn.com"/>
    <s v="no"/>
    <s v="Not found"/>
    <m/>
    <m/>
    <x v="0"/>
    <m/>
    <m/>
    <m/>
    <x v="7"/>
    <x v="10"/>
  </r>
  <r>
    <s v="judgeroybeans.ie"/>
    <s v="minus"/>
    <s v="Fail"/>
    <s v="v=spf1 +mx +a include:relay.mailchannels.net include:spf.protection.outlook.com -all"/>
    <m/>
    <x v="0"/>
    <m/>
    <m/>
    <m/>
    <x v="16"/>
    <x v="10"/>
  </r>
  <r>
    <s v="folens.ie"/>
    <s v="mis"/>
    <s v="Invalid SPF Syntax"/>
    <s v="v=spf1 redirect=36n6flym._spf._d.mim.ec"/>
    <s v="yes"/>
    <x v="2"/>
    <s v="v=DMARC1; p=none; rua=mailto:54a376bb9d9a811@rep.dmarcanalyzer.com; ruf=mailto:54a376bb9d9a811@for.dmarcanalyzer.com; fo=1;"/>
    <m/>
    <m/>
    <x v="0"/>
    <x v="10"/>
  </r>
  <r>
    <s v="thestar.ie"/>
    <s v="tilde"/>
    <s v="Soft Fail"/>
    <s v="v=spf1 mx a ip4:89.101.141.133/32 ip4:83.71.187.128/25 include:servers.mcsv.net include:spf.protection.outlook.com include:_spf.google.com ~all"/>
    <s v="yes"/>
    <x v="0"/>
    <m/>
    <m/>
    <m/>
    <x v="0"/>
    <x v="10"/>
  </r>
  <r>
    <s v="ria.ie"/>
    <s v="minus"/>
    <s v="Fail"/>
    <s v="v=spf1 a include:_spf.google.com include:_spf.salesforce.com include:spf.protection.outlook.com ip4:104.18.25.107 ip4:104.18.24.107 -all"/>
    <s v="yes"/>
    <x v="2"/>
    <s v="v=DMARC1; p=none; rua=mailto:vsihdl8e@ag.eu.dmarcian.com, mailto:dmarc@ria.ie"/>
    <m/>
    <m/>
    <x v="0"/>
    <x v="10"/>
  </r>
  <r>
    <s v="smithandwilliamson.com"/>
    <s v="minus"/>
    <s v="Fail"/>
    <s v="v=spf1 ip4:51.140.55.43 ip4:52.142.188.230 ip4:213.212.85.72 ip4:89.206.230.178 ip4:94.236.83.186 ip4:205.201.135.18 ip4:198.2.183.130 ip4:51.140.37.132 ip4:51.141.5.228 include:emailsrvr.com include:sent-via.netsuite.com include:spf.protection.outlook.co&quot; &quot;m -all"/>
    <s v="yes"/>
    <x v="3"/>
    <s v="v=DMARC1; p=reject; rua=mailto:rbfhjr9g@ag.eu.dmarcian.com"/>
    <m/>
    <m/>
    <x v="0"/>
    <x v="10"/>
  </r>
  <r>
    <s v="waterman-moylan.ie"/>
    <s v="minus"/>
    <s v="Fail"/>
    <s v="v=spf1 a include:spf.protection.outlook.com ip4:78.153.223.185 -all"/>
    <s v="yes"/>
    <x v="2"/>
    <s v="v=DMARC1;p=none;sp=none;rua=mailto:211a5a2e44@rua.easydmarc.eu;ruf=mailto:211a5a2e44@ruf.easydmarc.eu;fo=1"/>
    <m/>
    <m/>
    <x v="0"/>
    <x v="10"/>
  </r>
  <r>
    <s v="exyte.net"/>
    <s v="minus"/>
    <s v="Fail"/>
    <s v="v=spf1 ip4:98.67.210.56 ip4:83.125.118.202 ip4:62.209.53.67 ip4:62.180.26.76 ip4:158.177.171.75 include:emailsrvr.com include:_spf.papirfly.net include:successfactors.eu include:spf.planoncloud.com include:spf.protection.outlook.com include:_spf.mailout.m&quot; &quot;ms-support.de -all"/>
    <s v="yes"/>
    <x v="2"/>
    <s v="v=DMARC1; p=none; rua=mailto:b30a3b28cf9f235@rep.dmarcanalyzer.com; ruf=mailto:b30a3b28cf9f235@for.dmarcanalyzer.com; sp=none; fo=1"/>
    <m/>
    <m/>
    <x v="16"/>
    <x v="10"/>
  </r>
  <r>
    <s v="zehnacker.ie"/>
    <s v="tilde"/>
    <s v="Soft Fail"/>
    <s v="v=spf1 include:_spf.google.com ~all"/>
    <s v="yes"/>
    <x v="3"/>
    <s v="v=DMARC1; p=reject;"/>
    <m/>
    <m/>
    <x v="16"/>
    <x v="10"/>
  </r>
  <r>
    <s v="patentsoffice.ie"/>
    <s v="minus"/>
    <s v="Fail"/>
    <s v="v=spf1 -all"/>
    <m/>
    <x v="3"/>
    <s v="v=DMARC1; p=reject; pct=100; fo=1; ri=3600; rua=mailto:bfa65a29@inbox.ondmarc.com; ruf=mailto:bfa65a29@inbox.ondmarc.com;"/>
    <m/>
    <m/>
    <x v="17"/>
    <x v="10"/>
  </r>
  <r>
    <s v="greenstar.ie"/>
    <s v="tilde"/>
    <s v="Soft Fail"/>
    <s v="v=spf1 include:spf.protection.outlook.com include:spf.eu.exclaimer.net include:%{ir}.%{v}.%{d}.spf.has.pphosted.com ~all"/>
    <m/>
    <x v="2"/>
    <s v="v=DMARC1; p=none; fo=1; rua=mailto:dmarc_rua@emaildefense.proofpoint.com; ruf=mailto:dmarc_ruf@emaildefense.proofpoint.com"/>
    <m/>
    <m/>
    <x v="0"/>
    <x v="10"/>
  </r>
  <r>
    <s v="werswaste.ie"/>
    <s v="tilde"/>
    <s v="Soft Fail"/>
    <s v="v=spf1 include:spf.protection.outlook.com include:spf.eu.exclaimer.net include:%{ir}.%{v}.%{d}.spf.has.pphosted.com ~all"/>
    <s v="yes"/>
    <x v="2"/>
    <s v="v=DMARC1; p=none; fo=1; rua=mailto:dmarc_rua@emaildefense.proofpoint.com; ruf=mailto:dmarc_ruf@emaildefense.proofpoint.com"/>
    <m/>
    <m/>
    <x v="7"/>
    <x v="10"/>
  </r>
  <r>
    <s v="ryanhanley.ie"/>
    <s v="minus"/>
    <s v="Fail"/>
    <s v="v=spf1 ip4:109.106.104.58 ip4:109.106.104.59 include:spf.protection.outlook.com -all"/>
    <s v="yes"/>
    <x v="3"/>
    <s v="v=DMARC1;p=reject;sp=reject;pct=100;rua=mailto:it.services@ryanhanley.ie;ruf=mailto:it.services@ryanhanley.ie;ri=86400;aspf=r;adkim=r;fo=1;"/>
    <m/>
    <m/>
    <x v="7"/>
    <x v="10"/>
  </r>
  <r>
    <s v="jonscivil.ie"/>
    <s v="minus"/>
    <s v="Fail"/>
    <s v="v=spf1 include:spf.protection.outlook.com -all"/>
    <s v="yes"/>
    <x v="2"/>
    <s v="v=DMARC1; p=none; rua=mailto:dmarc@jonscivil.ie; ruf=mailto:dmarc@jonscivil.ie; fo=1;"/>
    <m/>
    <m/>
    <x v="15"/>
    <x v="10"/>
  </r>
  <r>
    <s v="clonmelent.com"/>
    <s v="minus"/>
    <s v="Fail"/>
    <s v="v=spf1 ip4:89.204.209.180 include:spf.protection.outlook.com include:spf-eu.emailsignatures365.com -all"/>
    <s v="yes"/>
    <x v="3"/>
    <s v="v=DMARC1;p=reject;rua=mailto:mprice@clonmelent.com;ruf=mailto:mprice@clonmelent.com"/>
    <m/>
    <m/>
    <x v="16"/>
    <x v="10"/>
  </r>
  <r>
    <s v="worldnetpayments.com"/>
    <s v="no"/>
    <s v="Not found"/>
    <m/>
    <m/>
    <x v="0"/>
    <m/>
    <m/>
    <m/>
    <x v="0"/>
    <x v="10"/>
  </r>
  <r>
    <s v="cooleydistillery.com"/>
    <s v="no"/>
    <s v="Not found"/>
    <m/>
    <m/>
    <x v="0"/>
    <m/>
    <m/>
    <m/>
    <x v="2"/>
    <x v="10"/>
  </r>
  <r>
    <s v="swillygroup.com"/>
    <s v="tilde"/>
    <s v="Soft Fail"/>
    <s v="v=spf1 +a +mx include:swillygroup.com.spf.auto.dnssmarthost.net ~all"/>
    <s v="yes"/>
    <x v="2"/>
    <s v="v=DMARC1; p=none; aspf=r; adkim=r;"/>
    <m/>
    <m/>
    <x v="6"/>
    <x v="10"/>
  </r>
  <r>
    <s v="haroldeng.ie"/>
    <s v="minus"/>
    <s v="Fail"/>
    <s v="v=spf1 mx a include:spf.protection.outlook.com  a:cato1.haroldeng.ie a:cato2.haroldeng.ie a:wan1.haroldeng.ie  -all"/>
    <s v="yes"/>
    <x v="0"/>
    <m/>
    <m/>
    <m/>
    <x v="7"/>
    <x v="10"/>
  </r>
  <r>
    <s v="pomaritime.com"/>
    <s v="minus"/>
    <s v="Fail"/>
    <s v="v=spf1 ip4:151.253.32.100 include:spf.protection.outlook.com include:spf.UAE.exclaimer.net include:spf_c.oraclecloud.com include:spfa.cpmails.com -all"/>
    <s v="yes"/>
    <x v="1"/>
    <s v="v=DMARC1; p=quarantine; pct=100; fo=1; rua=mailto:testsp@pomaritime.com;ruf=mailto:testsp@pomaritime.com;adkim=s; aspf=s"/>
    <m/>
    <m/>
    <x v="7"/>
    <x v="10"/>
  </r>
  <r>
    <s v="aqssolutions.ie"/>
    <s v="minus"/>
    <s v="Fail"/>
    <s v="v=spf1 ip4:89.184.56.32 include:servers.mcsv.net include:spf.protection.outlook.com -all"/>
    <s v="yes"/>
    <x v="0"/>
    <m/>
    <m/>
    <m/>
    <x v="17"/>
    <x v="10"/>
  </r>
  <r>
    <s v="bretland.ie"/>
    <s v="minus"/>
    <s v="Fail"/>
    <s v="v=spf1 ip4:212.126.59.52 ip4:51.75.186.21 include:spf.protection.outlook.com -all"/>
    <s v="yes"/>
    <x v="2"/>
    <s v="v=DMARC1; p=none;"/>
    <m/>
    <m/>
    <x v="21"/>
    <x v="10"/>
  </r>
  <r>
    <s v="advancecleaners.ie"/>
    <s v="minus"/>
    <s v="Fail"/>
    <s v="v=spf1 include:spf.protection.outlook.com -all"/>
    <m/>
    <x v="2"/>
    <s v="v=DMARC1; p=none"/>
    <m/>
    <m/>
    <x v="3"/>
    <x v="10"/>
  </r>
  <r>
    <s v="corribgas.com"/>
    <s v="minus"/>
    <s v="Fail"/>
    <s v="v=spf1 include:_spf.shell.com include:spf.protection.outlook.com -all"/>
    <s v="yes"/>
    <x v="1"/>
    <s v="v=DMARC1; p=quarantine; sp=reject; fo=1; pct=100; ruf=mailto:SITI-Cyberdefence-DMARC-Analysis@shell.com; rua=mailto:SITI-Cyberdefence-DMARC-Analysis@shell.com"/>
    <m/>
    <m/>
    <x v="0"/>
    <x v="10"/>
  </r>
  <r>
    <s v="sligosouthernhotel.ie"/>
    <s v="minus"/>
    <s v="Fail"/>
    <s v="v=spf1 include:spf.protection.outlook.com include:netaffinity.net -all"/>
    <m/>
    <x v="0"/>
    <m/>
    <m/>
    <m/>
    <x v="8"/>
    <x v="10"/>
  </r>
  <r>
    <s v="brltd.ie"/>
    <s v="minus"/>
    <s v="Fail"/>
    <s v="v=spf1 ip4:178.250.112.162 ip4:31.193.222.107 ip4:31.193.216.138 ip4:51.104.182.221 include:spf.protection.outlook.com include:spf.exclaimer.net include:spf.spark.co.uk include:spf.smtp2go.com include:spf2.accessacloud.com -all"/>
    <s v="yes"/>
    <x v="1"/>
    <s v="v=DMARC1; p=quarantine"/>
    <m/>
    <m/>
    <x v="0"/>
    <x v="10"/>
  </r>
  <r>
    <s v="dcc.ie"/>
    <s v="minus"/>
    <s v="Fail"/>
    <s v="v=spf1 include:spf.protection.outlook.com include:spf.exclaimer.net include:eu._netblocks.mimecast.com include:33fae9.workshop-spf.net include:spfa.cpmails.com ip4:130.214.193.85 ip4:54.154.155.148 ip4:149.72.175.120 ip4:93.158.205.135 ip4:94.236.52.134 i&quot; &quot;p4:94.236.52.140 ip4:94.236.52.134 ip4:192.254.120.230 ip4:4.245.247.234 ip4:98.71.77.91 -all"/>
    <s v="yes"/>
    <x v="3"/>
    <s v="v=DMARC1; p=reject; rua=mailto:support@dcc.ie,mailto:dmarc_agg@vali.email; ruf=mailto:support@dcc.ie; sp=none; ri=86400"/>
    <m/>
    <m/>
    <x v="0"/>
    <x v="10"/>
  </r>
  <r>
    <s v="jpryan.ie"/>
    <s v="minus"/>
    <s v="Fail"/>
    <s v="v=spf1 a include:spf.protection.outlook.com -all"/>
    <m/>
    <x v="0"/>
    <m/>
    <m/>
    <m/>
    <x v="0"/>
    <x v="10"/>
  </r>
  <r>
    <s v="jryanhaulage.ie"/>
    <s v="tilde"/>
    <s v="Soft Fail"/>
    <s v="v=spf1 +a +mx +include:spf.myhost.ie ~all"/>
    <s v="yes"/>
    <x v="2"/>
    <s v="v=DMARC1; p=none;"/>
    <m/>
    <m/>
    <x v="3"/>
    <x v="10"/>
  </r>
  <r>
    <s v="chartermedical.ie"/>
    <s v="minus"/>
    <s v="Fail"/>
    <s v="v=spf1 include:spf.protection.outlook.com ip4:84.203.225.142 include:mailgun.org include:spf.topsec.com -all"/>
    <s v="yes"/>
    <x v="3"/>
    <s v="v=DMARC1;p=reject;sp=reject;pct=100;rua=mailto:ed324e1168@rua.easydmarc.eu,mailto:dmarc@chartermedical.ie;ruf=mailto:ed324e1168@ruf.easydmarc.eu,mailto:dmarc@chartermedical.ie;ri=3600;aspf=r;adkim=r;fo=1"/>
    <m/>
    <m/>
    <x v="0"/>
    <x v="10"/>
  </r>
  <r>
    <s v="sims.ie"/>
    <s v="minus"/>
    <s v="Fail"/>
    <s v="v=spf1 ip4:203.52.166.225 ip4:54.153.131.110 ip4:54.66.252.242 ip4:87.232.49.106 include:spf.protection.outlook.com include:spf-00515701.pphosted.com include:_spf.salesforce.com include:spf1.formassembly.com include:sendgrid.net -all"/>
    <m/>
    <x v="2"/>
    <s v="v=DMARC1; p=none; fo=1; rua=mailto:dmarc_rua@emaildefense.proofpoint.com; ruf=mailto:dmarc_ruf@emaildefense.proofpoint.com"/>
    <m/>
    <m/>
    <x v="0"/>
    <x v="10"/>
  </r>
  <r>
    <s v="tullowcommunityschool.ie"/>
    <s v="minus"/>
    <s v="Fail"/>
    <s v="v=spf1 include:spf.protection.outlook.com -all"/>
    <m/>
    <x v="0"/>
    <m/>
    <m/>
    <m/>
    <x v="25"/>
    <x v="10"/>
  </r>
  <r>
    <s v="bailieborocs.ie"/>
    <s v="minus"/>
    <s v="Fail"/>
    <s v="v=spf1 include:spf.protection.outlook.com -all"/>
    <s v="yes"/>
    <x v="3"/>
    <s v="v=DMARC1; p=reject; rua=mailto:dmarcsupport@bailieborocs.ie"/>
    <m/>
    <m/>
    <x v="11"/>
    <x v="10"/>
  </r>
  <r>
    <s v="stpatrickscomprehensive.ie"/>
    <s v="no"/>
    <s v="Not found"/>
    <m/>
    <m/>
    <x v="0"/>
    <m/>
    <m/>
    <m/>
    <x v="9"/>
    <x v="10"/>
  </r>
  <r>
    <s v="clonakiltycc.ie"/>
    <s v="minus"/>
    <s v="Fail"/>
    <s v="v=spf1 ip4:207.55.255.4 include:spf.dcsnet.ie include:spf.protection.outlook.com -all"/>
    <m/>
    <x v="0"/>
    <m/>
    <m/>
    <m/>
    <x v="1"/>
    <x v="10"/>
  </r>
  <r>
    <s v="mayfieldcs.ie"/>
    <s v="minus"/>
    <s v="Fail"/>
    <s v="v=spf1 include:spf.protection.outlook.com -all"/>
    <m/>
    <x v="0"/>
    <m/>
    <m/>
    <m/>
    <x v="1"/>
    <x v="10"/>
  </r>
  <r>
    <s v="smgsblarney.ie"/>
    <s v="minus"/>
    <s v="Fail"/>
    <s v="v=spf1 include:spf.protection.outlook.com -all"/>
    <m/>
    <x v="0"/>
    <m/>
    <m/>
    <m/>
    <x v="1"/>
    <x v="10"/>
  </r>
  <r>
    <s v="ccbs.ie"/>
    <s v="minus"/>
    <s v="Fail"/>
    <s v="v=spf1 include:spf.protection.outlook.com -all"/>
    <m/>
    <x v="0"/>
    <m/>
    <m/>
    <m/>
    <x v="6"/>
    <x v="10"/>
  </r>
  <r>
    <s v="errigalcollege.ie"/>
    <s v="minus"/>
    <s v="Fail"/>
    <s v="v=spf1 +a +mx -all +a:web16.webcore.cloud"/>
    <m/>
    <x v="0"/>
    <m/>
    <m/>
    <m/>
    <x v="6"/>
    <x v="10"/>
  </r>
  <r>
    <s v="loretomilford.com"/>
    <s v="tilde"/>
    <s v="Soft Fail"/>
    <s v="v=spf1 a include:spf.blacknight.ie  ~all"/>
    <m/>
    <x v="0"/>
    <m/>
    <m/>
    <m/>
    <x v="6"/>
    <x v="10"/>
  </r>
  <r>
    <s v="sainteunans.com"/>
    <s v="no"/>
    <s v="Not found"/>
    <m/>
    <m/>
    <x v="0"/>
    <m/>
    <m/>
    <m/>
    <x v="6"/>
    <x v="10"/>
  </r>
  <r>
    <s v="cus.ie"/>
    <s v="minus"/>
    <s v="Fail"/>
    <s v="v=spf1 include:spf.protection.outlook.com -all"/>
    <s v="yes"/>
    <x v="1"/>
    <s v="v=DMARC1; p=quarantine; rua=mailto:mail-monitor@cus.ie"/>
    <m/>
    <m/>
    <x v="0"/>
    <x v="10"/>
  </r>
  <r>
    <s v="loretothegreen.ie"/>
    <s v="tilde"/>
    <s v="Soft Fail"/>
    <s v="v=spf1 include:_spf.google.com ~all"/>
    <s v="yes"/>
    <x v="3"/>
    <s v="v=DMARC1; p=reject; rua=mailto:DMARC@loretothegreen.ie; ruf=mailto:DMARC@loretothegreen.ie; pct=100; fo=0; adkim=s; aspf=s;"/>
    <m/>
    <m/>
    <x v="0"/>
    <x v="10"/>
  </r>
  <r>
    <s v="loretofoxrock.ie"/>
    <s v="minus"/>
    <s v="Fail"/>
    <s v="v=spf1 include:spf.protection.outlook.com -all"/>
    <s v="yes"/>
    <x v="2"/>
    <s v="v=DMARC1; p=none;"/>
    <m/>
    <m/>
    <x v="0"/>
    <x v="10"/>
  </r>
  <r>
    <s v="manorhouseschool.com"/>
    <s v="minus"/>
    <s v="Fail"/>
    <s v="v=spf1 ip4:89.101.195.202 a:fep14.mx.upcmail.net include:spf.protection.outlook.com -all"/>
    <m/>
    <x v="0"/>
    <m/>
    <m/>
    <m/>
    <x v="0"/>
    <x v="10"/>
  </r>
  <r>
    <s v="mountanville.ie"/>
    <s v="minus"/>
    <s v="Fail"/>
    <s v="v=spf1 ip4:87.38.24.6 include:ptr.edu.ie include:spf.protection.outlook.com -all"/>
    <m/>
    <x v="0"/>
    <m/>
    <m/>
    <m/>
    <x v="0"/>
    <x v="10"/>
  </r>
  <r>
    <s v="pcd07.ie"/>
    <s v="no"/>
    <s v="Not found"/>
    <m/>
    <s v="yes"/>
    <x v="0"/>
    <m/>
    <m/>
    <m/>
    <x v="0"/>
    <x v="10"/>
  </r>
  <r>
    <s v="stlouishighschool.ie"/>
    <s v="minus"/>
    <s v="Fail"/>
    <s v="v=spf1 include:spf.protection.outlook.com -all"/>
    <m/>
    <x v="0"/>
    <m/>
    <m/>
    <m/>
    <x v="0"/>
    <x v="10"/>
  </r>
  <r>
    <s v="tiernans.ie"/>
    <s v="tilde"/>
    <s v="Soft Fail"/>
    <s v="v=spf1 include:_spf.google.com ~all"/>
    <m/>
    <x v="0"/>
    <m/>
    <m/>
    <m/>
    <x v="0"/>
    <x v="10"/>
  </r>
  <r>
    <s v="galwaycc.ie"/>
    <s v="no"/>
    <s v="Not found"/>
    <m/>
    <m/>
    <x v="0"/>
    <m/>
    <m/>
    <m/>
    <x v="7"/>
    <x v="10"/>
  </r>
  <r>
    <s v="gortcs.com"/>
    <s v="minus"/>
    <s v="Fail"/>
    <s v="v=spf1 include:spf.protection.outlook.com -all"/>
    <s v="yes"/>
    <x v="1"/>
    <s v="v=DMARC1; p=quarantine; rua=mailto:DMARC@gortcs.com;"/>
    <m/>
    <m/>
    <x v="7"/>
    <x v="10"/>
  </r>
  <r>
    <s v="presheadford.ie"/>
    <s v="no"/>
    <s v="Not found"/>
    <m/>
    <m/>
    <x v="0"/>
    <m/>
    <m/>
    <m/>
    <x v="7"/>
    <x v="10"/>
  </r>
  <r>
    <s v="salerno.ie"/>
    <s v="no"/>
    <s v="Not found"/>
    <m/>
    <m/>
    <x v="0"/>
    <m/>
    <m/>
    <m/>
    <x v="7"/>
    <x v="10"/>
  </r>
  <r>
    <s v="causewaycs.ie"/>
    <s v="minus"/>
    <s v="Fail"/>
    <s v="v=spf1 include:spf.protection.outlook.com -all"/>
    <m/>
    <x v="0"/>
    <m/>
    <m/>
    <m/>
    <x v="14"/>
    <x v="10"/>
  </r>
  <r>
    <s v="tarbertcomprehensive.ie"/>
    <s v="tilde"/>
    <s v="Soft Fail"/>
    <s v="v=spf1 +a +mx +a:ukm30.siteground.biz  include:tarbertcomprehensive.ie.spf.auto.dnssmarthost.net ~all"/>
    <s v="yes"/>
    <x v="2"/>
    <s v="v=DMARC1; p=none; aspf=r; adkim=r;"/>
    <m/>
    <m/>
    <x v="14"/>
    <x v="10"/>
  </r>
  <r>
    <s v="ardscoil.ie"/>
    <s v="no"/>
    <s v="Not found"/>
    <m/>
    <m/>
    <x v="0"/>
    <m/>
    <m/>
    <m/>
    <x v="16"/>
    <x v="10"/>
  </r>
  <r>
    <s v="ktcs.ie"/>
    <s v="no"/>
    <s v="Not found"/>
    <m/>
    <m/>
    <x v="0"/>
    <m/>
    <m/>
    <m/>
    <x v="16"/>
    <x v="10"/>
  </r>
  <r>
    <s v="loretokk.ie"/>
    <s v="question"/>
    <s v="Neutral"/>
    <s v="v=spf1 mx a ip4:77.104.140.175 a:c20173.sgvps.net ?all"/>
    <s v="yes"/>
    <x v="0"/>
    <m/>
    <m/>
    <m/>
    <x v="17"/>
    <x v="10"/>
  </r>
  <r>
    <s v="desmondcollege.ie"/>
    <s v="minus"/>
    <s v="Fail"/>
    <s v="v=spf1 include:spf.protection.outlook.com -all"/>
    <s v="yes"/>
    <x v="0"/>
    <m/>
    <m/>
    <m/>
    <x v="5"/>
    <x v="10"/>
  </r>
  <r>
    <s v="thomondcommunitycollege.ie"/>
    <s v="no"/>
    <s v="Not found"/>
    <m/>
    <m/>
    <x v="0"/>
    <m/>
    <m/>
    <m/>
    <x v="5"/>
    <x v="10"/>
  </r>
  <r>
    <s v="scoilmhuirelongford.ie"/>
    <s v="minus"/>
    <s v="Fail"/>
    <s v="v=spf1 include:spf.protection.outlook.com -all"/>
    <m/>
    <x v="0"/>
    <m/>
    <m/>
    <m/>
    <x v="20"/>
    <x v="10"/>
  </r>
  <r>
    <s v="ardeecommunityschool.ie"/>
    <s v="minus"/>
    <s v="Fail"/>
    <s v="v=spf1 include:spf.protection.outlook.com -all"/>
    <m/>
    <x v="0"/>
    <m/>
    <m/>
    <m/>
    <x v="2"/>
    <x v="10"/>
  </r>
  <r>
    <s v="ballinrobecommunityschool.ie"/>
    <s v="no"/>
    <s v="Not found"/>
    <m/>
    <m/>
    <x v="0"/>
    <m/>
    <m/>
    <m/>
    <x v="4"/>
    <x v="10"/>
  </r>
  <r>
    <s v="stmarysballina.ie"/>
    <s v="minus"/>
    <s v="Fail"/>
    <s v="v=spf1 include:spf.protection.outlook.com -all"/>
    <m/>
    <x v="0"/>
    <m/>
    <m/>
    <m/>
    <x v="4"/>
    <x v="10"/>
  </r>
  <r>
    <s v="mercynavan.ie"/>
    <s v="minus"/>
    <s v="Fail"/>
    <s v="v=spf1 include:spf.protection.outlook.com -all"/>
    <m/>
    <x v="0"/>
    <m/>
    <m/>
    <m/>
    <x v="15"/>
    <x v="10"/>
  </r>
  <r>
    <s v="bhc.ie"/>
    <s v="minus"/>
    <s v="Fail"/>
    <s v="v=spf1 include:spf.protection.outlook.com include:spf.dcsnet.ie -all"/>
    <s v="yes"/>
    <x v="3"/>
    <s v="v=DMARC1; p=reject; rua=mailto:dmarcsupport@bhc.ie"/>
    <m/>
    <m/>
    <x v="12"/>
    <x v="10"/>
  </r>
  <r>
    <s v="stnathys.com"/>
    <s v="minus"/>
    <s v="Fail"/>
    <s v="v=spf1 include:spf.protection.outlook.com -all"/>
    <m/>
    <x v="0"/>
    <m/>
    <m/>
    <m/>
    <x v="22"/>
    <x v="10"/>
  </r>
  <r>
    <s v="ursulinecollegesligo.ie"/>
    <s v="minus"/>
    <s v="Fail"/>
    <s v="v=spf1 ip4:104.248.81.172 include:spf.protection.outlook.com -all"/>
    <m/>
    <x v="0"/>
    <m/>
    <m/>
    <m/>
    <x v="8"/>
    <x v="10"/>
  </r>
  <r>
    <s v="ccr.ie"/>
    <s v="tilde"/>
    <s v="Soft Fail"/>
    <s v="v=spf1 +a +mx +ip4:91.210.235.235 include:spf.webhostingireland.ie ~all"/>
    <s v="yes"/>
    <x v="2"/>
    <s v="v=DMARC1; p=none; rua=mailto:rua@dmarc.brevo.com"/>
    <m/>
    <m/>
    <x v="13"/>
    <x v="10"/>
  </r>
  <r>
    <s v="cpr.ie"/>
    <s v="minus"/>
    <s v="Fail"/>
    <s v="v=spf1 include:spf.protection.outlook.com -all"/>
    <m/>
    <x v="0"/>
    <m/>
    <m/>
    <m/>
    <x v="13"/>
    <x v="10"/>
  </r>
  <r>
    <s v="staugustines.ie"/>
    <s v="no"/>
    <s v="Not found"/>
    <m/>
    <m/>
    <x v="0"/>
    <m/>
    <m/>
    <m/>
    <x v="10"/>
    <x v="10"/>
  </r>
  <r>
    <s v="stpaulswaterford.ie"/>
    <s v="no"/>
    <s v="Not found"/>
    <m/>
    <s v="yes"/>
    <x v="0"/>
    <m/>
    <m/>
    <m/>
    <x v="10"/>
    <x v="10"/>
  </r>
  <r>
    <s v="whs.ie"/>
    <s v="mis"/>
    <s v="Invalid SPF Syntax"/>
    <s v="v=spf1 include:spf.protection.outlook.com"/>
    <m/>
    <x v="0"/>
    <m/>
    <m/>
    <m/>
    <x v="23"/>
    <x v="10"/>
  </r>
  <r>
    <s v="bridgetowncollege.ie"/>
    <s v="minus"/>
    <s v="Fail"/>
    <s v="v=spf1 ip4:137.191.247.218 include:spf.protection.outlook.com -all"/>
    <m/>
    <x v="0"/>
    <m/>
    <m/>
    <m/>
    <x v="3"/>
    <x v="10"/>
  </r>
  <r>
    <s v="kingsbridgeprivatehospital.ie"/>
    <s v="no"/>
    <s v="Not found"/>
    <m/>
    <m/>
    <x v="0"/>
    <m/>
    <m/>
    <m/>
    <x v="8"/>
    <x v="10"/>
  </r>
  <r>
    <s v="fallshotel.ie"/>
    <s v="minus"/>
    <s v="Fail"/>
    <s v="v=spf1 a mx a:mail1.eircom.net include:spf.elive.net include:netaffinity.net include:authsmtp.com include:spf.protection.outlook.com include:sendgrid.net -all"/>
    <m/>
    <x v="0"/>
    <m/>
    <m/>
    <m/>
    <x v="9"/>
    <x v="10"/>
  </r>
  <r>
    <s v="claytonhotelcorkcity.com"/>
    <s v="no"/>
    <s v="Not found"/>
    <m/>
    <m/>
    <x v="0"/>
    <m/>
    <m/>
    <m/>
    <x v="1"/>
    <x v="10"/>
  </r>
  <r>
    <s v="midletonpark.com"/>
    <s v="minus"/>
    <s v="Fail"/>
    <s v="v=spf1 a mx include:netaffinity.net include:spf.protection.outlook.com  a:mail.mindaclient.com -all"/>
    <s v="yes"/>
    <x v="1"/>
    <s v="v=DMARC1; p=quarantine; fo=1; rua=mailto:dmarc@midletonpark.com;  ruf=mailto:dmarc@midletonpark.com; pct=100"/>
    <m/>
    <m/>
    <x v="1"/>
    <x v="10"/>
  </r>
  <r>
    <s v="blarneyhotel.ie"/>
    <s v="no"/>
    <s v="Not found"/>
    <m/>
    <m/>
    <x v="0"/>
    <m/>
    <m/>
    <m/>
    <x v="1"/>
    <x v="10"/>
  </r>
  <r>
    <s v="themetropolehotel.ie"/>
    <s v="minus"/>
    <s v="Fail"/>
    <s v="v=spf1 include:spf.protection.outlook.com include:email2.guestfolio.net ip4:83.147.183.82 ip4:78.137.139.178 ip4:62.138.231.0/25 include:guestline.net include:roomlynx.net include:netaffinity.net -all"/>
    <s v="yes"/>
    <x v="2"/>
    <s v="v=DMARC1; p=none; fo=1; rua=mailto:rua+themetropolehotel.ie@dmarc.barracudanetworks.com; ruf=mailto:ruf+themetropolehotel.ie@dmarc.barracudanetworks.com"/>
    <m/>
    <m/>
    <x v="1"/>
    <x v="10"/>
  </r>
  <r>
    <s v="thebeacon.com"/>
    <s v="no"/>
    <s v="Not found"/>
    <m/>
    <m/>
    <x v="0"/>
    <m/>
    <m/>
    <m/>
    <x v="0"/>
    <x v="10"/>
  </r>
  <r>
    <s v="trinitycityhotel.com"/>
    <s v="minus"/>
    <s v="Fail"/>
    <s v="v=spf1 include:oracleindustry.com include:spf.protection.outlook.com include:spf.mandrillapp.com include:_spf.bookassist.com -all"/>
    <s v="yes"/>
    <x v="1"/>
    <s v="v=DMARC1; p=quarantine; pct=100; rua=mailto:dmarc@trinitycityhotel.com; ruf=mailto:dmarc@trinitycityhotel.com"/>
    <m/>
    <m/>
    <x v="0"/>
    <x v="10"/>
  </r>
  <r>
    <s v="ballyseedecastle.com"/>
    <s v="minus"/>
    <s v="Fail"/>
    <s v="v=spf1 include:spf.protection.outlook.com -all"/>
    <m/>
    <x v="0"/>
    <m/>
    <m/>
    <m/>
    <x v="14"/>
    <x v="10"/>
  </r>
  <r>
    <s v="hotelkillarney.ie"/>
    <s v="minus"/>
    <s v="Fail"/>
    <s v="v=spf1 include:spf.protection.outlook.com -all"/>
    <m/>
    <x v="2"/>
    <s v="v=DMARC1; p=none; rua=mailto:cf0ef2d5d47945a58110295a02bc8648@dmarc-reports.cloudflare.net,mailto:dmarc_agg@vali.email;"/>
    <m/>
    <m/>
    <x v="14"/>
    <x v="10"/>
  </r>
  <r>
    <s v="therosehotel.com"/>
    <s v="minus"/>
    <s v="Fail"/>
    <s v="v=spf1 include:spf.protection.outlook.com include:netaffinity.net include:guestline.net include:roomlynx.net a:mail.yourdomain.com a:mail.mindaclient.com include:spf.premiersoftware.co.uk -all"/>
    <s v="yes"/>
    <x v="1"/>
    <s v="v=DMARC1; p=quarantine; pct=100; fo=1"/>
    <m/>
    <m/>
    <x v="14"/>
    <x v="10"/>
  </r>
  <r>
    <s v="castledurrow.com"/>
    <s v="minus"/>
    <s v="Fail"/>
    <s v="v=spf1 include:spf.protection.outlook.com include:netaffinity.net -all"/>
    <m/>
    <x v="0"/>
    <m/>
    <m/>
    <m/>
    <x v="18"/>
    <x v="10"/>
  </r>
  <r>
    <s v="kilmurrylodge.com"/>
    <s v="minus"/>
    <s v="Fail"/>
    <s v="\009v=spf1 include:spf.protection.outlook.com -all"/>
    <s v="yes"/>
    <x v="0"/>
    <m/>
    <m/>
    <m/>
    <x v="5"/>
    <x v="10"/>
  </r>
  <r>
    <s v="knockhousehotel.ie"/>
    <s v="minus"/>
    <s v="Fail"/>
    <s v="v=spf1 include:spf.protection.outlook.com -all"/>
    <m/>
    <x v="0"/>
    <m/>
    <m/>
    <m/>
    <x v="4"/>
    <x v="10"/>
  </r>
  <r>
    <s v="trimcastlehotel.com"/>
    <s v="minus"/>
    <s v="Fail"/>
    <s v="v=spf1 include:spf.protection.outlook.com include:email2.guestfolio.net include:netaffinity.net -all"/>
    <m/>
    <x v="0"/>
    <m/>
    <m/>
    <m/>
    <x v="15"/>
    <x v="10"/>
  </r>
  <r>
    <s v="ballykisteenhotel.com"/>
    <s v="minus"/>
    <s v="Fail"/>
    <s v="v=spf1 include:spf.protection.outlook.com -all"/>
    <m/>
    <x v="0"/>
    <m/>
    <m/>
    <m/>
    <x v="13"/>
    <x v="10"/>
  </r>
  <r>
    <s v="horseandjockeyhotel.com"/>
    <s v="minus"/>
    <s v="Fail"/>
    <s v="v=spf1 ip4:91.216.241.100 include:relay.mailchannels.net include:spf.protection.outlook.com include:netaffinity.net -all"/>
    <s v="yes"/>
    <x v="0"/>
    <m/>
    <m/>
    <m/>
    <x v="13"/>
    <x v="10"/>
  </r>
  <r>
    <s v="bloomfieldhousehotel.ie"/>
    <s v="no"/>
    <s v="Not found"/>
    <m/>
    <m/>
    <x v="0"/>
    <m/>
    <m/>
    <m/>
    <x v="23"/>
    <x v="10"/>
  </r>
  <r>
    <s v="wineport.ie"/>
    <s v="minus"/>
    <s v="Fail"/>
    <s v="v=spf1 include:spf.protection.outlook.com -all"/>
    <s v="yes"/>
    <x v="1"/>
    <s v="v=DMARC1; p=quarantine; pct=100; rua=mailto:d@rua.agari.com; ruf=mailto:d@ruf.agari.com; fo=1"/>
    <m/>
    <m/>
    <x v="23"/>
    <x v="10"/>
  </r>
  <r>
    <s v="amberspringshotel.ie"/>
    <s v="tilde"/>
    <s v="Soft Fail"/>
    <s v="v=spf1 a mx include:spf.protection.outlook.com include:netaffinity.net include:authsmtp.com ~all"/>
    <m/>
    <x v="0"/>
    <m/>
    <m/>
    <m/>
    <x v="3"/>
    <x v="10"/>
  </r>
  <r>
    <s v="maldronhotelwexford.com"/>
    <s v="no"/>
    <s v="Not found"/>
    <m/>
    <m/>
    <x v="0"/>
    <m/>
    <m/>
    <m/>
    <x v="3"/>
    <x v="10"/>
  </r>
  <r>
    <s v="millracehotel.com"/>
    <s v="no"/>
    <s v="Not found"/>
    <m/>
    <m/>
    <x v="0"/>
    <m/>
    <m/>
    <m/>
    <x v="3"/>
    <x v="10"/>
  </r>
  <r>
    <s v="parkviewhotel.ie"/>
    <s v="minus"/>
    <s v="Fail"/>
    <s v="v=spf1 include:spf.protection.outlook.com include:netaffinity.net include:mail.techosting.dk -all"/>
    <m/>
    <x v="0"/>
    <m/>
    <m/>
    <m/>
    <x v="24"/>
    <x v="10"/>
  </r>
  <r>
    <s v="dermotcasey.com"/>
    <s v="minus"/>
    <s v="Fail"/>
    <s v="v=spf1 a include:spf.blacknight.com include:spf.protection.outlook.com ip4:82.141.233.57 -all"/>
    <m/>
    <x v="2"/>
    <s v="v=DMARC1; p=none; fo=1; rua=mailto:rua+dermotcasey.com@dmarc.barracudanetworks.com; ruf=mailto:ruf+dermotcasey.com@dmarc.barracudanetworks.com"/>
    <m/>
    <m/>
    <x v="1"/>
    <x v="10"/>
  </r>
  <r>
    <s v="whitneymoore.ie"/>
    <s v="minus"/>
    <s v="Fail"/>
    <s v="v=spf1 include:_spf.createsend.com include:spf.protection.outlook.com include:ba4aab80-spf.mta.getcheckrecipient.com -all"/>
    <s v="yes"/>
    <x v="1"/>
    <s v="v=DMARC1; p=quarantine; rua=mailto:dmarc@whitneymoore.ie; ruf=mailto:dmarc@whitneymoore.ie; sp=quarantine; fo=1;"/>
    <m/>
    <m/>
    <x v="0"/>
    <x v="10"/>
  </r>
  <r>
    <s v="anglo-irish.com"/>
    <s v="minus"/>
    <s v="Fail"/>
    <s v="v=spf1 ip4:78.143.142.178 mx a:mailon.spamtitan.com include:spf.protection.outlook.com -all"/>
    <s v="yes"/>
    <x v="1"/>
    <s v="v=DMARC1; p=quarantine; rua=mailto:dmarc@mtcsolutions.ie"/>
    <m/>
    <m/>
    <x v="15"/>
    <x v="10"/>
  </r>
  <r>
    <s v="honeywell.com"/>
    <s v="minus"/>
    <s v="Fail"/>
    <s v="v=spf1 ip4:199.64.176.32/29 ip4:199.64.34.142/31 include:spf.protection.outlook.com include:mktomail.com include:_spf.salesforce.com include:spf.mandrillapp.com include:spf_c.oraclecloud.com include:_spf1.honeywell.com -all"/>
    <s v="yes"/>
    <x v="3"/>
    <s v="v=DMARC1; p=reject; sp=none; adkim=r; aspf=r; fo=1; pct=100; rf=afrf; ri=3600; rua=mailto:SVXSOARDEV@honeywell.com; ruf=mailto:SVXSOARDEV@honeywell.com"/>
    <m/>
    <m/>
    <x v="10"/>
    <x v="10"/>
  </r>
  <r>
    <s v="dennisontrailers.com"/>
    <s v="minus"/>
    <s v="Fail"/>
    <s v="v=spf1 ip4:149.13.248.73 include:spf.protection.outlook.com include:spfa.mailendo.com -all"/>
    <s v="yes"/>
    <x v="1"/>
    <s v="v=DMARC1; p=quarantine; pct=100; rua=mailto:administrator@dennisontrailers.com; ruf=mailto:administrator@dennisontrailers.com"/>
    <m/>
    <m/>
    <x v="16"/>
    <x v="10"/>
  </r>
  <r>
    <s v="stapletons.ie"/>
    <s v="tilde"/>
    <s v="Soft Fail"/>
    <s v="v=spf1 a include:spf.blacknight.ie ~all"/>
    <m/>
    <x v="0"/>
    <m/>
    <m/>
    <m/>
    <x v="13"/>
    <x v="10"/>
  </r>
  <r>
    <s v="ceramicx.com"/>
    <s v="minus"/>
    <s v="Fail"/>
    <s v="v=spf1 include:spf.protection.outlook.com include:spf-00373502.pphosted.com include:spf.mandrillapp.com include:sendersrv.com -all"/>
    <m/>
    <x v="2"/>
    <s v="v=DMARC1; p=none; fo=1; rua=mailto:1pmvbucl@ag.eu.dmarcadvisor.com,mailto:rua@nibe.se; ruf=mailto:1pmvbucl@fr.eu.dmarcadvisor.com,mailto:ruf@nibe.se"/>
    <m/>
    <m/>
    <x v="1"/>
    <x v="10"/>
  </r>
  <r>
    <s v="crowley.ie"/>
    <s v="minus"/>
    <s v="Fail"/>
    <s v="v=spf1 include:spf.protection.outlook.com -all"/>
    <m/>
    <x v="0"/>
    <m/>
    <m/>
    <m/>
    <x v="1"/>
    <x v="10"/>
  </r>
  <r>
    <s v="bertonerimarble.com"/>
    <s v="no"/>
    <s v="Not found"/>
    <m/>
    <m/>
    <x v="0"/>
    <m/>
    <m/>
    <m/>
    <x v="14"/>
    <x v="10"/>
  </r>
  <r>
    <s v="asi.ie"/>
    <s v="no"/>
    <s v="Not found"/>
    <m/>
    <m/>
    <x v="0"/>
    <m/>
    <m/>
    <m/>
    <x v="0"/>
    <x v="10"/>
  </r>
  <r>
    <s v="spectrumtelecom.ie"/>
    <s v="minus"/>
    <s v="Fail"/>
    <s v="v=spf1 include:spf.protection.outlook.com -all"/>
    <m/>
    <x v="0"/>
    <m/>
    <m/>
    <m/>
    <x v="7"/>
    <x v="10"/>
  </r>
  <r>
    <s v="swannetgundry.com"/>
    <s v="minus"/>
    <s v="Fail"/>
    <s v="v=spf1 include:spf.protection.outlook.com +include:evie.wurkservers.com  -all"/>
    <m/>
    <x v="0"/>
    <m/>
    <m/>
    <m/>
    <x v="6"/>
    <x v="10"/>
  </r>
  <r>
    <s v="cmfdistribution.com"/>
    <s v="tilde"/>
    <s v="Soft Fail"/>
    <s v="v=spf1 include:spf.protection.outlook.com a;dispatch-us.ppe-hosted.com ~all"/>
    <m/>
    <x v="2"/>
    <s v="v=DMARC1; p=none; fo=1"/>
    <m/>
    <m/>
    <x v="0"/>
    <x v="10"/>
  </r>
  <r>
    <s v="vending.ie"/>
    <s v="minus"/>
    <s v="Fail"/>
    <s v="v=spf1 ip4:212.17.52.202 ip4:213.94.224.168/29 ip4:83.70.207.60 ip4:5.134.94.2/22 include:spf.protection.outlook.com -all"/>
    <m/>
    <x v="0"/>
    <m/>
    <m/>
    <m/>
    <x v="0"/>
    <x v="10"/>
  </r>
  <r>
    <s v="techno-path.com"/>
    <s v="minus"/>
    <s v="Fail"/>
    <s v="v=spf1 include:spf.protection.outlook.com include:spf.smtp2go.com -all"/>
    <s v="yes"/>
    <x v="2"/>
    <s v="v=DMARC1; p=none;"/>
    <m/>
    <m/>
    <x v="13"/>
    <x v="10"/>
  </r>
  <r>
    <s v="henley.ie"/>
    <s v="tilde"/>
    <s v="Soft Fail"/>
    <s v="v=spf1 ip4:91.216.241.2 include:relay.mailchannels.net include:_spf_cd.spamtitan.com +a +mx +ip4:89.101.22.140 +include:spf.protection.outlook.com ~all"/>
    <m/>
    <x v="0"/>
    <m/>
    <m/>
    <m/>
    <x v="0"/>
    <x v="10"/>
  </r>
  <r>
    <s v="silent-aire.com"/>
    <s v="tilde"/>
    <s v="Soft Fail"/>
    <s v="v=spf1 include:_spf.prod.hydra.sophos.com include:spf.emailsignatures365.com include:mail.strategicos.com include:_spf.salesforce.com ~all"/>
    <s v="yes"/>
    <x v="3"/>
    <s v="v=DMARC1; p=reject; sp=reject; fo=1; rua=mailto:jci@rua.agari.com; ruf=mailto:jci@ruf.agari.com"/>
    <m/>
    <m/>
    <x v="0"/>
    <x v="10"/>
  </r>
  <r>
    <s v="iosystems.ie"/>
    <s v="minus"/>
    <s v="Fail"/>
    <s v="v=spf1 include:spf.protection.outlook.com -all"/>
    <m/>
    <x v="2"/>
    <s v="v=DMARC1; p=none;"/>
    <m/>
    <m/>
    <x v="23"/>
    <x v="10"/>
  </r>
  <r>
    <s v="patodonnell.com"/>
    <s v="minus"/>
    <s v="Fail"/>
    <s v="v=spf1 ip4:92.51.192.62 include:spf.protection.outlook.com include:mailgun.org -all"/>
    <s v="yes"/>
    <x v="3"/>
    <s v="v=DMARC1; p=reject; pct=100; rua=mailto:7e5acdec@mxtoolbox.dmarc-report.com,mailto:rua@patodonnell.com; ruf=mailto:7e5acdec@forensics.dmarc-report.com,mailto:ruf@patodonnell.com"/>
    <m/>
    <m/>
    <x v="0"/>
    <x v="10"/>
  </r>
  <r>
    <s v="acmeblinds.ie"/>
    <s v="no"/>
    <s v="Not found"/>
    <m/>
    <m/>
    <x v="0"/>
    <m/>
    <m/>
    <m/>
    <x v="1"/>
    <x v="10"/>
  </r>
  <r>
    <s v="hickeyfabrics.ie"/>
    <s v="minus"/>
    <s v="Fail"/>
    <s v="v=spf1 ip4:5.149.168.201 include:spf.protection.outlook.com -all"/>
    <s v="yes"/>
    <x v="2"/>
    <s v="v=DMARC1; p=none"/>
    <m/>
    <m/>
    <x v="0"/>
    <x v="10"/>
  </r>
  <r>
    <s v="cardiac-services.com"/>
    <s v="minus"/>
    <s v="Fail"/>
    <s v="v=spf1 ip4:93.94.119.196 ip4:82.198.141.134 ip4:40.113.11.237 include:spf.protection.outlook.com -all"/>
    <s v="yes"/>
    <x v="2"/>
    <s v="v=DMARC1; p=none; rua=mailto:DMARCreports@unipharmedtech.com; pct=20;"/>
    <m/>
    <m/>
    <x v="0"/>
    <x v="10"/>
  </r>
  <r>
    <s v="hospira.com"/>
    <s v="minus"/>
    <s v="Fail"/>
    <s v="v=spf1 a mx a:clopine.com.au include:_spfmta.pfizer.com include:spf.boardbooks.com -all"/>
    <m/>
    <x v="2"/>
    <s v="v=DMARC1; p=none; fo=1; rua=mailto:dmarc_rua@emaildefense.proofpoint.com,mailto:dmarc.rua@pfizer.com; ruf=mailto:dmarc_ruf@emaildefense.proofpoint.com,mailto:dmarc.ruf@pfizer.com"/>
    <m/>
    <m/>
    <x v="8"/>
    <x v="10"/>
  </r>
  <r>
    <s v="dwew.ie"/>
    <s v="minus"/>
    <s v="Fail"/>
    <s v="v=spf1 include:spf.protection.outlook.com -all"/>
    <m/>
    <x v="0"/>
    <m/>
    <m/>
    <m/>
    <x v="25"/>
    <x v="10"/>
  </r>
  <r>
    <s v="noelcduggan.com"/>
    <s v="minus"/>
    <s v="Fail"/>
    <s v="v=spf1 a include:spf.protection.outlook.com -all"/>
    <s v="yes"/>
    <x v="0"/>
    <m/>
    <m/>
    <m/>
    <x v="1"/>
    <x v="10"/>
  </r>
  <r>
    <s v="bsbsystem.com"/>
    <s v="no"/>
    <s v="Not found"/>
    <m/>
    <m/>
    <x v="1"/>
    <s v="v=DMARC1; p=quarantine; adkim=r; aspf=r; rua=mailto:dmarc_rua@onsecureserver.net;"/>
    <m/>
    <m/>
    <x v="5"/>
    <x v="10"/>
  </r>
  <r>
    <s v="leonardengineering.ie"/>
    <s v="minus"/>
    <s v="Fail"/>
    <s v="v=spf1 include:spf.protection.outlook.com -all"/>
    <m/>
    <x v="0"/>
    <m/>
    <m/>
    <m/>
    <x v="12"/>
    <x v="10"/>
  </r>
  <r>
    <s v="sfengineering.ie"/>
    <s v="minus"/>
    <s v="Fail"/>
    <s v="v=spf1 include:spf.protection.outlook.com include:spf.topsec.com -all"/>
    <s v="yes"/>
    <x v="0"/>
    <m/>
    <m/>
    <m/>
    <x v="8"/>
    <x v="10"/>
  </r>
  <r>
    <s v="crystalair.ie"/>
    <s v="minus"/>
    <s v="Fail"/>
    <s v="v=spf1 include:servers.mcsv.net include:de._netblocks.mimecast.com -all"/>
    <m/>
    <x v="2"/>
    <s v="v=DMARC1; p=none; rua=mailto:jonathan@vital.ie;"/>
    <m/>
    <m/>
    <x v="16"/>
    <x v="10"/>
  </r>
  <r>
    <s v="seandoylewindows.ie"/>
    <s v="no"/>
    <s v="Not found"/>
    <m/>
    <m/>
    <x v="0"/>
    <m/>
    <m/>
    <m/>
    <x v="22"/>
    <x v="10"/>
  </r>
  <r>
    <s v="brennanco.ie"/>
    <s v="minus"/>
    <s v="Fail"/>
    <s v="v=spf1 ip4:162.241.244.103 include:spf.smtp2go.com include:spf.EU.exclaimer.net include:spf.protection.outlook.com include:_spf.smtp.com include:_spf.salesforce.com -all"/>
    <s v="yes"/>
    <x v="1"/>
    <s v="v=DMARC1; p=quarantine"/>
    <m/>
    <m/>
    <x v="0"/>
    <x v="10"/>
  </r>
  <r>
    <s v="houseofireland.com"/>
    <s v="question"/>
    <s v="Neutral"/>
    <s v="v=spf1 include:servers.mcsv.net ?all"/>
    <m/>
    <x v="0"/>
    <m/>
    <m/>
    <m/>
    <x v="0"/>
    <x v="10"/>
  </r>
  <r>
    <s v="styletex.ie"/>
    <s v="minus"/>
    <s v="Fail"/>
    <s v="v=spf1 a:mail2.eircom.net ip4:62.77.165.241 ip4:89.101.210.2 include:spf.protection.outlook.com include:spf.topsec.com -all"/>
    <m/>
    <x v="0"/>
    <m/>
    <m/>
    <m/>
    <x v="0"/>
    <x v="10"/>
  </r>
  <r>
    <s v="colortrend.ie"/>
    <s v="minus"/>
    <s v="Fail"/>
    <s v="v=spf1 include:spf.protection.outlook.com -all"/>
    <m/>
    <x v="0"/>
    <m/>
    <m/>
    <m/>
    <x v="16"/>
    <x v="10"/>
  </r>
  <r>
    <s v="gpmi.ie"/>
    <s v="minus"/>
    <s v="Fail"/>
    <s v="v=spf1 include:spf.protection.outlook.com include:spf.iptor.com -all"/>
    <m/>
    <x v="0"/>
    <m/>
    <m/>
    <m/>
    <x v="0"/>
    <x v="10"/>
  </r>
  <r>
    <s v="novostrat.com"/>
    <s v="minus"/>
    <s v="Fail"/>
    <s v="v=spf1 include:de._netblocks.mimecast.com -all"/>
    <s v="yes"/>
    <x v="3"/>
    <s v="v=DMARC1; p=reject; rua=mailto:postmaster@novostrat.com"/>
    <m/>
    <m/>
    <x v="5"/>
    <x v="10"/>
  </r>
  <r>
    <s v="lyreco.com"/>
    <s v="tilde"/>
    <s v="Soft Fail"/>
    <s v="v=spf1 include:spf-0032ca01.pphosted.com include:mail.zendesk.com include:_spf.salesforce.com a:mailrelay.staples-solutions.com a:mailrelay.lyreco.com ~all"/>
    <m/>
    <x v="3"/>
    <s v="v=DMARC1; p=reject; fo=1; rua=mailto:dmarc_rua@emaildefense.proofpoint.com,mailto:parsedmarc@lyreco.com; ruf=mailto:dmarc_ruf@emaildefense.proofpoint.com"/>
    <m/>
    <m/>
    <x v="0"/>
    <x v="10"/>
  </r>
  <r>
    <s v="yvesrocher.fr"/>
    <s v="tilde"/>
    <s v="Soft Fail"/>
    <s v="v=spf1 mx a:yrnet.com ~all"/>
    <m/>
    <x v="3"/>
    <s v="v=DMARC1; p=reject; fo=1; rua=mailto:dmarc_rua@emaildefense.proofpoint.com; ruf=mailto:dmarc_ruf@emaildefense.proofpoint.com"/>
    <m/>
    <m/>
    <x v="1"/>
    <x v="10"/>
  </r>
  <r>
    <s v="carbon.ie"/>
    <s v="tilde"/>
    <s v="Soft Fail"/>
    <s v="v=spf1 ip4:167.99.35.96 include:spf.protection.outlook.com ~all"/>
    <s v="yes"/>
    <x v="1"/>
    <s v="v=DMARC1; p=quarantine; rua=mailto:dmarcreports@carbon.ie; ruf=mailto:dmarcreports@carbon.ie;"/>
    <m/>
    <m/>
    <x v="1"/>
    <x v="10"/>
  </r>
  <r>
    <s v="leo-pharma.com"/>
    <s v="minus"/>
    <s v="Fail"/>
    <s v="v=spf1&quot; &quot; include:spf.protection.outlook.com&quot; &quot; include:_spf-i.cegedim.fr&quot; &quot; include:_spf-dc33.sapsf.eu&quot; &quot; include:_spf.anpdm.com&quot; &quot; include:_spf.salesforce.com&quot; &quot; ip4:185.158.206.75&quot; &quot; ip4:155.137.68.254&quot; &quot; ip4:155.137.0.15&quot; &quot; ip4:155.137.69.185&quot; &quot; ip4:155.137.230.3&quot; &quot; ip4:155.137.230.81&quot; &quot; ip4:94.236.52.134&quot; &quot; ip4:46.243.56.31&quot; &quot; ip4:155.137.68.191&quot; &quot; ip4:148.139.0.2&quot; &quot; ip4:192.138.111.10&quot; &quot; ip4:155.137.69.215&quot; &quot; ip4:155.137.69.216&quot; &quot; ip4:40.107.21.123&quot; &quot; ip4:195.68.96.88&quot; &quot; ip4:195.68.96.89&quot; &quot; ip4:195.68.96.90&quot; &quot; ip4:195.68.96.91&quot; &quot; ip4:195.68.96.92&quot; &quot; ip4:195.68.96.93&quot; &quot; ip4:195.68.96.94&quot; &quot; ip4:217.16.102.72&quot; &quot; ip4:217.16.102.73&quot; &quot; ip4:217.16.110.81&quot; &quot; ip4:68.232.139.59&quot; &quot; ip4:68.232.139.86&quot; &quot; ip4:68.232.133.143&quot; &quot; ip4:68.232.133.144&quot; &quot; ip4:195.68.96.95&quot; &quot; ip4:91.201.201.14&quot; &quot; ip4:193.36.148.132&quot; &quot; ip4:109.247.64.53&quot; &quot; ip4:170.102.144.39&quot; &quot; ip4:170.102.144.42&quot; &quot; include:amazonses.com&quot; &quot; -all"/>
    <s v="yes"/>
    <x v="3"/>
    <s v="v=DMARC1; p=reject; rua=mailto:6ymgai1o@ag.eu.dmarcadvisor.com;"/>
    <m/>
    <m/>
    <x v="1"/>
    <x v="10"/>
  </r>
  <r>
    <s v="mcdonnellpaints.ie"/>
    <s v="minus"/>
    <s v="Fail"/>
    <s v="v=spf1 include:spf.protection.outlook.com include:spf.exclaimer.net -all"/>
    <m/>
    <x v="2"/>
    <s v="v=DMARC1; p=none;"/>
    <m/>
    <m/>
    <x v="1"/>
    <x v="10"/>
  </r>
  <r>
    <s v="ipsen.com"/>
    <s v="minus"/>
    <s v="Fail"/>
    <s v="v=spf1 include:spf1.ipsen.com include:spf2.ipsen.com -all"/>
    <s v="yes"/>
    <x v="3"/>
    <s v="v=DMARC1; p=reject; rua=mailto:uvc9r2is@ag.dmarcian-eu.com; ruf=mailto:uvc9r2is@fr.dmarcian-eu.com; fo=1;"/>
    <m/>
    <m/>
    <x v="0"/>
    <x v="10"/>
  </r>
  <r>
    <s v="southernmilling.ie"/>
    <s v="minus"/>
    <s v="Fail"/>
    <s v="v=spf1 include:eu._netblocks.mimecast.com include:outbound.mailhop.org ip4:93.107.45.99 ip4:84.203.183.150 -all"/>
    <m/>
    <x v="0"/>
    <m/>
    <m/>
    <m/>
    <x v="1"/>
    <x v="10"/>
  </r>
  <r>
    <s v="thomasflynnandsons.ie"/>
    <s v="no"/>
    <s v="Not found"/>
    <m/>
    <m/>
    <x v="0"/>
    <m/>
    <m/>
    <m/>
    <x v="23"/>
    <x v="10"/>
  </r>
  <r>
    <s v="javarepublic.com"/>
    <s v="minus"/>
    <s v="Fail"/>
    <s v="v=spf1 include:_spf.mlsend.com include:spf.protection.outlook.com include:_spf.salesforce.com include:servers.mcsv.net include:spf.mandrillapp.com include:shops.shopify.com -all"/>
    <s v="yes"/>
    <x v="2"/>
    <s v="v=DMARC1; p=none"/>
    <m/>
    <m/>
    <x v="0"/>
    <x v="10"/>
  </r>
  <r>
    <s v="curleysqualityfoods.com"/>
    <s v="minus"/>
    <s v="Fail"/>
    <s v="v=spf1 include:secureserver.net -all"/>
    <s v="yes"/>
    <x v="2"/>
    <s v="v=DMARC1; p=none; rua=mailto:dmarc1@curleysqualityfoods.com,mailto:bdab701a@mxtoolbox.dmarc-report.com; ruf=mailto:dmarc2@curleysqualityfoods.com,mailto:bdab701a@forensics.dmarc-report.com"/>
    <m/>
    <m/>
    <x v="7"/>
    <x v="10"/>
  </r>
  <r>
    <s v="theculinaryfoodgroup.com"/>
    <s v="minus"/>
    <s v="Fail"/>
    <s v="v=spf1 include:eu._netblocks.mimecast.com include:spf.protection.outlook.com include:spf.mandrillapp.com ip4:109.70.209.139 ip4:193.120.143.0/24 ip4:193.120.142.176 +a:dawnfarms.dmacmedia.ie -all"/>
    <s v="yes"/>
    <x v="2"/>
    <s v="v=DMARC1; p=none; sp=none; fo=1; rua=mailto:dmarc@theculinaryfoodgroup.com; ruf=mailto:dmarc@theculinaryfoodgroup.com; pct=100;"/>
    <m/>
    <m/>
    <x v="16"/>
    <x v="10"/>
  </r>
  <r>
    <s v="collegeproteins.ie"/>
    <s v="minus"/>
    <s v="Fail"/>
    <s v="v=spf1 include:spf.protection.outlook.com -all"/>
    <s v="yes"/>
    <x v="0"/>
    <m/>
    <m/>
    <m/>
    <x v="15"/>
    <x v="10"/>
  </r>
  <r>
    <s v="epicom.ie"/>
    <s v="minus"/>
    <s v="Fail"/>
    <s v="v=spf1 ip4:82.141.225.53 include:spf.protection.outlook.com -all"/>
    <m/>
    <x v="0"/>
    <m/>
    <m/>
    <m/>
    <x v="15"/>
    <x v="10"/>
  </r>
  <r>
    <s v="cannonhygiene.ie"/>
    <s v="minus"/>
    <s v="Fail"/>
    <s v="v=spf1 include:_spf.google.com include:spf.protection.outlook.com include:_spf.rentokil-initial.com -all"/>
    <s v="yes"/>
    <x v="3"/>
    <s v="v=DMARC1;p=reject;pct=100;fo=1;ri=3600;rua=mailto:da7e8798@inbox.ondmarc.com"/>
    <m/>
    <m/>
    <x v="0"/>
    <x v="10"/>
  </r>
  <r>
    <s v="glenpatrick.com"/>
    <s v="minus"/>
    <s v="Fail"/>
    <s v="v=spf1 include:spf.protection.outlook.com include:spf1.emailsecurity.app -all"/>
    <m/>
    <x v="0"/>
    <m/>
    <m/>
    <m/>
    <x v="17"/>
    <x v="10"/>
  </r>
  <r>
    <s v="esitechgroup.com"/>
    <s v="minus"/>
    <s v="Fail"/>
    <s v="v=spf1 include:spf1.esitechgroup.com include:spf2.esitechgroup.com include:spf3.esitechgroup.com -all"/>
    <s v="yes"/>
    <x v="3"/>
    <s v="v=DMARC1; p=reject; sp=reject; rua=mailto:633ed8c4b1caa@ag.eu.dmarcly.com; fo=1;"/>
    <m/>
    <m/>
    <x v="1"/>
    <x v="10"/>
  </r>
  <r>
    <s v="schuf.ie"/>
    <s v="minus"/>
    <s v="Fail"/>
    <s v="v=spf1 include:spf.protection.outlook.com mx ip4:217.140.82.210/28 ip4:91.103.3.0/29 ip4:103.58.67.67/29 ip4:103.99.149.74/28 ip4:70.91.9.33/30 -all"/>
    <s v="yes"/>
    <x v="0"/>
    <m/>
    <m/>
    <m/>
    <x v="1"/>
    <x v="10"/>
  </r>
  <r>
    <s v="nielsen.com"/>
    <s v="mis"/>
    <s v="Invalid SPF Syntax"/>
    <s v="v=spf1 redirect=nielsenmedia.com"/>
    <s v="yes"/>
    <x v="1"/>
    <s v="v=DMARC1; p=quarantine; sp=reject; rua=mailto:dmarcian.aggregate@nielsenmedia.com; ruf=mailto:dmarcian.forensic@nielsenmedia.com; fo=1;"/>
    <m/>
    <m/>
    <x v="0"/>
    <x v="10"/>
  </r>
  <r>
    <s v="movies-at.ie"/>
    <s v="tilde"/>
    <s v="Soft Fail"/>
    <s v="v=spf1 include:spf.protection.outlook.com include:servers.mcsv.net include:sparkpostmail.com ~all"/>
    <m/>
    <x v="0"/>
    <m/>
    <m/>
    <m/>
    <x v="0"/>
    <x v="10"/>
  </r>
  <r>
    <s v="museum.ie"/>
    <s v="minus"/>
    <s v="Fail"/>
    <s v="v=spf1 include:mailcontrol.com include:servers.mcsv.net include:sendgrid.net ip4:137.191.245.53 -all"/>
    <s v="yes"/>
    <x v="1"/>
    <s v="v=DMARC1; p=quarantine; sp=none; rua=mailto:re+422772d9e3f1@inbound.dmarcdigests.com; pct=100; ruf=mailto:emailreports@museum.ie;"/>
    <m/>
    <m/>
    <x v="0"/>
    <x v="10"/>
  </r>
  <r>
    <s v="powerscourt.com"/>
    <s v="minus"/>
    <s v="Fail"/>
    <s v="v=spf1 -all"/>
    <m/>
    <x v="3"/>
    <s v="v=DMARC1; p=reject"/>
    <m/>
    <m/>
    <x v="24"/>
    <x v="10"/>
  </r>
  <r>
    <s v="hibernianaviva.ie"/>
    <s v="minus"/>
    <s v="Fail"/>
    <s v="v=spf1 -all"/>
    <s v="yes"/>
    <x v="3"/>
    <s v="v=DMARC1; p=reject; fo=1; rua=mailto:dmarc_rua@emaildefense.proofpoint.com; ruf=mailto:dmarc_ruf@emaildefense.proofpoint.com"/>
    <m/>
    <m/>
    <x v="0"/>
    <x v="10"/>
  </r>
  <r>
    <s v="odon.com"/>
    <s v="no"/>
    <s v="Not found"/>
    <m/>
    <m/>
    <x v="0"/>
    <m/>
    <m/>
    <m/>
    <x v="0"/>
    <x v="10"/>
  </r>
  <r>
    <s v="mcgroup.ie"/>
    <s v="minus"/>
    <s v="Fail"/>
    <s v="v=spf1 include:spf.protection.outlook.com -all"/>
    <m/>
    <x v="0"/>
    <m/>
    <m/>
    <m/>
    <x v="14"/>
    <x v="10"/>
  </r>
  <r>
    <s v="castleoaks.ie"/>
    <s v="minus"/>
    <s v="Fail"/>
    <s v="v=spf1 include:spf.protection.outlook.com include:mailgun.org -all"/>
    <m/>
    <x v="1"/>
    <s v="v=DMARC1; p=quarantine; rua=mailto:8b3700aba2aa640@rep.dmarcanalyzer.com; ruf=mailto:8b3700aba2aa640@for.dmarcanalyzer.com; sp=none; fo=1;"/>
    <m/>
    <m/>
    <x v="5"/>
    <x v="10"/>
  </r>
  <r>
    <s v="mardykearena.com"/>
    <s v="tilde"/>
    <s v="Soft Fail"/>
    <s v="v=spf1 include:mailgun.org ~all"/>
    <m/>
    <x v="0"/>
    <m/>
    <m/>
    <m/>
    <x v="1"/>
    <x v="10"/>
  </r>
  <r>
    <s v="silkenthomas.com"/>
    <s v="minus"/>
    <s v="Fail"/>
    <s v="v=spf1 include:spf.protection.outlook.com include:spf.resdiary.com include:sendgrid.net ip4:89.101.37.10 ip4:89.101.75.14 -all"/>
    <s v="yes"/>
    <x v="2"/>
    <s v="v=DMARC1; p=none; fo=1;"/>
    <m/>
    <m/>
    <x v="16"/>
    <x v="10"/>
  </r>
  <r>
    <s v="schorman.ie"/>
    <s v="minus"/>
    <s v="Fail"/>
    <s v="v=spf1 ip4:185.122.133.227/32 include:spf.protection.outlook.com -all"/>
    <m/>
    <x v="0"/>
    <m/>
    <m/>
    <m/>
    <x v="0"/>
    <x v="10"/>
  </r>
  <r>
    <s v="viennawoodshotel.com"/>
    <s v="minus"/>
    <s v="Fail"/>
    <s v="v=spf1 ip4:93.107.237.236 ip4:159.253.225.234 include:spf.protection.outlook.com include:netaffinity.net include:authsmtp.com -all"/>
    <s v="yes"/>
    <x v="2"/>
    <s v="v=DMARC1; p=none; fo=1; rua=mailto:rua+viennawoodshotel.com@dmarc.barracudanetworks.com; ruf=mailto:ruf+viennawoodshotel.com@dmarc.barracudanetworks.com"/>
    <m/>
    <m/>
    <x v="1"/>
    <x v="10"/>
  </r>
  <r>
    <s v="rds.ie"/>
    <s v="minus"/>
    <s v="Fail"/>
    <s v="v=spf1 include:spf.protection.outlook.com include:servers.mcsv.net include:email1.kayako.com include:emaileuc.freshdesk.com ip4:178.162.1.176 ip4:54.246.220.150 ip4:54.246.224.90 ip4:165.84.219.70 ip4:165.84.219.3 -all"/>
    <s v="yes"/>
    <x v="2"/>
    <s v="v=DMARC1; p=none; rua=mailto:dmarc_agg@vali.email"/>
    <m/>
    <m/>
    <x v="0"/>
    <x v="10"/>
  </r>
  <r>
    <s v="abbeycourt.ie"/>
    <s v="minus"/>
    <s v="Fail"/>
    <s v="v=spf1 include:spf.protection.outlook.com ip4:34.251.246.197/32 ip4:34.254.147.8/32 ip4:212.54.131.21 ip4:5.133.183.35 ip4:5.133.183.39 include:netaffinity.net include:spf.guestjoy.com include:_spf.siteminder.com include:authsmtp.com -all"/>
    <m/>
    <x v="0"/>
    <m/>
    <m/>
    <m/>
    <x v="13"/>
    <x v="10"/>
  </r>
  <r>
    <s v="dunboynecollege.ie"/>
    <s v="mis"/>
    <s v="Invalid SPF Syntax"/>
    <s v="v=spf1 a mx include:spf.irishdomains.com"/>
    <m/>
    <x v="0"/>
    <m/>
    <m/>
    <m/>
    <x v="15"/>
    <x v="10"/>
  </r>
  <r>
    <s v="bakertillyhb.ie"/>
    <s v="minus"/>
    <s v="Fail"/>
    <s v="v=spf1 ip4:109.237.24.70 include:spf.protection.outlook.com -all"/>
    <s v="yes"/>
    <x v="3"/>
    <s v="v=DMARC1; p=reject; sp=reject; rua=mailto:scanner@bakertillyhb.ie"/>
    <m/>
    <m/>
    <x v="0"/>
    <x v="10"/>
  </r>
  <r>
    <s v="carnegroup.com"/>
    <s v="minus"/>
    <s v="Fail"/>
    <s v="v=spf1 mx ip4:209.202.128.38 ip4:40.127.137.63 ip4:204.15.171.6 ip4:72.85.155.85 ip4:198.37.153.11 ip4:194.124.5.144 ip4:212.2.165.162 ip4:81.17.245.217 include:spf.newsletter.ie include:spf.protection.outlook.com include:sparkpostmail.com include:servers&quot; &quot;.mcsv.net include:_spf.salesforce.com include:_spf.intacct.com include:139842026.spf06.hubspotemail.net -all"/>
    <s v="yes"/>
    <x v="1"/>
    <s v="v=DMARC1; p=quarantine; fo=1"/>
    <m/>
    <m/>
    <x v="0"/>
    <x v="10"/>
  </r>
  <r>
    <s v="kbiglobalinvestors.com"/>
    <s v="tilde"/>
    <s v="Soft Fail"/>
    <s v="v=spf1 mx a:eu._netblocks.mimecast.com  a:spf.protection.outlook.com  a: ~all"/>
    <m/>
    <x v="0"/>
    <m/>
    <m/>
    <m/>
    <x v="0"/>
    <x v="10"/>
  </r>
  <r>
    <s v="fineprint.ie"/>
    <s v="tilde"/>
    <s v="Soft Fail"/>
    <s v="v=spf1 include:spf.protection.outlook.com include:spf.mailjet.com ~all"/>
    <s v="yes"/>
    <x v="1"/>
    <s v="v=DMARC1; p=quarantine; rua=mailto:dmarc.reports@fineprint.ie"/>
    <m/>
    <m/>
    <x v="0"/>
    <x v="10"/>
  </r>
  <r>
    <s v="hmrc.ucc.ie"/>
    <s v="no"/>
    <s v="Not found"/>
    <m/>
    <m/>
    <x v="0"/>
    <m/>
    <m/>
    <m/>
    <x v="1"/>
    <x v="10"/>
  </r>
  <r>
    <s v="igsl.ie"/>
    <s v="tilde"/>
    <s v="Soft Fail"/>
    <s v="v=spf1 +a +mx +ip4:35.214.182.106  include:igsl.ie.spf.auto.dnssmarthost.net  include:_spf.google.com ~all"/>
    <s v="yes"/>
    <x v="2"/>
    <s v="v=DMARC1; p=none; aspf=r; adkim=r;"/>
    <m/>
    <m/>
    <x v="16"/>
    <x v="10"/>
  </r>
  <r>
    <s v="peninsula-ie.com"/>
    <s v="minus"/>
    <s v="Fail"/>
    <s v="v=spf1 include:mktomail.com include:spf.peninsula-uk.com -all"/>
    <m/>
    <x v="3"/>
    <s v="v=DMARC1; p=reject; rua=mailto:659537621e2e5@ag.eu.dmarcly.com; ruf=mailto:659537621e2e5@fo.eu.dmarcly.com; sp=reject; fo=1;"/>
    <m/>
    <m/>
    <x v="0"/>
    <x v="10"/>
  </r>
  <r>
    <s v="iihealthfoods.com"/>
    <s v="tilde"/>
    <s v="Soft Fail"/>
    <s v="v=spf1 include:spf.tmes.trendmicro.com include:spf.hes.trendmicro.com ~all"/>
    <m/>
    <x v="2"/>
    <s v="v=DMARC1; p=none;"/>
    <m/>
    <m/>
    <x v="1"/>
    <x v="10"/>
  </r>
  <r>
    <s v="dosco.ie"/>
    <s v="minus"/>
    <s v="Fail"/>
    <s v="v=spf1 include:spf.protection.outlook.com -all"/>
    <s v="yes"/>
    <x v="2"/>
    <s v="v=DMARC1; p=none; pct=100;"/>
    <m/>
    <m/>
    <x v="1"/>
    <x v="10"/>
  </r>
  <r>
    <s v="codex.ie"/>
    <s v="minus"/>
    <s v="Fail"/>
    <s v="v=spf1 include:spf-eu.emailsignatures365.com include:spf.protection.outlook.com -all"/>
    <s v="yes"/>
    <x v="3"/>
    <s v="v=DMARC1; p=reject; ruf=mailto:italerts@codexltd.com"/>
    <m/>
    <m/>
    <x v="0"/>
    <x v="10"/>
  </r>
  <r>
    <s v="cldc.ie"/>
    <s v="tilde"/>
    <s v="Soft Fail"/>
    <s v="v=spf1 include:_spf.mlsend.com include:spf.reg365.net include:spf.protection.outlook.com ~all"/>
    <s v="yes"/>
    <x v="0"/>
    <m/>
    <m/>
    <m/>
    <x v="9"/>
    <x v="10"/>
  </r>
  <r>
    <s v="galwayhospice.ie"/>
    <s v="tilde"/>
    <s v="Soft Fail"/>
    <s v="v=spf1 +a +mx +ip4:23.111.150.194 +ip4:23.111.150.197 +ip4:78.153.201.30 +ip4:89.101.248.193 +ip4:89.100.139.106 +ip4:86.43.81.242 include:server2-mail.martecweb.com +include:spf.protection.outlook.com ~all"/>
    <s v="yes"/>
    <x v="1"/>
    <s v="v=DMARC1; p=quarantine; adkim=r; aspf=r;"/>
    <m/>
    <m/>
    <x v="7"/>
    <x v="10"/>
  </r>
  <r>
    <s v="lssc.ie"/>
    <s v="minus"/>
    <s v="Fail"/>
    <s v="v=spf1 include:spf.protection.outlook.com -all"/>
    <m/>
    <x v="0"/>
    <m/>
    <m/>
    <m/>
    <x v="5"/>
    <x v="10"/>
  </r>
  <r>
    <s v="moorehaven.ie"/>
    <s v="minus"/>
    <s v="Fail"/>
    <s v="v=spf1 include:spf.protection.outlook.com ip4:78.153.205.202 -all"/>
    <s v="yes"/>
    <x v="1"/>
    <s v="v=DMARC1; p=quarantine; sp=reject; pct=100; adkim=s; aspf=s; rua=mailto:reports@moorehaven.ie; ri=84600"/>
    <m/>
    <m/>
    <x v="13"/>
    <x v="10"/>
  </r>
  <r>
    <s v="fdys.com"/>
    <s v="no"/>
    <s v="Not found"/>
    <m/>
    <m/>
    <x v="0"/>
    <m/>
    <m/>
    <m/>
    <x v="3"/>
    <x v="10"/>
  </r>
  <r>
    <s v="qumas.com"/>
    <s v="no"/>
    <s v="Not found"/>
    <m/>
    <m/>
    <x v="0"/>
    <m/>
    <m/>
    <m/>
    <x v="1"/>
    <x v="10"/>
  </r>
  <r>
    <s v="careworks.ie"/>
    <s v="minus"/>
    <s v="Fail"/>
    <s v="v=spf1 a mx include:mailcontrol.com include:spf.protection.outlook.com -all"/>
    <s v="yes"/>
    <x v="2"/>
    <s v="v=DMARC1;p=none;pct=100;rua=mailto:dmarcreports@oneadvanced.com;ruf=mailto:dmarcreports@oneadvanced.com;ri=86400;fo=1;"/>
    <m/>
    <m/>
    <x v="0"/>
    <x v="10"/>
  </r>
  <r>
    <s v="online.cdkglobal.com"/>
    <s v="no"/>
    <s v="Not found"/>
    <m/>
    <m/>
    <x v="0"/>
    <m/>
    <m/>
    <m/>
    <x v="0"/>
    <x v="10"/>
  </r>
  <r>
    <s v="ihsmarkit.com"/>
    <s v="tilde"/>
    <s v="Soft Fail"/>
    <s v="v=spf1 ip4:148.163.148.100 ip4:148.163.152.37 include:_spfihsm1.ihsmarkit.com include:_spfihsm2.ihsmarkit.com include:ipreomail.com include:_spf.salesforce.com include:spf.protection.outlook.com ~all"/>
    <s v="yes"/>
    <x v="2"/>
    <s v="v=DMARC1; p=none; fo=1; ri=3600; rua=mailto:dmarc_rua@emaildefense.proofpoint.com; ruf=mailto:dmarc_ruf@emaildefense.proofpoint.com"/>
    <m/>
    <m/>
    <x v="0"/>
    <x v="10"/>
  </r>
  <r>
    <s v="softco.com"/>
    <s v="minus"/>
    <s v="Fail"/>
    <s v="v=spf1 include:eu._netblocks.mimecast.com include:spf.exclaimer.net include:amazonses.com include:emaileuc.freshservice.com include:4912815.spf05.hubspotemail.net ip4:89.101.136.253 -all"/>
    <s v="yes"/>
    <x v="1"/>
    <s v="v=DMARC1;p=quarantine;sp=none;pct=100;rua=mailto:60301163b4@rua.easydmarc.eu;ruf=mailto:60301163b4@ruf.easydmarc.eu;fo=1"/>
    <m/>
    <m/>
    <x v="0"/>
    <x v="10"/>
  </r>
  <r>
    <s v="sentenial.com"/>
    <s v="minus"/>
    <s v="Fail"/>
    <s v="v=spf1 mx a ip4:154.50.192.130/32 ip4:154.50.192.138/32 a:kcp-prd-smtp01.sentenial.com a:sent-prod-smtp1.sentenial.com include:spf.smtp2go.com include:_spf.google.com -all"/>
    <s v="yes"/>
    <x v="1"/>
    <s v="v=DMARC1; p=quarantine; sp=quarantine; pct=100; rua=mailto:sentenial_dmarc_monitor@sentenial.com; ruf=mailto:sentenial_dmarc_alert@sentenial.com;"/>
    <m/>
    <m/>
    <x v="16"/>
    <x v="10"/>
  </r>
  <r>
    <s v="jsmccarthy.ie"/>
    <s v="minus"/>
    <s v="Fail"/>
    <s v="v=spf1 include:spf.protection.outlook.com include:eu._netblocks.mimecast.com ip4:149.71.163.138 ip4:149.71.163.139 ip4:149.71.163.140 ip4:149.71.163.141 ip4:109.70.210.123 ip4:109.70.210.124 ip4:52.236.150.44 ip4:52.157.225.153 mx -all"/>
    <m/>
    <x v="2"/>
    <s v="v=DMARC1; p=none; rua=mailto:21e415078983506@rep.dmarcanalyzer.com; ruf=mailto:21e415078983506@for.dmarcanalyzer.com; fo=1;"/>
    <m/>
    <m/>
    <x v="0"/>
    <x v="10"/>
  </r>
  <r>
    <s v="killarneyplaza.com"/>
    <s v="tilde"/>
    <s v="Soft Fail"/>
    <s v="v=spf1 a mx include:netaffinity.net include:spf.protection.outlook.com ip4:82.141.235.96 ip4:192.162.217.194 ip4:34.251.246.197/32 ip4:34.254.147.8/32 include:authsmtp.com include:sendgrid.net ~all"/>
    <s v="yes"/>
    <x v="2"/>
    <s v="v=DMARC1; p=none; rua=mailto:paq@killarneyplaza.com; ruf=mailto:paq@killarneyplaza.com; fo=1"/>
    <m/>
    <m/>
    <x v="14"/>
    <x v="10"/>
  </r>
  <r>
    <s v="muckrosspark.com"/>
    <s v="minus"/>
    <s v="Fail"/>
    <s v="v=spf1 include:email2.guestfolio.net include:spf.protection.outlook.com include:spf.mandrillapp.com a:mail.mindaclient.com include:authsmtp.com include:_spf.wire.threatspike.com -all"/>
    <s v="yes"/>
    <x v="4"/>
    <s v="v=DMARC1; p-none;"/>
    <m/>
    <m/>
    <x v="14"/>
    <x v="10"/>
  </r>
  <r>
    <s v="generalmonitors.com"/>
    <s v="minus"/>
    <s v="Fail"/>
    <s v="v=spf1 include:spf.protection.outlook.com -all"/>
    <s v="yes"/>
    <x v="3"/>
    <s v="v=DMARC1; p=reject; rua=mailto:dmarc_agg@vali.email;"/>
    <m/>
    <m/>
    <x v="7"/>
    <x v="10"/>
  </r>
  <r>
    <s v="rcpi.ie"/>
    <s v="minus"/>
    <s v="Fail"/>
    <s v="v=spf1 ip4:52.158.115.248 ip4:82.195.133.139 ip4:52.158.115.251 include:spf.protection.outlook.com include:cyberriskaware.com ip4:192.254.120.51 ip4:168.245.104.162 include:cvent-planner.com ip4:216.230.14.229 ip4:216.230.14.231 ip4:216.230.14.230&quot; &quot; ip4:216.230.14.237 ip4:91.197.235.71 include:spf.elluciancloud.com include:amazonses.com include:139632817.spf08.hubspotemail.net -all"/>
    <s v="yes"/>
    <x v="1"/>
    <s v="v=DMARC1; p=quarantine; adkim=s; aspf=s; fo=1; rua=mailto:abuse@rcpi.ie; ruf=mailto:abuse@rcpi.ie"/>
    <m/>
    <m/>
    <x v="0"/>
    <x v="10"/>
  </r>
  <r>
    <s v="scoilnioclais.ie"/>
    <s v="minus"/>
    <s v="Fail"/>
    <s v="v=spf1 include:spf.protection.outlook.com -all include:spf.reg365.net ~all"/>
    <m/>
    <x v="0"/>
    <m/>
    <m/>
    <m/>
    <x v="1"/>
    <x v="10"/>
  </r>
  <r>
    <s v="scoiloilibheir.ie"/>
    <s v="tilde"/>
    <s v="Soft Fail"/>
    <s v="v=spf1 include:outlook.com ~all"/>
    <m/>
    <x v="2"/>
    <s v="v=DMARC1; p=none"/>
    <m/>
    <m/>
    <x v="1"/>
    <x v="10"/>
  </r>
  <r>
    <s v="stanthonys.ie"/>
    <s v="tilde"/>
    <s v="Soft Fail"/>
    <s v="v=spf1 a:_spf.google.com include:wpdatacenter.com ~all"/>
    <m/>
    <x v="0"/>
    <m/>
    <m/>
    <m/>
    <x v="1"/>
    <x v="10"/>
  </r>
  <r>
    <s v="woodlandns.ie"/>
    <s v="tilde"/>
    <s v="Soft Fail"/>
    <s v="v=spf1 +a +mx +ip4:35.214.235.181  include:woodlandns.ie.spf.auto.dnssmarthost.net ~all"/>
    <s v="yes"/>
    <x v="2"/>
    <s v="v=DMARC1; p=none; aspf=r; adkim=r;"/>
    <m/>
    <m/>
    <x v="6"/>
    <x v="10"/>
  </r>
  <r>
    <s v="kilians.com"/>
    <s v="minus"/>
    <s v="Fail"/>
    <s v="v=spf1 include:spf.protection.outlook.com -all"/>
    <m/>
    <x v="0"/>
    <m/>
    <m/>
    <m/>
    <x v="0"/>
    <x v="10"/>
  </r>
  <r>
    <s v="stpatrickskk.scoilnet.ie"/>
    <s v="no"/>
    <s v="Not found"/>
    <m/>
    <m/>
    <x v="0"/>
    <m/>
    <m/>
    <m/>
    <x v="17"/>
    <x v="10"/>
  </r>
  <r>
    <s v="markwatch.ie"/>
    <s v="tilde"/>
    <s v="Soft Fail"/>
    <s v="v=spf1 a include:spf.blacknight.ie  ~all"/>
    <m/>
    <x v="0"/>
    <m/>
    <m/>
    <m/>
    <x v="0"/>
    <x v="10"/>
  </r>
  <r>
    <s v="paragonsecurity.ie"/>
    <s v="no"/>
    <s v="Not found"/>
    <m/>
    <m/>
    <x v="0"/>
    <m/>
    <m/>
    <m/>
    <x v="0"/>
    <x v="10"/>
  </r>
  <r>
    <s v="brinks.com"/>
    <s v="mis"/>
    <s v="Invalid SPF Syntax"/>
    <s v="v=spf1 redirect=3hr97omd._spf._d.mim.ec"/>
    <s v="yes"/>
    <x v="1"/>
    <s v="v=DMARC1; p=quarantine; fo=1; ri=3600; rua=mailto:7f812de85701566@rep.dmarcanalyzer.com; ruf=mailto:7f812de85701566@for.dmarcanalyzer.com"/>
    <m/>
    <m/>
    <x v="5"/>
    <x v="10"/>
  </r>
  <r>
    <s v="dorans.ie"/>
    <s v="minus"/>
    <s v="Fail"/>
    <s v="v=spf1 include:spf.protection.outlook.com -all"/>
    <m/>
    <x v="0"/>
    <m/>
    <m/>
    <m/>
    <x v="0"/>
    <x v="10"/>
  </r>
  <r>
    <s v="kishfish.ie"/>
    <s v="tilde"/>
    <s v="Soft Fail"/>
    <s v="v=spf1 ip4:185.43.232.4 include:spf.webhostingireland.ie +mx +ip4:78.153.201.122 +include:spf1.emailsecurity.app +include:spf.protection.outlook.com ~all"/>
    <s v="yes"/>
    <x v="1"/>
    <s v="v=DMARC1; p=quarantine"/>
    <m/>
    <m/>
    <x v="0"/>
    <x v="10"/>
  </r>
  <r>
    <s v="rockabill.ie"/>
    <s v="minus"/>
    <s v="Fail"/>
    <s v="v=spf1 include:spf.protection.outlook.com -all"/>
    <m/>
    <x v="0"/>
    <m/>
    <m/>
    <m/>
    <x v="0"/>
    <x v="10"/>
  </r>
  <r>
    <s v="tomra.com"/>
    <s v="minus"/>
    <s v="Fail"/>
    <s v="v=spf1&quot; &quot; a&quot; &quot; ip4:62.92.2.128/26&quot; &quot; ip4:79.161.39.128/27&quot; &quot; ip4:65.51.117.224/27&quot; &quot; ip4:159.183.71.243&quot; &quot; include:spf.protection.outlook.com&quot; &quot; include:spf.emailsignatures365.com&quot; &quot; include:4847902.spf07.hubspotemail.net&quot; &quot; include:amazonses.com&quot; &quot; include:emaileuc.freshservice.com&quot; &quot; -all"/>
    <s v="yes"/>
    <x v="3"/>
    <s v="v=DMARC1; p=reject; rua=mailto:dmarcreports@tomra.com;"/>
    <m/>
    <m/>
    <x v="0"/>
    <x v="10"/>
  </r>
  <r>
    <s v="irishfishproducts.com"/>
    <s v="no"/>
    <s v="Not found"/>
    <m/>
    <m/>
    <x v="0"/>
    <m/>
    <m/>
    <m/>
    <x v="14"/>
    <x v="10"/>
  </r>
  <r>
    <s v="qkmeats.com"/>
    <s v="minus"/>
    <s v="Fail"/>
    <s v="v=spf1 include:eu._netblocks.mimecast.com include:spf.protection.outlook.com ip4:109.70.209.139 ip4:193.120.143.0/24 ip4:193.120.142.176  +a:queally.dmacmedia.ie -all"/>
    <s v="yes"/>
    <x v="2"/>
    <s v="v=DMARC1; p=none; sp=none; fo=1; rua=mailto:dmarc@qkmeats.com; ruf=mailto:dmarc@qkmeats.com; pct=100;"/>
    <m/>
    <m/>
    <x v="16"/>
    <x v="10"/>
  </r>
  <r>
    <s v="tbwa-dublin.com"/>
    <s v="minus"/>
    <s v="Fail"/>
    <s v="v=spf1 include:relay.mailchannels.net -all"/>
    <s v="yes"/>
    <x v="3"/>
    <s v="v=DMARC1; p=reject; rua=mailto:rc7yjbis@ag.us.dmarcian.com;"/>
    <m/>
    <m/>
    <x v="0"/>
    <x v="10"/>
  </r>
  <r>
    <s v="newspread.ie"/>
    <s v="minus"/>
    <s v="Fail"/>
    <s v="v=spf1 ip4:185.43.125.61 ip4:83.71.187.233 ip4:89.101.141.135 ip4:83.71.187.253 ip4:89.101.157.129 ip4:5.61.115.64/28 include:mailgun.org include:spf.protection.outlook.com -all include:spf.protection.outlook.com -all"/>
    <s v="yes"/>
    <x v="3"/>
    <s v="v=DMARC1; p=reject; pct=100; fo=1; ri=3600; rua=mailto:13dbc9fb@inbox.ondmarc.com;ruf=mailto:13dbc9fb@inbox.ondmarc.com;"/>
    <m/>
    <m/>
    <x v="0"/>
    <x v="10"/>
  </r>
  <r>
    <s v="oceanfm.ie"/>
    <s v="tilde"/>
    <s v="Soft Fail"/>
    <s v="v=spf1 a include:spf.blacknight.ie ~all include:_spf.google.com ~all"/>
    <m/>
    <x v="0"/>
    <m/>
    <m/>
    <m/>
    <x v="8"/>
    <x v="10"/>
  </r>
  <r>
    <s v="juddmonte.com"/>
    <s v="minus"/>
    <s v="Fail"/>
    <s v="v=spf1 mx include:eu._netblocks.mimecast.com include:sent-via.netsuite.com include:_spf.salesforce.com include:spf.uk.exclaimer.net include:spf.protection.outlook.com -all"/>
    <m/>
    <x v="3"/>
    <s v="v=DMARC1; p=reject; rua=mailto:8yp0nuadz0@rua.powerdmarc.com; ruf=mailto:8yp0nuadz0@ruf.powerdmarc.com; pct=100; fo=1;"/>
    <s v="yes"/>
    <s v="https://app.powerbimi.com/54964/ea0ed01d-c244-4ed9-9100-642bc8b92d98.svg"/>
    <x v="15"/>
    <x v="10"/>
  </r>
  <r>
    <s v="glassco.ie"/>
    <s v="minus"/>
    <s v="Fail"/>
    <s v="v=spf1 include:spf.protection.outlook.com -all"/>
    <m/>
    <x v="0"/>
    <m/>
    <m/>
    <m/>
    <x v="16"/>
    <x v="10"/>
  </r>
  <r>
    <s v="visitdublin.com"/>
    <s v="minus"/>
    <s v="Fail"/>
    <s v="v=spf1 include:u18456835.wl086.sendgrid.net -all"/>
    <s v="yes"/>
    <x v="0"/>
    <m/>
    <m/>
    <m/>
    <x v="0"/>
    <x v="10"/>
  </r>
  <r>
    <s v="hertz.ie"/>
    <s v="minus"/>
    <s v="Fail"/>
    <s v="v=spf1 include:%{ir}.%{v}.%{d}.spf.has.pphosted.com -all"/>
    <s v="yes"/>
    <x v="1"/>
    <s v="v=DMARC1; p=quarantine; fo=1; rua=mailto:dmarc_rua@emaildefense.proofpoint.com; ruf=mailto:dmarc_ruf@emaildefense.proofpoint.com;"/>
    <m/>
    <m/>
    <x v="0"/>
    <x v="10"/>
  </r>
  <r>
    <s v="mcguirehaulage.com"/>
    <s v="minus"/>
    <s v="Fail"/>
    <s v="v=spf1 ip4:95.83.242.244 include:spf.protection.outlook.com -all"/>
    <m/>
    <x v="0"/>
    <m/>
    <m/>
    <m/>
    <x v="17"/>
    <x v="10"/>
  </r>
  <r>
    <s v="jlbradshaw.ie"/>
    <s v="minus"/>
    <s v="Fail"/>
    <s v="v=spf1 include:spf.protection.outlook.com -all"/>
    <s v="yes"/>
    <x v="2"/>
    <s v="v=DMARC1; p=none;"/>
    <m/>
    <m/>
    <x v="18"/>
    <x v="10"/>
  </r>
  <r>
    <s v="adhesivesresearch.com"/>
    <s v="no"/>
    <s v="Not found"/>
    <m/>
    <m/>
    <x v="0"/>
    <m/>
    <m/>
    <m/>
    <x v="5"/>
    <x v="10"/>
  </r>
  <r>
    <s v="lero.ie"/>
    <s v="tilde"/>
    <s v="Soft Fail"/>
    <s v="v=spf1 include:spf.protection.outlook.com include:sendgrid.net include:143758070.spf08.hubspotemail.net ip4:193.1.102.160 ip4:193.1.101.155 ip4:193.1.101.156 ip4:193.1.102.174 ~all"/>
    <s v="yes"/>
    <x v="2"/>
    <s v="v=DMARC1; p=none; rua=mailto:dmarc_reporting@ul.ie;"/>
    <m/>
    <m/>
    <x v="5"/>
    <x v="10"/>
  </r>
  <r>
    <s v="brccork.com"/>
    <s v="minus"/>
    <s v="Fail"/>
    <s v="v=spf1 include:spf.protection.outlook.com -all"/>
    <m/>
    <x v="0"/>
    <m/>
    <m/>
    <m/>
    <x v="1"/>
    <x v="10"/>
  </r>
  <r>
    <s v="cramerscourt.ie"/>
    <s v="no"/>
    <s v="Not found"/>
    <m/>
    <m/>
    <x v="0"/>
    <m/>
    <m/>
    <m/>
    <x v="1"/>
    <x v="10"/>
  </r>
  <r>
    <s v="careforme.ie"/>
    <s v="minus"/>
    <s v="Fail"/>
    <s v="v=spf1 ip4:35.214.245.130 +a include:_spf.google.com a:hmail.jitbit.com a:hmail2.jitbit.com -all"/>
    <s v="yes"/>
    <x v="3"/>
    <s v="v=DMARC1;p=reject;sp=reject;rua=mailto:211a5a2e44@rua.easydmarc.eu;ruf=mailto:211a5a2e44@ruf.easydmarc.eu;fo=1"/>
    <m/>
    <m/>
    <x v="0"/>
    <x v="10"/>
  </r>
  <r>
    <s v="tlcnursing.ie"/>
    <s v="no"/>
    <s v="Not found"/>
    <m/>
    <m/>
    <x v="0"/>
    <m/>
    <m/>
    <m/>
    <x v="5"/>
    <x v="10"/>
  </r>
  <r>
    <s v="allenfield.ie"/>
    <s v="no"/>
    <s v="Not found"/>
    <m/>
    <m/>
    <x v="0"/>
    <m/>
    <m/>
    <m/>
    <x v="22"/>
    <x v="10"/>
  </r>
  <r>
    <s v="sonas.ie"/>
    <s v="tilde"/>
    <s v="Soft Fail"/>
    <s v="v=spf1 +a +mx +ip4:213.199.46.4 +ip4:213.199.46.4 include:mailgun.org ~all"/>
    <m/>
    <x v="0"/>
    <m/>
    <m/>
    <m/>
    <x v="8"/>
    <x v="10"/>
  </r>
  <r>
    <s v="baileysnursinghome.com"/>
    <s v="minus"/>
    <s v="Fail"/>
    <s v="v=spf1 include:spf.protection.outlook.com -all"/>
    <s v="yes"/>
    <x v="1"/>
    <s v="v=DMARC1; p=quarantine; pct=100; rua=mailto:dmarc@zenotec.ie; ruf=mailto:dmarc@zenotec.ie; fo=1"/>
    <m/>
    <m/>
    <x v="8"/>
    <x v="10"/>
  </r>
  <r>
    <s v="carluccios.com"/>
    <s v="minus"/>
    <s v="Fail"/>
    <s v="v=spf1 include:spf.protection.outlook.com include:_spf.bigcommerce.com include:shops.shopify.com include:spf.cm.puzzel.com -all"/>
    <s v="yes"/>
    <x v="2"/>
    <s v="v=DMARC1; p=none;"/>
    <m/>
    <m/>
    <x v="0"/>
    <x v="10"/>
  </r>
  <r>
    <s v="murraysbarandgrill.ie"/>
    <s v="no"/>
    <s v="Not found"/>
    <m/>
    <m/>
    <x v="0"/>
    <m/>
    <m/>
    <m/>
    <x v="0"/>
    <x v="10"/>
  </r>
  <r>
    <s v="thechurch.ie"/>
    <s v="minus"/>
    <s v="Fail"/>
    <s v="v=spf1 a ip4:217.78.0.66 include:spf.protection.outlook.com -all"/>
    <s v="yes"/>
    <x v="2"/>
    <s v="v=DMARC1; p=none"/>
    <m/>
    <m/>
    <x v="0"/>
    <x v="10"/>
  </r>
  <r>
    <s v="droppingwell.com"/>
    <s v="minus"/>
    <s v="Fail"/>
    <s v="v=spf1 include:spf.protection.outlook.com -all"/>
    <m/>
    <x v="0"/>
    <m/>
    <m/>
    <m/>
    <x v="0"/>
    <x v="10"/>
  </r>
  <r>
    <s v="mccambridges.com"/>
    <s v="minus"/>
    <s v="Fail"/>
    <s v="v=spf1 include:spf.protection.outlook.com -all"/>
    <s v="yes"/>
    <x v="2"/>
    <s v="v=DMARC1; p=none; aspf=r; adkim=r;"/>
    <m/>
    <m/>
    <x v="7"/>
    <x v="10"/>
  </r>
  <r>
    <s v="lordkenmares.com"/>
    <s v="no"/>
    <s v="Not found"/>
    <m/>
    <m/>
    <x v="0"/>
    <m/>
    <m/>
    <m/>
    <x v="14"/>
    <x v="10"/>
  </r>
  <r>
    <s v="joycessupermarket.ie"/>
    <s v="no"/>
    <s v="Not found"/>
    <m/>
    <m/>
    <x v="0"/>
    <m/>
    <m/>
    <m/>
    <x v="7"/>
    <x v="10"/>
  </r>
  <r>
    <s v="completecuisine.com"/>
    <s v="minus"/>
    <s v="Fail"/>
    <s v="v=spf1 -all"/>
    <m/>
    <x v="0"/>
    <m/>
    <m/>
    <m/>
    <x v="5"/>
    <x v="10"/>
  </r>
  <r>
    <s v="primark.com"/>
    <s v="tilde"/>
    <s v="Soft Fail"/>
    <s v="v=spf1 ip4:194.165.190.12 ip4:62.128.204.105 ip4:109.169.13.3 ip4:109.169.13.4 ip4:109.169.13.12 ip4:194.216.214.90 ip4:194.216.214.91 ip4:194.216.214.92 ip4:216.244.123.132 ip4:216.244.123.134 ip4:193.120.224.97 ip4:193.120.224.98 mx include:spf.protecti&quot; &quot;on.outlook.com include:mailgun.org include:_spf-dc55.sapsf.eu ~all"/>
    <s v="yes"/>
    <x v="1"/>
    <s v="v=DMARC1; p=quarantine; rua=mailto:bstnx4lf@ag.dmarcian-eu.com"/>
    <m/>
    <m/>
    <x v="25"/>
    <x v="10"/>
  </r>
  <r>
    <s v="fashionflo.ie"/>
    <s v="minus"/>
    <s v="Fail"/>
    <s v="v=spf1 a:s1.pikiware.com a:s4.pikiware.com include:spf.protection.outlook.com include:spf.mailanyone.net -all"/>
    <m/>
    <x v="2"/>
    <s v="v=DMARC1; p=none; fo=1; "/>
    <m/>
    <m/>
    <x v="0"/>
    <x v="10"/>
  </r>
  <r>
    <s v="harverynorman.ie"/>
    <s v="no"/>
    <s v="Not found"/>
    <m/>
    <m/>
    <x v="0"/>
    <m/>
    <m/>
    <m/>
    <x v="0"/>
    <x v="10"/>
  </r>
  <r>
    <s v="rathwood.com"/>
    <s v="tilde"/>
    <s v="Soft Fail"/>
    <s v="v=spf1 mx a include:mailgun.org include:_spf.google.com include:mail.zendesk.com ~all"/>
    <m/>
    <x v="2"/>
    <s v="v=DMARC1; p=none"/>
    <m/>
    <m/>
    <x v="25"/>
    <x v="10"/>
  </r>
  <r>
    <s v="mcloughlins.ie"/>
    <s v="no"/>
    <s v="Not found"/>
    <m/>
    <m/>
    <x v="0"/>
    <m/>
    <m/>
    <m/>
    <x v="0"/>
    <x v="10"/>
  </r>
  <r>
    <s v="stakelums.ie"/>
    <s v="tilde"/>
    <s v="Soft Fail"/>
    <s v="v=spf1 include:spf.protection.outlook.com include:amazonses.com ~all"/>
    <m/>
    <x v="2"/>
    <s v="v=DMARC1; p=none;"/>
    <m/>
    <m/>
    <x v="13"/>
    <x v="10"/>
  </r>
  <r>
    <s v="culcita.ie"/>
    <s v="tilde"/>
    <s v="Soft Fail"/>
    <s v="v=spf1 include:spf.protection.outlook.com include:spf.ess.de.barracudanetworks.com ~all"/>
    <m/>
    <x v="0"/>
    <m/>
    <m/>
    <m/>
    <x v="3"/>
    <x v="10"/>
  </r>
  <r>
    <s v="granningaxles.ie"/>
    <s v="tilde"/>
    <s v="Soft Fail"/>
    <s v="v=spf1 include:spf.protection.outlook.com ~all"/>
    <s v="yes"/>
    <x v="2"/>
    <s v="v=DMARC1;p=none;fo=1;rua=mailto:granningaxles_ie_agg@mailwall.com;ruf=mailto:granningaxles_ie_afrf@mailwall.com"/>
    <m/>
    <m/>
    <x v="16"/>
    <x v="10"/>
  </r>
  <r>
    <s v="airsprings.com"/>
    <s v="no"/>
    <s v="Not found"/>
    <m/>
    <m/>
    <x v="0"/>
    <m/>
    <m/>
    <m/>
    <x v="16"/>
    <x v="10"/>
  </r>
  <r>
    <s v="audicentre.ie"/>
    <s v="minus"/>
    <s v="Fail"/>
    <s v="v=spf1 ip4:194.74.144.217/32  include:spf.protection.outlook.com include:spf-eu.emailsignatures365.com -all"/>
    <s v="yes"/>
    <x v="3"/>
    <s v="v=DMARC1; p=reject; fo=0;"/>
    <m/>
    <m/>
    <x v="0"/>
    <x v="10"/>
  </r>
  <r>
    <s v="windsor.ie"/>
    <s v="tilde"/>
    <s v="Soft Fail"/>
    <s v="v=spf1 mx a include:spf1.emailsecurity.app include:spf.protection.outlook.com include:spf.exclaimer.net include:spf.hornetsecurity.com include:_spf.carusseldwt.com ~all"/>
    <m/>
    <x v="2"/>
    <s v="v=DMARC1; p=none; rua=mailto:dmarcreports@windsor.ie"/>
    <m/>
    <m/>
    <x v="0"/>
    <x v="10"/>
  </r>
  <r>
    <s v="hsd.ie"/>
    <s v="tilde"/>
    <s v="Soft Fail"/>
    <s v="v=spf1 +a +mx +a:web1.iseek.host +a:mail.darklite.ie ip4:78.153.205.192/27 ~all"/>
    <m/>
    <x v="2"/>
    <s v="v=DMARC1; p=none"/>
    <m/>
    <m/>
    <x v="17"/>
    <x v="10"/>
  </r>
  <r>
    <s v="goldcrop.ie"/>
    <s v="minus"/>
    <s v="Fail"/>
    <s v="v=spf1 include:spf.protection.outlook.com -all"/>
    <s v="yes"/>
    <x v="1"/>
    <s v="v=DMARC1; p=quarantine;"/>
    <m/>
    <m/>
    <x v="1"/>
    <x v="10"/>
  </r>
  <r>
    <s v="pearsecollege.ie"/>
    <s v="minus"/>
    <s v="Fail"/>
    <s v="v=spf1 include:spf.protection.outlook.com -all"/>
    <s v="yes"/>
    <x v="0"/>
    <m/>
    <m/>
    <m/>
    <x v="0"/>
    <x v="10"/>
  </r>
  <r>
    <s v="dife.info"/>
    <s v="minus"/>
    <s v="Fail"/>
    <s v="v=spf1 ip6:fdcf:abda:4154::/48 -all"/>
    <m/>
    <x v="0"/>
    <m/>
    <m/>
    <m/>
    <x v="2"/>
    <x v="10"/>
  </r>
  <r>
    <s v="iamu.edu"/>
    <s v="minus"/>
    <s v="Fail"/>
    <s v="v=spf1 ip4:212.78.224.207 include:spf.protection.outlook.com include:25735957.spf08.hubspotemail.net -all"/>
    <s v="yes"/>
    <x v="2"/>
    <s v="v=DMARC1;p=none;sp=none;adkim=r;aspf=r;pct=100;fo=1;rf=afrf;ri=86400;rua=mailto:dmarcreports@iamu.edu;ruf=mailto:dmarcreports@iamu.edu"/>
    <m/>
    <m/>
    <x v="0"/>
    <x v="10"/>
  </r>
  <r>
    <s v="gti.ie"/>
    <s v="no"/>
    <s v="Not found"/>
    <m/>
    <m/>
    <x v="0"/>
    <m/>
    <m/>
    <m/>
    <x v="7"/>
    <x v="10"/>
  </r>
  <r>
    <s v="ballinodecollege.com"/>
    <s v="minus"/>
    <s v="Fail"/>
    <s v="v=spf1 +a +mx +a:control.dmacmedia.ie include:_spf.google.com -all"/>
    <m/>
    <x v="0"/>
    <m/>
    <m/>
    <m/>
    <x v="8"/>
    <x v="10"/>
  </r>
  <r>
    <s v="irishwelcometours.com"/>
    <s v="minus"/>
    <s v="Fail"/>
    <s v="v=spf1 include:spf.protection.outlook.com -all"/>
    <s v="yes"/>
    <x v="0"/>
    <m/>
    <m/>
    <m/>
    <x v="0"/>
    <x v="10"/>
  </r>
  <r>
    <s v="welocalize.com"/>
    <s v="minus"/>
    <s v="Fail"/>
    <s v="v=spf1 include:spf2.welocalize.com include:spf.protection.outlook.com include:sendgrid.net include:servers.mcsv.net include:cust-spf.exacttarget.com include:mail.zendesk.com include:_spf.salesforce.com include:et._spf.pardot.com -all"/>
    <s v="yes"/>
    <x v="1"/>
    <s v="v=DMARC1; p=quarantine; pct=5; fo=1; rua=mailto:a0027e04@mxtoolbox.dmarc-report.com,mailto:postmaster@welocalize.com; ruf=mailto:a0027e04@forensics.dmarc-report.com"/>
    <s v="yes"/>
    <s v="https://www.welocalize.com/wp-content/uploads/2023/03/WelocalizeMark.svg"/>
    <x v="0"/>
    <x v="10"/>
  </r>
  <r>
    <s v="dualway.com"/>
    <s v="minus"/>
    <s v="Fail"/>
    <s v="v=spf1 include:spf.protection.outlook.com -all"/>
    <m/>
    <x v="0"/>
    <m/>
    <m/>
    <m/>
    <x v="0"/>
    <x v="10"/>
  </r>
  <r>
    <s v="downeytransport.com"/>
    <s v="minus"/>
    <s v="Fail"/>
    <s v="v=spf1 include:spf.protection.outlook.com -all"/>
    <m/>
    <x v="2"/>
    <s v="v=DMARC1; p=none"/>
    <m/>
    <m/>
    <x v="1"/>
    <x v="10"/>
  </r>
  <r>
    <s v="jetwash.ie"/>
    <s v="minus"/>
    <s v="Fail"/>
    <s v="v=spf1 include:spf.protection.outlook.com include:spf.giacomcp.com -all"/>
    <s v="yes"/>
    <x v="0"/>
    <m/>
    <m/>
    <m/>
    <x v="19"/>
    <x v="10"/>
  </r>
  <r>
    <s v="glendimplexireland.com"/>
    <s v="minus"/>
    <s v="Fail"/>
    <s v="v=spf1 include:spf.messagelabs.com include:email.freshservice.com include:spf.protection.outlook.com A:email.glendimplex.com A:mailer1.glanmail.com -all"/>
    <s v="yes"/>
    <x v="0"/>
    <m/>
    <m/>
    <m/>
    <x v="0"/>
    <x v="10"/>
  </r>
  <r>
    <s v="logstrup.com"/>
    <s v="minus"/>
    <s v="Fail"/>
    <s v="v=spf1 include:_spf1670.spfprotect.com -all"/>
    <m/>
    <x v="3"/>
    <s v="v=DMARC1; p=reject; rua=mailto:5f63040c557e6@dmarc.centerasecurity.com;"/>
    <m/>
    <m/>
    <x v="7"/>
    <x v="10"/>
  </r>
  <r>
    <s v="derrynaflan.com"/>
    <s v="no"/>
    <s v="Not found"/>
    <m/>
    <m/>
    <x v="0"/>
    <m/>
    <m/>
    <m/>
    <x v="1"/>
    <x v="10"/>
  </r>
  <r>
    <s v="cooneyfurlong.com"/>
    <s v="minus"/>
    <s v="Fail"/>
    <s v="v=spf1 ip4:91.210.235.90 include:spf.protection.outlook.com a:smtp.wicklowbroadband.com include:spf.mailanyone.net include:spf.ess.de.barracudanetworks.com -all"/>
    <s v="yes"/>
    <x v="0"/>
    <m/>
    <m/>
    <m/>
    <x v="3"/>
    <x v="10"/>
  </r>
  <r>
    <s v="janssen.ie"/>
    <s v="minus"/>
    <s v="Fail"/>
    <s v="v=spf1 include:%{d}.ce.spf-protect.dmp.cisco.com exists:%{i}._i.%{d}._d.espf.dmp.cisco.com -all"/>
    <m/>
    <x v="3"/>
    <s v="v=DMARC1; p=reject; sp=quarantine; fo=1; ri=3600; rua=mailto:jnj@rua.dmp.cisco.com,mailto:jnj@rua.agari.com; ruf=mailto:jnj@ruf.dmp.cisco.com,mailto:jnj@ruf.agari.com"/>
    <m/>
    <m/>
    <x v="0"/>
    <x v="10"/>
  </r>
  <r>
    <s v="servier.com"/>
    <s v="tilde"/>
    <s v="Soft Fail"/>
    <s v="v=spf1 include:spf.protection.outlook.com include:_spf-a.servier.com include:_spf-b.servier.com include:servers.mcsv.net ~all"/>
    <s v="yes"/>
    <x v="3"/>
    <s v="v=DMARC1; p=reject; fo=1; rua=mailto:servier.rua@emailsecurity.merox.io; ruf=mailto:servier.ruf@emailsecurity.merox.io"/>
    <m/>
    <m/>
    <x v="0"/>
    <x v="10"/>
  </r>
  <r>
    <s v="jonesoil.ie"/>
    <s v="minus"/>
    <s v="Fail"/>
    <s v="v=spf1 include:spf.protection.outlook.com -all"/>
    <s v="yes"/>
    <x v="3"/>
    <s v="v=DMARC1; p=reject; rua=mailto:dmarc@jonesoil.ie"/>
    <m/>
    <m/>
    <x v="0"/>
    <x v="10"/>
  </r>
  <r>
    <s v="grange.ie"/>
    <s v="tilde"/>
    <s v="Soft Fail"/>
    <s v="v=spf1 include:spf.protection.outlook.com include:mailgun.org include:eu.zcsend.net ~all"/>
    <m/>
    <x v="0"/>
    <m/>
    <m/>
    <m/>
    <x v="0"/>
    <x v="10"/>
  </r>
  <r>
    <s v="epmooney.ie"/>
    <s v="minus"/>
    <s v="Fail"/>
    <s v="v=spf1 include:spf.protection.outlook.com -all"/>
    <m/>
    <x v="0"/>
    <m/>
    <m/>
    <m/>
    <x v="0"/>
    <x v="10"/>
  </r>
  <r>
    <s v="qualvecom.ie"/>
    <s v="minus"/>
    <s v="Fail"/>
    <s v="v=spf1 include:spf.protection.outlook.com include:spf1.emailsecurity.app include:spf.blacknight.com include:awses.qualvecom.com -all"/>
    <s v="yes"/>
    <x v="3"/>
    <s v="v=DMARC1; p=reject; fo=1; rua=mailto:rua+qualvecom.ie@dmarc.barracudanetworks.com,mailto:dkgjlkcr@rua.dmarceye.com; ruf=mailto:ruf+qualvecom.ie@dmarc.barracudanetworks.com; ri=86400"/>
    <m/>
    <m/>
    <x v="0"/>
    <x v="10"/>
  </r>
  <r>
    <s v="macneanrestaurant.com"/>
    <s v="minus"/>
    <s v="Fail"/>
    <s v="v=spf1 include:_spf.mlsend.com a include:spf.blacknight.ie -all"/>
    <m/>
    <x v="2"/>
    <s v="v=DMARC1; p=none;"/>
    <m/>
    <m/>
    <x v="11"/>
    <x v="10"/>
  </r>
  <r>
    <s v="barryroeco-op.ie"/>
    <s v="question"/>
    <s v="Neutral"/>
    <s v="v=spf1 include:spf.protection.outlook.com ip4:212.78.228.74 ip4:84.51.253.158 ?all"/>
    <s v="yes"/>
    <x v="3"/>
    <s v="v=DMARC1;p=reject;sp=none;adkim=r;aspf=r;pct=100;fo=1;rf=afrf;ri=86400;rua=mailto:rua+barryroeco-op.ie@dmarc.barracudanetworks.com;ruf=mailto:ruf+barryroeco-op.ie@dmarc.barracudanetworks.com"/>
    <m/>
    <m/>
    <x v="1"/>
    <x v="10"/>
  </r>
  <r>
    <s v="ecco.com"/>
    <s v="minus"/>
    <s v="Fail"/>
    <s v="v=spf1 include:_spf6060.spfprotect.com -all"/>
    <s v="yes"/>
    <x v="3"/>
    <s v="v=DMARC1; p=reject; rua=mailto:61766da0c4377@dmarc.centerasecurity.com;"/>
    <m/>
    <m/>
    <x v="1"/>
    <x v="10"/>
  </r>
  <r>
    <s v="commonsinn.com"/>
    <s v="minus"/>
    <s v="Fail"/>
    <s v="v=spf1 include:spf.protection.outlook.com -all"/>
    <m/>
    <x v="2"/>
    <s v="v=DMARC1; p=none;"/>
    <m/>
    <m/>
    <x v="1"/>
    <x v="10"/>
  </r>
  <r>
    <s v="ancosan.com"/>
    <s v="minus"/>
    <s v="Fail"/>
    <s v="v=spf1 +a +mx +ip4:91.210.232.8 include:spf.webhostingireland.ie +ip4:185.43.232.251 +include:spf.protection.outlook.com -all"/>
    <s v="yes"/>
    <x v="0"/>
    <m/>
    <m/>
    <m/>
    <x v="0"/>
    <x v="10"/>
  </r>
  <r>
    <s v="ct-ireland.ie"/>
    <s v="tilde"/>
    <s v="Soft Fail"/>
    <s v="v=spf1 include:%{ir}.%{v}.%{d}.spf.has.pphosted.com ~all"/>
    <s v="yes"/>
    <x v="3"/>
    <s v="v=DMARC1; p=reject; fo=1; rua=mailto:dmarc_rua@emaildefense.proofpoint.com; ruf=mailto:dmarc_ruf@emaildefense.proofpoint.com;"/>
    <m/>
    <m/>
    <x v="0"/>
    <x v="10"/>
  </r>
  <r>
    <s v="havok.com"/>
    <s v="minus"/>
    <s v="Fail"/>
    <s v="v=spf1 ip4:20.82.129.190 ip4:168.61.147.238 ip4:167.220.197.88 ip4:13.93.11.183 ip4:52.175.18.60 ip4:52.161.13.137 ip4:108.142.61.230 ip4:104.208.107.30 ip4:20.82.182.156 ip4:13.78.130.245 ip4:167.220.196.0/23 include:spf.protection.outlook.com include:m&quot; &quot;ail.zendesk.com -all"/>
    <m/>
    <x v="3"/>
    <s v="v=DMARC1; p=reject; pct=100; rua=mailto:rua@dmarc.microsoft; ruf=mailto:ruf@dmarc.microsoft; fo=1"/>
    <m/>
    <m/>
    <x v="0"/>
    <x v="10"/>
  </r>
  <r>
    <s v="independent-trustee.com"/>
    <s v="minus"/>
    <s v="Fail"/>
    <s v="v=spf1 include:spf.protection.outlook.com ip4:83.70.158.18 ip4:162.13.193.54 -all"/>
    <s v="yes"/>
    <x v="1"/>
    <s v="v=DMARC1; p=quarantine;rua=mailto:itfadmin@itcgroup.ie;"/>
    <m/>
    <m/>
    <x v="0"/>
    <x v="10"/>
  </r>
  <r>
    <s v="cranehire-ireland.com"/>
    <s v="no"/>
    <s v="Not found"/>
    <m/>
    <m/>
    <x v="0"/>
    <m/>
    <m/>
    <m/>
    <x v="0"/>
    <x v="10"/>
  </r>
  <r>
    <s v="menloparkhotel.com"/>
    <s v="minus"/>
    <s v="Fail"/>
    <s v="v=spf1 ip4:89.101.95.14 include:spf.protection.outlook.com include:netaffinity.net include:amazonses.com a:spamtitan.zenotec.ie -all"/>
    <s v="yes"/>
    <x v="1"/>
    <s v="v=DMARC1; p=quarantine; pct=100; rua=mailto:dmarc@zenotec.ie; ruf=mailto:dmarc@zenotec.ie; fo=1"/>
    <m/>
    <m/>
    <x v="7"/>
    <x v="10"/>
  </r>
  <r>
    <s v="killarneyavenue.com"/>
    <s v="tilde"/>
    <s v="Soft Fail"/>
    <s v="v=spf1 a mx include:netaffinity.net include:spf.protection.outlook.com ip4:82.141.235.96 ip4:192.162.217.194 ip4:34.251.246.197/32 ip4:34.254.147.8/32 include:authsmtp.com include:sendgrid.net ~all"/>
    <s v="yes"/>
    <x v="2"/>
    <s v="v=DMARC1; p=none; ruf=mailto:paq@killarneyavenue.com; fua=mailto:dmarc_agg@vali.email; fo=1"/>
    <m/>
    <m/>
    <x v="14"/>
    <x v="10"/>
  </r>
  <r>
    <s v="longfordarms.ie"/>
    <s v="minus"/>
    <s v="Fail"/>
    <s v="v=spf1 include:spf.protection.outlook.com -all"/>
    <m/>
    <x v="0"/>
    <m/>
    <m/>
    <m/>
    <x v="20"/>
    <x v="10"/>
  </r>
  <r>
    <s v="lawlorshotel.com"/>
    <s v="tilde"/>
    <s v="Soft Fail"/>
    <s v="v=spf1 include:netaffinity.net include:spf.protection.outlook.com include:spf1.emailsecurity.app include:spf.mailjet.com include:spf.mandrillapp.com ~all"/>
    <m/>
    <x v="0"/>
    <m/>
    <m/>
    <m/>
    <x v="10"/>
    <x v="10"/>
  </r>
  <r>
    <s v="mullingarparkhotel.com"/>
    <s v="tilde"/>
    <s v="Soft Fail"/>
    <s v="v=spf1 a mx include:spf.newsletter.ie include:spf.protection.outlook.com include:oracleindustry.com ~all"/>
    <s v="yes"/>
    <x v="0"/>
    <m/>
    <m/>
    <m/>
    <x v="23"/>
    <x v="10"/>
  </r>
  <r>
    <s v="terradrive.ie"/>
    <s v="tilde"/>
    <s v="Soft Fail"/>
    <s v="v=spf1 a include:spf.blacknight.ie include:_spf.google.com ~all"/>
    <m/>
    <x v="0"/>
    <m/>
    <m/>
    <m/>
    <x v="25"/>
    <x v="11"/>
  </r>
  <r>
    <s v="electronicconcepts.ie"/>
    <s v="minus"/>
    <s v="Fail"/>
    <s v="v=spf1 +a +mx +a:trojanit.dmacmedia.ie -all"/>
    <s v="yes"/>
    <x v="1"/>
    <s v="v=DMARC1; p=quarantine; adkim=s; aspf=s"/>
    <m/>
    <m/>
    <x v="7"/>
    <x v="11"/>
  </r>
  <r>
    <s v="wallsteel.ie"/>
    <s v="minus"/>
    <s v="Fail"/>
    <s v="v=spf1 include:mailanyone.net include:spf.protection.outlook.com -all"/>
    <m/>
    <x v="0"/>
    <m/>
    <m/>
    <m/>
    <x v="3"/>
    <x v="11"/>
  </r>
  <r>
    <s v="firstglass.ie"/>
    <s v="minus"/>
    <s v="Fail"/>
    <s v="v=spf1 ip4:185.156.197.105 ip4:159.134.105.121 mx -all"/>
    <m/>
    <x v="2"/>
    <s v="v=DMARC1; p=none; pct=100; fo=1; ri=3600; rua=mailto:62f9aae6@inbox.ondmarc.com; ruf=mailto:62f9aae6@inbox.ondmarc.com;"/>
    <m/>
    <m/>
    <x v="0"/>
    <x v="12"/>
  </r>
  <r>
    <s v="eschergroup.com"/>
    <s v="minus"/>
    <s v="Fail"/>
    <s v="v=spf1 include:spf.protection.outlook.com include:_spf.salesforce.com include:_spf.atlassian.net include:_aspf1.spf05.hubspotemail.net include:et._spf.pardot.com ip4:104.129.83.224/26 -all"/>
    <s v="yes"/>
    <x v="3"/>
    <s v="v=DMARC1;p=reject;sp=reject;pct=100;adkim=r;aspf=r;rua=mailto:egnotifications@eschergroup.com;ruf=mailto:egnotifications@eschergroup.com;ri=86400;fo=1"/>
    <m/>
    <m/>
    <x v="0"/>
    <x v="12"/>
  </r>
  <r>
    <s v="new.ie"/>
    <s v="tilde"/>
    <s v="Soft Fail"/>
    <s v="v=spf1 include:_u.new.ie._spf.smart.ondmarc.com ~all"/>
    <s v="yes"/>
    <x v="3"/>
    <s v="v=DMARC1; p=reject; pct=100; sp=none; rua=mailto:f56fbd93@inbox.ondmarc.com; ruf=mailto:f56fbd93@inbox.ondmarc.com; adkim=r; aspf=r; fo=1; rf=afrf; ri=3600"/>
    <m/>
    <m/>
    <x v="0"/>
    <x v="12"/>
  </r>
  <r>
    <s v="clonmeloil.com"/>
    <s v="minus"/>
    <s v="Fail"/>
    <s v="v=spf1 include:spf.protection.outlook.com include:turbo-smtp.com -all"/>
    <m/>
    <x v="2"/>
    <s v="v=DMARC1; p=none;"/>
    <m/>
    <m/>
    <x v="13"/>
    <x v="12"/>
  </r>
  <r>
    <s v="raywhelan.ie"/>
    <s v="minus"/>
    <s v="Fail"/>
    <s v="v=spf1 mx ip4:109.123.107.79 mx:mail.raywhelan.ie a:webserver1.bizspacehost.com include:spf.protection.outlook.com include:spf.ess.de.barracudanetworks.com -all"/>
    <s v="yes"/>
    <x v="0"/>
    <m/>
    <m/>
    <m/>
    <x v="25"/>
    <x v="13"/>
  </r>
  <r>
    <s v="stmarkscs.ie"/>
    <s v="tilde"/>
    <s v="Soft Fail"/>
    <s v="v=spf1 ip4:87.36.33.6 include:_spf.google.com ~all"/>
    <m/>
    <x v="0"/>
    <m/>
    <m/>
    <m/>
    <x v="0"/>
    <x v="13"/>
  </r>
  <r>
    <s v="filtertek.ie"/>
    <s v="tilde"/>
    <s v="Soft Fail"/>
    <s v="v=spf1 ip4:83.70.176.121 ip4:88.87.175.210 include:spf.protection.outlook.com ~all"/>
    <m/>
    <x v="0"/>
    <m/>
    <m/>
    <m/>
    <x v="5"/>
    <x v="13"/>
  </r>
  <r>
    <s v="pensionsauthority.ie"/>
    <s v="minus"/>
    <s v="Fail"/>
    <s v="v=spf1 mx ip4:137.191.230.130 ip4:137.191.230.131 ip4:137.191.234.164 ip4:137.191.234.165 a:pdr.pensionsauthority.ie a:mail.pensionsauthority.ie a:mail1.pensionsauthority.ie a:mail2.pensionsauthority.ie include:servers.mcsv.net include:spfext.itservi&quot; &quot;ces.gov.ie include:relay.kinstamailservice.com -all"/>
    <m/>
    <x v="2"/>
    <s v="v=DMARC1; p=none;"/>
    <m/>
    <m/>
    <x v="0"/>
    <x v="13"/>
  </r>
  <r>
    <s v="consumerhelp.ie"/>
    <s v="no"/>
    <s v="Not found"/>
    <m/>
    <m/>
    <x v="0"/>
    <m/>
    <m/>
    <m/>
    <x v="0"/>
    <x v="14"/>
  </r>
  <r>
    <s v="thebarofireland.ie"/>
    <s v="no"/>
    <s v="Not found"/>
    <m/>
    <m/>
    <x v="0"/>
    <m/>
    <m/>
    <m/>
    <x v="0"/>
    <x v="14"/>
  </r>
  <r>
    <s v="horizondigitalprint.com"/>
    <s v="minus"/>
    <s v="Fail"/>
    <s v="v=spf1 include:spf.protection.outlook.com include:mailchimp.com include:rp.oracleemaildelivery.com include:ap.rp.oracleemaildelivery.com include:eu.rp.oracleemaildelivery.com -all"/>
    <s v="yes"/>
    <x v="0"/>
    <m/>
    <m/>
    <m/>
    <x v="0"/>
    <x v="14"/>
  </r>
  <r>
    <s v="brookhaven.ie"/>
    <s v="minus"/>
    <s v="Fail"/>
    <s v="v=spf1 include:spf1.emailsecurity.app include:spf.protection.outlook.com -all"/>
    <m/>
    <x v="0"/>
    <m/>
    <m/>
    <m/>
    <x v="17"/>
    <x v="14"/>
  </r>
  <r>
    <s v="assessireland.com"/>
    <s v="minus"/>
    <s v="Fail"/>
    <s v="v=spf1 ip4:52.208.120.156 include:spf.protection.outlook.com include:spf.reg365.net -all"/>
    <s v="yes"/>
    <x v="2"/>
    <s v="v=DMARC1; p=none;"/>
    <m/>
    <m/>
    <x v="14"/>
    <x v="14"/>
  </r>
  <r>
    <s v="luttrellstown.com"/>
    <s v="no"/>
    <s v="Not found"/>
    <m/>
    <m/>
    <x v="0"/>
    <m/>
    <m/>
    <m/>
    <x v="0"/>
    <x v="15"/>
  </r>
  <r>
    <s v="libertysrecycling.ie"/>
    <s v="no"/>
    <s v="Not found"/>
    <m/>
    <m/>
    <x v="0"/>
    <m/>
    <m/>
    <m/>
    <x v="0"/>
    <x v="15"/>
  </r>
  <r>
    <s v="kilcawleyconstruction.com"/>
    <s v="minus"/>
    <s v="Fail"/>
    <s v="v=spf1 +ip4:66.206.3.250 ip4:23.111.150.199 ip4:86.47.224.51 ip4:86.41.75.208 include:spf.protection.outlook.com include:spf.fusemail.net mx a -all"/>
    <m/>
    <x v="0"/>
    <m/>
    <m/>
    <m/>
    <x v="8"/>
    <x v="15"/>
  </r>
  <r>
    <s v="electricalrewinds.ie"/>
    <s v="minus"/>
    <s v="Fail"/>
    <s v="v=spf1 include:spf.protection.outlook.com mx -all"/>
    <m/>
    <x v="2"/>
    <s v="v=DMARC1; p=none;"/>
    <m/>
    <m/>
    <x v="5"/>
    <x v="15"/>
  </r>
  <r>
    <s v="kinsale-energy.ie"/>
    <s v="minus"/>
    <s v="Fail"/>
    <s v="v=spf1 include:spf.protection.outlook.com -all"/>
    <m/>
    <x v="0"/>
    <m/>
    <m/>
    <m/>
    <x v="1"/>
    <x v="15"/>
  </r>
  <r>
    <s v="itwsbi.com"/>
    <s v="tilde"/>
    <s v="Soft Fail"/>
    <s v="v=spf1 include:spf.protection.outlook.com include:notifications.issuetrak.com include:et._spf.pardot.com ip4:209.49.53.10 ip4:24.247.23.98 ~all"/>
    <s v="yes"/>
    <x v="1"/>
    <s v="v=DMARC1; p=quarantine; rua=mailto:dmarc_agg@vali.email"/>
    <m/>
    <m/>
    <x v="1"/>
    <x v="15"/>
  </r>
  <r>
    <s v="wexfordcoco.ie"/>
    <s v="minus"/>
    <s v="Fail"/>
    <s v="v=spf1 exists:%{i}.spf.hc1696-6.eu.iphmx.com include:spf.protection.outlook.com include:spf.blacknight.com include:_spf.firmstep.com a:extdms.wexfordcoco.ie -all"/>
    <s v="yes"/>
    <x v="2"/>
    <s v="v=DMARC1;p=none;sp=none;adkim=s;rua=mailto:itsecurity@wexfordcoco.ie,mailto:211a5a2e44@rua.easydmarc.eu;ruf=mailto:itsecurity@wexfordcoco.ie,mailto:211a5a2e44@ruf.easydmarc.eu;ri=14400;fo=1"/>
    <m/>
    <m/>
    <x v="3"/>
    <x v="15"/>
  </r>
  <r>
    <s v="enniscommunitycollege.com"/>
    <s v="tilde"/>
    <s v="Soft Fail"/>
    <s v="v=spf1 a mx include:spf.id.ie ~all"/>
    <m/>
    <x v="0"/>
    <m/>
    <m/>
    <m/>
    <x v="9"/>
    <x v="15"/>
  </r>
  <r>
    <s v="mountmercy.ie"/>
    <s v="tilde"/>
    <s v="Soft Fail"/>
    <s v="v=spf1 ip4:184.173.239.120 a mx include:websitewelcome.com ~all"/>
    <m/>
    <x v="0"/>
    <m/>
    <m/>
    <m/>
    <x v="1"/>
    <x v="15"/>
  </r>
  <r>
    <s v="staidanscork.ie"/>
    <s v="minus"/>
    <s v="Fail"/>
    <s v="v=spf1 include:spf.protection.outlook.com -all"/>
    <s v="yes"/>
    <x v="3"/>
    <s v="v=DMARC1;p=reject;sp=reject"/>
    <m/>
    <m/>
    <x v="1"/>
    <x v="15"/>
  </r>
  <r>
    <s v="tmscc.ie"/>
    <s v="no"/>
    <s v="Not found"/>
    <m/>
    <m/>
    <x v="0"/>
    <m/>
    <m/>
    <m/>
    <x v="1"/>
    <x v="15"/>
  </r>
  <r>
    <s v="mountseskincc.ie"/>
    <s v="no"/>
    <s v="Not found"/>
    <m/>
    <s v="yes"/>
    <x v="0"/>
    <m/>
    <m/>
    <m/>
    <x v="0"/>
    <x v="15"/>
  </r>
  <r>
    <s v="stdavidscbs.ie"/>
    <s v="tilde"/>
    <s v="Soft Fail"/>
    <s v="v=spf1 ip4:184.173.239.120 ip4:79.170.246.48 ip4:80.93.17.151 a mx include:websitewelcome.com ~all"/>
    <m/>
    <x v="0"/>
    <m/>
    <m/>
    <m/>
    <x v="0"/>
    <x v="15"/>
  </r>
  <r>
    <s v="stdominics.ie"/>
    <s v="tilde"/>
    <s v="Soft Fail"/>
    <s v="v=spf1 ip4:200.69.13.100 +a +mx +ip4:78.153.200.188 +ip4:78.153.201.112 +ip4:94.229.76.210 +ip4:77.75.120.18 +ip4:173.194.199.26 +ip4:74.125.141.27 +ip4:173.194.219.26 +ip4:64.233.186.27 ~all"/>
    <s v="yes"/>
    <x v="2"/>
    <s v="v=DMARC1; p=none"/>
    <m/>
    <m/>
    <x v="0"/>
    <x v="15"/>
  </r>
  <r>
    <s v="stmaryshfcglasnevin.com"/>
    <s v="tilde"/>
    <s v="Soft Fail"/>
    <s v="v=spf1 +a +mx +ip4:83.138.8.111 include:relay.mailchannels.net ~all"/>
    <s v="yes"/>
    <x v="0"/>
    <m/>
    <m/>
    <m/>
    <x v="0"/>
    <x v="15"/>
  </r>
  <r>
    <s v="naascbs.ie"/>
    <s v="tilde"/>
    <s v="Soft Fail"/>
    <s v="v=spf1 include:_spf.google.com +mx +a +ip4:167.235.180.130 ~all"/>
    <s v="yes"/>
    <x v="2"/>
    <s v="v=DMARC1; P=none;"/>
    <m/>
    <m/>
    <x v="16"/>
    <x v="15"/>
  </r>
  <r>
    <s v="stfarnans.ie"/>
    <s v="no"/>
    <s v="Not found"/>
    <m/>
    <m/>
    <x v="0"/>
    <m/>
    <m/>
    <m/>
    <x v="16"/>
    <x v="15"/>
  </r>
  <r>
    <s v="stwolstans.ie"/>
    <s v="minus"/>
    <s v="Fail"/>
    <s v="v=spf1 include:spf.protection.outlook.com -all"/>
    <s v="yes"/>
    <x v="0"/>
    <m/>
    <m/>
    <m/>
    <x v="16"/>
    <x v="15"/>
  </r>
  <r>
    <s v="castlecomercs.com"/>
    <s v="minus"/>
    <s v="Fail"/>
    <s v="v=spf1 include:spf.protection.outlook.com -all"/>
    <m/>
    <x v="0"/>
    <m/>
    <m/>
    <m/>
    <x v="17"/>
    <x v="15"/>
  </r>
  <r>
    <s v="eurekasecondaryschool.ie"/>
    <s v="tilde"/>
    <s v="Soft Fail"/>
    <s v="v=spf1 ip4:190.180.145.98 +a +mx +include:spf.dub1.servername.online ~all"/>
    <s v="yes"/>
    <x v="0"/>
    <m/>
    <m/>
    <m/>
    <x v="15"/>
    <x v="15"/>
  </r>
  <r>
    <s v="olss.ie"/>
    <s v="tilde"/>
    <s v="Soft Fail"/>
    <s v="v=spf1 include:_spf.google.com ~all"/>
    <s v="yes"/>
    <x v="0"/>
    <m/>
    <m/>
    <m/>
    <x v="12"/>
    <x v="15"/>
  </r>
  <r>
    <s v="stmarysedenderry.ie"/>
    <s v="minus"/>
    <s v="Fail"/>
    <s v="v=spf1 include:spf.protection.outlook.com -all"/>
    <m/>
    <x v="0"/>
    <m/>
    <m/>
    <m/>
    <x v="21"/>
    <x v="15"/>
  </r>
  <r>
    <s v="summerhillcollege.ie"/>
    <s v="tilde"/>
    <s v="Soft Fail"/>
    <s v="v=spf1 +a +mx +ip4:109.237.24.70 +include:_spf.google.com ~all"/>
    <s v="yes"/>
    <x v="3"/>
    <s v="v=DMARC1; p=reject; rua=mailto:sysadmin@summerhillcollege.ie; ruf=mailto:sysadmin@summerhillcollege.ie; pct=100;"/>
    <m/>
    <m/>
    <x v="8"/>
    <x v="15"/>
  </r>
  <r>
    <s v="newtownschool.ie"/>
    <s v="minus"/>
    <s v="Fail"/>
    <s v="v=spf1 include:spf.protection.outlook.com -all"/>
    <m/>
    <x v="0"/>
    <m/>
    <m/>
    <m/>
    <x v="10"/>
    <x v="15"/>
  </r>
  <r>
    <s v="ourladysbower.com"/>
    <s v="minus"/>
    <s v="Fail"/>
    <s v="v=spf1 include:spf.protection.outlook.com -all"/>
    <s v="yes"/>
    <x v="0"/>
    <m/>
    <m/>
    <m/>
    <x v="23"/>
    <x v="15"/>
  </r>
  <r>
    <s v="cbcarnew.ie"/>
    <s v="tilde"/>
    <s v="Soft Fail"/>
    <s v="v=spf1 include:_spf.mail.hostinger.com ~all"/>
    <m/>
    <x v="0"/>
    <m/>
    <m/>
    <m/>
    <x v="24"/>
    <x v="15"/>
  </r>
  <r>
    <s v="paramounthotel.ie"/>
    <s v="minus"/>
    <s v="Fail"/>
    <s v="v=spf1 +ip4:91.210.232.40 +include:spf.protection.outlook.com -all"/>
    <s v="yes"/>
    <x v="0"/>
    <m/>
    <m/>
    <m/>
    <x v="0"/>
    <x v="15"/>
  </r>
  <r>
    <s v="radisonhotelgroup.com"/>
    <s v="no"/>
    <s v="Not found"/>
    <m/>
    <m/>
    <x v="0"/>
    <m/>
    <m/>
    <m/>
    <x v="0"/>
    <x v="15"/>
  </r>
  <r>
    <s v="themorgan.com"/>
    <s v="minus"/>
    <s v="Fail"/>
    <s v="v=spf1 ip4:81.173.15.74 include:spf.protection.outlook.com include:spf.mandrillapp.com include:_spf.bookassist.com Include:_spf.salesforce.com -all"/>
    <s v="yes"/>
    <x v="1"/>
    <s v="v=DMARC1; p=quarantine; pct=100; rua=mailto:dmarc@themorgan.com; ruf=mailto:dmarc@themorgan.com"/>
    <m/>
    <m/>
    <x v="0"/>
    <x v="15"/>
  </r>
  <r>
    <s v="manorwesthotel.ie"/>
    <s v="tilde"/>
    <s v="Soft Fail"/>
    <s v="v=spf1 ip4:86.43.86.187 include:netaffinity.net include:email2.guestfolio.net include:spf.protection.outlook.com include:sendgrid.net ~all"/>
    <s v="yes"/>
    <x v="1"/>
    <s v="v=DMARC1; p=quarantine; rua=mailto:admin@manorwesthotel.ie;"/>
    <m/>
    <m/>
    <x v="14"/>
    <x v="15"/>
  </r>
  <r>
    <s v="botanicgardens.ie"/>
    <s v="minus"/>
    <s v="Fail"/>
    <s v="v=spf1 -all"/>
    <m/>
    <x v="0"/>
    <m/>
    <m/>
    <m/>
    <x v="0"/>
    <x v="15"/>
  </r>
  <r>
    <s v="barcouncil.ie"/>
    <s v="no"/>
    <s v="Not found"/>
    <m/>
    <m/>
    <x v="0"/>
    <m/>
    <m/>
    <m/>
    <x v="0"/>
    <x v="15"/>
  </r>
  <r>
    <s v="royallondon.ie"/>
    <s v="minus"/>
    <s v="Fail"/>
    <s v="v=spf1 mx a:relay2a-uk.clearswift.net a:relay2a-us.clearswift.net include:spf.protection.outlook.com -all"/>
    <m/>
    <x v="1"/>
    <s v="v=DMARC1; p=quarantine; fo=1; ri=3600; rua=mailto:royallondon@rua.agari-eu.com,mailto:DmarcReporting@royallondon.com; ruf=mailto:royallondon@ruf.agari-eu.com,mailto:DmarcFailureReporting@royallondon.com"/>
    <m/>
    <m/>
    <x v="0"/>
    <x v="15"/>
  </r>
  <r>
    <s v="bijurdelimon.com"/>
    <s v="tilde"/>
    <s v="Soft Fail"/>
    <s v="v=spf1 ip4:92.51.204.182 ip4:92.51.204.181 ip4:188.111.40.2 ip4:145.253.161.210 ip4:172.126.121.162 include:spf.protection.outlook.com ~all"/>
    <s v="yes"/>
    <x v="3"/>
    <s v="v=DMARC1;p=reject;sp=reject;pct=100;rua=mailto:7e319f540f37465a9b1698aa477ddc22@dmarc-reports.cloudflare.net;ri=86400;aspf=s;fo=1"/>
    <m/>
    <m/>
    <x v="9"/>
    <x v="15"/>
  </r>
  <r>
    <s v="ventilux.ie"/>
    <s v="mis"/>
    <s v="Invalid SPF Syntax"/>
    <s v="v=spf1 redirect=_ser1wtifd.sdmarc.net"/>
    <s v="yes"/>
    <x v="3"/>
    <s v="v=DMARC1; p=reject; pct=100; rua=mailto:a.er1wtifd@sdmarc.net"/>
    <m/>
    <m/>
    <x v="24"/>
    <x v="15"/>
  </r>
  <r>
    <s v="modular.ie"/>
    <s v="no"/>
    <s v="Not found"/>
    <m/>
    <m/>
    <x v="0"/>
    <m/>
    <m/>
    <m/>
    <x v="19"/>
    <x v="15"/>
  </r>
  <r>
    <s v="chesapeakecorp.com"/>
    <s v="no"/>
    <s v="Not found"/>
    <m/>
    <m/>
    <x v="3"/>
    <s v="v=DMARC1; p=reject; fo=1; rua=mailto:dmarc_rua@emaildefense.proofpoint.com; ruf=mailto:dmarc_ruf@emaildefense.proofpoint.com"/>
    <m/>
    <m/>
    <x v="0"/>
    <x v="15"/>
  </r>
  <r>
    <s v="gerflor.com"/>
    <s v="minus"/>
    <s v="Fail"/>
    <s v="v=spf1 ip4:85.31.192.42/32 ip4:85.31.193.42/32 ip4:85.31.193.7/32 ip4:212.157.146.188/32 ip4:212.208.155.139/32 ip4:134.213.195.176/32 ip4:13.39.123.138/32 ip4:83.206.54.1/32 ip4:194.51.208.105/32 ip4:90.121.196.136/32 ip4:194.51.99.64/32 ip4:&quot; &quot;46.218.252.250/32 ip4:89.227.225.102/32 ip4:89.225.250.206/32 ip4:46.218.130.190/32 ip4:81.1.7.114/32 ip4:205.201.128.0/20 ip4:198.2.128.0/18 ip4:203.209.198.234/32 ip4:61.88.152.129/32 ip4:148.105.0.0/16 ip4:90.85.192.137/32 ip4:194.98.12.196&quot; &quot;/32 ip4:212.208.237.122/32 ip4:212.208.239.38/32 ip4:212.208.238.178/32 ip4:35.157.147.57/32 ip4:35.157.105.252/32 ip4:35.157.111.195/32 ip4:35.157.15.51/32 ip4:105.27.173.198/32 ip4:117.184.170.246/30 ip4:41.140.242.216/32 ip4:80.16.61.24/32 ip4:&quot; &quot;80.155.19.146/29 ip4:212.208.238.82/32 ip4:217.136.171.66/32 ip4:20.79.74.243/32 ip4:2.136.114.230/32 ip4:35.181.156.191/32 ip4:13.36.253.151/32 ip4:3.123.206.219/32 ip4:194.51.207.93/32 ip4:194.98.12.204/32 ip4:194.51.148.88/32 ip4:3.68.129.51&quot; &quot;/32 ip4:90.121.195.81/32 ip4:90.121.194.40/29 ip4:90.121.195.82/32 ip4:90.121.229.45/32 ip4:90.85.192.105/32 ip4:90.121.196.124/32 ip4:194.250.147.102/32 ip4:194.250.63.50/32 ip4:194.51.218.161/32 ip4:50.171.2.154/32 ip4:216.161.228.219&quot; &quot;/32 ip4:194.51.99.97/32 ip4:213.56.133.217/32 ip4:194.51.250.201/32 ip4:194.51.99.65/32 ip4:90.85.76.243&quot; &quot;/32 ip4:68.70.138.34/32 ip4:90.85.216.221/32 ip4:96.93.176.141/32 ip4:213.56.160.41/32 ip4:13.37.91.238/32 ip4:90.115.35.209/32 ip4:184.154.145.202/32 ip4:66.60.118.106/32 ip4:24.37.222.242/32 ip4:194.51.218.160/32 ip4:184.154.87.221&quot; &quot;/32 include:spf.protection.outlook.com include:spfcloud.letsignit.com include:spfa.cpmails.com include:eskerondemand.com include:amazonses.com include:mailers.novius.net -all"/>
    <s v="yes"/>
    <x v="2"/>
    <s v="v=DMARC1; p=none; rua=mailto:dmarc.reports@gerflor.com; ruf=mailto:dmarc.failures@gerflor.com;"/>
    <m/>
    <m/>
    <x v="12"/>
    <x v="15"/>
  </r>
  <r>
    <s v="fff.saint-gobain.com"/>
    <s v="no"/>
    <s v="Not found"/>
    <m/>
    <m/>
    <x v="0"/>
    <m/>
    <m/>
    <m/>
    <x v="9"/>
    <x v="15"/>
  </r>
  <r>
    <s v="amcor.com"/>
    <s v="minus"/>
    <s v="Fail"/>
    <s v="v=spf1 include:spf.protection.outlook.com ip4:51.143.2.119 ip4:13.66.130.121 ip4:20.96.2.88 ip4:20.230.234.206 ip4:20.122.27.14 ip4:52.177.186.121 ip4:142.54.44.35/32 ip4:142.54.44.34/32 ip4:142.54.44.33/32 ip4:142.54.44.21/32 ip4:206.164.255.95/32 ip4:20&quot; &quot;8.185.229.0/24 ip4:208.185.235.0/24 ip4:148.59.108.0/23 ip4:148.59.106.0/23 ip4:91.205.116.0/24 ip4:191.242.202.105/32 ip4:59.154.147.162/32 ip4:139.130.187.10/24 ip4:142.54.44.104/32 ip4:206.164.255.72/32 ip4:220.101.55.26/32 ip4:13.94.215.190/32 ip4:40.&quot; &quot;86.115.90/32 ip4:149.72.231.47/32 include:2176008.spf02.hubspotemail.net include:spf.bombbomb.email include:eskerondemand.com include:_spf.salesforce.com include:_spf.psm.knowbe4.com include:6af455.workshop-spf.net -all"/>
    <s v="yes"/>
    <x v="1"/>
    <s v="v=DMARC1; p=quarantine; rua=mailto:46glyn2v@ag.eu.dmarcian.com; ruf=mailto:46glyn2v@fr.eu.dmarcian.com; fo=1;"/>
    <m/>
    <m/>
    <x v="8"/>
    <x v="15"/>
  </r>
  <r>
    <s v="avoncourt.com"/>
    <s v="minus"/>
    <s v="Fail"/>
    <s v="v=spf1 include:spf.protection.outlook.com -all"/>
    <m/>
    <x v="0"/>
    <m/>
    <m/>
    <m/>
    <x v="1"/>
    <x v="15"/>
  </r>
  <r>
    <s v="guinness-storehouse.com"/>
    <s v="tilde"/>
    <s v="Soft Fail"/>
    <s v="v=spf1 include:spf.secutix.com ~all"/>
    <m/>
    <x v="3"/>
    <s v="v=DMARC1; p=reject; rua=mailto:dmarc_agg@vali.email"/>
    <m/>
    <m/>
    <x v="0"/>
    <x v="15"/>
  </r>
  <r>
    <s v="muckross-house.ie"/>
    <s v="mis"/>
    <s v="Invalid SPF Syntax"/>
    <s v="v=spf1 include:spf.da2.radleys.ie"/>
    <m/>
    <x v="0"/>
    <m/>
    <m/>
    <m/>
    <x v="14"/>
    <x v="15"/>
  </r>
  <r>
    <s v="kilkennyormonde.com"/>
    <s v="minus"/>
    <s v="Fail"/>
    <s v="v=spf1 include:spf.guestjoy.com include:spf.newsletter.ie include:spf.protection.outlook.com -all "/>
    <s v="yes"/>
    <x v="2"/>
    <s v="v=DMARC1;p=none;sp=none;pct=100;rua=mailto:dmarcreports@kilkennyormonde.com;ruf=mailto:dmarcreports@kilkennyormonde.com;ri=86400;aspf=r;adkim=r;fo=1;"/>
    <m/>
    <m/>
    <x v="17"/>
    <x v="15"/>
  </r>
  <r>
    <s v="oasisgroup.com"/>
    <s v="tilde"/>
    <s v="Soft Fail"/>
    <s v="v=spf1 include:sendgrid.net include:_spf.salesforce.com include:eu._netblocks.mimecast.com include:spf.protection.outlook.com&quot; &quot; include:aspmx.pardot.com ip4:31.221.83.247 ip4:136.146.0.0/15 ip4:50.31.40.151 ip4:81.149.174.150 ip4:137.116.230.135 ip4:31.221.83.241 ip4:62.13.128.0/24 ip4:62.13.129.128/25 ip4:62.13.136.0/22 ip4:62.13.140.0/22 ip4:62.13.144.0/22&quot; &quot; ip4:62.13.148.0/23 ip4:62.13.150.0/23 ip4:62.13.152.0/23 ip4:72.52.72.32/28 ip4:64.71.149.160/28 ~all"/>
    <s v="yes"/>
    <x v="1"/>
    <s v="v=DMARC1; p=quarantine"/>
    <m/>
    <m/>
    <x v="0"/>
    <x v="15"/>
  </r>
  <r>
    <s v="creggstone.com"/>
    <s v="minus"/>
    <s v="Fail"/>
    <s v="v=spf1 include:spf.protection.outlook.com -all"/>
    <s v="yes"/>
    <x v="0"/>
    <m/>
    <m/>
    <m/>
    <x v="7"/>
    <x v="15"/>
  </r>
  <r>
    <s v="kelkin.ie"/>
    <s v="minus"/>
    <s v="Fail"/>
    <s v="v=spf1 include:spf.protection.outlook.com include:de._netblocks.mimecast.com -all"/>
    <s v="yes"/>
    <x v="3"/>
    <s v="v=DMARC1; p=reject; rua=mailto:655d2a788d66450@rep.dmarcanalyzer.com; ruf=mailto:655d2a788d66450@for.dmarcanalyzer.com; fo=1;"/>
    <m/>
    <m/>
    <x v="0"/>
    <x v="15"/>
  </r>
  <r>
    <s v="coaction.e"/>
    <s v="no"/>
    <s v="Not found"/>
    <m/>
    <m/>
    <x v="0"/>
    <m/>
    <m/>
    <m/>
    <x v="1"/>
    <x v="15"/>
  </r>
  <r>
    <s v="bmc.com"/>
    <s v="tilde"/>
    <s v="Soft Fail"/>
    <s v="v=spf1 include:%{ir}.%{v}.%{d}.spf.has.pphosted.com ~all"/>
    <s v="yes"/>
    <x v="1"/>
    <s v="v=DMARC1; p=quarantine; rua=mailto:dmarc_rua@emaildefense.proofpoint.com; ruf=mailto:dmarc_ruf@emaildefense.proofpoint.com; fo=1"/>
    <m/>
    <m/>
    <x v="0"/>
    <x v="15"/>
  </r>
  <r>
    <s v="carrandsons.ie"/>
    <s v="minus"/>
    <s v="Fail"/>
    <s v="v=spf1 ip4:190.180.145.98 include:spf.protection.outlook.com -all"/>
    <s v="yes"/>
    <x v="0"/>
    <m/>
    <m/>
    <m/>
    <x v="4"/>
    <x v="15"/>
  </r>
  <r>
    <s v="cfp.ie"/>
    <s v="minus"/>
    <s v="Fail"/>
    <s v="v=spf1 include:spf.protection.outlook.com -all"/>
    <m/>
    <x v="0"/>
    <m/>
    <m/>
    <m/>
    <x v="7"/>
    <x v="15"/>
  </r>
  <r>
    <s v="heaneymeats.ie"/>
    <s v="minus"/>
    <s v="Fail"/>
    <s v="v=spf1 include:spf.protection.outlook.com -all"/>
    <m/>
    <x v="0"/>
    <m/>
    <m/>
    <m/>
    <x v="7"/>
    <x v="15"/>
  </r>
  <r>
    <s v="ashmeats.ie"/>
    <s v="minus"/>
    <s v="Fail"/>
    <s v="v=spf1 include:spf.protection.outlook.com include:spf.emailsignatures365.com -all"/>
    <s v="yes"/>
    <x v="0"/>
    <m/>
    <m/>
    <m/>
    <x v="16"/>
    <x v="15"/>
  </r>
  <r>
    <s v="grove.ie"/>
    <s v="minus"/>
    <s v="Fail"/>
    <s v="v=spf1 a:dispatch-eu.ppe-hosted.com include:spf.protection.outlook.com include:authsmtp.com -all"/>
    <m/>
    <x v="2"/>
    <s v="v=DMARC1; p=none; rua=mailto:administrator@grove.ie;"/>
    <m/>
    <m/>
    <x v="12"/>
    <x v="15"/>
  </r>
  <r>
    <s v="rudds.ie"/>
    <s v="minus"/>
    <s v="Fail"/>
    <s v="v=spf1 include:spf.protection.outlook.com -all"/>
    <s v="yes"/>
    <x v="2"/>
    <s v="v=DMARC1; p=none;"/>
    <m/>
    <m/>
    <x v="21"/>
    <x v="15"/>
  </r>
  <r>
    <s v="holdenplantrentals.com"/>
    <s v="minus"/>
    <s v="Fail"/>
    <s v="v=spf1 include:spf.protection.outlook.com -all"/>
    <m/>
    <x v="0"/>
    <m/>
    <m/>
    <m/>
    <x v="17"/>
    <x v="15"/>
  </r>
  <r>
    <s v="ictservices.ie"/>
    <s v="tilde"/>
    <s v="Soft Fail"/>
    <s v="v=spf1 include:spf.protection.outlook.com include:autotask.net ~all"/>
    <s v="yes"/>
    <x v="3"/>
    <s v="v=DMARC1; p=reject; fo=1; rua=mailto:DmarcReporting@ictservices.ie; ruf=mailto:DmarcReporting@ictservices.ie"/>
    <m/>
    <m/>
    <x v="0"/>
    <x v="15"/>
  </r>
  <r>
    <s v="stgabrielsnursinghome.ie"/>
    <s v="no"/>
    <s v="Not found"/>
    <m/>
    <m/>
    <x v="0"/>
    <m/>
    <m/>
    <m/>
    <x v="0"/>
    <x v="15"/>
  </r>
  <r>
    <s v="hm.com"/>
    <s v="tilde"/>
    <s v="Soft Fail"/>
    <s v="v=spf1 include:spf.protection.outlook.com include:%{i}._ip.%{h}._ehlo.%{d}._spf.vali.email ~all"/>
    <s v="yes"/>
    <x v="3"/>
    <s v="v=DMARC1; p=reject; rua=mailto:dmarc_agg@vali.email"/>
    <s v="yes"/>
    <s v="https://vmc.digicert.com/96cfc8b7-6d6c-404a-b950-b6456484f912.svg"/>
    <x v="0"/>
    <x v="15"/>
  </r>
  <r>
    <s v="cunninghamlindsey.com"/>
    <s v="tilde"/>
    <s v="Soft Fail"/>
    <s v="v=spf1 mx ip4:199.120.242.71 ip4:12.171.137.71 ip4:64.158.201.20 ip4:64.158.201.21 ip4:199.120.242.53 include:spf.protection.outlook.com include:spf2.sedgwick.com ~all"/>
    <m/>
    <x v="3"/>
    <s v="v=DMARC1; p=reject; fo=1; ri=3600; rua=mailto:sedgwick@rua.agari.com; ruf=mailto:sedgwick@ruf.agari.com"/>
    <m/>
    <m/>
    <x v="0"/>
    <x v="15"/>
  </r>
  <r>
    <s v="leaseplan.ie"/>
    <s v="minus"/>
    <s v="Fail"/>
    <s v="v=spf1 include:_spf-a.iap.socgen.com include:spf.protection.outlook.com exists:%{i}._spf.mta.salesforce.com a:production.eu01.leaseplan.demandware.net a:staging.eu01.leaseplan.demandware.net ip4:193.67.127.2 ip4:193.67.127.69/30 ip4:3.248.9.131 ip4:52.211&quot; &quot;.210.235 ip4:99.81.156.249 -all"/>
    <s v="yes"/>
    <x v="3"/>
    <s v="v=DMARC1; p=reject"/>
    <m/>
    <m/>
    <x v="0"/>
    <x v="15"/>
  </r>
  <r>
    <s v="gardenliving.ie"/>
    <s v="tilde"/>
    <s v="Soft Fail"/>
    <s v="v=spf1 +mx +a +ip4:5.134.14.170 ~all"/>
    <s v="yes"/>
    <x v="0"/>
    <m/>
    <m/>
    <m/>
    <x v="18"/>
    <x v="15"/>
  </r>
  <r>
    <s v="annesullivan.ie"/>
    <s v="minus"/>
    <s v="Fail"/>
    <s v="v=spf1 include:_spf.google.com include:spf.protection.outlook.com -all"/>
    <m/>
    <x v="0"/>
    <m/>
    <m/>
    <m/>
    <x v="0"/>
    <x v="15"/>
  </r>
  <r>
    <s v="wtlireland.com"/>
    <s v="tilde"/>
    <s v="Soft Fail"/>
    <s v="v=spf1 ip4:212.17.56.66 ip4:91.142.103.103 include:spf.protection.outlook.com include:_netblocks.mimecast.com include:sendgrid.net ~all"/>
    <m/>
    <x v="0"/>
    <m/>
    <m/>
    <m/>
    <x v="1"/>
    <x v="15"/>
  </r>
  <r>
    <s v="trailfinders.ie"/>
    <s v="no"/>
    <s v="Not found"/>
    <m/>
    <m/>
    <x v="0"/>
    <m/>
    <m/>
    <m/>
    <x v="0"/>
    <x v="15"/>
  </r>
  <r>
    <s v="ie.rs-online.com"/>
    <s v="no"/>
    <s v="Not found"/>
    <m/>
    <m/>
    <x v="0"/>
    <m/>
    <m/>
    <m/>
    <x v="0"/>
    <x v="15"/>
  </r>
  <r>
    <s v="basf.com"/>
    <s v="minus"/>
    <s v="Fail"/>
    <s v="v=spf1 ip4:20.101.12.10 ip4:20.23.134.203  ip4:141.6.2.0/24 ip4:141.6.72.0/24 include:spf.protection.outlook.com include:_trusted.basf.com -all"/>
    <s v="yes"/>
    <x v="3"/>
    <s v="v=DMARC1; p=reject; rua=mailto:dmarc_agg@basf.com"/>
    <m/>
    <m/>
    <x v="1"/>
    <x v="15"/>
  </r>
  <r>
    <s v="gowranabbeynursinghome.com"/>
    <s v="no"/>
    <s v="Not found"/>
    <m/>
    <m/>
    <x v="0"/>
    <m/>
    <m/>
    <m/>
    <x v="17"/>
    <x v="15"/>
  </r>
  <r>
    <s v="abbeycommunitycollege.com"/>
    <s v="minus"/>
    <s v="Fail"/>
    <s v="v=spf1 include:spf.protection.outlook.com include:spf.dcsnet.ie include:spf.core.kcetb.ie ip4:87.38.1.130 -all"/>
    <s v="yes"/>
    <x v="1"/>
    <s v="v=DMARC1; p=quarantine; pct=100; rua=mailto:DMARCReports@kcetb.ie; ruf=mailto:DMARCReports@KCETB.ie"/>
    <m/>
    <m/>
    <x v="10"/>
    <x v="16"/>
  </r>
  <r>
    <s v="mercyrochfortbridge.ie"/>
    <s v="minus"/>
    <s v="Fail"/>
    <s v="v=spf1 include:spf.protection.outlook.com -all"/>
    <m/>
    <x v="0"/>
    <m/>
    <m/>
    <m/>
    <x v="23"/>
    <x v="16"/>
  </r>
  <r>
    <s v="teneoholings.com"/>
    <s v="no"/>
    <s v="Not found"/>
    <m/>
    <m/>
    <x v="0"/>
    <m/>
    <m/>
    <m/>
    <x v="0"/>
    <x v="16"/>
  </r>
  <r>
    <s v="businesspost.ie"/>
    <s v="tilde"/>
    <s v="Soft Fail"/>
    <s v="v=spf1 include:spf.protection.outlook.com include:navigacloud.com include:mandrillapp.com include:mailgun.org include:amazonses.com include:mail.rhs.org.uk ~all"/>
    <s v="yes"/>
    <x v="1"/>
    <s v="v=DMARC1; p=quarantine; rua=mailto:149844757bd94e31a1f692f11fd51abd@dmarc-reports.cloudflare.net;"/>
    <m/>
    <m/>
    <x v="0"/>
    <x v="16"/>
  </r>
  <r>
    <s v="fairfieldnursinghome.com"/>
    <s v="no"/>
    <s v="Not found"/>
    <m/>
    <m/>
    <x v="0"/>
    <m/>
    <m/>
    <m/>
    <x v="1"/>
    <x v="16"/>
  </r>
  <r>
    <s v="carthagenursinghome.com"/>
    <s v="no"/>
    <s v="Not found"/>
    <m/>
    <m/>
    <x v="0"/>
    <m/>
    <m/>
    <m/>
    <x v="21"/>
    <x v="16"/>
  </r>
  <r>
    <s v="zipfires.ie"/>
    <s v="tilde"/>
    <s v="Soft Fail"/>
    <s v="v=spf1 include:spf.reg365.net ~all"/>
    <m/>
    <x v="0"/>
    <m/>
    <m/>
    <m/>
    <x v="2"/>
    <x v="17"/>
  </r>
  <r>
    <s v="stbrendanscsbirr.ie"/>
    <s v="minus"/>
    <s v="Fail"/>
    <s v="v=spf1 include:spf.protection.outlook.com -all"/>
    <s v="yes"/>
    <x v="0"/>
    <m/>
    <m/>
    <m/>
    <x v="21"/>
    <x v="18"/>
  </r>
  <r>
    <s v="kenmarebayhotel.com"/>
    <s v="minus"/>
    <s v="Fail"/>
    <s v="v=spf1 ip4:91.210.235.23 include:spf.webhostingireland.ie include:spf.protection.outlook.com include:_spf.bookassist.com include:spf.mailjet.com -all"/>
    <s v="yes"/>
    <x v="2"/>
    <s v="v=DMARC1; p=none; fo=1; rua=mailto:rua+kenmarebayhotel.com@dmarc.barracudanetworks.com; ruf=mailto:ruf+kenmarebayhotel.com@dmarc.barracudanetworks.com"/>
    <m/>
    <m/>
    <x v="14"/>
    <x v="18"/>
  </r>
  <r>
    <s v="johnsonbrothers.ie"/>
    <s v="no"/>
    <s v="Not found"/>
    <m/>
    <m/>
    <x v="0"/>
    <m/>
    <m/>
    <m/>
    <x v="15"/>
    <x v="18"/>
  </r>
  <r>
    <s v="frangos.ie"/>
    <s v="no"/>
    <s v="Not found"/>
    <m/>
    <m/>
    <x v="0"/>
    <m/>
    <m/>
    <m/>
    <x v="0"/>
    <x v="18"/>
  </r>
  <r>
    <s v="limerickcivictrust.ie"/>
    <s v="minus"/>
    <s v="Fail"/>
    <s v="v=spf1 include:spf.protection.outlook.com -all"/>
    <m/>
    <x v="0"/>
    <m/>
    <m/>
    <m/>
    <x v="5"/>
    <x v="18"/>
  </r>
  <r>
    <s v="rexxam.ie"/>
    <s v="no"/>
    <s v="Not found"/>
    <m/>
    <m/>
    <x v="0"/>
    <m/>
    <m/>
    <m/>
    <x v="2"/>
    <x v="18"/>
  </r>
  <r>
    <s v="lindalgroup.com"/>
    <s v="minus"/>
    <s v="Fail"/>
    <s v="v=spf1 a mx a:lindalgroup.managed-otrs.com ip4:212.184.124.10 ip4:62.134.67.210 include:eskerondemand.com include:spf.mailjet.com include:spf.protection.outlook.com include:spf-00945a01.pphosted.com -all"/>
    <s v="yes"/>
    <x v="2"/>
    <s v="v=DMARC1; p=none; rua=mailto:malware@lindalgroup.com; aspf=s"/>
    <m/>
    <m/>
    <x v="8"/>
    <x v="19"/>
  </r>
  <r>
    <s v="mayoleisurepoint.ie"/>
    <s v="mis"/>
    <s v="Invalid SPF Syntax"/>
    <s v="v=spf1 mx a ptr a:mail.iemx.net"/>
    <m/>
    <x v="0"/>
    <m/>
    <m/>
    <m/>
    <x v="4"/>
    <x v="20"/>
  </r>
  <r>
    <s v="larkinctr.com"/>
    <s v="tilde"/>
    <s v="Soft Fail"/>
    <s v="v=spf1  ip4:95.45.224.50 ip4:93.94.114.107 ip4:93.94.114.108 mx a:spamtitan.cloud21.ie include:spf.outlook.com ~all"/>
    <m/>
    <x v="0"/>
    <m/>
    <m/>
    <m/>
    <x v="0"/>
    <x v="20"/>
  </r>
  <r>
    <s v="munstergroup.com"/>
    <s v="tilde"/>
    <s v="Soft Fail"/>
    <s v="v=spf1 include:de._netblocks.mimecast.com  include:spf.protection.outlook.com ip4:185.224.196.120 ip4:213.190.153.234 include:relay.mailchannels.net ptr:appliedexch.co.uk ~all"/>
    <m/>
    <x v="2"/>
    <s v="v=DMARC1; p=none"/>
    <m/>
    <m/>
    <x v="9"/>
    <x v="20"/>
  </r>
  <r>
    <s v="doccs.ie"/>
    <s v="minus"/>
    <s v="Fail"/>
    <s v="v=spf1 include:spf.protection.outlook.com -all"/>
    <m/>
    <x v="0"/>
    <m/>
    <m/>
    <m/>
    <x v="0"/>
    <x v="20"/>
  </r>
  <r>
    <s v="leinsterrugby.ie"/>
    <s v="minus"/>
    <s v="Fail"/>
    <s v="v=spf1 include:amazonses.com include:spf.protection.outlook.com include:spf.exclaimer.net include:spf.soticservers.net -all"/>
    <m/>
    <x v="2"/>
    <s v="v=DMARC1; p=none; rua=mailto:dmarc@lantech.uriports.com; ruf=mailto:dmarc@lantech.uriports.com; fo=1:d:s"/>
    <m/>
    <m/>
    <x v="0"/>
    <x v="20"/>
  </r>
  <r>
    <s v="parnellsgaa.ie"/>
    <s v="no"/>
    <s v="Not found"/>
    <m/>
    <m/>
    <x v="0"/>
    <m/>
    <m/>
    <m/>
    <x v="0"/>
    <x v="20"/>
  </r>
  <r>
    <s v="ijmtimberframe.com"/>
    <s v="no"/>
    <s v="Not found"/>
    <m/>
    <m/>
    <x v="0"/>
    <m/>
    <m/>
    <m/>
    <x v="12"/>
    <x v="20"/>
  </r>
  <r>
    <s v="omp.ie"/>
    <s v="minus"/>
    <s v="Fail"/>
    <s v="v=spf1 include:spf.protection.outlook.com include:spf.emailsignatures365.com -all"/>
    <m/>
    <x v="0"/>
    <m/>
    <m/>
    <m/>
    <x v="0"/>
    <x v="20"/>
  </r>
  <r>
    <s v="gill.ie"/>
    <s v="minus"/>
    <s v="Fail"/>
    <s v="v=spf1 mx a include:spf.protection.outlook.com include:sendgrid.net include:mail.zendesk.com include:amazonses.com include:spf.mandrillapp.com -all"/>
    <s v="yes"/>
    <x v="1"/>
    <s v="v=DMARC1; p=quarantine; pct=1"/>
    <m/>
    <m/>
    <x v="0"/>
    <x v="20"/>
  </r>
  <r>
    <s v="complianceandrisks.com"/>
    <s v="mis"/>
    <s v="Invalid SPF Syntax"/>
    <s v="v=spf1 mx ip4:65.98.226.0/25  ip4:52.58.140.192 ip4:149.6.177.90 ip4:154.57.85.0/24 include:_spf.google.com include:mail.zendesk.com"/>
    <s v="yes"/>
    <x v="2"/>
    <s v="v=DMARC1; p=none; pct=95; sp=none"/>
    <m/>
    <m/>
    <x v="1"/>
    <x v="20"/>
  </r>
  <r>
    <s v="dpsgroupglobal.com"/>
    <s v="minus"/>
    <s v="Fail"/>
    <s v="v=spf1 include:spf.protection.outlook.com -all"/>
    <s v="yes"/>
    <x v="3"/>
    <s v="v=DMARC1; p=reject; rua=mailto:7qwmarcg@ag.dmarcian-eu.com"/>
    <m/>
    <m/>
    <x v="0"/>
    <x v="20"/>
  </r>
  <r>
    <s v="intrum.ie"/>
    <s v="minus"/>
    <s v="Fail"/>
    <s v="v=spf1 ip4:213.138.147.128/27 ip4:213.138.142.160/27 ip4:213.138.145.0/28 ip4:213.214.158.144/28 -all"/>
    <s v="yes"/>
    <x v="2"/>
    <s v="v=DMARC1;  p=none; rua=mailto:spamreport_aggregate@intrum.com,mailto:dmarc_agg@vali.email;"/>
    <m/>
    <m/>
    <x v="0"/>
    <x v="20"/>
  </r>
  <r>
    <s v="dhkn.ie"/>
    <s v="minus"/>
    <s v="Fail"/>
    <s v="v=spf1 -all"/>
    <m/>
    <x v="3"/>
    <s v="v=DMARC1; p=reject;"/>
    <m/>
    <m/>
    <x v="7"/>
    <x v="20"/>
  </r>
  <r>
    <s v="cuisle.ie"/>
    <s v="tilde"/>
    <s v="Soft Fail"/>
    <s v="v=spf1 include:spf.reg365.net ~all"/>
    <m/>
    <x v="0"/>
    <m/>
    <m/>
    <m/>
    <x v="22"/>
    <x v="20"/>
  </r>
  <r>
    <s v="enva.com"/>
    <s v="tilde"/>
    <s v="Soft Fail"/>
    <s v="v=spf1 include:spf.protection.outlook.com include:emaileuc.freshservice.com include:subspf.enva.com ~all"/>
    <s v="yes"/>
    <x v="3"/>
    <s v="v=DMARC1; p=reject; rua=mailto:194f0ef7e899056@rep.dmarcanalyzer.com; ruf=mailto:194f0ef7e899056@for.dmarcanalyzer.com; fo=1;"/>
    <m/>
    <m/>
    <x v="18"/>
    <x v="20"/>
  </r>
  <r>
    <s v="bsigroup.com"/>
    <s v="tilde"/>
    <s v="Soft Fail"/>
    <s v="v=spf1 include:%{i}._ip.%{h}._ehlo.%{d}._spf.vali.email ~all"/>
    <s v="yes"/>
    <x v="1"/>
    <s v="v=DMARC1; p=quarantine; rua=mailto:dmarc_agg@vali.email,mailto:email.abuse@bsigroup.com; ruf=mailto:email.abuse@bsigroup.com; fo=1"/>
    <m/>
    <m/>
    <x v="0"/>
    <x v="20"/>
  </r>
  <r>
    <s v="siac.ie"/>
    <s v="minus"/>
    <s v="Fail"/>
    <s v="v=spf1 ip4:217.114.166.100 ip4:217.114.166.101 ip4:217.114.166.102 ip4:217.114.166.103 include:spf.protection.outlook.com -all"/>
    <s v="yes"/>
    <x v="2"/>
    <s v="v=DMARC1; p=none"/>
    <m/>
    <m/>
    <x v="0"/>
    <x v="20"/>
  </r>
  <r>
    <s v="dfl.ie"/>
    <s v="minus"/>
    <s v="Fail"/>
    <s v="v=spf1 include:spf.protection.outlook.com -all"/>
    <s v="yes"/>
    <x v="2"/>
    <s v="v=DMARC1;p=none;sp=none;pct=100;rua=mailto:dmarcreports@dfl.ie;ruf=mailto:dmarcreports@dfl.ie;ri=86400;aspf=r;adkim=r;fo=1;"/>
    <m/>
    <m/>
    <x v="10"/>
    <x v="20"/>
  </r>
  <r>
    <s v="mythenconstruction.ie"/>
    <s v="minus"/>
    <s v="Fail"/>
    <s v="v=spf1 a mx include:spf.mailanyone.net include:adana.webhostingireland.ie include:spf.protection.outlook.com -all"/>
    <s v="yes"/>
    <x v="0"/>
    <m/>
    <m/>
    <m/>
    <x v="3"/>
    <x v="20"/>
  </r>
  <r>
    <s v="kiernanelectrical.ie"/>
    <s v="minus"/>
    <s v="Fail"/>
    <s v="v=spf1 include:spf.protection.outlook.com include:_spf.wpcloud.com -all"/>
    <s v="yes"/>
    <x v="2"/>
    <s v="v=DMARC1;p=none;"/>
    <m/>
    <m/>
    <x v="1"/>
    <x v="20"/>
  </r>
  <r>
    <s v="cosgroveelectrical.ie"/>
    <s v="tilde"/>
    <s v="Soft Fail"/>
    <s v="v=spf1 ip4:190.180.145.25 +a +mx +include:spf.dub1.servername.online include:spf.protection.outlook.com ~all"/>
    <s v="yes"/>
    <x v="0"/>
    <m/>
    <m/>
    <m/>
    <x v="0"/>
    <x v="20"/>
  </r>
  <r>
    <s v="burlingtonengineering.ie"/>
    <s v="minus"/>
    <s v="Fail"/>
    <s v="v=spf1 ip4:89.101.0.42 ip4:144.2.241.99 include:spf.protection.outlook.com -all"/>
    <m/>
    <x v="0"/>
    <m/>
    <m/>
    <m/>
    <x v="0"/>
    <x v="20"/>
  </r>
  <r>
    <s v="rynneng.ie"/>
    <s v="minus"/>
    <s v="Fail"/>
    <s v="v=spf1 include:spf.protection.outlook.com -all"/>
    <m/>
    <x v="0"/>
    <m/>
    <m/>
    <m/>
    <x v="7"/>
    <x v="20"/>
  </r>
  <r>
    <s v="kph.ie"/>
    <s v="minus"/>
    <s v="Fail"/>
    <s v="v=spf1 a include:spf.protection.outlook.com -all"/>
    <m/>
    <x v="0"/>
    <m/>
    <m/>
    <m/>
    <x v="14"/>
    <x v="20"/>
  </r>
  <r>
    <s v="prostainlessdesigns.com"/>
    <s v="tilde"/>
    <s v="Soft Fail"/>
    <s v="v=spf1 a include:spf.blacknight.ie ~all"/>
    <m/>
    <x v="0"/>
    <m/>
    <m/>
    <m/>
    <x v="2"/>
    <x v="20"/>
  </r>
  <r>
    <s v="abec.com"/>
    <s v="minus"/>
    <s v="Fail"/>
    <s v="v=spf1 include:spf.protection.outlook.com include:_spf.psm.knowbe4.com ip4:4.152.130.49 ip4:23.21.109.197 ip4:23.21.109.212 ip4:20.1.146.51 ip4:20.161.169.216 ip4:20.57.123.62 ip4:147.160.167.0/26 ip4:207.172.197.50 ip4:75.98.96.114 ip4:204.186.231.154 ip&quot; &quot;4:176.52.221.167 ip4:83.147.153.22 ip4:176.52.221.168 ip4:78.137.132.122 ip4:12.14.247.195 include:sendgrid.net include:autotask.net MX -all"/>
    <s v="yes"/>
    <x v="1"/>
    <s v="v=DMARC1; p=quarantine;"/>
    <m/>
    <m/>
    <x v="15"/>
    <x v="20"/>
  </r>
  <r>
    <s v="baysports.ie"/>
    <s v="tilde"/>
    <s v="Soft Fail"/>
    <s v="v=spf1 a mx include:_spf.google.com ip4:195.245.113.145 ~all"/>
    <m/>
    <x v="2"/>
    <s v="v=DMARC1; p=none"/>
    <m/>
    <m/>
    <x v="22"/>
    <x v="20"/>
  </r>
  <r>
    <s v="tarrantinternational.com"/>
    <s v="minus"/>
    <s v="Fail"/>
    <s v="v=spf1 include:_spf.google.com -all"/>
    <m/>
    <x v="0"/>
    <m/>
    <m/>
    <m/>
    <x v="1"/>
    <x v="20"/>
  </r>
  <r>
    <s v="jmc.ie"/>
    <s v="minus"/>
    <s v="Fail"/>
    <s v="v=spf1 ip4:81.17.251.219 include:spf.protection.outlook.com include:spf.topsec.com include:_spf.caspiomail.com -all"/>
    <m/>
    <x v="0"/>
    <m/>
    <m/>
    <m/>
    <x v="0"/>
    <x v="20"/>
  </r>
  <r>
    <s v="servicematters.ie"/>
    <s v="tilde"/>
    <s v="Soft Fail"/>
    <s v="v=spf1 include:spf.protection.outlook.com  include:eu.mailgun.org include:spf.sendinblue.com mx ip4:213.191.226.38 ip4:83.147.149.253 ~all"/>
    <s v="yes"/>
    <x v="1"/>
    <s v="v=DMARC1; p=quarantine; adkim=s; aspf=s;"/>
    <m/>
    <m/>
    <x v="22"/>
    <x v="20"/>
  </r>
  <r>
    <s v="proxybiomedical.com"/>
    <s v="minus"/>
    <s v="Fail"/>
    <s v="v=spf1 include:spf.protection.outlook.com include:spf.messagelabs.com -all"/>
    <m/>
    <x v="0"/>
    <m/>
    <m/>
    <m/>
    <x v="7"/>
    <x v="20"/>
  </r>
  <r>
    <s v="ccpc.ie"/>
    <s v="minus"/>
    <s v="Fail"/>
    <s v="v=spf1 mx include:spf.topsec.com include:_spf.createsend.com include:mailgun.org include:spf.protection.outlook.com ip4:79.140.128.42 ip4:137.191.224.104 a:ext2.dfa.ie -all"/>
    <s v="yes"/>
    <x v="3"/>
    <s v="v=DMARC1;p=reject;sp=reject;rua=mailto:211a5a2e44@rua.easydmarc.eu;ruf=mailto:211a5a2e44@ruf.easydmarc.eu;fo=1"/>
    <m/>
    <m/>
    <x v="0"/>
    <x v="20"/>
  </r>
  <r>
    <s v="lgma.ie"/>
    <s v="minus"/>
    <s v="Fail"/>
    <s v="v=spf1 include:spf.protection.outlook.com ip4:193.178.1.218 ip4:193.178.30.231 ip4:193.178.1.1 ip4:193.178.7.67 ip4:193.178.7.126 ip4:193.178.30.150 -all"/>
    <m/>
    <x v="0"/>
    <m/>
    <m/>
    <m/>
    <x v="0"/>
    <x v="20"/>
  </r>
  <r>
    <s v="colaistemuire.ie"/>
    <s v="minus"/>
    <s v="Fail"/>
    <s v="v=spf1 include:spf.protection.outlook.com -all"/>
    <m/>
    <x v="0"/>
    <m/>
    <m/>
    <m/>
    <x v="9"/>
    <x v="20"/>
  </r>
  <r>
    <s v="bandongrammar.ie"/>
    <s v="no"/>
    <s v="Not found"/>
    <m/>
    <m/>
    <x v="0"/>
    <m/>
    <m/>
    <m/>
    <x v="1"/>
    <x v="20"/>
  </r>
  <r>
    <s v="cbccork.ie"/>
    <s v="no"/>
    <s v="Not found"/>
    <m/>
    <m/>
    <x v="0"/>
    <m/>
    <m/>
    <m/>
    <x v="1"/>
    <x v="20"/>
  </r>
  <r>
    <s v="colaisteanchraoibhin.com"/>
    <s v="no"/>
    <s v="Not found"/>
    <m/>
    <m/>
    <x v="0"/>
    <m/>
    <m/>
    <m/>
    <x v="1"/>
    <x v="20"/>
  </r>
  <r>
    <s v="kinsalecommunityschool.ie"/>
    <s v="minus"/>
    <s v="Fail"/>
    <s v="v=spf1 include:spf.protection.outlook.com -all"/>
    <m/>
    <x v="0"/>
    <m/>
    <m/>
    <m/>
    <x v="1"/>
    <x v="20"/>
  </r>
  <r>
    <s v="saintals.ie"/>
    <s v="no"/>
    <s v="Not found"/>
    <m/>
    <s v="yes"/>
    <x v="0"/>
    <m/>
    <m/>
    <m/>
    <x v="1"/>
    <x v="20"/>
  </r>
  <r>
    <s v="colmans.ie"/>
    <s v="tilde"/>
    <s v="Soft Fail"/>
    <s v="v=spf1 mx a:spf.dcsnet.ie include:_spf.google.com ~all"/>
    <m/>
    <x v="0"/>
    <m/>
    <m/>
    <m/>
    <x v="1"/>
    <x v="20"/>
  </r>
  <r>
    <s v="avsdonegal.com"/>
    <s v="minus"/>
    <s v="Fail"/>
    <s v="v=spf1 +a +mx -all +a:control.dmacmedia.ie"/>
    <m/>
    <x v="0"/>
    <m/>
    <m/>
    <m/>
    <x v="6"/>
    <x v="20"/>
  </r>
  <r>
    <s v="loretoletterkenny.ie"/>
    <s v="tilde"/>
    <s v="Soft Fail"/>
    <s v="v=spf1 a include:spf.blacknight.ie ~all"/>
    <m/>
    <x v="0"/>
    <m/>
    <m/>
    <m/>
    <x v="6"/>
    <x v="20"/>
  </r>
  <r>
    <s v="scoilmhuirebuncrana.ie"/>
    <s v="no"/>
    <s v="Not found"/>
    <m/>
    <m/>
    <x v="0"/>
    <m/>
    <m/>
    <m/>
    <x v="6"/>
    <x v="20"/>
  </r>
  <r>
    <s v="fingalcc.ie"/>
    <s v="minus"/>
    <s v="Fail"/>
    <s v="v=spf1 include:spf.protection.outlook.com ip4:77.107.211.222 ip4:77.107.210.71 -all"/>
    <s v="yes"/>
    <x v="0"/>
    <m/>
    <m/>
    <m/>
    <x v="0"/>
    <x v="20"/>
  </r>
  <r>
    <s v="firhousecommunitycollege.ie"/>
    <s v="no"/>
    <s v="Not found"/>
    <m/>
    <m/>
    <x v="0"/>
    <m/>
    <m/>
    <m/>
    <x v="0"/>
    <x v="20"/>
  </r>
  <r>
    <s v="loretoabbeydalkey.com"/>
    <s v="tilde"/>
    <s v="Soft Fail"/>
    <s v="v=spf1 include:_spf.google.com ~all"/>
    <s v="yes"/>
    <x v="0"/>
    <m/>
    <m/>
    <m/>
    <x v="0"/>
    <x v="20"/>
  </r>
  <r>
    <s v="marinocollege.ie"/>
    <s v="minus"/>
    <s v="Fail"/>
    <s v="v=spf1 include:spf.protection.outlook.com -all"/>
    <m/>
    <x v="0"/>
    <m/>
    <m/>
    <m/>
    <x v="0"/>
    <x v="20"/>
  </r>
  <r>
    <s v="palmerstowncs.ie"/>
    <s v="tilde"/>
    <s v="Soft Fail"/>
    <s v="v=spf1 include:spf.reg365.net ~all"/>
    <m/>
    <x v="0"/>
    <m/>
    <m/>
    <m/>
    <x v="0"/>
    <x v="20"/>
  </r>
  <r>
    <s v="stcolmcilles.ie"/>
    <s v="tilde"/>
    <s v="Soft Fail"/>
    <s v="v=spf1 include:_spf.google.com ~all"/>
    <s v="yes"/>
    <x v="0"/>
    <m/>
    <m/>
    <m/>
    <x v="0"/>
    <x v="20"/>
  </r>
  <r>
    <s v="suttonparkschool.com"/>
    <s v="minus"/>
    <s v="Fail"/>
    <s v="v=spf1 include:spf.protection.outlook.com -all"/>
    <m/>
    <x v="0"/>
    <m/>
    <m/>
    <m/>
    <x v="0"/>
    <x v="20"/>
  </r>
  <r>
    <s v="tallaghtcs.com"/>
    <s v="no"/>
    <s v="Not found"/>
    <m/>
    <m/>
    <x v="0"/>
    <m/>
    <m/>
    <m/>
    <x v="0"/>
    <x v="20"/>
  </r>
  <r>
    <s v="presathenry.ie"/>
    <s v="no"/>
    <s v="Not found"/>
    <m/>
    <m/>
    <x v="0"/>
    <m/>
    <m/>
    <m/>
    <x v="7"/>
    <x v="20"/>
  </r>
  <r>
    <s v="colaistechiarain.com"/>
    <s v="no"/>
    <s v="Not found"/>
    <m/>
    <m/>
    <x v="0"/>
    <m/>
    <m/>
    <m/>
    <x v="16"/>
    <x v="20"/>
  </r>
  <r>
    <s v="ardscoil.com"/>
    <s v="minus"/>
    <s v="Fail"/>
    <s v="v=spf1 include:spf.protection.outlook.com -all"/>
    <m/>
    <x v="0"/>
    <m/>
    <m/>
    <m/>
    <x v="5"/>
    <x v="20"/>
  </r>
  <r>
    <s v="stv.ie"/>
    <s v="minus"/>
    <s v="Fail"/>
    <s v="v=spf1 include:spf.protection.outlook.com -all"/>
    <m/>
    <x v="2"/>
    <s v="v=DMARC1; p=none; rua=mailto:shane@stv.ie"/>
    <m/>
    <m/>
    <x v="2"/>
    <x v="20"/>
  </r>
  <r>
    <s v="stlouiscs.com"/>
    <s v="minus"/>
    <s v="Fail"/>
    <s v="v=spf1 include:spf.protection.outlook.com -all"/>
    <m/>
    <x v="2"/>
    <s v="v=DMARC1; p=none;"/>
    <m/>
    <m/>
    <x v="4"/>
    <x v="20"/>
  </r>
  <r>
    <s v="colaisteduniascaigh.ie"/>
    <s v="minus"/>
    <s v="Fail"/>
    <s v="v=spf1 mx a include:spf.protection.outlook.com -all"/>
    <s v="yes"/>
    <x v="2"/>
    <s v="v=DMARC1; p=none; ruf=mailto:info@colaisteduniascaigh.ie; rua=mailto:info@colaisteduniascaigh.ie"/>
    <m/>
    <m/>
    <x v="13"/>
    <x v="20"/>
  </r>
  <r>
    <s v="presthurles.ie"/>
    <s v="no"/>
    <s v="Not found"/>
    <m/>
    <m/>
    <x v="0"/>
    <m/>
    <m/>
    <m/>
    <x v="13"/>
    <x v="20"/>
  </r>
  <r>
    <s v="blackwatercs.com"/>
    <s v="minus"/>
    <s v="Fail"/>
    <s v="v=spf1 include:spf.protection.outlook.com -all"/>
    <s v="yes"/>
    <x v="2"/>
    <s v="v=DMARC1; p=none; rua=mailto:noel@solveit.ie; ruf=mailto:noel@solveit.ie; fo=1"/>
    <m/>
    <m/>
    <x v="10"/>
    <x v="20"/>
  </r>
  <r>
    <s v="ursw.ie"/>
    <s v="minus"/>
    <s v="Fail"/>
    <s v="v=spf1 include:spf.protection.outlook.com -all"/>
    <s v="yes"/>
    <x v="2"/>
    <s v="v=DMARC1; p=none; rua=mailto:austin@solveit.ie; ruf=mailto:austin@solveit.ie; fo=1"/>
    <m/>
    <m/>
    <x v="10"/>
    <x v="20"/>
  </r>
  <r>
    <s v="evc.ie"/>
    <s v="minus"/>
    <s v="Fail"/>
    <s v="v=spf1 ip6:fd1b:212c:a5f9::/48 -all"/>
    <m/>
    <x v="0"/>
    <m/>
    <m/>
    <m/>
    <x v="3"/>
    <x v="20"/>
  </r>
  <r>
    <s v="fcjbunclody.ie"/>
    <s v="minus"/>
    <s v="Fail"/>
    <s v="v=spf1 a mx a:mail-lf0-f53.google.com -all"/>
    <m/>
    <x v="0"/>
    <m/>
    <m/>
    <m/>
    <x v="3"/>
    <x v="20"/>
  </r>
  <r>
    <s v="loretobray.com"/>
    <s v="tilde"/>
    <s v="Soft Fail"/>
    <s v="v=spf1 include:_spf.google.com ~all"/>
    <s v="yes"/>
    <x v="2"/>
    <s v="v=DMARC1; p=none; rua=mailto:dmarc-reports@"/>
    <m/>
    <m/>
    <x v="24"/>
    <x v="20"/>
  </r>
  <r>
    <s v="stkilianscs.com"/>
    <s v="minus"/>
    <s v="Fail"/>
    <s v="v=spf1 +a +mx +ip4:217.115.115.75 include:relay.mailchannels.net +ip4:217.115.112.200 +include:spf.protection.outlook.com -all"/>
    <s v="yes"/>
    <x v="0"/>
    <m/>
    <m/>
    <m/>
    <x v="24"/>
    <x v="20"/>
  </r>
  <r>
    <s v="treacyswestcounty.com"/>
    <s v="minus"/>
    <s v="Fail"/>
    <s v="v=spf1 include:spf.protection.outlook.com -all"/>
    <s v="yes"/>
    <x v="0"/>
    <m/>
    <m/>
    <m/>
    <x v="9"/>
    <x v="20"/>
  </r>
  <r>
    <s v="qualityclonakiltyhotel.com"/>
    <s v="minus"/>
    <s v="Fail"/>
    <s v="v=spf1 include:spf.protection.outlook.com -all"/>
    <m/>
    <x v="0"/>
    <m/>
    <m/>
    <m/>
    <x v="1"/>
    <x v="20"/>
  </r>
  <r>
    <s v="cpireland.com"/>
    <s v="minus"/>
    <s v="Fail"/>
    <s v="v=spf1 include:spf.protection.outlook.com -all"/>
    <m/>
    <x v="0"/>
    <m/>
    <m/>
    <m/>
    <x v="0"/>
    <x v="20"/>
  </r>
  <r>
    <s v="haddingtonhouse.ie"/>
    <s v="tilde"/>
    <s v="Soft Fail"/>
    <s v="v=spf1 ip4:93.107.249.78 ip4:23.83.209.71 ip4:79.170.246.48 include:spf.protection.outlook.com include:servers.mcsv.net include:netaffinity.net ~all"/>
    <m/>
    <x v="0"/>
    <m/>
    <m/>
    <m/>
    <x v="0"/>
    <x v="20"/>
  </r>
  <r>
    <s v="gullaneshotel.com"/>
    <s v="mis"/>
    <s v="Invalid SPF Syntax"/>
    <s v="v=spf1 include:spf.protection.outlook.com  include:netaffinity.net"/>
    <m/>
    <x v="0"/>
    <m/>
    <m/>
    <m/>
    <x v="7"/>
    <x v="20"/>
  </r>
  <r>
    <s v="loughreahotelandspa.com"/>
    <s v="minus"/>
    <s v="Fail"/>
    <s v="v=spf1 include:spf.protection.outlook.com include:mailgun.org -all"/>
    <s v="yes"/>
    <x v="1"/>
    <s v="v=DMARC1; p=quarantine; rua=mailto:8b3700aba2aa640@rep.dmarcanalyzer.com; ruf=mailto:8b3700aba2aa640@for.dmarcanalyzer.com; sp=none; fo=1;"/>
    <m/>
    <m/>
    <x v="7"/>
    <x v="20"/>
  </r>
  <r>
    <s v="maldronhotelgalway.com"/>
    <s v="no"/>
    <s v="Not found"/>
    <m/>
    <m/>
    <x v="0"/>
    <m/>
    <m/>
    <m/>
    <x v="7"/>
    <x v="20"/>
  </r>
  <r>
    <s v="thetwelvehotel.ie"/>
    <s v="minus"/>
    <s v="Fail"/>
    <s v="v=spf1 include:spf.protection.outlook.com -all"/>
    <m/>
    <x v="0"/>
    <m/>
    <m/>
    <m/>
    <x v="7"/>
    <x v="20"/>
  </r>
  <r>
    <s v="aghadoeheights.com"/>
    <s v="minus"/>
    <s v="Fail"/>
    <s v="v=spf1 mx a a:mail.mindaclient.com include:spf.protection.outlook.com -all"/>
    <m/>
    <x v="0"/>
    <m/>
    <m/>
    <m/>
    <x v="14"/>
    <x v="20"/>
  </r>
  <r>
    <s v="crowneplazadundalk.ie"/>
    <s v="no"/>
    <s v="Not found"/>
    <m/>
    <m/>
    <x v="0"/>
    <m/>
    <m/>
    <m/>
    <x v="2"/>
    <x v="20"/>
  </r>
  <r>
    <s v="knockrannyhousehotel.ie"/>
    <s v="no"/>
    <s v="Not found"/>
    <m/>
    <m/>
    <x v="0"/>
    <m/>
    <m/>
    <m/>
    <x v="4"/>
    <x v="20"/>
  </r>
  <r>
    <s v="mcwilliamparkhotel.ie"/>
    <s v="minus"/>
    <s v="Fail"/>
    <s v="v=spf1 include:spf.protection.outlook.com -all"/>
    <s v="yes"/>
    <x v="2"/>
    <s v="v=DMARC1; p=none; rua=mailto:admin@mcwilliamparkhotel.onmicrosoft.com"/>
    <m/>
    <m/>
    <x v="4"/>
    <x v="20"/>
  </r>
  <r>
    <s v="hotelminella.com"/>
    <s v="minus"/>
    <s v="Fail"/>
    <s v="v=spf1 include:spf.protection.outlook.com -all"/>
    <m/>
    <x v="2"/>
    <s v="v=DMARC1; p=none;"/>
    <m/>
    <m/>
    <x v="13"/>
    <x v="20"/>
  </r>
  <r>
    <s v="marlfieldhouse.ie"/>
    <s v="minus"/>
    <s v="Fail"/>
    <s v="v=spf1 include:spf.protection.outlook.com include:netaffinity.net include:guestline.net include:roomlynx.net -all"/>
    <m/>
    <x v="2"/>
    <s v="v=DMARC1; p=none;"/>
    <m/>
    <m/>
    <x v="3"/>
    <x v="20"/>
  </r>
  <r>
    <s v="riversideparkhotel.com"/>
    <s v="tilde"/>
    <s v="Soft Fail"/>
    <s v="v=spf1 ip4:83.70.152.173 include:spf.protection.outlook.com include:mailanyone.net include:sendgrid.net include:spf.dotmailer.com include:spfa.cpmails.com include:authsmtp.com ~all"/>
    <s v="yes"/>
    <x v="0"/>
    <m/>
    <m/>
    <m/>
    <x v="3"/>
    <x v="20"/>
  </r>
  <r>
    <s v="treacyshotel.com"/>
    <s v="no"/>
    <s v="Not found"/>
    <m/>
    <s v="yes"/>
    <x v="0"/>
    <m/>
    <m/>
    <m/>
    <x v="3"/>
    <x v="20"/>
  </r>
  <r>
    <s v="frkelly.com"/>
    <s v="minus"/>
    <s v="Fail"/>
    <s v="v=spf1 a ip4:62.77.176.35/32 a:mail.frkelly.ie include:spf.topsec.com include:spf.protection.outlook.com include:mailgun.org include:autotask.net  -all"/>
    <s v="yes"/>
    <x v="3"/>
    <s v="v=DMARC1;p=reject;sp=reject;rua=mailto:211a5a2e44@rua.easydmarc.eu;ruf=mailto:211a5a2e44@ruf.easydmarc.eu;fo=1;"/>
    <m/>
    <m/>
    <x v="0"/>
    <x v="20"/>
  </r>
  <r>
    <s v="tpro.ie"/>
    <s v="tilde"/>
    <s v="Soft Fail"/>
    <s v="v=spf1 include:_spf.google.com ~all"/>
    <m/>
    <x v="0"/>
    <m/>
    <m/>
    <m/>
    <x v="0"/>
    <x v="20"/>
  </r>
  <r>
    <s v="kellyprecision.ie"/>
    <s v="minus"/>
    <s v="Fail"/>
    <s v="v=spf1 ip4:93.107.251.214 include:spf.protection.outlook.com include:spf1.emailsecurity.app -all"/>
    <m/>
    <x v="0"/>
    <m/>
    <m/>
    <m/>
    <x v="25"/>
    <x v="20"/>
  </r>
  <r>
    <s v="hilti.ie"/>
    <s v="minus"/>
    <s v="Fail"/>
    <s v="v=spf1 include:spf.protection.outlook.com -all"/>
    <m/>
    <x v="2"/>
    <s v="v=DMARC1; p=none; rua=mailto:dmarc_agg@vali.email"/>
    <m/>
    <m/>
    <x v="0"/>
    <x v="20"/>
  </r>
  <r>
    <s v="duolog.com"/>
    <s v="no"/>
    <s v="Not found"/>
    <m/>
    <m/>
    <x v="0"/>
    <m/>
    <m/>
    <m/>
    <x v="0"/>
    <x v="20"/>
  </r>
  <r>
    <s v="electroautomation.com"/>
    <s v="minus"/>
    <s v="Fail"/>
    <s v="v=spf1 ip4:79.143.177.30 ip4:5.149.172.10 ip4:5.149.172.11 ip4:78.137.164.238 include:_spf.smtp.com include:psi-fusion.com include:spf.protection.outlook.com include:spf-eu.emailsignatures365.com ip4:199.187.172.0/22 ip4:199.244.72.0/22 ip4:185.228.3&quot; &quot;6.0/22 -all"/>
    <s v="yes"/>
    <x v="1"/>
    <s v="v=DMARC1; p=quarantine"/>
    <m/>
    <m/>
    <x v="0"/>
    <x v="20"/>
  </r>
  <r>
    <s v="amt-sybex.com"/>
    <s v="minus"/>
    <s v="Fail"/>
    <s v="v=spf1 ip4:217.68.33.162 \010include:_spf.easit.net include:spf.protection.outlook.com include:mail.zohoanalytics.eu -all"/>
    <s v="yes"/>
    <x v="3"/>
    <s v="v=DMARC1; p=reject; rua=mailto:smb-dmarc-notifications@amt-sybex.com; aspf=r; adkim=r"/>
    <m/>
    <m/>
    <x v="0"/>
    <x v="20"/>
  </r>
  <r>
    <s v="grassland.ie"/>
    <s v="minus"/>
    <s v="Fail"/>
    <s v="v=spf1 mx a a:mx1.roullier.net include:spf.protection.outlook.com include:spf.fusemail.net include:_spf.salesforce.com -all"/>
    <s v="yes"/>
    <x v="1"/>
    <s v="v=DMARC1; p=quarantine; sp=none; rua=mailto:roullier.rua@emailsecurity.merox.io; adkim=r; aspf=r;"/>
    <m/>
    <m/>
    <x v="0"/>
    <x v="20"/>
  </r>
  <r>
    <s v="shoerack.ie"/>
    <s v="minus"/>
    <s v="Fail"/>
    <s v="v=spf1 +a include:spf.protection.outlook.com -all"/>
    <s v="yes"/>
    <x v="0"/>
    <m/>
    <m/>
    <m/>
    <x v="0"/>
    <x v="20"/>
  </r>
  <r>
    <s v="myson.ie"/>
    <s v="minus"/>
    <s v="Fail"/>
    <s v="v=spf1 mx include:spf.protection.outlook.com include:eds-fortinet-01.org.rettigicc.net include:eds-fortinet-o365.org.rettigicc.net -all"/>
    <m/>
    <x v="0"/>
    <m/>
    <m/>
    <m/>
    <x v="5"/>
    <x v="20"/>
  </r>
  <r>
    <s v="abb.com"/>
    <s v="tilde"/>
    <s v="Soft Fail"/>
    <s v="v=spf1 include:spf.abb.com ip4:212.108.233.70 ip4:203.19.232.232 ip4:92.52.113.146 ip4:92.52.113.148 include:aspmx.pardot.com include:_spf.anpdm.com ip4:80.80.228.50 include:spf.mandrillapp.com ip4:168.138.226.49 ~all"/>
    <s v="yes"/>
    <x v="3"/>
    <s v="v=DMARC1; p=reject; sp=reject; rua=mailto:dmarc_agg@vali.email,mailto:abbcomdmarcrua@abb.com"/>
    <m/>
    <m/>
    <x v="2"/>
    <x v="20"/>
  </r>
  <r>
    <s v="midcorkpallets.com"/>
    <s v="minus"/>
    <s v="Fail"/>
    <s v="v=spf1 a include:spf.protection.outlook.com -all"/>
    <s v="yes"/>
    <x v="2"/>
    <s v="v=DMARC1; p=none; rua=mailto:steve@dcecomputers.ie;"/>
    <m/>
    <m/>
    <x v="1"/>
    <x v="20"/>
  </r>
  <r>
    <s v="tekno-surgical.com"/>
    <s v="minus"/>
    <s v="Fail"/>
    <s v="v=spf1 ip4:93.94.119.196 ip4:82.198.141.134 ip4:40.113.11.237 include:spf.protection.outlook.com -all"/>
    <s v="yes"/>
    <x v="2"/>
    <s v="v=DMARC1; p=none; rua=mailto:DMARCreports@unipharmedtech.com; pct=20;"/>
    <m/>
    <m/>
    <x v="0"/>
    <x v="20"/>
  </r>
  <r>
    <s v="bmr.ie"/>
    <s v="minus"/>
    <s v="Fail"/>
    <s v="v=spf1 include:spf.protection.outlook.com -all"/>
    <s v="yes"/>
    <x v="3"/>
    <s v="v=DMARC1; p=reject; aspf=s; adkim=s; fo=1"/>
    <m/>
    <m/>
    <x v="7"/>
    <x v="20"/>
  </r>
  <r>
    <s v="welchallyn.com"/>
    <s v="minus"/>
    <s v="Fail"/>
    <s v="v=spf1 exists:%{i}._i.%{d}._d.espf.agari-dns.net include:%{d}.c4.spf-protect.agari-dns.net -all"/>
    <s v="yes"/>
    <x v="3"/>
    <s v="v=DMARC1; p=reject; fo=1; pct=100; ri=3600; rua=mailto:baxter-international@rua.agari.com; ruf=mailto:baxter-international@ruf.agari.com"/>
    <m/>
    <m/>
    <x v="15"/>
    <x v="20"/>
  </r>
  <r>
    <s v="alucraft.ie"/>
    <s v="tilde"/>
    <s v="Soft Fail"/>
    <s v="v=spf1 include:eu._netblocks.mimecast.com include:spf.protection.outlook.com include:_spf.elasticemail.com ~all"/>
    <s v="yes"/>
    <x v="2"/>
    <s v="v=DMARC1; p=none; rua=mailto:44255f35b13c926@rep.dmarcanalyzer.com; ruf=mailto:44255f35b13c926@for.dmarcanalyzer.com; fo=1;"/>
    <m/>
    <m/>
    <x v="0"/>
    <x v="20"/>
  </r>
  <r>
    <s v="galco.ie"/>
    <s v="minus"/>
    <s v="Fail"/>
    <s v="v=spf1 mx a ip4:89.101.77.100/29 ip4:173.243.133.118/29 include:spf.cloud.vadesecure.com include:spf.protection.outlook.com include:spf.brevo.com -all"/>
    <s v="yes"/>
    <x v="2"/>
    <s v="v=DMARC1; p=none; rua=mailto:dmarc-reports@galco.ie,mailto:rua@dmarc.brevo.com; ruf=mailto:dmarc-reports@galco.ie; fo=1"/>
    <m/>
    <m/>
    <x v="0"/>
    <x v="20"/>
  </r>
  <r>
    <s v="pressco.ie"/>
    <s v="tilde"/>
    <s v="Soft Fail"/>
    <s v="v=spf1 ip4:81.173.14.227 ip4:31.216.233.150  ip4:93.107.146.47 include:_spf.google.com ~all"/>
    <s v="yes"/>
    <x v="1"/>
    <s v="v=DMARC1; p=quarantine; pct=100; rua=mailto:admin@pressco.ie"/>
    <m/>
    <m/>
    <x v="0"/>
    <x v="20"/>
  </r>
  <r>
    <s v="techrefrigeration.com"/>
    <s v="minus"/>
    <s v="Fail"/>
    <s v="v=spf1 include:spf.protection.outlook.com include:spf.mailanyone.net  -all"/>
    <m/>
    <x v="0"/>
    <m/>
    <m/>
    <m/>
    <x v="0"/>
    <x v="20"/>
  </r>
  <r>
    <s v="glennwood.ie"/>
    <s v="tilde"/>
    <s v="Soft Fail"/>
    <s v="v=spf1 ip4:91.216.241.2 include:relay.mailchannels.net ip4:213.191.225.125 include:spf.seg.trustwave.com include:spf.ess.de.barracudanetworks.com ~all"/>
    <s v="yes"/>
    <x v="0"/>
    <m/>
    <m/>
    <m/>
    <x v="21"/>
    <x v="20"/>
  </r>
  <r>
    <s v="tippo.ie"/>
    <s v="tilde"/>
    <s v="Soft Fail"/>
    <s v="v=spf1 include:spf.protection.outlook.com +ip4:83.138.8.118 ~all"/>
    <m/>
    <x v="0"/>
    <m/>
    <m/>
    <m/>
    <x v="13"/>
    <x v="20"/>
  </r>
  <r>
    <s v="weatherglaze.ie"/>
    <s v="question"/>
    <s v="Neutral"/>
    <s v="v=spf1 ip4:91.210.235.40 include:spf.protection.outlook.com include:spf.webhostingireland.ie include:spf1.emailsecurity.app a mx ip4:193.36.43.30 a:mail.esat.net ?all"/>
    <m/>
    <x v="1"/>
    <s v="v=DMARC1; p=quarantine; rua=mailto:6d7837d6@mxtoolbox.dmarc-report.com,mailto:114a4427@mxtoolbox.dmarc-report.com; ruf=mailto:6d7837d6@forensics.dmarc-report.com,mailto:114a4427@forensics.dmarc-report.com; fo=1; pct=5"/>
    <m/>
    <m/>
    <x v="3"/>
    <x v="20"/>
  </r>
  <r>
    <s v="barclay.ie"/>
    <s v="minus"/>
    <s v="Fail"/>
    <s v="v=spf1 ip4:54.93.38.48 ip4:54.93.37.50 ip4:66.206.3.250 include:spf.messagelabs.com include:spf.protection.outlook.com -all"/>
    <s v="yes"/>
    <x v="2"/>
    <s v="v=DMARC1; p=none; rua=mailto:dmarc_agg@vali.email;"/>
    <m/>
    <m/>
    <x v="0"/>
    <x v="20"/>
  </r>
  <r>
    <s v="masontechnology.ie"/>
    <s v="tilde"/>
    <s v="Soft Fail"/>
    <s v="v=spf1 ip4:190.180.145.25 +a +mx +include:spf.dub1.servername.online +include:mandrillapp.com ~all"/>
    <s v="yes"/>
    <x v="0"/>
    <m/>
    <m/>
    <m/>
    <x v="0"/>
    <x v="20"/>
  </r>
  <r>
    <s v="standex.com"/>
    <s v="minus"/>
    <s v="Fail"/>
    <s v="v=spf1 ip4:20.98.2.159 ip4:64.199.197.242 ip4:40.140.222.138 ip4:40.129.96.18 ip4:69.20.38.254 ip4:146.20.166.115 ip4:40.135.100.51 include:spf-008ff001.pphosted.com include:spf.protection.outlook.com -all"/>
    <m/>
    <x v="3"/>
    <s v="v=DMARC1; p=reject; rua=mailto:dmarc_rua@emaildefense.proofpoint.com; ruf=mailto:dmarc_ruf@emaildefense.proofpoint.com; fo=1;"/>
    <m/>
    <m/>
    <x v="18"/>
    <x v="20"/>
  </r>
  <r>
    <s v="ugpg2.eu"/>
    <s v="no"/>
    <s v="Not found"/>
    <m/>
    <m/>
    <x v="0"/>
    <m/>
    <m/>
    <m/>
    <x v="1"/>
    <x v="20"/>
  </r>
  <r>
    <s v="arranchemical.ie"/>
    <s v="tilde"/>
    <s v="Soft Fail"/>
    <s v="v=spf1 mx include:aspmx.pardot.com include:spf.dynect.net include:_spf.salesforce.com include:smtp1.newtonsoftware.com include:spf.protection.outlook.com ~all"/>
    <s v="yes"/>
    <x v="2"/>
    <s v="v=DMARC1; p=none; rua=mailto:dmarcreports@almacgroup.com"/>
    <m/>
    <m/>
    <x v="22"/>
    <x v="20"/>
  </r>
  <r>
    <s v="nomadic-dairy.com"/>
    <s v="minus"/>
    <s v="Fail"/>
    <s v="v=spf1 include:spf.protection.outlook.com -all"/>
    <m/>
    <x v="0"/>
    <m/>
    <m/>
    <m/>
    <x v="6"/>
    <x v="20"/>
  </r>
  <r>
    <s v="blenders.ie"/>
    <s v="minus"/>
    <s v="Fail"/>
    <s v="v=spf1 include:spf.protection.outlook.com ip4:89.185.148.18 -all"/>
    <s v="yes"/>
    <x v="3"/>
    <s v="v=DMARC1;p=reject;rua=mailto:dmarc@paradyn.ie;ruf=mailto:dmarc@paradyn.ie;fo=1;"/>
    <m/>
    <m/>
    <x v="0"/>
    <x v="20"/>
  </r>
  <r>
    <s v="gleesongroup.ie"/>
    <s v="minus"/>
    <s v="Fail"/>
    <s v="v=spf1 a:mail0.candcgroup.ie a:mail1.candcgroup.ie a:mail2.candcgroup.ie a:mail3.candcgroup.ie a:mail5.candcgroup.ie a:mail6.candcgroup.ie include:spf.protection.outlook.com -all"/>
    <s v="yes"/>
    <x v="0"/>
    <m/>
    <m/>
    <m/>
    <x v="0"/>
    <x v="20"/>
  </r>
  <r>
    <s v="ifi.ie"/>
    <s v="minus"/>
    <s v="Fail"/>
    <s v="v=spf1 include:spf.protection.outlook.com include:spf.ess.uk.barracudanetworks.com include:spf1.emailsecurity.app -all"/>
    <m/>
    <x v="2"/>
    <s v="v=DMARC1; p=none; rua=mailto:dkgjlkcr@rua.dmarceye.com; fo=1; ri=86400"/>
    <m/>
    <m/>
    <x v="0"/>
    <x v="20"/>
  </r>
  <r>
    <s v="inflightdublin.com"/>
    <s v="tilde"/>
    <s v="Soft Fail"/>
    <s v="v=spf1 include:spf.protection.outlook.com ~all"/>
    <m/>
    <x v="0"/>
    <m/>
    <m/>
    <m/>
    <x v="0"/>
    <x v="20"/>
  </r>
  <r>
    <s v="telegael.com"/>
    <s v="minus"/>
    <s v="Fail"/>
    <s v="v=spf1 mx a:mail.telegael.com a:mail1.telegael.com -all"/>
    <s v="yes"/>
    <x v="3"/>
    <s v="v=DMARC1; p=reject; pct=100; rua=mailto:dmarc@telegael.com; ruf=mailto:dmarc_forensic@telegael.com; sp=none; ri=86400"/>
    <m/>
    <m/>
    <x v="7"/>
    <x v="20"/>
  </r>
  <r>
    <s v="glenveaghnationalpark.ie"/>
    <s v="minus"/>
    <s v="Fail"/>
    <s v="v=spf1 -all"/>
    <m/>
    <x v="3"/>
    <s v="v=DMARC1;p=reject;sp=reject;adkim=s;aspf=s"/>
    <m/>
    <m/>
    <x v="6"/>
    <x v="20"/>
  </r>
  <r>
    <s v="jamesonwhiskey.com"/>
    <s v="minus"/>
    <s v="Fail"/>
    <s v="v=spf1 include:protection.outlook.com include:shops.shopify.com -all"/>
    <s v="yes"/>
    <x v="1"/>
    <s v="v=DMARC1; p=quarantine; rua=mailto:f69c87f16d2b232@rep.dmarcanalyzer.com; ruf=mailto:f69c87f16d2b232@for.dmarcanalyzer.com; fo=1"/>
    <m/>
    <m/>
    <x v="0"/>
    <x v="20"/>
  </r>
  <r>
    <s v="kylemoreabbey.com"/>
    <s v="minus"/>
    <s v="Fail"/>
    <s v="v=spf1 include:spf.protection.outlook.com a:cloudmail.ie a mx ip4:78.31.212.101/29 ip4:157.245.66.20 ip4:52.214.200.213 ip4:157.230.20.117 include:spf.mandrillapp.com include:_spf.elasticemail.com -all"/>
    <s v="yes"/>
    <x v="2"/>
    <s v="v=DMARC1; p=none; fo=1; rua=mailto:dmarc@sleepless.ie;ruf=mailto:dmarc@sleepless.ie;rf=afrf;pct=100"/>
    <m/>
    <m/>
    <x v="7"/>
    <x v="20"/>
  </r>
  <r>
    <s v="bandonvale.ie"/>
    <s v="minus"/>
    <s v="Fail"/>
    <s v="v=spf1 +include:spf.protection.outlook.com +include:relay.mailchannels.net +ip4:212.78.228.74 +ip4:93.95.83.44 +ip4:93.95.83.44 -all"/>
    <s v="yes"/>
    <x v="2"/>
    <s v="v=DMARC1; p=none; fo=1; rua=mailto:rua+bandonvale.ie@dmarc.barracudanetworks.com; ruf=mailto:ruf+bandonvale.ie@dmarc.barracudanetworks.com;"/>
    <m/>
    <m/>
    <x v="1"/>
    <x v="20"/>
  </r>
  <r>
    <s v="ingredientsolutions.net"/>
    <s v="minus"/>
    <s v="Fail"/>
    <s v="v=spf1 a:magnet1.ingredientsolutions.net ip4:87.198.173.166 ip4:87.198.178.190 include:spf.protection.outlook.com include:authsmtp.com -all"/>
    <m/>
    <x v="2"/>
    <s v="v=DMARC1; p=none"/>
    <m/>
    <m/>
    <x v="1"/>
    <x v="20"/>
  </r>
  <r>
    <s v="aurivo.ie"/>
    <s v="minus"/>
    <s v="Fail"/>
    <s v="v=spf1 a mx ip4:95.83.227.65 ip4:149.72.231.47 include:spf.protection.outlook.com include:mail.zendesk.com -all"/>
    <s v="yes"/>
    <x v="1"/>
    <s v="v=DMARC1; p=quarantine; rua=mailto:dmarcstats@aurivo.ie; ruf=mailto:dmarcstats@aurivo.ie; pct=100; fo=1;"/>
    <m/>
    <m/>
    <x v="22"/>
    <x v="20"/>
  </r>
  <r>
    <s v="westlodgehotel.ie"/>
    <s v="minus"/>
    <s v="Fail"/>
    <s v="v=spf1 a include:spf.protection.outlook.com -all"/>
    <s v="yes"/>
    <x v="0"/>
    <m/>
    <m/>
    <m/>
    <x v="1"/>
    <x v="20"/>
  </r>
  <r>
    <s v="universityarena.com"/>
    <s v="minus"/>
    <s v="Fail"/>
    <s v="v=spf1 -all"/>
    <s v="yes"/>
    <x v="0"/>
    <m/>
    <m/>
    <m/>
    <x v="5"/>
    <x v="20"/>
  </r>
  <r>
    <s v="woodforddolmenhotel.ie"/>
    <s v="minus"/>
    <s v="Fail"/>
    <s v="v=spf1 include:spf.protection.outlook.com include:authsmtp.com include:netaffinity.net include:guestline.net include:roomlynx.net +ip4:84.203.118.24 -all"/>
    <s v="yes"/>
    <x v="0"/>
    <m/>
    <m/>
    <m/>
    <x v="25"/>
    <x v="20"/>
  </r>
  <r>
    <s v="nch.ie"/>
    <s v="minus"/>
    <s v="Fail"/>
    <s v="v=spf1 ip4:89.185.136.227 ip4:138.201.167.223 ip4:138.201.167.222 ip4:74.200.12.248/30 include:_spf.audienceview.net include:spf.emailsignatures365.com include:spf.protection.outlook.com -all"/>
    <s v="yes"/>
    <x v="2"/>
    <s v="v=DMARC1;p=none;fo=1;rua=mailto:nch_ie_agg@mailwall.com;ruf=mailto:nch_ie_afrf@mailwall.com"/>
    <m/>
    <m/>
    <x v="0"/>
    <x v="20"/>
  </r>
  <r>
    <s v="nuremore.com"/>
    <s v="tilde"/>
    <s v="Soft Fail"/>
    <s v="v=spf1 a mx ip4:199.16.129.190 ~all"/>
    <s v="yes"/>
    <x v="2"/>
    <s v="v=DMARC1; p=none"/>
    <m/>
    <m/>
    <x v="12"/>
    <x v="20"/>
  </r>
  <r>
    <s v="leehotels.com"/>
    <s v="minus"/>
    <s v="Fail"/>
    <s v="v=spf1 include:spf.guestjoy.com include:spf_3a.oracleindustry.com include:spf.protection.outlook.com include:netaffinity.net include:spf.mandrillapp.com -all"/>
    <s v="yes"/>
    <x v="1"/>
    <s v="v=DMARC1; p=quarantine; pct=100; fo=1"/>
    <m/>
    <m/>
    <x v="8"/>
    <x v="20"/>
  </r>
  <r>
    <s v="airfield.ie"/>
    <s v="minus"/>
    <s v="Fail"/>
    <s v="v=spf1 ip4:46.22.128.101 ip4:46.22.135.205 ip4:185.122.132.173 ip4:89.204.218.1 include:spf.mandrillapp.com include:spf.protection.outlook.com include:spf.mailanyone.net -all"/>
    <s v="yes"/>
    <x v="2"/>
    <s v="v=DMARC1; p=none;"/>
    <m/>
    <m/>
    <x v="0"/>
    <x v="20"/>
  </r>
  <r>
    <s v="jti.com"/>
    <s v="minus"/>
    <s v="Fail"/>
    <s v="v=spf1 include:spf.protection.outlook.com ip4:194.24.4.18 ip4:194.24.4.19 ip4:194.24.4.25 ip4:93.187.188.229 ip4:93.187.188.230 -all"/>
    <s v="yes"/>
    <x v="3"/>
    <s v="v=DMARC1; p=reject; adkim=s; aspf=s; rua=mailto:1mpftc7i@ag.eu.dmarcian.com; ruf=mailto:1mpftc7i@fr.eu.dmarcian.com; fo=1;"/>
    <s v="yes"/>
    <s v="https://files.jti.com/pages/bimi/jti-2024.svg"/>
    <x v="0"/>
    <x v="20"/>
  </r>
  <r>
    <s v="mcgowansprint.com"/>
    <s v="minus"/>
    <s v="Fail"/>
    <s v="v=spf1 include:spf.protection.outlook.com include:spf.mailanyone.net -all"/>
    <s v="yes"/>
    <x v="0"/>
    <m/>
    <m/>
    <m/>
    <x v="0"/>
    <x v="20"/>
  </r>
  <r>
    <s v="chtralee.com"/>
    <s v="minus"/>
    <s v="Fail"/>
    <s v="v=spf1 include:spf.protection.outlook.com include:amazonses.com include:spf.mandrillapp.com -all"/>
    <s v="yes"/>
    <x v="2"/>
    <s v="v=DMARC1; p=none;"/>
    <m/>
    <m/>
    <x v="14"/>
    <x v="20"/>
  </r>
  <r>
    <s v="specialolympics.ie"/>
    <s v="minus"/>
    <s v="Fail"/>
    <s v="v=spf1 +a +mx ip4:83.174.189.34 ip4:54.240.51.52 ip4:54.240.51.53 ip4:52.215.88.119 ip4:52.208.179.40 ip4:18.200.179.139 ip4:216.235.196.0/22 ip4:216.235.200.0/21 ip4:205.139.104.0/22 ip4:206.79.6.0/24 ip4:185.217.59.0/24 ip4:8.34.161.0/24 ip4:8.224.10.0/&quot; &quot;24 ip4:213.212.96.64/27 ip4:118.186.64.32/28 ip4:185.81.100.1/22 ip4:192.103.120.1/22 include:servers.mcsv.net include:spf.protection.outlook.com include:autotask.net include:sendgrid.net include:eu._netblocks.mimecast.com -all"/>
    <s v="yes"/>
    <x v="1"/>
    <s v="v=DMARC1; p=quarantine; rua=mailto:webmaster@specialolympics.ie;"/>
    <m/>
    <m/>
    <x v="0"/>
    <x v="20"/>
  </r>
  <r>
    <s v="foundation.ie"/>
    <s v="mis"/>
    <s v="Invalid SPF Syntax"/>
    <s v="v=spf1 include:spf.protection.outlook.com include:_spf.createsend.com include:smartsimple.com include:smartsimplemailer.com include:smartsimple.ie v=spf1 include:amazonses.com -all"/>
    <s v="yes"/>
    <x v="3"/>
    <s v="v=DMARC1; p=reject; pct=100;"/>
    <m/>
    <m/>
    <x v="0"/>
    <x v="20"/>
  </r>
  <r>
    <s v="ymca.ie"/>
    <s v="tilde"/>
    <s v="Soft Fail"/>
    <s v="v=spf1 a include:spf.blacknight.ie ~all"/>
    <m/>
    <x v="0"/>
    <m/>
    <m/>
    <m/>
    <x v="0"/>
    <x v="20"/>
  </r>
  <r>
    <s v="kys.ie"/>
    <s v="no"/>
    <s v="Not found"/>
    <m/>
    <m/>
    <x v="0"/>
    <m/>
    <m/>
    <m/>
    <x v="16"/>
    <x v="20"/>
  </r>
  <r>
    <s v="moneymate.com"/>
    <s v="mis"/>
    <s v="Invalid SPF Syntax"/>
    <s v="v=spf1 redirect=confluence.com"/>
    <s v="yes"/>
    <x v="3"/>
    <s v="v=DMARC1; p=reject; rua=mailto:rdg12nvi@ag.eu.dmarcian.com,mailto:dmarc@confluence.com; ruf=mailto:rdg12nvi@fr.eu.dmarcian.com,mailto:dmarc-fr@confluence.com; fo=1:d:s"/>
    <m/>
    <m/>
    <x v="0"/>
    <x v="20"/>
  </r>
  <r>
    <s v="murex.com"/>
    <s v="tilde"/>
    <s v="Soft Fail"/>
    <s v="v=spf1 ip4:185.197.84.5 exists:%{i}.spf.hc1163-86.c3s2.iphmx.com include:spf.protection.outlook.com include:_spf-sfdc.sapsf.com include:em8340.murex.com include:mktomail.com include:amazonses.com include:u2374998.wl249.sendgrid.net&quot; &quot; ip4:148.139.1.8/29 ip4:148.139.0.8/29 ip4:213.41.98.53 ~all"/>
    <s v="yes"/>
    <x v="3"/>
    <s v="v=DMARC1; p=reject; rua=mailto:qhvwsiub@ag.eu.dmarcadvisor.com;"/>
    <m/>
    <m/>
    <x v="0"/>
    <x v="20"/>
  </r>
  <r>
    <s v="ocuco.com"/>
    <s v="tilde"/>
    <s v="Soft Fail"/>
    <s v="v=spf1 ip4:208.98.208.16 ip4:51.141.40.57 ip4:40.81.120.87 ip4:92.51.244.100 ip4:67.226.180.229 ip4:66.11.85.194 ip4:38.88.67.34 ip4:167.89.1.26 ip4:82.201.109.162 ip4:168.245.44.30 ip4:168.245.26.6 include:et._spf.pardot.com include:_spf.salesforce.com i&quot; &quot;nclude:cust-spf.exacttarget.com include:mailsenders.netsuite.com include:spf.emailsignatures365.com include:spf.protection.outlook.com include:spf.interconnect.nl include:139670173.spf05.hubspotemail.net ~all"/>
    <s v="yes"/>
    <x v="2"/>
    <s v="v=DMARC1; p=none; rua=mailto:dmarcagg@ocuco.com; fo=1"/>
    <m/>
    <m/>
    <x v="0"/>
    <x v="20"/>
  </r>
  <r>
    <s v="csgi.com"/>
    <s v="tilde"/>
    <s v="Soft Fail"/>
    <s v="v=spf1 include:%{ir}.%{v}.%{d}.spf.has.pphosted.com ~all"/>
    <s v="yes"/>
    <x v="2"/>
    <s v="v=DMARC1; p=none; fo=1; rua=mailto:dmarc_rua@emaildefense.proofpoint.com; ruf=mailto:dmarc_ruf@emaildefense.proofpoint.com"/>
    <m/>
    <m/>
    <x v="7"/>
    <x v="20"/>
  </r>
  <r>
    <s v="caps.ie"/>
    <s v="minus"/>
    <s v="Fail"/>
    <s v="v=spf1 include:spf.protection.outlook.com -all"/>
    <s v="yes"/>
    <x v="0"/>
    <m/>
    <m/>
    <m/>
    <x v="7"/>
    <x v="20"/>
  </r>
  <r>
    <s v="dsgpack.ie"/>
    <s v="minus"/>
    <s v="Fail"/>
    <s v="v=spf1 include:spf.protection.outlook.com ip4:86.47.119.201 ip4:167.235.180.130 -all"/>
    <m/>
    <x v="0"/>
    <m/>
    <m/>
    <m/>
    <x v="16"/>
    <x v="20"/>
  </r>
  <r>
    <s v="anpost.com"/>
    <s v="minus"/>
    <s v="Fail"/>
    <s v="v=spf1 include:spf.protection.outlook.com include:spf.emailingemfasis.es ip4:52.155.248.80 ip4:52.158.43.182 ip4:167.89.86.131 -all"/>
    <s v="yes"/>
    <x v="2"/>
    <s v="v=DMARC1; p=none; pct=100; ri=86400; rua=mailto:DMARCreport@anpost.ie; adkim=r; aspf=r; sp=none;"/>
    <m/>
    <m/>
    <x v="1"/>
    <x v="20"/>
  </r>
  <r>
    <s v="dias.ie"/>
    <s v="tilde"/>
    <s v="Soft Fail"/>
    <s v="v=spf1 ip4:160.6.33.4/24 ip6:2001:770:60:18::4 mx a:ogma.cp.dias.ie mx:admin.dias.ie mx:celt.dias.ie mx:stp.dias.ie ~all"/>
    <m/>
    <x v="2"/>
    <s v="v=DMARC1; p=none; sp=none; adkim=r; aspf=r; rua=mailto:dmarc@dias.ie; ruf=mailto:dmarcf@dias.ie"/>
    <m/>
    <m/>
    <x v="0"/>
    <x v="20"/>
  </r>
  <r>
    <s v="intuition.com"/>
    <s v="minus"/>
    <s v="Fail"/>
    <s v="v=spf1 mx a:mercury.intuition.com ip4:185.69.215.0/25 ip4:91.199.213.0/24 ip4:159.183.178.17 include:spf.protection.outlook.com include:mailgun.org include:spf.mandrillapp.com include:494176.spf05.hubspotemail.net -all"/>
    <s v="yes"/>
    <x v="1"/>
    <s v="v=DMARC1; p=quarantine; rua=mailto:techadmin@intuition.com,mailto:dmarc_agg@vali.email;"/>
    <m/>
    <m/>
    <x v="0"/>
    <x v="20"/>
  </r>
  <r>
    <s v="wwetbtraining.ie"/>
    <s v="minus"/>
    <s v="Fail"/>
    <s v="v=spf1 include:spf.blacknight.ie include:spf.protection.outlook.com -all"/>
    <m/>
    <x v="0"/>
    <m/>
    <m/>
    <m/>
    <x v="10"/>
    <x v="20"/>
  </r>
  <r>
    <s v="sacredhearthuntstown.weebly.com"/>
    <s v="no"/>
    <s v="Not found"/>
    <m/>
    <m/>
    <x v="0"/>
    <m/>
    <m/>
    <m/>
    <x v="0"/>
    <x v="20"/>
  </r>
  <r>
    <s v="stops.ie"/>
    <s v="no"/>
    <s v="Not found"/>
    <m/>
    <m/>
    <x v="0"/>
    <m/>
    <m/>
    <m/>
    <x v="0"/>
    <x v="20"/>
  </r>
  <r>
    <s v="stmartinssps.scoilnet.ie"/>
    <s v="no"/>
    <s v="Not found"/>
    <m/>
    <m/>
    <x v="0"/>
    <m/>
    <m/>
    <m/>
    <x v="10"/>
    <x v="20"/>
  </r>
  <r>
    <s v="coolcotts.com"/>
    <s v="tilde"/>
    <s v="Soft Fail"/>
    <s v="v=spf1 include:_spf.google.com include:spf.graphedia.ie ~all"/>
    <s v="yes"/>
    <x v="2"/>
    <s v="v=DMARC1; p=none;"/>
    <m/>
    <m/>
    <x v="3"/>
    <x v="20"/>
  </r>
  <r>
    <s v="ccsecurity.ie"/>
    <s v="minus"/>
    <s v="Fail"/>
    <s v="v=spf1 include:spf.protection.outlook.com -all"/>
    <s v="yes"/>
    <x v="0"/>
    <m/>
    <m/>
    <m/>
    <x v="17"/>
    <x v="20"/>
  </r>
  <r>
    <s v="kerryfish.com"/>
    <s v="tilde"/>
    <s v="Soft Fail"/>
    <s v="v=spf1 +a +mx +ip4:35.214.140.208  include:kerryfish.com.spf.auto.dnssmarthost.net ~all"/>
    <s v="yes"/>
    <x v="2"/>
    <s v="v=DMARC1; p=none; fo=1; rua=mailto:hello@kerryfish.com"/>
    <m/>
    <m/>
    <x v="14"/>
    <x v="20"/>
  </r>
  <r>
    <s v="irishbaconslicers.com"/>
    <s v="minus"/>
    <s v="Fail"/>
    <s v="v=spf1 a mx include:spf.protection.outlook.com -all"/>
    <m/>
    <x v="0"/>
    <m/>
    <m/>
    <m/>
    <x v="1"/>
    <x v="20"/>
  </r>
  <r>
    <s v="imancasing.com"/>
    <s v="minus"/>
    <s v="Fail"/>
    <s v="v=spf1 include:secureserver.net -all"/>
    <m/>
    <x v="0"/>
    <m/>
    <m/>
    <m/>
    <x v="4"/>
    <x v="20"/>
  </r>
  <r>
    <s v="allianzdirect.ie"/>
    <s v="tilde"/>
    <s v="Soft Fail"/>
    <s v="v=spf1 mx include:spf.allianz.com ip4:80.93.29.199 ip4:80.93.29.201 ip4:168.114.112.22 ip4:168.114.112.23 ip4:54.229.2.165 ~all"/>
    <s v="yes"/>
    <x v="3"/>
    <s v="v=DMARC1; p=reject; fo=1; ri=3600; rua=mailto:Rua-allianz@allianz.com; ruf=mailto:Ruf-allianz@allianz.com"/>
    <m/>
    <m/>
    <x v="0"/>
    <x v="20"/>
  </r>
  <r>
    <s v="leafletcompany.ie"/>
    <s v="minus"/>
    <s v="Fail"/>
    <s v="v=spf1 include:spf.protection.outlook.com include:spf1.emailsecurity.app -all"/>
    <m/>
    <x v="0"/>
    <m/>
    <m/>
    <m/>
    <x v="0"/>
    <x v="20"/>
  </r>
  <r>
    <s v="kofintl.com"/>
    <s v="minus"/>
    <s v="Fail"/>
    <s v="v=spf1 include:spf.protection.outlook.com -all"/>
    <m/>
    <x v="0"/>
    <m/>
    <m/>
    <m/>
    <x v="13"/>
    <x v="20"/>
  </r>
  <r>
    <s v="98fm.com"/>
    <s v="tilde"/>
    <s v="Soft Fail"/>
    <s v="v=spf1 include:_u.98fm.com._spf.smart.ondmarc.com ~all"/>
    <s v="yes"/>
    <x v="2"/>
    <s v="v=DMARC1; p=none;"/>
    <m/>
    <m/>
    <x v="0"/>
    <x v="20"/>
  </r>
  <r>
    <s v="fm104.ie"/>
    <s v="tilde"/>
    <s v="Soft Fail"/>
    <s v="v=spf1 include:_spf.google.com include:spf-00596a01.pphosted.com ~all"/>
    <m/>
    <x v="2"/>
    <s v="v=DMARC1; p=none; fo=1; rua=mailto:dmarc_rua@emaildefense.proofpoint.com; ruf=mailto:dmarc_ruf@emaildefense.proofpoint.com"/>
    <m/>
    <m/>
    <x v="0"/>
    <x v="20"/>
  </r>
  <r>
    <s v="kwd.ie"/>
    <s v="minus"/>
    <s v="Fail"/>
    <s v="v=spf1 include:spf.protection.outlook.com include:authsmtp.com ip4:51.91.57.125 -all"/>
    <s v="yes"/>
    <x v="1"/>
    <s v="v=DMARC1; p=quarantine;"/>
    <m/>
    <m/>
    <x v="14"/>
    <x v="20"/>
  </r>
  <r>
    <s v="maryfieldnursinghome.ie"/>
    <s v="tilde"/>
    <s v="Soft Fail"/>
    <s v="v=spf1 a include:spf.blacknight.ie ~all"/>
    <m/>
    <x v="0"/>
    <m/>
    <m/>
    <m/>
    <x v="0"/>
    <x v="20"/>
  </r>
  <r>
    <s v="stclaresnursing.ie"/>
    <s v="no"/>
    <s v="Not found"/>
    <m/>
    <m/>
    <x v="0"/>
    <m/>
    <m/>
    <m/>
    <x v="0"/>
    <x v="20"/>
  </r>
  <r>
    <s v="asboroughlodge.com"/>
    <s v="no"/>
    <s v="Not found"/>
    <m/>
    <m/>
    <x v="0"/>
    <m/>
    <m/>
    <m/>
    <x v="14"/>
    <x v="20"/>
  </r>
  <r>
    <s v="cuanchaitrionanursinghome.ie"/>
    <s v="no"/>
    <s v="Not found"/>
    <m/>
    <m/>
    <x v="0"/>
    <m/>
    <m/>
    <m/>
    <x v="4"/>
    <x v="20"/>
  </r>
  <r>
    <s v="stbrendansvillage.com"/>
    <s v="no"/>
    <s v="Not found"/>
    <m/>
    <m/>
    <x v="0"/>
    <m/>
    <m/>
    <m/>
    <x v="4"/>
    <x v="20"/>
  </r>
  <r>
    <s v="lawsonhouse.ie"/>
    <s v="minus"/>
    <s v="Fail"/>
    <s v="v=spf1 include:spf.protection.outlook.com -all"/>
    <m/>
    <x v="0"/>
    <m/>
    <m/>
    <m/>
    <x v="3"/>
    <x v="20"/>
  </r>
  <r>
    <s v="kayskitchen.ie"/>
    <s v="minus"/>
    <s v="Fail"/>
    <s v="v=spf1 include:spf.protection.outlook.com -all"/>
    <m/>
    <x v="0"/>
    <m/>
    <m/>
    <m/>
    <x v="0"/>
    <x v="20"/>
  </r>
  <r>
    <s v="thekingshead.ie"/>
    <s v="minus"/>
    <s v="Fail"/>
    <s v="v=spf1 mx a include:spf.protection.outlook.com a:webmail5.myitdepartment.ie a:incoming4.myitdepartment.ie -all"/>
    <s v="yes"/>
    <x v="1"/>
    <s v="v=DMARC1; p=quarantine; pct=100; rua=mailto:dmarc@zenotec.ie; ruf=mailto:dmarc@zenotec.ie; fo=1"/>
    <m/>
    <m/>
    <x v="7"/>
    <x v="20"/>
  </r>
  <r>
    <s v="jam.ie"/>
    <s v="tilde"/>
    <s v="Soft Fail"/>
    <s v="v=spf1 include:_spf.mx.cloudflare.net ~all"/>
    <m/>
    <x v="0"/>
    <m/>
    <m/>
    <m/>
    <x v="14"/>
    <x v="20"/>
  </r>
  <r>
    <s v="merlinshowering.com"/>
    <s v="minus"/>
    <s v="Fail"/>
    <s v="v=spf1 ip6:fd9c:d030:168c::/48 -all"/>
    <m/>
    <x v="0"/>
    <m/>
    <m/>
    <m/>
    <x v="17"/>
    <x v="20"/>
  </r>
  <r>
    <s v="cevalogistics.com"/>
    <s v="tilde"/>
    <s v="Soft Fail"/>
    <s v="v=spf1 include:spf.protection.outlook.com include:%{ir}.%{v}.%{d}.spf.has.pphosted.com include:spf.happyfox.com ~all"/>
    <s v="yes"/>
    <x v="3"/>
    <s v="v=DMARC1; p=reject; pct=100; rua=mailto:dmarc-reports@cevalogistics.com,mailto:dmarc_rua@emaildefense.proofpoint.com; ruf=mailto:dmarc-reports@cevalogistics.com,mailto:dmarc_ruf@emaildefense.proofpoint.com; fo=1; adkim=r; aspf=r"/>
    <m/>
    <m/>
    <x v="0"/>
    <x v="20"/>
  </r>
  <r>
    <s v="ari.ie"/>
    <s v="minus"/>
    <s v="Fail"/>
    <s v="v=spf1 ip4:54.77.99.99 ip4:52.19.76.163 ip4:91.214.173.12 include:amazonses.com include:spf.protection.outlook.com -all"/>
    <s v="yes"/>
    <x v="2"/>
    <s v="v=DMARC1; p=none; fo=1; rua=mailto:dmarc_agg@vali.email"/>
    <m/>
    <m/>
    <x v="9"/>
    <x v="20"/>
  </r>
  <r>
    <s v="icbf.com"/>
    <s v="mis"/>
    <s v="Invalid SPF Syntax"/>
    <s v="v=spf1 redirect=_seg64u6nf.sdmarc.net"/>
    <s v="yes"/>
    <x v="3"/>
    <s v="v=DMARC1; p=reject; pct=100; rua=mailto:a.eg64u6nf@sdmarc.net"/>
    <s v="yes"/>
    <s v="https://portal.sendmarc.com/storage/domains/bimi/mU7HhNB8jJKEdjsbPeR6MB41SiNwPUYkT0Yuwhle.svg"/>
    <x v="1"/>
    <x v="20"/>
  </r>
  <r>
    <s v="lynk.ie"/>
    <s v="minus"/>
    <s v="Fail"/>
    <s v="v=spf1 ip4:178.62.83.234 a:piper.hostireland.com a:mail2.lynk.ie ip4:185.156.198.163 ip4:185.32.255.233 ip4:185.32.255.40 ip4:34.252.91.1 include:amazonses.com include:mailgun.org include:eu.transmail.net include:spf.protection.outlook.com ip4:207.58&quot; &quot;.147.64/28 ip4:216.22.15.224/27 ip4:43.228.184.0/22 ip4:103.47.204.0/22 ip4:103.2.140.0/22 ip4:203.31.36.0/22 ip4:170.10.68.0/22 ip4:198.74.56.28 -all"/>
    <s v="yes"/>
    <x v="3"/>
    <s v="v=DMARC1; p=reject; rua=mailto:5586c3c24b@rep.dmarcanalyzer.com; ruf=mailto:dmarc1@lynk.ie; pct=60; fo=0:1:d:s"/>
    <m/>
    <m/>
    <x v="0"/>
    <x v="20"/>
  </r>
  <r>
    <s v="libertiescollege.ie"/>
    <s v="minus"/>
    <s v="Fail"/>
    <s v="v=spf1 include:spf.protection.outlook.com -all"/>
    <m/>
    <x v="0"/>
    <m/>
    <m/>
    <m/>
    <x v="0"/>
    <x v="20"/>
  </r>
  <r>
    <s v="anecto.com"/>
    <s v="tilde"/>
    <s v="Soft Fail"/>
    <s v="v=spf1 ip4:66.206.3.250 a mx ip4:23.111.150.199 include:spf.protection.outlook.com ~all"/>
    <s v="yes"/>
    <x v="1"/>
    <s v="v=DMARC1; p=quarantine; rua=mailto:dmarc@anecto.com; ruf=mailto:dmarc@anecto.com; fo=1; pct=100; adkim=r; aspf=r"/>
    <m/>
    <m/>
    <x v="7"/>
    <x v="20"/>
  </r>
  <r>
    <s v="medentech.com"/>
    <s v="minus"/>
    <s v="Fail"/>
    <s v="v=spf1 include:spf.protection.outlook.com include:spf.exclaimer.net -all"/>
    <m/>
    <x v="0"/>
    <m/>
    <m/>
    <m/>
    <x v="3"/>
    <x v="20"/>
  </r>
  <r>
    <s v="stangelascollege.ie"/>
    <s v="tilde"/>
    <s v="Soft Fail"/>
    <s v="v=spf1 ip4:185.199.220.55 a mx ip4:77.72.4.74 include:relay.k.io ~all"/>
    <s v="yes"/>
    <x v="0"/>
    <m/>
    <m/>
    <m/>
    <x v="8"/>
    <x v="20"/>
  </r>
  <r>
    <s v="abbeytravel.ie"/>
    <s v="tilde"/>
    <s v="Soft Fail"/>
    <s v="v=spf1 include:de._netblocks.mimecast.com a:mail.clubtravel.ie a:mail-rs1.clubtravel.ie ip4:162.13.67.43 ip4:46.38.183.30 ip4:83.138.154.78 ip4:162.13.66.166 include:spf.protection.outlook.com include:nw007.com ~all"/>
    <s v="yes"/>
    <x v="2"/>
    <s v="v=DMARC1; p=none; ruf=mailto:dmarc-ruf@abbeytravel.ie; rua=mailto:dmarc-rua@abbeytravel.ie;"/>
    <m/>
    <m/>
    <x v="0"/>
    <x v="20"/>
  </r>
  <r>
    <s v="crystalski.ie"/>
    <s v="minus"/>
    <s v="Fail"/>
    <s v="v=spf1 include:spf.protection.outlook.com include:amazonses.com -all"/>
    <s v="yes"/>
    <x v="3"/>
    <s v="v=DMARC1; p=reject; pct=100; fo=1; ri=3600; rua=mailto:2256e681@inbox.ondmarc.com; ruf=mailto:2256e681@inbox.ondmarc.com;"/>
    <m/>
    <m/>
    <x v="0"/>
    <x v="20"/>
  </r>
  <r>
    <s v="carrgolf.com"/>
    <s v="minus"/>
    <s v="Fail"/>
    <s v="v=spf1 include:spf.protection.outlook.com include:19557406.spf04.hubspotemail.net -all"/>
    <m/>
    <x v="3"/>
    <s v="v=DMARC1; p=reject; pct=100; rua=mailto:dmarc@carrgolf.com; ruf=mailto:dmarc@carrgolf.com"/>
    <m/>
    <m/>
    <x v="0"/>
    <x v="20"/>
  </r>
  <r>
    <s v="castlecool.ie"/>
    <s v="tilde"/>
    <s v="Soft Fail"/>
    <s v="v=spf1 include:spf.reg365.net ~all"/>
    <m/>
    <x v="0"/>
    <m/>
    <m/>
    <m/>
    <x v="12"/>
    <x v="20"/>
  </r>
  <r>
    <s v="gmsteel.com"/>
    <s v="minus"/>
    <s v="Fail"/>
    <s v="v=spf1 include:spf.protection.outlook.com -all"/>
    <s v="yes"/>
    <x v="2"/>
    <s v="v=DMARC1; p=none;"/>
    <m/>
    <m/>
    <x v="2"/>
    <x v="20"/>
  </r>
  <r>
    <s v="donohoedrinks.ie"/>
    <s v="no"/>
    <s v="Not found"/>
    <m/>
    <m/>
    <x v="0"/>
    <m/>
    <m/>
    <m/>
    <x v="3"/>
    <x v="20"/>
  </r>
  <r>
    <s v="macom.com"/>
    <s v="tilde"/>
    <s v="Soft Fail"/>
    <s v="v=spf1 ip4:63.137.182.78 ip4:35.80.141.6 ip4:44.229.121.55 ip4:148.59.100.16/28 include:spf.sendwordnow.com include:spf.protection.outlook.com include:_netblocks.mimecast.com ~all"/>
    <m/>
    <x v="2"/>
    <s v="v=DMARC1; p=none; rua=mailto:c7e63aee1c62462eaea913f78ec72df7@dmarc-reports.cloudflare.net;"/>
    <m/>
    <m/>
    <x v="1"/>
    <x v="20"/>
  </r>
  <r>
    <s v="anord.ie"/>
    <s v="minus"/>
    <s v="Fail"/>
    <s v="v=spf1 include:spf.protection.outlook.com include:spf-002d6701.pphosted.com include:spf1.anord.ie include:spfa.cpmails.com ip4:205.173.129.112 ip4:158.116.232.202 ip4:158.116.214.70 -all"/>
    <s v="yes"/>
    <x v="3"/>
    <s v="v=DMARC1;p=reject;pct=100;aspf=r"/>
    <m/>
    <m/>
    <x v="2"/>
    <x v="20"/>
  </r>
  <r>
    <s v="londis.ie"/>
    <s v="minus"/>
    <s v="Fail"/>
    <s v="v=spf1 a mx ip4:185.2.66.37 include:spf.mandrillapp.com include:spf.hornetsecurity.com include:eu-west-1.amazonses.com -all"/>
    <m/>
    <x v="2"/>
    <s v="v=DMARC1; p=none"/>
    <m/>
    <m/>
    <x v="16"/>
    <x v="20"/>
  </r>
  <r>
    <s v="orders.zeuspackaging.com"/>
    <s v="no"/>
    <s v="Not found"/>
    <m/>
    <m/>
    <x v="0"/>
    <m/>
    <m/>
    <m/>
    <x v="0"/>
    <x v="20"/>
  </r>
  <r>
    <s v="uniphar.ie"/>
    <s v="minus"/>
    <s v="Fail"/>
    <s v="v=spf1 include:spf-00779101.pphosted.com include:spf.protection.outlook.com include:spf.zohomail360.eu a:mail.uniphar.ie ip4:89.101.228.97 -all"/>
    <s v="yes"/>
    <x v="2"/>
    <s v="v=DMARC1; p=none; rua=mailto:dmarc@uniphar.ie;"/>
    <m/>
    <m/>
    <x v="1"/>
    <x v="20"/>
  </r>
  <r>
    <s v="apexfire.ie"/>
    <s v="minus"/>
    <s v="Fail"/>
    <s v="v=spf1 ip4:217.115.115.31 include:relay.mailchannels.net ip4:217.115.115.36 ip4:159.183.10.91 ip4:217.115.115.155 ip4:52.240.150.170 ip4:216.55.104.92 ip4:62.255.126.94 include:spf.protection.outlook.com include:_spf.psm.knowbe4.com include:spf.mandrillap&quot; &quot;p.com include:spf.icontroller.eu a:send.lunitehosting.nl -all"/>
    <s v="yes"/>
    <x v="3"/>
    <s v="v=DMARC1; p=reject;"/>
    <m/>
    <m/>
    <x v="11"/>
    <x v="20"/>
  </r>
  <r>
    <s v="foamalite.ie"/>
    <s v="minus"/>
    <s v="Fail"/>
    <s v="v=spf1 include:spf.protection.outlook.com ip4:91.229.170.120 -all"/>
    <m/>
    <x v="0"/>
    <m/>
    <m/>
    <m/>
    <x v="11"/>
    <x v="20"/>
  </r>
  <r>
    <s v="glengarriffpark.com"/>
    <s v="minus"/>
    <s v="Fail"/>
    <s v="v=spf1 include:spf.protection.outlook.com -all"/>
    <m/>
    <x v="0"/>
    <m/>
    <m/>
    <m/>
    <x v="1"/>
    <x v="20"/>
  </r>
  <r>
    <s v="keohanereadymix.com"/>
    <s v="no"/>
    <s v="Not found"/>
    <m/>
    <m/>
    <x v="0"/>
    <m/>
    <m/>
    <m/>
    <x v="1"/>
    <x v="20"/>
  </r>
  <r>
    <s v="beechfieldmanor.com"/>
    <s v="no"/>
    <s v="Not found"/>
    <m/>
    <m/>
    <x v="0"/>
    <m/>
    <m/>
    <m/>
    <x v="0"/>
    <x v="20"/>
  </r>
  <r>
    <s v="carat.com"/>
    <s v="mis"/>
    <s v="Invalid SPF Syntax"/>
    <s v="v=spf1 include:spf1b.carat.com include:eu._netblocks.mimecast.com include:_spf.surveygenerator.com include:spf.onprem.dentsuaegis.com include:spf.protection.outlook.com include:emailsrvr.com ip4:176.34.133.159/32 ip4:52.31.132.175/32 ip4:5.61.115.80/28 -a&quot; &quot;ll"/>
    <m/>
    <x v="2"/>
    <s v="v=DMARC1; p=none; rua=mailto:f08515305fb8474@rep.dmarcanalyzer.com; ruf=mailto:f08515305fb8474@for.dmarcanalyzer.com; fo=1;"/>
    <m/>
    <m/>
    <x v="0"/>
    <x v="20"/>
  </r>
  <r>
    <s v="fitzwilliamhotel.com"/>
    <s v="minus"/>
    <s v="Fail"/>
    <s v="v=spf1 include:spf.protection.outlook.com include:spf.synxis.com include:oracleindustry.com  ip4:151.193.18.41 ip4:89.101.249.89 ip4:89.101.98.209 -all"/>
    <s v="yes"/>
    <x v="2"/>
    <s v="v=DMARC1; p=none;"/>
    <m/>
    <m/>
    <x v="0"/>
    <x v="20"/>
  </r>
  <r>
    <s v="dooleycarrentals.com"/>
    <s v="no"/>
    <s v="Not found"/>
    <m/>
    <m/>
    <x v="0"/>
    <m/>
    <m/>
    <m/>
    <x v="0"/>
    <x v="20"/>
  </r>
  <r>
    <s v="northgatevehiclehire.ie"/>
    <s v="minus"/>
    <s v="Fail"/>
    <s v="v=spf1 include:spf.protection.outlook.com -all"/>
    <s v="yes"/>
    <x v="2"/>
    <s v="v=DMARC1; p=none; rua=mailto:dmarc_agg@vali.email"/>
    <m/>
    <m/>
    <x v="0"/>
    <x v="20"/>
  </r>
  <r>
    <s v="killarneyparkhotel.ie"/>
    <s v="minus"/>
    <s v="Fail"/>
    <s v="v=spf1 include:spf.protection.outlook.com ip4:151.193.18.41 ip4:147.154.153.87 ip4:138.1.67.161 ip4:138.1.65.17 include:rezmail.synxis.com include:itxmail.synxis.com include:guestjoy.com include:spf.ireshotels.com include:spf.premiersoftware.co.uk include&quot; &quot;:spf.synxis.com include:spf_3a.oracleindustry.com -all"/>
    <s v="yes"/>
    <x v="2"/>
    <s v="v=DMARC1; p=none;"/>
    <m/>
    <m/>
    <x v="14"/>
    <x v="20"/>
  </r>
  <r>
    <s v="glenbrier.ie"/>
    <s v="minus"/>
    <s v="Fail"/>
    <s v="v=spf1 ip4:83.138.8.118 include:relay.mailchannels.net include:spf.mailanyone.net include:spf.protection.outlook.com -all"/>
    <s v="yes"/>
    <x v="0"/>
    <m/>
    <m/>
    <m/>
    <x v="15"/>
    <x v="20"/>
  </r>
  <r>
    <s v="heightforhire.com"/>
    <s v="minus"/>
    <s v="Fail"/>
    <s v="v=spf1 include:spf.protection.outlook.com include:spf.exclaimer.net include:_spf.createsend.com ip4:109.70.215.178 -all"/>
    <s v="yes"/>
    <x v="1"/>
    <s v="v=DMARC1; p=quarantine; pct=100"/>
    <m/>
    <m/>
    <x v="15"/>
    <x v="20"/>
  </r>
  <r>
    <s v="newgrangehotel.ie"/>
    <s v="minus"/>
    <s v="Fail"/>
    <s v="v=spf1 include:eu.guestline.net include:spf.protection.outlook.com mx include:netaffinity.net a:mail.cusackhotels.com -all"/>
    <m/>
    <x v="0"/>
    <m/>
    <m/>
    <m/>
    <x v="15"/>
    <x v="20"/>
  </r>
  <r>
    <s v="killeshal.com"/>
    <s v="tilde"/>
    <s v="Soft Fail"/>
    <s v="v=spf1 include:spf.mailjet.com ip4:217.115.123.173 ip4:86.47.214.33 include:spf.protection.outlook.com ~all"/>
    <s v="yes"/>
    <x v="1"/>
    <s v="v=DMARC1; p=quarantine"/>
    <m/>
    <m/>
    <x v="21"/>
    <x v="20"/>
  </r>
  <r>
    <s v="treacyshotelwaterford.com"/>
    <s v="no"/>
    <s v="Not found"/>
    <m/>
    <s v="yes"/>
    <x v="0"/>
    <m/>
    <m/>
    <m/>
    <x v="10"/>
    <x v="20"/>
  </r>
  <r>
    <s v="woodlandshotel.ie"/>
    <s v="tilde"/>
    <s v="Soft Fail"/>
    <s v="v=spf1 ip4:91.210.235.130 include:spf.webhostingireland.ie +a +mx ~all"/>
    <s v="yes"/>
    <x v="0"/>
    <m/>
    <m/>
    <m/>
    <x v="10"/>
    <x v="20"/>
  </r>
  <r>
    <s v="presentationcollegecarlow.com"/>
    <s v="tilde"/>
    <s v="Soft Fail"/>
    <s v="v=spf1 include:spf.protection.outlook.com include:87.40.210.136 include:87.32.4.196 include:87.42.62.130 ~all"/>
    <s v="yes"/>
    <x v="0"/>
    <m/>
    <m/>
    <m/>
    <x v="25"/>
    <x v="21"/>
  </r>
  <r>
    <s v="ward.ie"/>
    <s v="minus"/>
    <s v="Fail"/>
    <s v="v=spf1 mx a ip4:93.94.119.240/28 ip4:84.45.11.0/24 ip4:52.138.174.3/32 ip4:87.252.209.160/28 include:3840654.spf07.hubspotemail.net include:eu._netblocks.mimecast.com include:spf.protection.outlook.com -all"/>
    <m/>
    <x v="1"/>
    <s v="v=DMARC1; p=quarantine; rua=mailto:e146adbe1392694@rep.dmarcanalyzer.com; ruf=mailto:e146adbe1392694@for.dmarcanalyzer.com; sp=quarantine; fo=1"/>
    <m/>
    <m/>
    <x v="0"/>
    <x v="21"/>
  </r>
  <r>
    <s v="cif.ie"/>
    <s v="tilde"/>
    <s v="Soft Fail"/>
    <s v="v=spf1 include:_u.cif.ie._spf.smart.ondmarc.com ~all"/>
    <s v="yes"/>
    <x v="3"/>
    <s v="v=DMARC1; p=reject; pct=100; sp=none; rua=mailto:8c514ca4@inbox.ondmarc.com; ruf=mailto:8c514ca4@inbox.ondmarc.com; adkim=r; aspf=r; fo=0; rf=afrf; ri=3600"/>
    <m/>
    <m/>
    <x v="0"/>
    <x v="22"/>
  </r>
  <r>
    <s v="fitzgibbonsinteriors.ie"/>
    <s v="no"/>
    <s v="Not found"/>
    <m/>
    <m/>
    <x v="0"/>
    <m/>
    <m/>
    <m/>
    <x v="14"/>
    <x v="22"/>
  </r>
  <r>
    <s v="roche.com"/>
    <s v="mis"/>
    <s v="Invalid SPF Syntax"/>
    <s v="v=spf1 redirect=roche.com.hosted.spf-report.com"/>
    <s v="yes"/>
    <x v="3"/>
    <s v="v=DMARC1; p=reject; rua=mailto:88a488cb@mxtoolbox.dmarc-report.com,mailto:dmarc@ayba8dhs.uriports.com; ruf=mailto:88a488cb@forensics.dmarc-report.com,mailto:dmarc@ayba8dhs.uriports.com; fo=1; pct=100"/>
    <m/>
    <m/>
    <x v="0"/>
    <x v="23"/>
  </r>
  <r>
    <s v="protrans.ie"/>
    <s v="minus"/>
    <s v="Fail"/>
    <s v="v=spf1 +include:relay.mailchannels.net include:spf.protection.outlook.com -all"/>
    <m/>
    <x v="0"/>
    <m/>
    <m/>
    <m/>
    <x v="20"/>
    <x v="23"/>
  </r>
  <r>
    <s v="arancandy.com"/>
    <s v="minus"/>
    <s v="Fail"/>
    <s v="v=spf1 -all"/>
    <s v="yes"/>
    <x v="0"/>
    <m/>
    <m/>
    <m/>
    <x v="0"/>
    <x v="24"/>
  </r>
  <r>
    <s v="rexelindustrial.ie"/>
    <s v="minus"/>
    <s v="Fail"/>
    <s v="v=spf1 a mx ip4:82.147.15.84 ip4:5.102.187.6 ip4:203.174.144.1/26 ip4:5.102.187.12 ip4:5.102.187.10 include:spf.protection.outlook.com -all"/>
    <s v="yes"/>
    <x v="1"/>
    <s v="v=DMARC1; p=quarantine; pct=100; rua=mailto:dmarc-REIndustralIE@RexelIndustrial.IE; ruf=mailto:dmarc-REIndustralIE_ruf@RexelIndustrial.IE"/>
    <m/>
    <m/>
    <x v="5"/>
    <x v="24"/>
  </r>
  <r>
    <s v="stjosephsnursinghome.ie"/>
    <s v="tilde"/>
    <s v="Soft Fail"/>
    <s v="v=spf1 include:spf.reg365.net ~all"/>
    <m/>
    <x v="0"/>
    <m/>
    <m/>
    <m/>
    <x v="11"/>
    <x v="24"/>
  </r>
  <r>
    <s v="todayfm.com"/>
    <s v="tilde"/>
    <s v="Soft Fail"/>
    <s v="v=spf1 include:_u.todayfm.com._spf.smart.ondmarc.com ~all"/>
    <s v="yes"/>
    <x v="3"/>
    <s v="v=DMARC1; p=reject; pct=100; sp=reject; rua=mailto:5352a03e@inbox.eu.redsift.cloud; ruf=mailto:5352a03e@inbox.eu.redsift.cloud; adkim=r; aspf=r; fo=1; rf=afrf; ri=3600"/>
    <m/>
    <m/>
    <x v="0"/>
    <x v="24"/>
  </r>
  <r>
    <s v="reddyarchitecture.com"/>
    <s v="minus"/>
    <s v="Fail"/>
    <s v="v=spf1 ip4:88.211.77.14 include:spf.protection.outlook.com include:spf.smtp2go.com -all"/>
    <m/>
    <x v="2"/>
    <s v="v=DMARC1; p=none;"/>
    <m/>
    <m/>
    <x v="0"/>
    <x v="25"/>
  </r>
  <r>
    <s v="belfrypub.com"/>
    <s v="no"/>
    <s v="Not found"/>
    <m/>
    <m/>
    <x v="0"/>
    <m/>
    <m/>
    <m/>
    <x v="8"/>
    <x v="25"/>
  </r>
  <r>
    <s v="imi.ie"/>
    <s v="tilde"/>
    <s v="Soft Fail"/>
    <s v="v=spf1 ip4:83.142.230.177 ip4:87.117.199.66 include:eu.mailgun.org include:outlook.com ~all"/>
    <s v="yes"/>
    <x v="1"/>
    <s v="v=DMARC1; p=quarantine;"/>
    <m/>
    <m/>
    <x v="0"/>
    <x v="25"/>
  </r>
  <r>
    <s v="mediacube.ie"/>
    <s v="tilde"/>
    <s v="Soft Fail"/>
    <s v="v=spf1 +a +mx +ip4:35.214.169.65  include:mediacube.ie.spf.auto.dnssmarthost.net ~all"/>
    <s v="yes"/>
    <x v="2"/>
    <s v="v=DMARC1; p=none; aspf=r; adkim=r;"/>
    <m/>
    <m/>
    <x v="0"/>
    <x v="25"/>
  </r>
  <r>
    <s v="ism.ie"/>
    <s v="tilde"/>
    <s v="Soft Fail"/>
    <s v="v=spf1 include:spf.mandrillapp.com include:eu._netblocks.mimecast.com include:sendgrid.net include:mailgun.org include:eu.zcsend.net include:spf.protection.outlook.com include:145786105.spf04.hubspotemail.net ~all"/>
    <s v="yes"/>
    <x v="1"/>
    <s v="v=DMARC1; p=quarantine"/>
    <m/>
    <m/>
    <x v="0"/>
    <x v="25"/>
  </r>
  <r>
    <s v="electricireland.ie"/>
    <s v="tilde"/>
    <s v="Soft Fail"/>
    <s v="v=spf1 include:amazonses.com ~all"/>
    <s v="yes"/>
    <x v="2"/>
    <s v="v=DMARC1; p=none; pct=100; fo=1; ri=3600; rua=mailto:a4714750@inbox.ondmarc.com,mailto:dmarcnotifications@esb.ie; ruf=mailto:a4714750@inbox.ondmarc.com,mailto:dmarcnotifications@esb.ie;"/>
    <m/>
    <m/>
    <x v="0"/>
    <x v="25"/>
  </r>
  <r>
    <s v="fmservicesgroup.ie"/>
    <s v="tilde"/>
    <s v="Soft Fail"/>
    <s v="v=spf1 include:_spf.hostedemail.com ~all"/>
    <m/>
    <x v="0"/>
    <m/>
    <m/>
    <m/>
    <x v="6"/>
    <x v="25"/>
  </r>
  <r>
    <s v="addictionireland.ie"/>
    <s v="tilde"/>
    <s v="Soft Fail"/>
    <s v="v=spf1 a:spf.webtrade.ie include:relay.mailchannels.net ~all"/>
    <m/>
    <x v="2"/>
    <s v="v=DMARC1; p=none;"/>
    <m/>
    <m/>
    <x v="0"/>
    <x v="25"/>
  </r>
  <r>
    <s v="nationaltransport.ie"/>
    <s v="tilde"/>
    <s v="Soft Fail"/>
    <s v="v=spf1 a mx a:mail.nationaltransport.ie a:sid.customerminds.com ip4:54.229.2.165 ip4:52.30.130.201 ip4:23.251.238.221 include:spf.protection.outlook.com ip4:134.213.243.206 ip4:137.191.247.149 ~all"/>
    <s v="yes"/>
    <x v="1"/>
    <s v="v=DMARC1; p=quarantine; pct=100; fo=1; rua=mailto:dmarc-reports@nationaltransport.ie; ruf=mailto:dmarc-forensics@nationaltransport.ie"/>
    <m/>
    <m/>
    <x v="0"/>
    <x v="25"/>
  </r>
  <r>
    <s v="kerryetb.ie"/>
    <s v="minus"/>
    <s v="Fail"/>
    <s v="v=spf1 ip4:83.71.152.33 ip4:137.191.249.74 ip4:212.147.128.121 ip4:86.42.146.97 ip4:137.191.224.102 include:spf.ymlp.com include:spf.dcsnet.ie include:spf1.kerryetb.ie include:spf-eu.emailsignatures365.com include:spf.topsec.com include:spf.protection.out&quot; &quot;look.com -all"/>
    <s v="yes"/>
    <x v="2"/>
    <s v="v=DMARC1;  p=none; rua=mailto:5e550f6b2e2f4d8eae0eb5c2e885b0f2@dmarc-reports.cloudflare.net"/>
    <m/>
    <m/>
    <x v="14"/>
    <x v="25"/>
  </r>
  <r>
    <s v="stcolumbascollege.ie"/>
    <s v="tilde"/>
    <s v="Soft Fail"/>
    <s v="v=spf1 +mx +a +ip4:185.43.232.25 +include:spf.webhostingireland.ie ~all"/>
    <s v="yes"/>
    <x v="2"/>
    <s v="v=DMARC1; p=none;"/>
    <m/>
    <m/>
    <x v="6"/>
    <x v="25"/>
  </r>
  <r>
    <s v="calasanctius.ie"/>
    <s v="minus"/>
    <s v="Fail"/>
    <s v="v=spf1 include:spf.protection.outlook.com -all"/>
    <s v="yes"/>
    <x v="0"/>
    <m/>
    <m/>
    <m/>
    <x v="7"/>
    <x v="25"/>
  </r>
  <r>
    <s v="patriciansecondary.com"/>
    <s v="no"/>
    <s v="Not found"/>
    <m/>
    <s v="yes"/>
    <x v="0"/>
    <m/>
    <m/>
    <m/>
    <x v="16"/>
    <x v="25"/>
  </r>
  <r>
    <s v="mountrathcs.ie"/>
    <s v="no"/>
    <s v="Not found"/>
    <m/>
    <m/>
    <x v="0"/>
    <m/>
    <m/>
    <m/>
    <x v="18"/>
    <x v="25"/>
  </r>
  <r>
    <s v="crescentsj.com"/>
    <s v="minus"/>
    <s v="Fail"/>
    <s v="v=spf1 include:spf.protection.outlook.com include:sendgrid.net a mx ip4:51.144.176.17 -all"/>
    <m/>
    <x v="2"/>
    <s v="v=DMARC1; p=none; "/>
    <m/>
    <m/>
    <x v="5"/>
    <x v="25"/>
  </r>
  <r>
    <s v="johnthebaptistcs.ie"/>
    <s v="minus"/>
    <s v="Fail"/>
    <s v="v=spf1 include:spf.protection.outlook.com -all"/>
    <s v="yes"/>
    <x v="0"/>
    <m/>
    <m/>
    <m/>
    <x v="5"/>
    <x v="25"/>
  </r>
  <r>
    <s v="brackencourt.ie"/>
    <s v="minus"/>
    <s v="Fail"/>
    <s v="v=spf1 include:spf.protection.outlook.com include:netaffinity.net include:sendgrid.net -all"/>
    <s v="yes"/>
    <x v="2"/>
    <s v="v=DMARC1; p=none;"/>
    <m/>
    <m/>
    <x v="0"/>
    <x v="25"/>
  </r>
  <r>
    <s v="westcourt.ie"/>
    <s v="no"/>
    <s v="Not found"/>
    <m/>
    <m/>
    <x v="0"/>
    <m/>
    <m/>
    <m/>
    <x v="2"/>
    <x v="25"/>
  </r>
  <r>
    <s v="thehamlet.ie"/>
    <s v="tilde"/>
    <s v="Soft Fail"/>
    <s v="v=spf1 +mx +a +ip4:184.171.244.113 +include:dimenoc.com ~all"/>
    <s v="yes"/>
    <x v="0"/>
    <m/>
    <m/>
    <m/>
    <x v="15"/>
    <x v="25"/>
  </r>
  <r>
    <s v="abbeyhotel.ie"/>
    <s v="minus"/>
    <s v="Fail"/>
    <s v="v=spf1 ip4:86.43.116.41 +a +mx include:netaffinity.net include:authsmtp.com include:spf.protection.outlook.com include:netaffinity.net -all"/>
    <s v="yes"/>
    <x v="2"/>
    <s v="v=DMARC1; p=none;"/>
    <m/>
    <m/>
    <x v="22"/>
    <x v="25"/>
  </r>
  <r>
    <s v="unbrako.com"/>
    <s v="tilde"/>
    <s v="Soft Fail"/>
    <s v="v=spf1 redirect=_spf.mailhostbox.com include:spf.protection.outlook.com ~all"/>
    <m/>
    <x v="2"/>
    <s v="v=DMARC1; p=none; rua=mailto:c8ad4247@mxtoolbox.dmarc-report.com; ruf=mailto:c8ad4247@forensics.dmarc-report.com; fo=1"/>
    <m/>
    <m/>
    <x v="9"/>
    <x v="25"/>
  </r>
  <r>
    <s v="ovelle.ie"/>
    <s v="tilde"/>
    <s v="Soft Fail"/>
    <s v="v=spf1 ip4:190.180.145.25 include:_spf.google.com ~all"/>
    <s v="yes"/>
    <x v="0"/>
    <m/>
    <m/>
    <m/>
    <x v="2"/>
    <x v="25"/>
  </r>
  <r>
    <s v="prestigefoods.ie"/>
    <s v="minus"/>
    <s v="Fail"/>
    <s v="v=spf1 include:spf.protection.outlook.com -all"/>
    <m/>
    <x v="0"/>
    <m/>
    <m/>
    <m/>
    <x v="14"/>
    <x v="25"/>
  </r>
  <r>
    <s v="mhlcleaning.com"/>
    <s v="minus"/>
    <s v="Fail"/>
    <s v="v=spf1 mx a include:spf1.tibus.net -all"/>
    <m/>
    <x v="2"/>
    <s v="v=DMARC1; p=none"/>
    <m/>
    <m/>
    <x v="10"/>
    <x v="25"/>
  </r>
  <r>
    <s v="4seasonshotel.ie"/>
    <s v="tilde"/>
    <s v="Soft Fail"/>
    <s v="v=spf1 a:dispatch-eu.ppe-hosted.com include:netaffinity.net include:spf.protection.outlook.com include:authsmtp.com ~all"/>
    <s v="yes"/>
    <x v="2"/>
    <s v="v=DMARC1; p=none;"/>
    <m/>
    <m/>
    <x v="12"/>
    <x v="25"/>
  </r>
  <r>
    <s v="brunswickpress.ie"/>
    <s v="no"/>
    <s v="Not found"/>
    <m/>
    <m/>
    <x v="0"/>
    <m/>
    <m/>
    <m/>
    <x v="0"/>
    <x v="25"/>
  </r>
  <r>
    <s v="amdocs.com"/>
    <s v="tilde"/>
    <s v="Soft Fail"/>
    <s v="v=spf1 ip4:5.61.115.80/28 ip4:69.150.27.64/26 ip4:202.91.135.67 ip4:202.91.135.133 ip4:193.43.244.133/28&quot; &quot; exists:%{i}.spf.hc834-32.eu.iphmx.com include:_spf.salesforce.com include:mktomail.com include:_spf-dc8.successfactors.com include:spf.mailjet.com include:_spf-dc4.sapsf.com ~all"/>
    <s v="yes"/>
    <x v="1"/>
    <s v="v=DMARC1; p=quarantine; fo=1; pct=0; ri=3600; rua=mailto:amdocs@rua.dmp.cisco.com; ruf=mailto:amdocs@ruf.dmp.cisco.com"/>
    <m/>
    <m/>
    <x v="0"/>
    <x v="25"/>
  </r>
  <r>
    <s v="rangelandfoods.com"/>
    <s v="minus"/>
    <s v="Fail"/>
    <s v="v=spf1 include:spf.blacknight.com include:spf.protection.outlook.com -all"/>
    <m/>
    <x v="0"/>
    <m/>
    <m/>
    <m/>
    <x v="12"/>
    <x v="25"/>
  </r>
  <r>
    <s v="drakelandshouse.com"/>
    <s v="no"/>
    <s v="Not found"/>
    <m/>
    <m/>
    <x v="0"/>
    <m/>
    <m/>
    <m/>
    <x v="17"/>
    <x v="25"/>
  </r>
  <r>
    <s v="flynnsoflackagh.com"/>
    <s v="no"/>
    <s v="Not found"/>
    <m/>
    <m/>
    <x v="0"/>
    <m/>
    <m/>
    <m/>
    <x v="7"/>
    <x v="25"/>
  </r>
  <r>
    <s v="kirchhoff.ie"/>
    <s v="no"/>
    <s v="Not found"/>
    <m/>
    <m/>
    <x v="0"/>
    <m/>
    <m/>
    <m/>
    <x v="6"/>
    <x v="25"/>
  </r>
  <r>
    <s v="toyota.ie"/>
    <s v="minus"/>
    <s v="Fail"/>
    <s v="v=spf1 mx include:spf.protection.outlook.com include:_spf.salesforce.com include:authsmtp.com -all"/>
    <s v="yes"/>
    <x v="1"/>
    <s v="v=DMARC1; p=quarantine; pct=100; rua=mailto:helpdesk@toyota.ie"/>
    <m/>
    <m/>
    <x v="0"/>
    <x v="25"/>
  </r>
  <r>
    <s v="iveco.com"/>
    <s v="minus"/>
    <s v="Fail"/>
    <s v="v=spf1 ip4:46.51.192.91  ip4:151.92.0.0/16 ip4:160.220.0.0/16 ip4:151.88.176.0/24 include:spf_out.ivecogroup.com -all"/>
    <s v="yes"/>
    <x v="1"/>
    <s v="v=DMARC1; p=quarantine; fo=1; rua=mailto:dmarc_rua@emaildefense.proofpoint.com; ruf=mailto:dmarc_ruf@emaildefense.proofpoint.com"/>
    <m/>
    <m/>
    <x v="0"/>
    <x v="25"/>
  </r>
  <r>
    <s v="atkins.ie"/>
    <s v="tilde"/>
    <s v="Soft Fail"/>
    <s v="v=spf1 include:spf.protection.outlook.com include:spf.reg365.net include:authsmtp.com ~all"/>
    <m/>
    <x v="2"/>
    <s v="v=DMARC1; p=none; rua=mailto:rua@dmarc.brevo.com"/>
    <m/>
    <m/>
    <x v="1"/>
    <x v="25"/>
  </r>
  <r>
    <s v="tfmltd.com"/>
    <s v="minus"/>
    <s v="Fail"/>
    <s v="v=spf1 include:spf.protection.outlook.com a:mail.ibcosonline.co.uk include:spf.exclaimer.net IP4:78.40.32.100 IP4:78.40.32.110 IP4:148.252.9.94 -all"/>
    <s v="yes"/>
    <x v="1"/>
    <s v="v=DMARC1; p=quarantine; rua=mailto:dmarcreports@tfmltd.com; ruf=mailto:dmarcreports@tfmltd.com; fo=0; pct=100; adkim=r; aspf=r"/>
    <m/>
    <m/>
    <x v="13"/>
    <x v="25"/>
  </r>
  <r>
    <s v="mincon.com"/>
    <s v="minus"/>
    <s v="Fail"/>
    <s v="v=spf1 include:spf.protection.outlook.com -all"/>
    <s v="yes"/>
    <x v="2"/>
    <s v="v=DMARC1; p=none; rua=mailto:m365.alerts@mincon.com; ruf=mailto:m365.alerts@mincon.com; fo=1; pct=100"/>
    <m/>
    <m/>
    <x v="9"/>
    <x v="25"/>
  </r>
  <r>
    <s v="bunzl.ie"/>
    <s v="tilde"/>
    <s v="Soft Fail"/>
    <s v="v=spf1 include:%{i}._ip.%{h}._ehlo.%{d}._spf.vali.email ~all"/>
    <s v="yes"/>
    <x v="1"/>
    <s v="v=DMARC1; p=quarantine; rua=mailto:dmarc_agg@vali.email; fo=1"/>
    <m/>
    <m/>
    <x v="0"/>
    <x v="25"/>
  </r>
  <r>
    <s v="irish-equine-centre.ie"/>
    <s v="no"/>
    <s v="Not found"/>
    <m/>
    <m/>
    <x v="0"/>
    <m/>
    <m/>
    <m/>
    <x v="16"/>
    <x v="25"/>
  </r>
  <r>
    <s v="glassonlakehouse.ie"/>
    <s v="minus"/>
    <s v="Fail"/>
    <s v="v=spf1 include:spf.protection.outlook.com include:spf.eu.exclaimer.net include:oracleindustry.com -all"/>
    <s v="yes"/>
    <x v="2"/>
    <s v="v=DMARC1; p=none;"/>
    <m/>
    <m/>
    <x v="23"/>
    <x v="26"/>
  </r>
  <r>
    <s v="isuzu.ie"/>
    <s v="minus"/>
    <s v="Fail"/>
    <s v="v=spf1 include:spf.protection.outlook.com -all"/>
    <s v="yes"/>
    <x v="1"/>
    <s v="v=DMARC1; p=quarantine; fo=1; rua=mailto:dmarc@isuzu.ie; ruf=mailto:dmarc@isuzu.ie; pct=90"/>
    <m/>
    <m/>
    <x v="0"/>
    <x v="26"/>
  </r>
  <r>
    <s v="irishcranehire.com"/>
    <s v="minus"/>
    <s v="Fail"/>
    <s v="v=spf1 include:spf.protection.outlook.com -all"/>
    <m/>
    <x v="0"/>
    <m/>
    <m/>
    <m/>
    <x v="3"/>
    <x v="26"/>
  </r>
  <r>
    <s v="protectionappeals.ie"/>
    <s v="minus"/>
    <s v="Fail"/>
    <s v="v=spf1 mx ip4:137.191.252.74 ip4:137.191.252.75 -all"/>
    <m/>
    <x v="0"/>
    <m/>
    <m/>
    <m/>
    <x v="0"/>
    <x v="27"/>
  </r>
  <r>
    <s v="osullivansbar.ie"/>
    <s v="tilde"/>
    <s v="Soft Fail"/>
    <s v="v=spf1 ip4:185.43.232.184 a mx include:_spf.google.com include:spf.antispamcloud.com ~all"/>
    <s v="yes"/>
    <x v="0"/>
    <m/>
    <m/>
    <m/>
    <x v="1"/>
    <x v="28"/>
  </r>
  <r>
    <s v="bitc.ie"/>
    <s v="minus"/>
    <s v="Fail"/>
    <s v="v=spf1 include:spf.protection.outlook.com -all"/>
    <s v="yes"/>
    <x v="1"/>
    <s v="v=DMARC1; p=quarantine;"/>
    <m/>
    <m/>
    <x v="0"/>
    <x v="28"/>
  </r>
  <r>
    <s v="teg.com"/>
    <s v="minus"/>
    <s v="Fail"/>
    <s v="v=spf1 include:spf.protection.outlook.com +a +mx include:spf.topsec.com -all"/>
    <m/>
    <x v="0"/>
    <m/>
    <m/>
    <m/>
    <x v="23"/>
    <x v="29"/>
  </r>
  <r>
    <s v="eisneramper.ie"/>
    <s v="minus"/>
    <s v="Fail"/>
    <s v="v=spf1 include:spf.protection.outlook.com include:eu._netblocks.mimecast.com -all"/>
    <s v="yes"/>
    <x v="3"/>
    <s v="v=DMARC1;p=reject;sp=reject;pct=100;rua=mailto:cc789e6eee@rua.easydmarc.eu;ruf=mailto:cc789e6eee@ruf.easydmarc.eu;ri=86400;aspf=r;adkim=r;fo=1;"/>
    <m/>
    <m/>
    <x v="0"/>
    <x v="30"/>
  </r>
  <r>
    <s v="colaisteide.ie"/>
    <s v="minus"/>
    <s v="Fail"/>
    <s v="v=spf1 include:spf.protection.outlook.com -all"/>
    <s v="yes"/>
    <x v="0"/>
    <m/>
    <m/>
    <m/>
    <x v="0"/>
    <x v="30"/>
  </r>
  <r>
    <s v="ezlivinginteriors.com"/>
    <s v="tilde"/>
    <s v="Soft Fail"/>
    <s v="v=spf1 include:spf.sendinblue.com mx a ip4:165.84.208.0/24 include:spf.protection.outlook.com include:spf.exclaimer.net include:spf2.ezlivinginteriors.com include:emailfreshdesk.com include:spf.mailanyone.net include:143502589.spf06.hubspotemail.net ~all"/>
    <s v="yes"/>
    <x v="2"/>
    <s v="v=DMARC1; p=none; sp=none; rua=mailto:dmarc@mailinblue.com!10m; ruf=mailto:dmarc@mailinblue.com!10m; rf=afrf; pct=100; ri=86400"/>
    <m/>
    <m/>
    <x v="1"/>
    <x v="30"/>
  </r>
  <r>
    <s v="jfp.ie"/>
    <s v="minus"/>
    <s v="Fail"/>
    <s v="v=spf1 include:spf.protection.outlook.com -all"/>
    <s v="yes"/>
    <x v="0"/>
    <m/>
    <m/>
    <m/>
    <x v="0"/>
    <x v="30"/>
  </r>
  <r>
    <s v="miml.ie"/>
    <s v="no"/>
    <s v="Not found"/>
    <m/>
    <m/>
    <x v="0"/>
    <m/>
    <m/>
    <m/>
    <x v="0"/>
    <x v="30"/>
  </r>
  <r>
    <s v="mrbinman.com"/>
    <s v="minus"/>
    <s v="Fail"/>
    <s v="v=spf1 +a +mx +ip4:91.210.232.8 include:spf.webhostingireland.ie +ip4:185.43.232.251 +include:spf.protection.outlook.com -all"/>
    <s v="yes"/>
    <x v="2"/>
    <s v="v=DMARC1; p=none; rua=mailto:maildmarc@mrbinman.com; ruf=mailto:maildmarc@mrbinman.com; sp=none; ri=86400"/>
    <m/>
    <m/>
    <x v="5"/>
    <x v="30"/>
  </r>
  <r>
    <s v="qrl.ie"/>
    <s v="minus"/>
    <s v="Fail"/>
    <s v="v=spf1 include:spf.protection.outlook.com ip4:84.51.251.227 ip4:212.78.224.147 a:cloud4.amcsgroup.com include:authsmtp.com -all"/>
    <s v="yes"/>
    <x v="0"/>
    <m/>
    <m/>
    <m/>
    <x v="13"/>
    <x v="30"/>
  </r>
  <r>
    <s v="nostra.ie"/>
    <s v="minus"/>
    <s v="Fail"/>
    <s v="v=spf1 include:spf.protection.outlook.com include:autotask.net include:eu._netblocks.mimecast.com include:spf.exclaimer.net include:servers.mcsv.net include:6586605.spf03.hubspotemail.net include:spf.smtp2go.com include:spf.mandrillapp.com ip4:205.234.30.&quot; &quot;154 ip4:13.69.226.128/25 -all"/>
    <s v="yes"/>
    <x v="1"/>
    <s v="v=DMARC1; p=quarantine; sp=quarantine; rua=mailto:dmarc@nostra.ie; ruf=mailto:dmarc@nostra.ie; fo=1; pct=100"/>
    <m/>
    <m/>
    <x v="0"/>
    <x v="30"/>
  </r>
  <r>
    <s v="asi-revenue.com"/>
    <s v="minus"/>
    <s v="Fail"/>
    <s v="v=spf1 include:spf.protection.outlook.com -all"/>
    <s v="yes"/>
    <x v="2"/>
    <s v="v=DMARC1; p=none; rua=mailto:rua@dmarc.brevo.com"/>
    <m/>
    <m/>
    <x v="0"/>
    <x v="30"/>
  </r>
  <r>
    <s v="ksn.ie"/>
    <s v="minus"/>
    <s v="Fail"/>
    <s v="v=spf1 include:spf.protection.outlook.com include:spf.exclaimer.net include:spf.mandrillapp.com -all"/>
    <s v="yes"/>
    <x v="1"/>
    <s v="v=DMARC1; p=quarantine; rua=mailto:hosting@ksn.ie; ruf=mailto:hosting@ksn.ie; fo=1; pct=75;"/>
    <m/>
    <m/>
    <x v="0"/>
    <x v="30"/>
  </r>
  <r>
    <s v="stewart.ie"/>
    <s v="minus"/>
    <s v="Fail"/>
    <s v="v=spf1 ip4:66.206.3.250 +a +mx +ip4:206.51.235.130 +ip4:20.26.227.71 +ip4:52.17.45.98 +ip4:52.16.190.81 +ip4:52.30.130.201 +ip4:54.229.2.165 +include:spf.protection.outlook.com -all"/>
    <s v="yes"/>
    <x v="1"/>
    <s v="v=DMARC1;p=quarantine;sp=none;adkim=r;aspf=r;pct=100;fo=0;rf=afrf;ri=86400"/>
    <m/>
    <m/>
    <x v="7"/>
    <x v="30"/>
  </r>
  <r>
    <s v="firstirelandspirits.com"/>
    <s v="minus"/>
    <s v="Fail"/>
    <s v="v=spf1 include:spf.protection.outlook.com include:spf-uk.emailsignatures365.com include:eu._netblocks.mimecast.com include:_spf.workforceready.eu -all"/>
    <s v="yes"/>
    <x v="2"/>
    <s v="v=DMARC1; p=none; rua=mailto:4c1433119850876@rep.dmarcanalyzer.com; ruf=mailto:4c1433119850876@for.dmarcanalyzer.com; fo=1;"/>
    <m/>
    <m/>
    <x v="18"/>
    <x v="30"/>
  </r>
  <r>
    <s v="edenderrypower.ie"/>
    <s v="minus"/>
    <s v="Fail"/>
    <s v="v=spf1 include:spf.topsec.com include:nw010.com include:spf.protection.outlook.com ip4:109.70.215.137 -all"/>
    <s v="yes"/>
    <x v="2"/>
    <s v="v=dmarc1; p=none"/>
    <m/>
    <m/>
    <x v="21"/>
    <x v="30"/>
  </r>
  <r>
    <s v="kingmoffatt.com"/>
    <s v="minus"/>
    <s v="Fail"/>
    <s v="v=spf1 ip4:83.219.42.59 ip4:185.52.92.138 include:turbo-smtp.com include:email.kianda.com include:spf.protection.outlook.com -all"/>
    <s v="yes"/>
    <x v="3"/>
    <s v="v=DMARC1; p=reject; rua=mailto:kpopqbei@ag.dmarcian-eu.com;"/>
    <m/>
    <m/>
    <x v="19"/>
    <x v="30"/>
  </r>
  <r>
    <s v="rwardenburke.com"/>
    <s v="no"/>
    <s v="Not found"/>
    <m/>
    <m/>
    <x v="0"/>
    <m/>
    <m/>
    <m/>
    <x v="1"/>
    <x v="30"/>
  </r>
  <r>
    <s v="msmeng.ie"/>
    <s v="no"/>
    <s v="Not found"/>
    <m/>
    <m/>
    <x v="0"/>
    <m/>
    <m/>
    <m/>
    <x v="14"/>
    <x v="30"/>
  </r>
  <r>
    <s v="felectaireland.com"/>
    <s v="no"/>
    <s v="Not found"/>
    <m/>
    <m/>
    <x v="0"/>
    <m/>
    <m/>
    <m/>
    <x v="15"/>
    <x v="30"/>
  </r>
  <r>
    <s v="inishowengateway.com"/>
    <s v="minus"/>
    <s v="Fail"/>
    <s v="v=spf1 include:spf.protection.outlook.com include:netaffinity.net include:guestline.net include:roomlynx.net -all"/>
    <m/>
    <x v="0"/>
    <m/>
    <m/>
    <m/>
    <x v="6"/>
    <x v="30"/>
  </r>
  <r>
    <s v="thekilleshin.com"/>
    <s v="minus"/>
    <s v="Fail"/>
    <s v="v=spf1 include:spf.protection.outlook.com include:mailgun.org -all"/>
    <m/>
    <x v="1"/>
    <s v="v=DMARC1; p=quarantine; rua=mailto:8b3700aba2aa640@rep.dmarcanalyzer.com; ruf=mailto:8b3700aba2aa640@for.dmarcanalyzer.com; sp=none; fo=1;"/>
    <m/>
    <m/>
    <x v="18"/>
    <x v="30"/>
  </r>
  <r>
    <s v="macroomhaulage.com"/>
    <s v="minus"/>
    <s v="Fail"/>
    <s v="v=spf1 include:spf.protection.outlook.com -all"/>
    <m/>
    <x v="0"/>
    <m/>
    <m/>
    <m/>
    <x v="1"/>
    <x v="30"/>
  </r>
  <r>
    <s v="def.ie"/>
    <s v="minus"/>
    <s v="Fail"/>
    <s v="v=spf1 include:spf.protection.outlook.com include:spf.topsec.com -all"/>
    <m/>
    <x v="0"/>
    <m/>
    <m/>
    <m/>
    <x v="6"/>
    <x v="30"/>
  </r>
  <r>
    <s v="oreillytransport.ie"/>
    <s v="tilde"/>
    <s v="Soft Fail"/>
    <s v="v=spf1 ip4:185.122.132.45 ip4:185.122.132.65 include:spf.protection.outlook.com ~all"/>
    <m/>
    <x v="0"/>
    <m/>
    <m/>
    <m/>
    <x v="0"/>
    <x v="30"/>
  </r>
  <r>
    <s v="flemingtransport.com"/>
    <s v="minus"/>
    <s v="Fail"/>
    <s v="v=spf1 include:spf.protection.outlook.com -all"/>
    <m/>
    <x v="0"/>
    <m/>
    <m/>
    <m/>
    <x v="7"/>
    <x v="30"/>
  </r>
  <r>
    <s v="lottery.ie"/>
    <s v="minus"/>
    <s v="Fail"/>
    <s v="v=spf1 ip4:217.112.145.162 ip4:217.112.145.163 ip4:154.50.193.18 ip4:168.245.21.201 ip4:185.81.100.0/22 ip4:54.93.78.134 ip4:59.93.137.237 ip4:54.93.151.48 ip4:54.93.154.157 ip4:54.93.162.246 ip4:89.124.244.132 ip4:149.6.4.100 ip4:85.255.23.11 include:spf&quot; &quot;.protection.outlook.com include:mail.zendesk.com include:_spf.psm.knowbe4.com include:spf.mandrillapp.com include:servers.mcsv.net include:spf.eu.signature365.net -all"/>
    <s v="yes"/>
    <x v="1"/>
    <s v="v=DMARC1; p=quarantine; rua=mailto:h9pgmkye@ag.dmarcian.eu; ruf=mailto:h9pgmkye@fr.dmarcian.eu;"/>
    <m/>
    <m/>
    <x v="0"/>
    <x v="30"/>
  </r>
  <r>
    <s v="horizonpharma.com"/>
    <s v="tilde"/>
    <s v="Soft Fail"/>
    <s v="v=spf1 include:servers.mcsv.net include:sendgrid.net include:email.peoplevine.com include:mailgun.org exists:%{i}._spf.mta.salesforce.com include:spf.protection.outlook.com include:spf-003eea01.pphosted.com ~all"/>
    <s v="yes"/>
    <x v="2"/>
    <s v="v=DMARC1; p=none; fo=1; rua=mailto:dmarc_rua@emaildefense.proofpoint.com; ruf=mailto:dmarc_ruf@emaildefense.proofpoint.com"/>
    <m/>
    <m/>
    <x v="0"/>
    <x v="30"/>
  </r>
  <r>
    <s v="piab.ie"/>
    <s v="tilde"/>
    <s v="Soft Fail"/>
    <s v="v=spf1 mx ip4:62.77.181.0/24 ip4:137.191.232.16/29 ip4:137.191.224.114/32 ip4:137.191.232.176/28 ip4:193.178.98.68/31 ip4:51.140.50.9/32 include:scanscope.net include:spf.protection.outlook.com ~all"/>
    <s v="yes"/>
    <x v="1"/>
    <s v="v=DMARC1; p=quarantine; pct=100; rua=mailto:dmarc@piab.ie; ruf=mailto:dmarc@piab.ie; fo=1"/>
    <m/>
    <m/>
    <x v="1"/>
    <x v="30"/>
  </r>
  <r>
    <s v="bim.ie"/>
    <s v="minus"/>
    <s v="Fail"/>
    <s v="v=spf1 ip4:137.191.242.130 mx include:_spf.qp-mail.eu include:spf.protection.outlook.com include:_spf.salesforce.com include:servers.mcsv.net include:spf.stackmail.com -all"/>
    <s v="yes"/>
    <x v="1"/>
    <s v="v=DMARC1; p=quarantine; fo=1; rua=mailto:dmarc_reports@bim.ie; ruf=mailto:dmarc_reports@bim.ie"/>
    <m/>
    <m/>
    <x v="0"/>
    <x v="30"/>
  </r>
  <r>
    <s v="injuriesboard.ie"/>
    <s v="minus"/>
    <s v="Fail"/>
    <s v="v=spf1 mx ip4:62.77.181.0/24 ip4:137.191.232.16/29 ip4:137.191.224.114/32 ip4:137.191.232.176/28 ip4:193.178.98.68/31 ip4:51.140.50.9/32 include:scanscope.net include:spf.protection.outlook.com -all"/>
    <s v="yes"/>
    <x v="2"/>
    <s v="v=DMARC1; p=none; pct=100; rua=mailto:dmarc@injuriesboard.ie; ruf=mailto:dmarc@injuriesboard.ie; fo=1"/>
    <m/>
    <m/>
    <x v="0"/>
    <x v="30"/>
  </r>
  <r>
    <s v="udaras.ie"/>
    <s v="minus"/>
    <s v="Fail"/>
    <s v="v=spf1 +a +mx +ip4:137.191.235.213 +include:spf.protection.outlook.com +include:servers.mcsv.net +include:spfss1.udaras.ie -all"/>
    <s v="yes"/>
    <x v="1"/>
    <s v="v=DMARC1; p=quarantine; rua=mailto:dmarc@udaras.ie; ruf=mailto:dmarc@udaras.ie; pct=100;  fo=1;"/>
    <m/>
    <m/>
    <x v="7"/>
    <x v="30"/>
  </r>
  <r>
    <s v="stleoscarlow.ie"/>
    <s v="minus"/>
    <s v="Fail"/>
    <s v="v=spf1 include:spf.protection.outlook.com -all"/>
    <m/>
    <x v="0"/>
    <m/>
    <m/>
    <m/>
    <x v="25"/>
    <x v="30"/>
  </r>
  <r>
    <s v="belvederecollege.ie"/>
    <s v="tilde"/>
    <s v="Soft Fail"/>
    <s v="v=spf1 ip4:10.10.4.24 include:spf.protection.outlook.com include:_spf.intacct.com include:27120253.spf08.hubspotemail.net exists:%{i}._spf.inkyphishfence.com ~all"/>
    <s v="yes"/>
    <x v="1"/>
    <s v="v=DMARC1; p=quarantine; rua=mailto:postmaster.be@belvederecollege.ie;"/>
    <m/>
    <m/>
    <x v="0"/>
    <x v="30"/>
  </r>
  <r>
    <s v="cabinteelycs.ie"/>
    <s v="minus"/>
    <s v="Fail"/>
    <s v="v=spf1 a include:spf.protection.outlook.com include:spf.blacknight.com -all"/>
    <m/>
    <x v="0"/>
    <m/>
    <m/>
    <m/>
    <x v="0"/>
    <x v="30"/>
  </r>
  <r>
    <s v="loretobalbriggan.ie"/>
    <s v="tilde"/>
    <s v="Soft Fail"/>
    <s v="v=spf1 ip4:185.224.198.54 include:_spf.google.com ~all"/>
    <s v="yes"/>
    <x v="0"/>
    <m/>
    <m/>
    <m/>
    <x v="0"/>
    <x v="30"/>
  </r>
  <r>
    <s v="lucancc.ie"/>
    <s v="minus"/>
    <s v="Fail"/>
    <s v="v=spf1 include:spf.protection.outlook.com ip4:77.107.211.222 ip4:77.107.210.71 -all"/>
    <s v="yes"/>
    <x v="0"/>
    <m/>
    <m/>
    <m/>
    <x v="0"/>
    <x v="30"/>
  </r>
  <r>
    <s v="skerriescommunitycollege.ie"/>
    <s v="tilde"/>
    <s v="Soft Fail"/>
    <s v="v=spf1 a include:spf.blacknight.ie  ~all"/>
    <m/>
    <x v="0"/>
    <m/>
    <m/>
    <m/>
    <x v="0"/>
    <x v="30"/>
  </r>
  <r>
    <s v="saintaugustines.ie"/>
    <s v="tilde"/>
    <s v="Soft Fail"/>
    <s v="v=spf1 include:spf.protection.outlook.com ~all"/>
    <m/>
    <x v="0"/>
    <m/>
    <m/>
    <m/>
    <x v="0"/>
    <x v="30"/>
  </r>
  <r>
    <s v="stmichaelsfinglas.scoilnet.ie"/>
    <s v="no"/>
    <s v="Not found"/>
    <m/>
    <m/>
    <x v="0"/>
    <m/>
    <m/>
    <m/>
    <x v="0"/>
    <x v="30"/>
  </r>
  <r>
    <s v="sligogrammarschool.org"/>
    <s v="tilde"/>
    <s v="Soft Fail"/>
    <s v="v=spf1 mx ip4:164.92.217.69 ip4:104.248.81.172 include:relay.mailchannels.net include:spf.protection.outlook.com ~all"/>
    <m/>
    <x v="0"/>
    <m/>
    <m/>
    <m/>
    <x v="8"/>
    <x v="30"/>
  </r>
  <r>
    <s v="cashelcommunityschool.ie"/>
    <s v="tilde"/>
    <s v="Soft Fail"/>
    <s v="v=spf1 +a +mx +ip4:81.17.241.121 include:spf.webhostingireland.ie include:_spf.google.com ~all"/>
    <s v="yes"/>
    <x v="2"/>
    <s v="v=DMARC1; p=none; pct=100"/>
    <m/>
    <m/>
    <x v="13"/>
    <x v="30"/>
  </r>
  <r>
    <s v="delasallewaterford.com"/>
    <s v="no"/>
    <s v="Not found"/>
    <m/>
    <m/>
    <x v="0"/>
    <m/>
    <m/>
    <m/>
    <x v="10"/>
    <x v="30"/>
  </r>
  <r>
    <s v="wcfe.ie"/>
    <s v="tilde"/>
    <s v="Soft Fail"/>
    <s v="v=spf1 ip4:162.253.153.85 +a +mx +ip4:162.253.153.83 ~all"/>
    <s v="yes"/>
    <x v="0"/>
    <m/>
    <m/>
    <m/>
    <x v="10"/>
    <x v="30"/>
  </r>
  <r>
    <s v="hotelkilmore.ie"/>
    <s v="minus"/>
    <s v="Fail"/>
    <s v="v=spf1 include:spf.protection.outlook.com -all"/>
    <s v="yes"/>
    <x v="2"/>
    <s v="v=DMARC1; p=none"/>
    <m/>
    <m/>
    <x v="11"/>
    <x v="30"/>
  </r>
  <r>
    <s v="bluehavenkinsale.com"/>
    <s v="tilde"/>
    <s v="Soft Fail"/>
    <s v="v=spf1 mx ip4:92.52.113.135 ip4:212.64.131.152 ip4:162.13.103.214 ip4:66.96.128.0/18 include:spf.protection.outlook.com include:netaffinity.net ~all"/>
    <m/>
    <x v="2"/>
    <s v="v=DMARC1; p=none;"/>
    <m/>
    <m/>
    <x v="1"/>
    <x v="30"/>
  </r>
  <r>
    <s v="mcgettiganshotel.com"/>
    <s v="tilde"/>
    <s v="Soft Fail"/>
    <s v="v=spf1 include:_spf.google.com include:netaffinity.net ~all"/>
    <s v="yes"/>
    <x v="2"/>
    <s v="v=DMARC1; p=none; pct=100; fo=1"/>
    <m/>
    <m/>
    <x v="6"/>
    <x v="30"/>
  </r>
  <r>
    <s v="claytonhoteldublinairport.com"/>
    <s v="no"/>
    <s v="Not found"/>
    <m/>
    <m/>
    <x v="0"/>
    <m/>
    <m/>
    <m/>
    <x v="0"/>
    <x v="30"/>
  </r>
  <r>
    <s v="dublinskylonhotel.com"/>
    <s v="minus"/>
    <s v="Fail"/>
    <s v="v=spf1 a mx ip4:20.76.82.246 ip4:20.76.82.120 ip4:20.50.2.51 ip4:20.76.82.215 ip4:20.76.82.224 ip4:20.76.83.36 ip4:20.76.83.56 include:spf.protection.outlook.com include:netaffinity.net include:sendgrid.net -all"/>
    <m/>
    <x v="2"/>
    <s v="v=DMARC1; p=none; pct=100; fo=1"/>
    <m/>
    <m/>
    <x v="0"/>
    <x v="30"/>
  </r>
  <r>
    <s v="dylan.ie"/>
    <s v="minus"/>
    <s v="Fail"/>
    <s v="v=spf1 include:spf.protection.outlook.com include:amazonses.com ip4:35.192.181.145 ip4:35.222.49.21 ip4:34.132.184.222 ip4:34.69.44.134 ip4:35.223.170.93 ip4:34.86.254.203 ip4:34.85.182.168 ip4:34.145.244.232 ip4:34.150.215.45 ip4:35.245.27.80 &quot; &quot;include:netaffinity.net include:eu.rp.oracleemaildelivery.com -all"/>
    <s v="yes"/>
    <x v="3"/>
    <s v="v=DMARC1; p=reject; rua=mailto:sgraham@dylan.ie; ruf=mailto:sgraham@dylan.ie; sp=reject; aspf=s; ri=86400"/>
    <m/>
    <m/>
    <x v="0"/>
    <x v="30"/>
  </r>
  <r>
    <s v="claregalwayhotel.ie"/>
    <s v="minus"/>
    <s v="Fail"/>
    <s v="v=spf1 include:guestline.net include:sendgrid.net include:roomlynx.net include:spf.protection.outlook.com include:darwin.krystal.co.uk include:mail1.wpengine.com ip4:52.166.124.85 ip4:20.184.12.41 ip4:149.72.1.66 -all"/>
    <m/>
    <x v="0"/>
    <m/>
    <m/>
    <m/>
    <x v="7"/>
    <x v="30"/>
  </r>
  <r>
    <s v="thegalmont.com"/>
    <s v="minus"/>
    <s v="Fail"/>
    <s v="v=spf1 ip4:89.101.65.89 include:spf.protection.outlook.com include:spf.premiersoftware.co.uk include:spf.mandrillapp.com include:_spf.bookassist.com Include:_spf.salesforce.com -all"/>
    <s v="yes"/>
    <x v="1"/>
    <s v="v=DMARC1; p=quarantine; pct=100; rua=mailto:dmarc@thegalmont.com; ruf=mailto:dmarc@thegalmont.com"/>
    <m/>
    <m/>
    <x v="7"/>
    <x v="30"/>
  </r>
  <r>
    <s v="killarneyinternational.com"/>
    <s v="minus"/>
    <s v="Fail"/>
    <s v="v=spf1 include:spf.protection.outlook.com include:netaffinity.net -all"/>
    <m/>
    <x v="2"/>
    <s v="v=DMARC1; p=none;"/>
    <m/>
    <m/>
    <x v="14"/>
    <x v="30"/>
  </r>
  <r>
    <s v="lyrath.com"/>
    <s v="minus"/>
    <s v="Fail"/>
    <s v="v=spf1 include:spf.protection.outlook.com -all"/>
    <s v="yes"/>
    <x v="2"/>
    <s v="v=DMARC1; p=none;"/>
    <m/>
    <m/>
    <x v="17"/>
    <x v="30"/>
  </r>
  <r>
    <s v="springhillcourt.com"/>
    <s v="minus"/>
    <s v="Fail"/>
    <s v="v=spf1 ip4:213.191.226.7 include:spf.protection.outlook.com include:netaffinity.net -all"/>
    <m/>
    <x v="0"/>
    <m/>
    <m/>
    <m/>
    <x v="17"/>
    <x v="30"/>
  </r>
  <r>
    <s v="hotelwestport.ie"/>
    <s v="minus"/>
    <s v="Fail"/>
    <s v="v=spf1 include:spf.protection.outlook.com include:eu._netblocks.mimecast.com include:spf.emailsignatures365.com include:netaffinity.net -all"/>
    <s v="yes"/>
    <x v="1"/>
    <s v="v=DMARC1; p=quarantine"/>
    <m/>
    <m/>
    <x v="4"/>
    <x v="30"/>
  </r>
  <r>
    <s v="citynorthhotel.com"/>
    <s v="minus"/>
    <s v="Fail"/>
    <s v="v=spf1 include:spf.protection.outlook.com include:_spf.bookassist.com include:guestline.net -all"/>
    <s v="yes"/>
    <x v="2"/>
    <s v="v=DMARC1; p=none; rua=mailto:admin@citynorthhotel.com; ruf=mailto:dmarc@citynorthhotel.com; sp=none; fo=1;"/>
    <m/>
    <m/>
    <x v="15"/>
    <x v="30"/>
  </r>
  <r>
    <s v="ardboynehotel.com"/>
    <s v="tilde"/>
    <s v="Soft Fail"/>
    <s v="v=spf1 mx a:mail.cusackhotels.com include:spf.protection.outlook.com ip4:86.47.104.18 ip4:159.134.198.135 include:netaffinity.net ~all"/>
    <m/>
    <x v="0"/>
    <m/>
    <m/>
    <m/>
    <x v="15"/>
    <x v="30"/>
  </r>
  <r>
    <s v="grevillearmshotel.ie"/>
    <s v="minus"/>
    <s v="Fail"/>
    <s v="v=spf1 ip4:209.124.66.28 ip4:35.214.241.152 include:spf.supercp.com include:spf.protection.outlook.com -all"/>
    <s v="yes"/>
    <x v="0"/>
    <m/>
    <m/>
    <m/>
    <x v="23"/>
    <x v="30"/>
  </r>
  <r>
    <s v="brandonhousehotel.ie"/>
    <s v="minus"/>
    <s v="Fail"/>
    <s v="v=spf1 a:mail.brandonhousehotel.ie include:spf.guestjoy.com include:netaffinity.net include:spf.mailanyone.net include:spf.protection.outlook.com include:roomlynx.net ip4:205.201.128.0/20 ip4:198.2.128.0/18 ip4:148.105.8.0/21 ip4:52.166.124.85 ip4:20&quot; &quot;.184.12.41 ip4:149.72.1.66 -all"/>
    <m/>
    <x v="0"/>
    <m/>
    <m/>
    <m/>
    <x v="3"/>
    <x v="30"/>
  </r>
  <r>
    <s v="riverbankhousehotel.com"/>
    <s v="tilde"/>
    <s v="Soft Fail"/>
    <s v="v=spf1 include:spf.protection.outlook.com a mx include:netaffinity.net include:spf.blacknight.ie include:spfa.cpmails.com ~all"/>
    <s v="yes"/>
    <x v="3"/>
    <s v="v=DMARC1; p=reject; pct=100; fo=1; ri=3600; rua=mailto:3fb8dd5c@inbox.ondmarc.com; ruf=mailto:3fb8dd5c@inbox.ondmarc.com;"/>
    <m/>
    <m/>
    <x v="3"/>
    <x v="30"/>
  </r>
  <r>
    <s v="whitfordhousehotel.ie"/>
    <s v="no"/>
    <s v="Not found"/>
    <m/>
    <m/>
    <x v="0"/>
    <m/>
    <m/>
    <m/>
    <x v="3"/>
    <x v="30"/>
  </r>
  <r>
    <s v="legalaidboard.ie"/>
    <s v="minus"/>
    <s v="Fail"/>
    <s v="v=spf1 a mx ip4:137.191.230.178 include:spf.protection.outlook.com  -all"/>
    <s v="yes"/>
    <x v="3"/>
    <s v="v=DMARC1; p=reject; pct=0; rua=mailto:6356a653ba@rua.easydmarc.eu; ruf=mailto:6356a653ba@ruf.easydmarc.eu;ri=3600;fo=1"/>
    <m/>
    <m/>
    <x v="0"/>
    <x v="30"/>
  </r>
  <r>
    <s v="wilkergroup.com"/>
    <s v="minus"/>
    <s v="Fail"/>
    <s v="v=spf1 include:spf.protection.outlook.com -all"/>
    <s v="yes"/>
    <x v="0"/>
    <m/>
    <m/>
    <m/>
    <x v="21"/>
    <x v="30"/>
  </r>
  <r>
    <s v="fwmetals.com"/>
    <s v="minus"/>
    <s v="Fail"/>
    <s v="v=spf1 mx a:exchange.fwmetals.com a:mail.fwmetals.com a:router.fwmetals.com include:spf.protection.outlook.com include:dnsma.accellion.com include:dnsus1.accellion.com include:dnsus2.accellion.com include:aspmx.pardot.com include:_spf.salesforce.com inclu&quot; &quot;de:_spf.psm.knowbe4.com -all"/>
    <s v="yes"/>
    <x v="2"/>
    <s v="v=DMARC1;  p=none; rua=mailto:a5fc4285a66b4bd09e42313761f54088@dmarc-reports.cloudflare.net"/>
    <m/>
    <m/>
    <x v="4"/>
    <x v="30"/>
  </r>
  <r>
    <s v="info@oconnorsbakery.com"/>
    <s v="no"/>
    <s v="Not found"/>
    <m/>
    <m/>
    <x v="0"/>
    <m/>
    <m/>
    <m/>
    <x v="9"/>
    <x v="30"/>
  </r>
  <r>
    <s v="thundersbakery.ie"/>
    <s v="minus"/>
    <s v="Fail"/>
    <s v="v=spf1 include:spf.protection.outlook.com include:amazonses.com -all"/>
    <m/>
    <x v="0"/>
    <m/>
    <m/>
    <m/>
    <x v="0"/>
    <x v="30"/>
  </r>
  <r>
    <s v="flogas.ie"/>
    <s v="minus"/>
    <s v="Fail"/>
    <s v="v=spf1 include:spf.protection.outlook.com include:emaileuc.freshservice.com include:workforceready.eu include:shops.shopify.com include:sendgrid.net include:spf.mandrillapp.com ip4:149.72.159.162 ip4:104.198.207.207 -all"/>
    <s v="yes"/>
    <x v="3"/>
    <s v="v=DMARC1; p=reject; rua=mailto:fraudalert@flogas.ie; ruf=mailto:fraudalert@flogas.ie; sp=quarantine; ri=86400"/>
    <m/>
    <m/>
    <x v="2"/>
    <x v="30"/>
  </r>
  <r>
    <s v="taylormadeglass.com"/>
    <s v="minus"/>
    <s v="Fail"/>
    <s v="v=spf1 exists:%{i}.spf.lci1.iphmx.com ip4:68.232.135.248 ip4:68.232.131.51 include:spf.protection.outlook.com -all"/>
    <m/>
    <x v="2"/>
    <s v="v=DMARC1; p=none; rua=mailto:db85daabc5b7606@rep.dmarcanalyzer.com; ruf=mailto:db85daabc5b7606@for.dmarcanalyzer.com; sp=none; fo=1;"/>
    <m/>
    <m/>
    <x v="13"/>
    <x v="30"/>
  </r>
  <r>
    <s v="reagecon.com"/>
    <s v="minus"/>
    <s v="Fail"/>
    <s v="v=spf1 include:spf.protection.outlook.com -all"/>
    <s v="yes"/>
    <x v="0"/>
    <m/>
    <m/>
    <m/>
    <x v="9"/>
    <x v="30"/>
  </r>
  <r>
    <s v="newbridgesilverware.com"/>
    <s v="minus"/>
    <s v="Fail"/>
    <s v="v=spf1 include:spf.protection.outlook.com include:sg.newbridgesilverware.com include:sendgrid.net include:azurespf.irpcommerce.com -all"/>
    <s v="yes"/>
    <x v="2"/>
    <s v="v=DMARC1;p=none;rua=mailto:dmarcreports@newbridgesilverware.com"/>
    <m/>
    <m/>
    <x v="16"/>
    <x v="30"/>
  </r>
  <r>
    <s v="kubekitchens.ie"/>
    <s v="no"/>
    <s v="Not found"/>
    <m/>
    <m/>
    <x v="0"/>
    <m/>
    <m/>
    <m/>
    <x v="0"/>
    <x v="30"/>
  </r>
  <r>
    <s v="toyotaforklifts.ie"/>
    <s v="no"/>
    <s v="Not found"/>
    <m/>
    <m/>
    <x v="0"/>
    <m/>
    <m/>
    <m/>
    <x v="0"/>
    <x v="30"/>
  </r>
  <r>
    <s v="roramotion.com"/>
    <s v="minus"/>
    <s v="Fail"/>
    <s v="v=spf1 include:spf.protection.outlook.de include:spf.protection.outlook.com -all"/>
    <m/>
    <x v="0"/>
    <m/>
    <m/>
    <m/>
    <x v="14"/>
    <x v="30"/>
  </r>
  <r>
    <s v="tmblinds.com"/>
    <s v="tilde"/>
    <s v="Soft Fail"/>
    <s v="v=spf1 include:%{ir}.%{v}.%{d}.spf.has.pphosted.com ip4:78.153.216.58 ip4:149.5.37.42 include:eu._extnetblocks.mimecast.com include:eu._netblocks.mimecast.com include:spf.sendinblue.com include:spf.protection.outlook.com include:spf.fusemail.net incl&quot; &quot;ude:_spf.soluno.se ~all"/>
    <s v="yes"/>
    <x v="2"/>
    <s v="v=DMARC1; p=none; sp=none; rua=mailto:dmarc@mailinblue.com!10m; ruf=mailto:dmarc@mailinblue.com!10m; rf=afrf; pct=100; ri=86400"/>
    <m/>
    <m/>
    <x v="0"/>
    <x v="30"/>
  </r>
  <r>
    <s v="pei.ie"/>
    <s v="mis"/>
    <s v="Invalid SPF Syntax"/>
    <s v="v=spf1 ip4:68.232.159.152/32 ip4:68.232.151.139/32 include:spf.protection.outlook.com include:spf.ers.ie include:spf.zendesk.com "/>
    <s v="yes"/>
    <x v="1"/>
    <s v="v=DMARC1; p=quarantine; rua=mailto:dmarc_reports@pei.ie;"/>
    <m/>
    <m/>
    <x v="0"/>
    <x v="30"/>
  </r>
  <r>
    <s v="neuravi.com"/>
    <s v="no"/>
    <s v="Not found"/>
    <m/>
    <m/>
    <x v="0"/>
    <m/>
    <m/>
    <m/>
    <x v="7"/>
    <x v="30"/>
  </r>
  <r>
    <s v="duggansteel.ie"/>
    <s v="minus"/>
    <s v="Fail"/>
    <s v="v=spf1 include:spf.protection.outlook.com -all"/>
    <s v="yes"/>
    <x v="1"/>
    <s v="v=DMARC1; p=quarantine;"/>
    <m/>
    <m/>
    <x v="1"/>
    <x v="30"/>
  </r>
  <r>
    <s v="harringtonconcrete.ie"/>
    <s v="minus"/>
    <s v="Fail"/>
    <s v="v=spf1 include:spf.protection.outlook.com include:nes1.nostra.ie ip4:88.81.127.190 include:spf.emailsignatures365.com include:spf.google.com -all"/>
    <s v="yes"/>
    <x v="4"/>
    <s v=" v=DMARC1; r=reject"/>
    <m/>
    <m/>
    <x v="4"/>
    <x v="30"/>
  </r>
  <r>
    <s v="ams.ie"/>
    <s v="tilde"/>
    <s v="Soft Fail"/>
    <s v="v=spf1 include:_spf.google.com include:spf.protection.outlook.com include:eu.transmail.net include:mailcontrol.com ~all"/>
    <s v="yes"/>
    <x v="2"/>
    <s v="v=DMARC1;  p=none; rua=mailto:7ab21bb240fe46628997048c1e0f92d2@dmarc-reports.cloudflare.net"/>
    <m/>
    <m/>
    <x v="1"/>
    <x v="30"/>
  </r>
  <r>
    <s v="kingspancentury.com"/>
    <s v="tilde"/>
    <s v="Soft Fail"/>
    <s v="v=spf1 include:spf.kingspan.com ~all"/>
    <s v="yes"/>
    <x v="0"/>
    <m/>
    <m/>
    <m/>
    <x v="12"/>
    <x v="30"/>
  </r>
  <r>
    <s v="bespace.ie"/>
    <s v="tilde"/>
    <s v="Soft Fail"/>
    <s v="v=spf1 include:spf.hornetsecurity.com include:spf.reg365.net include:spf.protection.outlook.com ~all"/>
    <s v="yes"/>
    <x v="2"/>
    <s v="v=DMARC1; p=none; rua=mailto:dmarc@bespace.ie"/>
    <m/>
    <m/>
    <x v="0"/>
    <x v="30"/>
  </r>
  <r>
    <s v="romaquip.com"/>
    <s v="minus"/>
    <s v="Fail"/>
    <s v="v=spf1 include:spf.protection.outlook.com -all"/>
    <m/>
    <x v="1"/>
    <s v="v=DMARC1; p=quarantine; rua=mailto:postmaster.ro@romaquip.com"/>
    <m/>
    <m/>
    <x v="21"/>
    <x v="30"/>
  </r>
  <r>
    <s v="taconic-ipd.com"/>
    <s v="no"/>
    <s v="Not found"/>
    <m/>
    <m/>
    <x v="0"/>
    <m/>
    <m/>
    <m/>
    <x v="23"/>
    <x v="30"/>
  </r>
  <r>
    <s v="diasorin.com"/>
    <s v="tilde"/>
    <s v="Soft Fail"/>
    <s v="v=spf1 include:us._netblocks.mimecast.com include:aspmx.pardot.com include:_spfeu.qmarkets-dns.org include:_netblocks1.luxsci.com include:cust-spf.exacttarget.com ip4:67.225.240.149 ip4:66.206.198.103 ip4:198.37.154.52 ip4:158.247.28.163 ip4:158.247.26.47&quot; &quot; ip4:212.237.48.207 ip4:148.251.206.68 ip4:67.225.240.149 ip4:198.37.155.44 include:spf.protection.outlook.com ~all"/>
    <s v="yes"/>
    <x v="2"/>
    <s v="v=DMARC1; p=none"/>
    <m/>
    <m/>
    <x v="0"/>
    <x v="30"/>
  </r>
  <r>
    <s v="silverpail.com"/>
    <s v="tilde"/>
    <s v="Soft Fail"/>
    <s v="v=spf1 ip4:185.51.105.134  include:spf.protection.outlook.com ~all"/>
    <s v="yes"/>
    <x v="2"/>
    <s v="v=DMARC1; p=none"/>
    <m/>
    <m/>
    <x v="1"/>
    <x v="30"/>
  </r>
  <r>
    <s v="petstop.ie"/>
    <s v="tilde"/>
    <s v="Soft Fail"/>
    <s v="v=spf1 +ip4:178.79.134.19 +a +mx +ip4:46.101.4.51 +ip4:199.102.228.136 +ip4:81.94.196.136 +include:_spf.google.com +include:petstop.ie ~all"/>
    <s v="yes"/>
    <x v="1"/>
    <s v="v=DMARC1; p=quarantine; rua=mailto:info@petstop.ie"/>
    <m/>
    <m/>
    <x v="0"/>
    <x v="30"/>
  </r>
  <r>
    <s v="jmob.ie"/>
    <s v="minus"/>
    <s v="Fail"/>
    <s v="v=spf1 include:spf.protection.outlook.com include:spf.topsec.com -all"/>
    <s v="yes"/>
    <x v="1"/>
    <s v="v=DMARC1;p=quarantine;sp=none;adkim=r;aspf=r;pct=100;fo=1;rf=afrf;ri=86400;rua=mailto:dmarc@jmob.ie;ruf=mailto:dmarc@jmob.ie"/>
    <m/>
    <m/>
    <x v="0"/>
    <x v="30"/>
  </r>
  <r>
    <s v="mcguirks.com"/>
    <s v="minus"/>
    <s v="Fail"/>
    <s v="v=spf1 ip6:fd1b:212c:a5f9::/48 -all"/>
    <m/>
    <x v="0"/>
    <m/>
    <m/>
    <m/>
    <x v="0"/>
    <x v="30"/>
  </r>
  <r>
    <s v="abbeymachinery.com"/>
    <s v="tilde"/>
    <s v="Soft Fail"/>
    <s v="v=spf1 ipv4:78.153.209.23 ipv4:185.61.0.173 include:authsmtp.com include:mxsmtp.sendpulse.com include:spf.elive.net +a +mx include:spf.protection.outlook.com include:authsmtp.com ~all"/>
    <s v="yes"/>
    <x v="3"/>
    <s v="v=DMARC1;p=reject;pct=100;rua=mailto:50a8ff601e@rua.easydmarc.eu,mailto:dmarc-reports@abbeymachinery.com;ruf=mailto:50a8ff601e@ruf.easydmarc.eu;ri=86400;fo=1;"/>
    <m/>
    <m/>
    <x v="13"/>
    <x v="30"/>
  </r>
  <r>
    <s v="cartencontrols.com"/>
    <s v="minus"/>
    <s v="Fail"/>
    <s v="v=spf1 include:spf.protection.outlook.com -all"/>
    <s v="yes"/>
    <x v="0"/>
    <m/>
    <m/>
    <m/>
    <x v="10"/>
    <x v="30"/>
  </r>
  <r>
    <s v="weirandsons.com"/>
    <s v="minus"/>
    <s v="Fail"/>
    <s v="v=spf1 include:spf.protection.outlook.com -all"/>
    <m/>
    <x v="0"/>
    <m/>
    <m/>
    <m/>
    <x v="0"/>
    <x v="30"/>
  </r>
  <r>
    <s v="portwest.com"/>
    <s v="minus"/>
    <s v="Fail"/>
    <s v="v=spf1 include:spf.protection.outlook.com include:_netblocks.mimecast.com include:spf.emailsignatures365.com include:spf.smtp2go.com ip4:83.71.238.82  ip4:69.72.40.93 ip4:69.72.40.94 ip4:69.72.40.95 ip4:69.72.40.96 ip4:69.72.40.97 ip4:69.72.40.98 ip4:69.7&quot; &quot;2.40.99 ip4:69.72.47.205 ip4:185.250.239.148 ip4:185.250.239.168 ip4:185.250.239.190 -all"/>
    <s v="yes"/>
    <x v="1"/>
    <s v="v=DMARC1; p=quarantine;"/>
    <m/>
    <m/>
    <x v="4"/>
    <x v="30"/>
  </r>
  <r>
    <s v="windmilllane.com"/>
    <s v="tilde"/>
    <s v="Soft Fail"/>
    <s v="v=spf1 include:_spf.google.com ~all"/>
    <s v="yes"/>
    <x v="3"/>
    <s v="v=DMARC1; p=reject; sp=reject; rua=mailto:dmarc-general@windmilllane.com; ruf=mailto:dmarc-forensic@windmilllane.com; pct=100"/>
    <m/>
    <m/>
    <x v="0"/>
    <x v="30"/>
  </r>
  <r>
    <s v="tg4.ie"/>
    <s v="minus"/>
    <s v="Fail"/>
    <s v="v=spf1 ip4:40.107.14.130 include:spf.protection.outlook.com include:amazonses.com include:spf.exclaimer.net -all"/>
    <s v="yes"/>
    <x v="3"/>
    <s v="v=DMARC1;p=reject;sp=reject;pct=100;rua=mailto:abuse@tg4.ie;ruf=mailto:deliveryfailure@tg4.ie;ri=86400;aspf=r;fo=1"/>
    <m/>
    <m/>
    <x v="7"/>
    <x v="30"/>
  </r>
  <r>
    <s v="rhk.ie"/>
    <s v="tilde"/>
    <s v="Soft Fail"/>
    <s v="v=spf1 a include:spf.blacknight.ie ~all"/>
    <m/>
    <x v="0"/>
    <m/>
    <m/>
    <m/>
    <x v="0"/>
    <x v="30"/>
  </r>
  <r>
    <s v="scor.com"/>
    <s v="minus"/>
    <s v="Fail"/>
    <s v="v=spf1 include:spf-005a4501.pphosted.com include:spf.protection.outlook.com include:_spf1.scor.com include:_spf2.scor.com include:spf_c.oraclecloud.com -all"/>
    <m/>
    <x v="3"/>
    <s v="v=DMARC1; p=reject; fo=1; rua=mailto:dmarc_rua@emaildefense.proofpoint.com; ruf=mailto:dmarc_ruf@emaildefense.proofpoint.com"/>
    <m/>
    <m/>
    <x v="0"/>
    <x v="30"/>
  </r>
  <r>
    <s v="clona.ie"/>
    <s v="minus"/>
    <s v="Fail"/>
    <s v="v=spf1 include:spf.protection.outlook.com -all"/>
    <s v="yes"/>
    <x v="2"/>
    <s v="v=DMARC1; p=none; fo=1; rua=mailto:rua+clona.ie@dmarc.barracudanetworks.com; ruf=mailto:ruf+clona.ie@dmarc.barracudanetworks.com"/>
    <m/>
    <m/>
    <x v="1"/>
    <x v="30"/>
  </r>
  <r>
    <s v="mcmonaglestone.ie"/>
    <s v="minus"/>
    <s v="Fail"/>
    <s v="v=spf1 include:spf.protection.outlook.com -all"/>
    <s v="yes"/>
    <x v="2"/>
    <s v="v=DMARC1; p=none; rua=mailto:admin@mcmonaglestone.ie; ruf=mailto:admin@mcmonaglestone.ie; fo=1"/>
    <m/>
    <m/>
    <x v="6"/>
    <x v="30"/>
  </r>
  <r>
    <s v="treacysoakwoodhotel.com"/>
    <s v="no"/>
    <s v="Not found"/>
    <m/>
    <m/>
    <x v="0"/>
    <m/>
    <m/>
    <m/>
    <x v="9"/>
    <x v="30"/>
  </r>
  <r>
    <s v="finnstowncastlehotel.com"/>
    <s v="tilde"/>
    <s v="Soft Fail"/>
    <s v="v=spf1 +a +mx +ip4:141.94.206.245 ~all"/>
    <s v="yes"/>
    <x v="0"/>
    <m/>
    <m/>
    <m/>
    <x v="0"/>
    <x v="30"/>
  </r>
  <r>
    <s v="thehardiman.ie"/>
    <s v="minus"/>
    <s v="Fail"/>
    <s v="v=spf1 include:spf.protection.outlook.com include:spf.mandrillapp.com include:authsmtp.com -all"/>
    <s v="yes"/>
    <x v="0"/>
    <m/>
    <m/>
    <m/>
    <x v="7"/>
    <x v="30"/>
  </r>
  <r>
    <s v="kdkscaffolding.ie"/>
    <s v="minus"/>
    <s v="Fail"/>
    <s v="v=spf1 a mx include:mailanyone.net include:spf.protection.outlook.com  include:spf.graphedia.ie -all"/>
    <m/>
    <x v="0"/>
    <m/>
    <m/>
    <m/>
    <x v="3"/>
    <x v="30"/>
  </r>
  <r>
    <s v="quintas.ie"/>
    <s v="minus"/>
    <s v="Fail"/>
    <s v="v=spf1 include:spf.protection.outlook.com include:eu._netblocks.mimecast.com include:spf.mandrillapp.com ip4:89.204.209.221 ip4:89.234.93.246 -all"/>
    <m/>
    <x v="0"/>
    <m/>
    <m/>
    <m/>
    <x v="1"/>
    <x v="30"/>
  </r>
  <r>
    <s v="gsi.ie"/>
    <s v="minus"/>
    <s v="Fail"/>
    <s v="v=spf1 ip4:137.191.239.189 ip4:193.1.193.135 ip4:193.178.1.33 ip4:137.191.244.220 include:spfext.itservices.gov.ie -all"/>
    <m/>
    <x v="2"/>
    <s v="v=DMARC1; p=none;"/>
    <m/>
    <m/>
    <x v="0"/>
    <x v="30"/>
  </r>
  <r>
    <s v="jbbarry.ie"/>
    <s v="minus"/>
    <s v="Fail"/>
    <s v="v=spf1 include:spf.protection.outlook.com -all"/>
    <s v="yes"/>
    <x v="1"/>
    <s v="v=DMARC1;p=quarantine;sp=none;adkim=r;aspf=r;pct=100;fo=1;rf=afrf;ri=3600;rua=mailto:dmarc@jbbarry.ie;ruf=mailto:dmarc@jbbarry.ie"/>
    <m/>
    <m/>
    <x v="0"/>
    <x v="30"/>
  </r>
  <r>
    <s v="prochem.ie"/>
    <s v="minus"/>
    <s v="Fail"/>
    <s v="v=spf1 include:_spf.mailersend.net a ip4:31.193.220.3 ip4:89.234.93.102 ip4:213.79.45.129 ip4:87.198.240.82 include:spf.protection.outlook.com a:outbound-smtp02.blacknight.com include:spf.dynect.net include:servers.mcsv.net include:spf.mandrillapp.com inc&quot; &quot;lude:spf.topsec.co&quot; &quot;m  -all"/>
    <s v="yes"/>
    <x v="3"/>
    <s v="v=DMARC1; p=reject; rua=mailto:cf2e266b888140c39d7e682f1bb352ba@dmarc-reports.cloudflare.net"/>
    <m/>
    <m/>
    <x v="17"/>
    <x v="30"/>
  </r>
  <r>
    <s v="bryansryan.ie"/>
    <s v="tilde"/>
    <s v="Soft Fail"/>
    <s v="v=spf1 mx ip4:89.101.216.18 ip4:78.137.172.17 ip4:195.200.146.201 include:eu.zcsend.net include:spf.protection.outlook.com include:spf.ess.uk.barracudanetworks.com ~all"/>
    <m/>
    <x v="2"/>
    <s v="v=DMARC1; p=none;"/>
    <m/>
    <m/>
    <x v="0"/>
    <x v="30"/>
  </r>
  <r>
    <s v="axis-ballymun.ie"/>
    <s v="minus"/>
    <s v="Fail"/>
    <s v="v=spf1 ip6:fd1b:212c:a5f9::/48 -all"/>
    <m/>
    <x v="0"/>
    <m/>
    <m/>
    <m/>
    <x v="0"/>
    <x v="30"/>
  </r>
  <r>
    <s v="citizensinformationboard.ie"/>
    <s v="minus"/>
    <s v="Fail"/>
    <s v="v=spf1 include:spf.protection.outlook.com -all"/>
    <m/>
    <x v="0"/>
    <m/>
    <m/>
    <m/>
    <x v="0"/>
    <x v="30"/>
  </r>
  <r>
    <s v="ispcc.ie"/>
    <s v="tilde"/>
    <s v="Soft Fail"/>
    <s v="v=spf1 include:spf.protection.outlook.com include:raiselysite.com +include:outboundmail.blackbaud.net ~all"/>
    <s v="yes"/>
    <x v="1"/>
    <s v="v=DMARC1; p=quarantine"/>
    <m/>
    <m/>
    <x v="0"/>
    <x v="30"/>
  </r>
  <r>
    <s v="limerickcil.com"/>
    <s v="minus"/>
    <s v="Fail"/>
    <s v="v=spf1 ip4:185.43.232.170 ip4:80.93.29.15 +a +mx +ip4:80.93.29.236 +ip4:86.41.26.167 +include:spf.protection.outlook.com include:spf.hornetsecurity.com -all"/>
    <s v="yes"/>
    <x v="0"/>
    <m/>
    <m/>
    <m/>
    <x v="5"/>
    <x v="30"/>
  </r>
  <r>
    <s v="sligocil.ie"/>
    <s v="minus"/>
    <s v="Fail"/>
    <s v="v=spf1 ip4:83.138.8.118 include:relay.mailchannels.net include:spf.protection.outlook.com -all"/>
    <m/>
    <x v="0"/>
    <m/>
    <m/>
    <m/>
    <x v="8"/>
    <x v="30"/>
  </r>
  <r>
    <s v="redhat.com"/>
    <s v="mis"/>
    <s v="Invalid SPF Syntax"/>
    <s v="v=spf1 redirect=73t7ezjz._spf._d.mim.ec"/>
    <s v="yes"/>
    <x v="1"/>
    <s v="v=DMARC1; p=quarantine; rua=mailto:5f1992045035946@rep.dmarcanalyzer.com; ruf=mailto:5f1992045035946@for.dmarcanalyzer.com; fo=1;"/>
    <m/>
    <m/>
    <x v="1"/>
    <x v="30"/>
  </r>
  <r>
    <s v="rrcd.com"/>
    <s v="tilde"/>
    <s v="Soft Fail"/>
    <s v="v=spf1 +a +mx ~all ip4:63.111.67.0/24"/>
    <m/>
    <x v="0"/>
    <m/>
    <m/>
    <m/>
    <x v="1"/>
    <x v="30"/>
  </r>
  <r>
    <s v="capitaibs.ie"/>
    <s v="no"/>
    <s v="Not found"/>
    <m/>
    <m/>
    <x v="0"/>
    <m/>
    <m/>
    <m/>
    <x v="0"/>
    <x v="30"/>
  </r>
  <r>
    <s v="mapflow.com"/>
    <s v="minus"/>
    <s v="Fail"/>
    <s v="v=spf1 ip4:66.241.37.182/32 ip4:209.243.59.74/32 ip4:12.38.207.30/32 ip4:216.133.255.171/32 ip4:34.252.159.188/32 ip4:198.185.18.9/32 ip4:198.185.18.10/32 include:_netblocks.eloqua.com include:_spf.qualtrics.com include:spf.protection.outlook.com -all"/>
    <m/>
    <x v="0"/>
    <m/>
    <m/>
    <m/>
    <x v="0"/>
    <x v="30"/>
  </r>
  <r>
    <s v="allfinanz.com"/>
    <s v="minus"/>
    <s v="Fail"/>
    <s v="v=spf1 ip4:178.250.112.192/28 ip4:193.120.126.120/29 include:spf-00652401.pphosted.com -all"/>
    <m/>
    <x v="2"/>
    <s v="v=DMARC1; p=none; fo=1; rua=mailto:8f1f5ab1@mxtoolbox.dmarc-report.com; ruf=mailto:8f1f5ab1@forensics.dmarc-report.com;"/>
    <m/>
    <m/>
    <x v="0"/>
    <x v="30"/>
  </r>
  <r>
    <s v="sas.com"/>
    <s v="minus"/>
    <s v="Fail"/>
    <s v="v=spf1 include:spf.protection.outlook.com ip4:192.31.37.0/24 ip4:192.31.22.0/24 ip4:149.173.0.0/16 include:service-now.com include:_spf.sas.com -all"/>
    <s v="yes"/>
    <x v="3"/>
    <s v="v=DMARC1;p=reject;rua=mailto:MCTDMARC@sas.com;"/>
    <m/>
    <m/>
    <x v="0"/>
    <x v="30"/>
  </r>
  <r>
    <s v="siemens.ie"/>
    <s v="minus"/>
    <s v="Fail"/>
    <s v="v=spf1 -all"/>
    <m/>
    <x v="3"/>
    <s v="v=DMARC1; p=reject; pct=100; rua=mailto:DMARC.rua@siemens.com; aspf=r"/>
    <m/>
    <m/>
    <x v="0"/>
    <x v="30"/>
  </r>
  <r>
    <s v="vizorsoftware.com"/>
    <s v="minus"/>
    <s v="Fail"/>
    <s v="v=spf1 include:spf.protection.outlook.com -all"/>
    <s v="yes"/>
    <x v="2"/>
    <s v="v=DMARC1; p=none; rua=mailto:it.manager@vizorsoftware.com"/>
    <m/>
    <m/>
    <x v="0"/>
    <x v="30"/>
  </r>
  <r>
    <s v="actionpoint.ie"/>
    <s v="minus"/>
    <s v="Fail"/>
    <s v="v=spf1 ip4:92.51.197.0/28 ip4:185.61.1.160/28 ip4:84.51.251.227/32 ip4:212.78.224.147/32 include:spf.protection.outlook.com include:spf.eu.exclaimer.net include:spf.smtp2go.com include:spf.msdp1.com include:smtp.smileback.com -all"/>
    <s v="yes"/>
    <x v="0"/>
    <m/>
    <m/>
    <m/>
    <x v="5"/>
    <x v="30"/>
  </r>
  <r>
    <s v="diamondglass.ie"/>
    <s v="tilde"/>
    <s v="Soft Fail"/>
    <s v="v=spf1 ip4:93.119.26.121 include:spf.protection.outlook.com ~all"/>
    <m/>
    <x v="0"/>
    <m/>
    <m/>
    <m/>
    <x v="0"/>
    <x v="30"/>
  </r>
  <r>
    <s v="acornlife.ie"/>
    <s v="tilde"/>
    <s v="Soft Fail"/>
    <s v="v=spf1 ip4:204.11.100.136 ip4:173.45.158.5 ip4:93.94.116.14 ip4:52.212.19.177 ip4:46.22.139.137 ip4:78.153.200.57 ip4:209.15.27.81 ip4:87.198.188.148 ip4:168.245.62.19 ip4:91.210.235.226 ip4:78.153.200.57 ip4:87.253.232.0/21 ip4:185.189.236.0/22 ip4:&quot; &quot;185.211.120.0/22 ip4:185.250.236.0/22 ip4:54.157.90.193 ip4:173.45.158.5 ip4:168.245.62.19 include:spf.protection.outlook.com include:_spf_cd.spamtitan.com include:amazonses.com ~all"/>
    <s v="yes"/>
    <x v="1"/>
    <s v="v=DMARC1; p=quarantine; rua=mailto:dmarc_agg@vali.email"/>
    <m/>
    <m/>
    <x v="7"/>
    <x v="30"/>
  </r>
  <r>
    <s v="brooklodge.com"/>
    <s v="minus"/>
    <s v="Fail"/>
    <s v="v=spf1 mx a ip4:78.136.42.6 ip4:78.136.42.7 ip4:94.236.71.102 ip4:92.52.88.156 ip4:5.79.11.180 ip4:52.16.225.174 ip4:212.100.234.137 include:_spf.google.com include:spf.topsec.com include:authsmtp.com include:spf.protection.outlook.com -all"/>
    <m/>
    <x v="2"/>
    <s v="v=DMARC1; p=none;"/>
    <m/>
    <m/>
    <x v="24"/>
    <x v="30"/>
  </r>
  <r>
    <s v="buttimer.ie"/>
    <s v="tilde"/>
    <s v="Soft Fail"/>
    <s v="v=spf1 ip4:217.115.115.147 ip4:185.202.17.188 ip4:185.152.4.110 ip4:159.134.106.34  include:spf1.emailsecurity.app include:spf.protection.outlook.com ~all"/>
    <m/>
    <x v="0"/>
    <m/>
    <m/>
    <m/>
    <x v="13"/>
    <x v="30"/>
  </r>
  <r>
    <s v="biomnis.ie"/>
    <s v="no"/>
    <s v="Not found"/>
    <m/>
    <m/>
    <x v="0"/>
    <m/>
    <m/>
    <m/>
    <x v="0"/>
    <x v="30"/>
  </r>
  <r>
    <s v="qqi.ie"/>
    <s v="minus"/>
    <s v="Fail"/>
    <s v="v=spf1 include:spf.protection.outlook.com include:spf.emailsignatures365.com include:sendgrid.net -all"/>
    <s v="yes"/>
    <x v="3"/>
    <s v="v=DMARC1; p=reject; pct=100; adkim=r; aspf=r; fo=1; rf=afrf; ri=3600; rua=mailto:be6c3992@inbox.ondmarc.com,mailto:gjdmjrtv@ag.dmarcian-eu.com; ruf=mailto:be6c3992@inbox.ondmarc.com,mailto:dmarc@qqi.ie"/>
    <m/>
    <m/>
    <x v="0"/>
    <x v="30"/>
  </r>
  <r>
    <s v="ofi.ie"/>
    <s v="minus"/>
    <s v="Fail"/>
    <s v="v=spf1 +a +mx -all +a:web16.webcore.cloud"/>
    <m/>
    <x v="0"/>
    <m/>
    <m/>
    <m/>
    <x v="2"/>
    <x v="30"/>
  </r>
  <r>
    <s v="holyfamilyschoolcharleville.com"/>
    <s v="minus"/>
    <s v="Fail"/>
    <s v="v=spf1 include:spf.protection.outlook.com -all"/>
    <m/>
    <x v="0"/>
    <m/>
    <m/>
    <m/>
    <x v="1"/>
    <x v="30"/>
  </r>
  <r>
    <s v="anrinn.com"/>
    <s v="minus"/>
    <s v="Fail"/>
    <s v="v=spf1 mx a a:relay.blacknight.com a:relay1.blacknight.com a:relay4.blacknight.com a:deise02.blacknight.ie a:deise.blacknight.ie a:plesk.deisedesign.com include:spf.protection.outlook.com -all"/>
    <m/>
    <x v="0"/>
    <m/>
    <m/>
    <m/>
    <x v="10"/>
    <x v="30"/>
  </r>
  <r>
    <s v="recallsecurity.ie"/>
    <s v="tilde"/>
    <s v="Soft Fail"/>
    <s v="v=spf1 a include:spf.blacknight.ie  ~all"/>
    <m/>
    <x v="0"/>
    <m/>
    <m/>
    <m/>
    <x v="13"/>
    <x v="30"/>
  </r>
  <r>
    <s v="oakparkfoods.ie"/>
    <s v="minus"/>
    <s v="Fail"/>
    <s v="v=spf1 ip4:89.101.209.173 ip4:213.79.57.232 include:spf.protection.outlook.com a:fep27.mx.upcmail.net include:spf1.emailsecurity.app -all"/>
    <m/>
    <x v="0"/>
    <m/>
    <m/>
    <m/>
    <x v="13"/>
    <x v="30"/>
  </r>
  <r>
    <s v="bbdo.ie"/>
    <s v="minus"/>
    <s v="Fail"/>
    <s v="v=spf1 include:_spf.oneomnicom.com include:servers.mcsv.net include:relay.mailchannels.net -all"/>
    <s v="yes"/>
    <x v="3"/>
    <s v="v=DMARC1; p=reject; rua=mailto:rc7yjbis@ag.us.dmarcian.com;"/>
    <m/>
    <m/>
    <x v="0"/>
    <x v="30"/>
  </r>
  <r>
    <s v="marinehotel.ie"/>
    <s v="tilde"/>
    <s v="Soft Fail"/>
    <s v="v=spf1 include:_u.marinehotel.ie._spf.smart.ondmarc.com include:guestline.net include:roomlynx.net ~all"/>
    <s v="yes"/>
    <x v="3"/>
    <s v="v=DMARC1; p=reject; pct=100; sp=none; rua=mailto:3fb8dd5c@inbox.ondmarc.com; ruf=mailto:3fb8dd5c@inbox.ondmarc.com; adkim=r; aspf=r; fo=1; rf=afrf; ri=3600"/>
    <m/>
    <m/>
    <x v="0"/>
    <x v="30"/>
  </r>
  <r>
    <s v="goldendiscs.ie"/>
    <s v="minus"/>
    <s v="Fail"/>
    <s v="v=spf1 include:spf.protection.outlook.com include:shops.shopify.com  include:mailgun.org ip4:89.100.2.226 -all"/>
    <s v="yes"/>
    <x v="3"/>
    <s v="v=DMARC1; p=reject; sp=reject; adkim=s; aspf=s; pct=100;"/>
    <m/>
    <m/>
    <x v="0"/>
    <x v="30"/>
  </r>
  <r>
    <s v="brookfieldcc.ie"/>
    <s v="minus"/>
    <s v="Fail"/>
    <s v="v=spf1 include:spf.protection.outlook.com -all"/>
    <s v="yes"/>
    <x v="2"/>
    <s v="v=DMARC1; p=none;"/>
    <m/>
    <m/>
    <x v="1"/>
    <x v="30"/>
  </r>
  <r>
    <s v="apree.ie"/>
    <s v="no"/>
    <s v="Not found"/>
    <m/>
    <m/>
    <x v="0"/>
    <m/>
    <m/>
    <m/>
    <x v="1"/>
    <x v="30"/>
  </r>
  <r>
    <s v="anh.com"/>
    <s v="minus"/>
    <s v="Fail"/>
    <s v="v=spf1 include:spf.protection.outlook.com -all"/>
    <s v="yes"/>
    <x v="0"/>
    <m/>
    <m/>
    <m/>
    <x v="0"/>
    <x v="30"/>
  </r>
  <r>
    <s v="saintjosephsshankill.ie"/>
    <s v="no"/>
    <s v="Not found"/>
    <m/>
    <m/>
    <x v="0"/>
    <m/>
    <m/>
    <m/>
    <x v="0"/>
    <x v="30"/>
  </r>
  <r>
    <s v="stanthonysnursinghome.ie"/>
    <s v="tilde"/>
    <s v="Soft Fail"/>
    <s v="v=spf1 +a +mx +ip4:35.214.237.160  include:stanthonysnursinghome.ie.spf.auto.dnssmarthost.net ~all"/>
    <s v="yes"/>
    <x v="2"/>
    <s v="v=DMARC1; p=none; aspf=r; adkim=r;"/>
    <m/>
    <m/>
    <x v="5"/>
    <x v="30"/>
  </r>
  <r>
    <s v="moorehalllodge.ie"/>
    <s v="no"/>
    <s v="Not found"/>
    <m/>
    <m/>
    <x v="0"/>
    <m/>
    <m/>
    <m/>
    <x v="2"/>
    <x v="30"/>
  </r>
  <r>
    <s v="ardeencheshirehome.com"/>
    <s v="no"/>
    <s v="Not found"/>
    <m/>
    <m/>
    <x v="0"/>
    <m/>
    <m/>
    <m/>
    <x v="24"/>
    <x v="30"/>
  </r>
  <r>
    <s v="mansionhouse.ie"/>
    <s v="minus"/>
    <s v="Fail"/>
    <s v="v=spf1 include:spf.protection.outlook.com include:spf.topsec.com include:mailgun.org include:spf.mandrillapp.com -all"/>
    <m/>
    <x v="2"/>
    <s v="v=DMARC1; p=none"/>
    <m/>
    <m/>
    <x v="0"/>
    <x v="30"/>
  </r>
  <r>
    <s v="keadeenhotel.ie"/>
    <s v="tilde"/>
    <s v="Soft Fail"/>
    <s v="v=spf1 ip4:213.171.216.0/24 ip4:212.17.32.37 include:spf.protection.outlook.com include:_spf.wire.threatspike.com include:authsmtp.com ~all"/>
    <m/>
    <x v="2"/>
    <s v="v=DMARC1; p=none;"/>
    <m/>
    <m/>
    <x v="16"/>
    <x v="30"/>
  </r>
  <r>
    <s v="kavanaghgroup.ie"/>
    <s v="minus"/>
    <s v="Fail"/>
    <s v="v=spf1 mx a ip4:213.94.206.189 ip4:83.71.135.65 ip4:83.71.135.98 include:spf.amris.com include:spf.protection.outlook.com -all"/>
    <m/>
    <x v="2"/>
    <s v="v=DMARC1;p=none;pct=100;rua=mailto:postmaster@kavanaghgroup.ie"/>
    <m/>
    <m/>
    <x v="4"/>
    <x v="30"/>
  </r>
  <r>
    <s v="murphygunn.com"/>
    <s v="no"/>
    <s v="Not found"/>
    <m/>
    <m/>
    <x v="0"/>
    <m/>
    <m/>
    <m/>
    <x v="0"/>
    <x v="30"/>
  </r>
  <r>
    <s v="nvd.ie"/>
    <s v="tilde"/>
    <s v="Soft Fail"/>
    <s v="v=spf1 mx include:_spf.google.com include:_spf.salesforce.com  ~all"/>
    <m/>
    <x v="0"/>
    <m/>
    <m/>
    <m/>
    <x v="3"/>
    <x v="30"/>
  </r>
  <r>
    <s v="aceexpressgroup.com"/>
    <s v="mis"/>
    <s v="Invalid SPF Syntax"/>
    <s v="v=spf1 a ip=37.59.160.103 mx"/>
    <m/>
    <x v="0"/>
    <m/>
    <m/>
    <m/>
    <x v="0"/>
    <x v="30"/>
  </r>
  <r>
    <s v="johnston-shopfitters.com"/>
    <s v="tilde"/>
    <s v="Soft Fail"/>
    <s v="v=spf1 ip4:185.32.153.94 ip4:80.93.20.129 include:spf.protection.outlook.com include:spf.smtp2go.com include:spf.ess.de.barracudanetworks.com ~all"/>
    <m/>
    <x v="2"/>
    <s v="v=DMARC1; p=none"/>
    <m/>
    <m/>
    <x v="0"/>
    <x v="30"/>
  </r>
  <r>
    <s v="kcdfrs.com"/>
    <s v="no"/>
    <s v="Not found"/>
    <m/>
    <m/>
    <x v="0"/>
    <m/>
    <m/>
    <m/>
    <x v="17"/>
    <x v="30"/>
  </r>
  <r>
    <s v="veoliawater.ie"/>
    <s v="tilde"/>
    <s v="Soft Fail"/>
    <s v="v=spf1 ip4:213.212.70.213 ip4:62.73.149.6 include:_spf.google.com ~all"/>
    <s v="yes"/>
    <x v="1"/>
    <s v="v=DMARC1; p=quarantine; pct=100; rua=mailto:pfavnw3o@ag.dmarcian.com; ruf=mailto:pfavnw3o@fr.dmarcian.com"/>
    <m/>
    <m/>
    <x v="17"/>
    <x v="30"/>
  </r>
  <r>
    <s v="carlowcollege.ie"/>
    <s v="tilde"/>
    <s v="Soft Fail"/>
    <s v="v=spf1 +a +mx +ip4:91.210.235.173 include:spf.webhostingireland.ie ~all"/>
    <s v="yes"/>
    <x v="0"/>
    <m/>
    <m/>
    <m/>
    <x v="25"/>
    <x v="30"/>
  </r>
  <r>
    <s v="nmci.ie"/>
    <s v="minus"/>
    <s v="Fail"/>
    <s v="v=spf1 ip4:193.120.143.134 include:spf.protection.outlook.com include:_spf.granite.ie -all"/>
    <s v="yes"/>
    <x v="2"/>
    <s v="v=DMARC1; p=none; rua=mailto:SVC_Dmarc@mtu.ie"/>
    <m/>
    <m/>
    <x v="1"/>
    <x v="30"/>
  </r>
  <r>
    <s v="tullamorecollege.ie"/>
    <s v="minus"/>
    <s v="Fail"/>
    <s v="v=spf1 include:spf.protection.outlook.com a:mail1.dcsnet.ie a:mail2.dcsnet.ie -all"/>
    <s v="yes"/>
    <x v="1"/>
    <s v="v=DMARC1; p=quarantine; pct=100; rua=mailto:ict@loetb.ie"/>
    <m/>
    <m/>
    <x v="21"/>
    <x v="30"/>
  </r>
  <r>
    <s v="fcmtravel.ie"/>
    <s v="minus"/>
    <s v="Fail"/>
    <s v="v=spf1 ip4:87.198.172.189  ip4:86.188.148.38 ip4:217.33.142.36 ip4:217.33.142.41 include:de._netblocks.mimecast.com include:_relay.amadeus.com include:_spf.salesforce.com -all"/>
    <m/>
    <x v="3"/>
    <s v="v=DMARC1; p=reject; sp=reject; rua=mailto:bf5603eb6697076@rep.dmarcanalyzer.com; ruf=mailto:bf5603eb6697076@for.dmarcanalyzer.com; fo=1;"/>
    <m/>
    <m/>
    <x v="0"/>
    <x v="30"/>
  </r>
  <r>
    <s v="gohop.ie"/>
    <s v="minus"/>
    <s v="Fail"/>
    <s v="v=spf1 ip6:fd1b:212c:a5f9::/48 -all"/>
    <m/>
    <x v="0"/>
    <m/>
    <m/>
    <m/>
    <x v="0"/>
    <x v="30"/>
  </r>
  <r>
    <s v="ipw.ie"/>
    <s v="tilde"/>
    <s v="Soft Fail"/>
    <s v="v=spf1 ip4:217.115.115.198 +a +mx +ip4:217.115.113.32 include:relay.mailchannels.net +ip4:93.95.87.234 +include:spf.protection.outlook.com ~all"/>
    <s v="yes"/>
    <x v="0"/>
    <m/>
    <m/>
    <m/>
    <x v="1"/>
    <x v="30"/>
  </r>
  <r>
    <s v="barryscoaches.com"/>
    <s v="minus"/>
    <s v="Fail"/>
    <s v="v=spf1 include:spf.protection.outlook.com a:mailfromwebsite.barryscoaches.com -all"/>
    <m/>
    <x v="0"/>
    <m/>
    <m/>
    <m/>
    <x v="1"/>
    <x v="30"/>
  </r>
  <r>
    <s v="major-equipment.com"/>
    <s v="minus"/>
    <s v="Fail"/>
    <s v="v=spf1 ip4: 89.35.118.168 ip4:165.232.43.149 include:servers.mcsv.net include:spf.protection.outlook.com ip4:52.210.82.10 include:spf.sendinblue.com ip4:92.51.199.234 -all"/>
    <s v="yes"/>
    <x v="1"/>
    <s v="v=DMARC1; p=quarantine; pct=100; rua=mailto:dmarc@zenotec.ie,mailto:rua@dmarc.brevo.com; ruf=mailto:dmarc@zenotec.ie; fo=1;sp=none;rf=afrf;ri=86400"/>
    <m/>
    <m/>
    <x v="4"/>
    <x v="30"/>
  </r>
  <r>
    <s v="comans.ie"/>
    <s v="minus"/>
    <s v="Fail"/>
    <s v="v=spf1 include:spf.protection.outlook.com ip4:82.141.226.170/32 a:gainarelay.gainasoftware.com -all"/>
    <s v="yes"/>
    <x v="0"/>
    <m/>
    <m/>
    <m/>
    <x v="0"/>
    <x v="30"/>
  </r>
  <r>
    <s v="2ssg.com"/>
    <s v="minus"/>
    <s v="Fail"/>
    <s v="v=spf1 -all"/>
    <s v="yes"/>
    <x v="0"/>
    <m/>
    <m/>
    <m/>
    <x v="8"/>
    <x v="30"/>
  </r>
  <r>
    <s v="omctechnologies.com"/>
    <s v="tilde"/>
    <s v="Soft Fail"/>
    <s v="v=spf1 a include:spf.blacknight.com include:spf0101.titan.email ~all"/>
    <m/>
    <x v="0"/>
    <m/>
    <m/>
    <m/>
    <x v="5"/>
    <x v="30"/>
  </r>
  <r>
    <s v="sial.com"/>
    <s v="tilde"/>
    <s v="Soft Fail"/>
    <s v="v=spf1 include:o12jx5tpef.powerspf.com ~all"/>
    <s v="yes"/>
    <x v="3"/>
    <s v="v=DMARC1; p=reject; sp=reject; fo=1; rua=mailto:b4wunsj437@rua.powerdmarc.com, mailto:dmarcreport@sial.com; ruf=mailto:dmarcreport@sial.com"/>
    <m/>
    <m/>
    <x v="24"/>
    <x v="30"/>
  </r>
  <r>
    <s v="autoglass.ie"/>
    <s v="minus"/>
    <s v="Fail"/>
    <s v="v=spf1 ip4:52.169.140.75 include:spf.protection.outlook.com -all"/>
    <s v="yes"/>
    <x v="1"/>
    <s v="v=DMARC1; p=quarantine; rua=mailto:dmarcfeedback@autoglass.ie; fo=1"/>
    <m/>
    <m/>
    <x v="0"/>
    <x v="30"/>
  </r>
  <r>
    <s v="goodfish.ie"/>
    <s v="minus"/>
    <s v="Fail"/>
    <s v="v=spf1 a mx ip4:93.107.248.83 include:spf.protection.outlook.com include:spf.elive.net -all"/>
    <m/>
    <x v="0"/>
    <m/>
    <m/>
    <m/>
    <x v="1"/>
    <x v="30"/>
  </r>
  <r>
    <s v="harveyspoint.com"/>
    <s v="minus"/>
    <s v="Fail"/>
    <s v="v=spf1 include:spf.protection.outlook.com include:authsmtp.com -all"/>
    <s v="yes"/>
    <x v="2"/>
    <s v="v=DMARC1; p=none; rua=mailto:dmarc@lantech.uriports.com; ruf=mailto:dmarc@lantech.uriports.com; fo=1:d:s"/>
    <m/>
    <m/>
    <x v="6"/>
    <x v="30"/>
  </r>
  <r>
    <s v="inisheng.com"/>
    <s v="minus"/>
    <s v="Fail"/>
    <s v="v=spf1 include:spf.protection.outlook.com -all"/>
    <s v="yes"/>
    <x v="1"/>
    <s v="v=DMARC1; p=quarantine; pct=100"/>
    <m/>
    <m/>
    <x v="6"/>
    <x v="30"/>
  </r>
  <r>
    <s v="avoca.ie"/>
    <s v="tilde"/>
    <s v="Soft Fail"/>
    <s v="v=spf1 mx include:emailantidote.com a ip4:217.78.5.135 include:spf.mailanyone.net include:spf.mxsweep.com include:spf.electric.net ~all"/>
    <m/>
    <x v="0"/>
    <m/>
    <m/>
    <m/>
    <x v="0"/>
    <x v="30"/>
  </r>
  <r>
    <s v="dawnlough.com"/>
    <s v="minus"/>
    <s v="Fail"/>
    <s v="v=spf1 +a +mx +ip4:91.210.235.173 include:spf.protection.outlook.com a:mail9.digiweb.ie a:mail9.viatel.com a:spamtitan.zenotec.ie include:spf.stackmail.com +ip4:13.79.160.206 +ip4:83.147.148.214 include:spf.webhostingireland.ie -all"/>
    <s v="yes"/>
    <x v="1"/>
    <s v="v=DMARC1; p=quarantine; pct=100; rua=mailto:dmarc@zenotec.ie; ruf=mailto:dmarc@zenotec.ie; fo=1"/>
    <m/>
    <m/>
    <x v="7"/>
    <x v="30"/>
  </r>
  <r>
    <s v="thebrehon.com"/>
    <s v="minus"/>
    <s v="Fail"/>
    <s v="v=spf1 ip4:52.166.124.85 mx include:_spf.bookassist.com include:spf.mandrillapp.com ip4:52.166.124.85 ip4:20.184.12.41 ip4:149.72.1.66 ip4:149.72.1.66 ip4:52.166.124.85 ip4:51.105.222.244 ip4:192.254.117.44 include:spf.protection.outlook.com ip4:13.95.66.&quot; &quot;253 include:authsmtp.com -all"/>
    <s v="yes"/>
    <x v="2"/>
    <s v="v=DMARC1; p=none; fo=1; rua=mailto:rua+thebrehon.com@dmarc.barracudanetworks.com; ruf=mailto:ruf+thebrehon.com@dmarc.barracudanetworks.com"/>
    <m/>
    <m/>
    <x v="14"/>
    <x v="30"/>
  </r>
  <r>
    <s v="takumiprecision.com"/>
    <s v="minus"/>
    <s v="Fail"/>
    <s v="v=spf1 ip4:86.47.45.45 ip4:217.115.117.83 ip4:195.176.194.193 include:spf.protection.outlook.com include:spf.spamfree.ie -all"/>
    <s v="yes"/>
    <x v="1"/>
    <s v="v=DMARC1; p=quarantine; rua=mailto:9d957756ae1b4144ba6dc57825621568@dmarc-reports.cloudflare.net,mailto:dmarc-reports@takumiprecision.com; ruf=mailto:dmarc-reports@takumiprecision.com; fo=1; sp=quarantine"/>
    <m/>
    <m/>
    <x v="5"/>
    <x v="30"/>
  </r>
  <r>
    <s v="westerncare.com"/>
    <s v="minus"/>
    <s v="Fail"/>
    <s v="v=spf1 ip4:91.210.235.125 include:spf.webhostingireland.ie include:spf.protection.outlook.com include:_spf_cd.spamtitan.com ip4:137.191.234.243 ip4:193.120.143.134 ip4:193.120.143.138 ip4:193.120.142.176 ip4:193.120.143.70 -all"/>
    <s v="yes"/>
    <x v="1"/>
    <s v="v=DMARC1; p=quarantine; rua=mailto:dmarc@westerncare.com; ruf=mailto:dmarc@westerncare.com; fo=1;"/>
    <m/>
    <m/>
    <x v="4"/>
    <x v="30"/>
  </r>
  <r>
    <s v="floodprecast.com"/>
    <s v="minus"/>
    <s v="Fail"/>
    <s v="v=spf1 include:spf.protection.outlook.com -all"/>
    <m/>
    <x v="0"/>
    <m/>
    <m/>
    <m/>
    <x v="15"/>
    <x v="30"/>
  </r>
  <r>
    <s v="mdburns.ie"/>
    <s v="tilde"/>
    <s v="Soft Fail"/>
    <s v="v=spf1 a include:spf.blacknight.ie +a:mdburns.dmacmedia.ie ~all"/>
    <m/>
    <x v="0"/>
    <m/>
    <m/>
    <m/>
    <x v="15"/>
    <x v="30"/>
  </r>
  <r>
    <s v="columban.com"/>
    <s v="no"/>
    <s v="Not found"/>
    <m/>
    <m/>
    <x v="0"/>
    <m/>
    <m/>
    <m/>
    <x v="15"/>
    <x v="30"/>
  </r>
  <r>
    <s v="qme.ie"/>
    <s v="tilde"/>
    <s v="Soft Fail"/>
    <s v="v=spf1 include:spf.protection.outlook.com include:servers.mcsv.net include:spf.hornetsecurity.com ~all"/>
    <m/>
    <x v="0"/>
    <m/>
    <m/>
    <m/>
    <x v="15"/>
    <x v="30"/>
  </r>
  <r>
    <s v="tds.ie"/>
    <s v="minus"/>
    <s v="Fail"/>
    <s v="v=spf1 ip4:89.19.94.146 include:_spf.google.com include:mail.zendesk.com include:_spf.salesforce.com include:spf.protection.outlook.com -all"/>
    <s v="yes"/>
    <x v="0"/>
    <m/>
    <m/>
    <m/>
    <x v="0"/>
    <x v="31"/>
  </r>
  <r>
    <s v="astrazeneca.ie"/>
    <s v="no"/>
    <s v="Not found"/>
    <m/>
    <m/>
    <x v="0"/>
    <m/>
    <m/>
    <m/>
    <x v="0"/>
    <x v="31"/>
  </r>
  <r>
    <s v="daracommunityliving.ie"/>
    <s v="minus"/>
    <s v="Fail"/>
    <s v="v=spf1 ip4:35.214.155.26 ip4:86.43.67.100 include:spf.protection.outlook.com -all"/>
    <s v="yes"/>
    <x v="3"/>
    <s v="v=DMARC1; p=reject; sp=none; fo=1; pct=100;"/>
    <m/>
    <m/>
    <x v="16"/>
    <x v="31"/>
  </r>
  <r>
    <s v="utc.com"/>
    <s v="tilde"/>
    <s v="Soft Fail"/>
    <s v="v=spf1 include:%{ir}.%{v}.%{d}.spf.has.pphosted.com ~all"/>
    <m/>
    <x v="2"/>
    <s v="v=DMARC1; p=none; sp=reject; fo=1; rua=mailto:dmarc_rua@emaildefense.proofpoint.com; ruf=mailto:dmarc_ruf@emaildefense.proofpoint.com"/>
    <m/>
    <m/>
    <x v="9"/>
    <x v="31"/>
  </r>
  <r>
    <s v="ashcom.ie"/>
    <s v="minus"/>
    <s v="Fail"/>
    <s v="v=spf1 include:spf.protection.outlook.com -all"/>
    <s v="yes"/>
    <x v="3"/>
    <s v="v=DMARC1; p=reject; rua=mailto:365@ashcom.ie"/>
    <m/>
    <m/>
    <x v="15"/>
    <x v="32"/>
  </r>
  <r>
    <s v="wavin.ie"/>
    <s v="no"/>
    <s v="Not found"/>
    <m/>
    <m/>
    <x v="0"/>
    <m/>
    <m/>
    <m/>
    <x v="0"/>
    <x v="32"/>
  </r>
  <r>
    <s v="sandymounthotel.ie"/>
    <s v="minus"/>
    <s v="Fail"/>
    <s v="v=spf1 include:spf.protection.outlook.com include:guestline.net include:roomlynx.net include:sendgrid.net include:netaffinity.net -all"/>
    <s v="yes"/>
    <x v="2"/>
    <s v="v=DMARC1; p=none; rua=mailto:dmarc@lantech.uriports.com; ruf=mailto:dmarc@lantech.uriports.com; fo=1:d:s"/>
    <m/>
    <m/>
    <x v="0"/>
    <x v="33"/>
  </r>
  <r>
    <s v="toffs.eu"/>
    <s v="tilde"/>
    <s v="Soft Fail"/>
    <s v="v=spf1 include:_spf.mx.cloudflare.net ~all"/>
    <m/>
    <x v="0"/>
    <m/>
    <m/>
    <m/>
    <x v="8"/>
    <x v="33"/>
  </r>
  <r>
    <s v="neodyne.ie"/>
    <s v="tilde"/>
    <s v="Soft Fail"/>
    <s v="v=spf1 a:dispatch-eu.ppe-hosted.com ip4:83.71.134.145 a:mail.neodyne.ie include:spf.protection.outlook.com ~all"/>
    <s v="yes"/>
    <x v="2"/>
    <s v="v=DMARC1; p=none; rua=mailto:rua@dmarc.brevo.com"/>
    <m/>
    <m/>
    <x v="1"/>
    <x v="33"/>
  </r>
  <r>
    <s v="headhuntinternational.com"/>
    <s v="tilde"/>
    <s v="Soft Fail"/>
    <s v="v=spf1 ip4:206.54.170.70 include:spf.protection.outlook.com ~all"/>
    <s v="yes"/>
    <x v="0"/>
    <m/>
    <m/>
    <m/>
    <x v="0"/>
    <x v="33"/>
  </r>
  <r>
    <s v="fundassist.com"/>
    <s v="minus"/>
    <s v="Fail"/>
    <s v="v=spf1 ip4:193.95.188.74 ip4:83.71.64.34 ip4:46.245.211.4 ip4:213.94.209.2 ip4:193.120.84.66 -all"/>
    <m/>
    <x v="0"/>
    <m/>
    <m/>
    <m/>
    <x v="0"/>
    <x v="33"/>
  </r>
  <r>
    <s v="mwp.ie"/>
    <s v="tilde"/>
    <s v="Soft Fail"/>
    <s v="v=spf1 mx a:elive.net ip4:89.204.174.12 ip4:80.233.77.53 ip4:81.24.249.18 ip4:87.198.180.58 ip4:93.107.149.57 include:spf.elive.net ip4:86.43.120.176 ip4:83.71.64.26 ip4:83.70.135.85 ip4:80.233.77.53 include:spf.protection.outlook.com ~all"/>
    <s v="yes"/>
    <x v="2"/>
    <s v="v=DMARC1; p=none"/>
    <m/>
    <m/>
    <x v="1"/>
    <x v="33"/>
  </r>
  <r>
    <s v="glenline.ie"/>
    <s v="minus"/>
    <s v="Fail"/>
    <s v="v=spf1 include:spf.protection.outlook.com -all"/>
    <s v="yes"/>
    <x v="1"/>
    <s v="v=DMARC1; p=quarantine; rua=mailto:postmaster.gl@glenline.ie"/>
    <m/>
    <m/>
    <x v="16"/>
    <x v="33"/>
  </r>
  <r>
    <s v="boynecs.com"/>
    <s v="no"/>
    <s v="Not found"/>
    <m/>
    <s v="yes"/>
    <x v="0"/>
    <m/>
    <m/>
    <m/>
    <x v="15"/>
    <x v="33"/>
  </r>
  <r>
    <s v="dunshaughlincc.ie"/>
    <s v="no"/>
    <s v="Not found"/>
    <m/>
    <m/>
    <x v="0"/>
    <m/>
    <m/>
    <m/>
    <x v="15"/>
    <x v="33"/>
  </r>
  <r>
    <s v="thedunloe.com"/>
    <s v="minus"/>
    <s v="Fail"/>
    <s v="v=spf1  include:spf.protection.outlook.com -all"/>
    <s v="yes"/>
    <x v="2"/>
    <s v="v=DMARC1; p=none; sp=none; aspf=s; fo=1;rua=mailto:dmarc_rua@emaildefense.proofpoint.com; ruf=mailto:dmarc_ruf@emaildefense.proofpoint.com"/>
    <m/>
    <m/>
    <x v="14"/>
    <x v="33"/>
  </r>
  <r>
    <s v="westportcoasthotel.ie"/>
    <s v="minus"/>
    <s v="Fail"/>
    <s v="v=spf1 include:spf.newsletter.ie include:spf.protection.outlook.com -all"/>
    <s v="yes"/>
    <x v="2"/>
    <s v="v=DMARC1; p=none;"/>
    <m/>
    <m/>
    <x v="4"/>
    <x v="33"/>
  </r>
  <r>
    <s v="castolin.com"/>
    <s v="minus"/>
    <s v="Fail"/>
    <s v="v=spf1 mx include:_spf.cerum.no include:sendgrid.net include:spf.protection.outlook.com ip4:34.241.191.143 include:spf.de.cancom-mase.com ip4:195.144.31.146 ip4:195.144.31.147 ip4:195.135.142.200 -all"/>
    <s v="yes"/>
    <x v="2"/>
    <s v="v=DMARC1; p=none; rua=mailto:dmarc_agg@vali.email,mailto:DMARC-Reports@castolin.com "/>
    <m/>
    <m/>
    <x v="0"/>
    <x v="33"/>
  </r>
  <r>
    <s v="phonestores.ie"/>
    <s v="no"/>
    <s v="Not found"/>
    <m/>
    <m/>
    <x v="0"/>
    <m/>
    <m/>
    <m/>
    <x v="0"/>
    <x v="33"/>
  </r>
  <r>
    <s v="gouldings.ie"/>
    <s v="minus"/>
    <s v="Fail"/>
    <s v="v=spf1 include:de._netblocks.mimecast.com include:_u.gouldings.ie._spf.dmarcly.com include:spf.protection.outlook.com -all"/>
    <s v="yes"/>
    <x v="1"/>
    <s v="v=DMARC1; p=quarantine; rua=mailto:5e4f93cf786a8@ag.dmarcly.com; ruf=mailto:5e4f93cf786a8@fo.dmarcly.com; sp=none; fo=0:1:d:s;"/>
    <m/>
    <m/>
    <x v="1"/>
    <x v="33"/>
  </r>
  <r>
    <s v="oneviewhealthcare.com"/>
    <s v="minus"/>
    <s v="Fail"/>
    <s v="v=spf1 +ip4:67.227.154.76 +include:spf.protection.outlook.com +include:mail.zendesk.com +include:4730085.spf06.hubspotemail.net -all"/>
    <s v="yes"/>
    <x v="1"/>
    <s v="v=DMARC1; p=quarantine"/>
    <m/>
    <m/>
    <x v="0"/>
    <x v="33"/>
  </r>
  <r>
    <s v="swiftfinefoods.com"/>
    <s v="minus"/>
    <s v="Fail"/>
    <s v="v=spf1 include:spf.protection.outlook.com include:spf.everycloudtech.com include:spf.hornetsecurity.com -all"/>
    <s v="yes"/>
    <x v="4"/>
    <s v="v=DMARC1; p= quarantine; fo=1; rua=mailto:dmarc@swiftfinefoods.com; ruf=mailto:dmarc@swiftfinefoods.com;"/>
    <m/>
    <m/>
    <x v="12"/>
    <x v="33"/>
  </r>
  <r>
    <s v="farrelloffice.com"/>
    <s v="minus"/>
    <s v="Fail"/>
    <s v="v=spf1 include:spf.protection.outlook.com include:spf-eu.emailsignatures365.com -all"/>
    <s v="yes"/>
    <x v="3"/>
    <s v="v=DMARC1; p=reject; rua=mailto:it@farrelloffice.com; ruf=mailto:it@farrelloffice.com; fo=1; pct=100"/>
    <m/>
    <m/>
    <x v="2"/>
    <x v="33"/>
  </r>
  <r>
    <s v="pdst.ie"/>
    <s v="minus"/>
    <s v="Fail"/>
    <s v="v=spf1 include:spf.protection.outlook.com include:pdst.ie.spf.auto.dnssmarthost.net -all"/>
    <s v="yes"/>
    <x v="2"/>
    <s v="v=DMARC1; p=none; aspf=r; adkim=r;"/>
    <m/>
    <m/>
    <x v="0"/>
    <x v="33"/>
  </r>
  <r>
    <s v="sureskills.com"/>
    <s v="minus"/>
    <s v="Fail"/>
    <s v="v=spf1 mx include:spf.protection.outlook.com ip4:83.138.177.146 ip4:83.138.177.148 ip4:83.138.177.150 ip4:83.138.177.151 ip4:89.234.41.218 ip4:89.234.41.219 ip4:89.234.41.220 ip4:89.234.41.221 ip4:83.138.184.240 ip4:83.138.184.242&quot; &quot; ip4:83.138.184.243 ip4:83.138.184.244 ip4:162.13.21.138 include:_spf2.circulator.com include:one.zoho.eu include:4917866.spf01.hubspotemail.net include:eu.transmail.net -all"/>
    <s v="yes"/>
    <x v="2"/>
    <s v="v=DMARC1; p=none; sp=none; fo=1;"/>
    <m/>
    <m/>
    <x v="0"/>
    <x v="33"/>
  </r>
  <r>
    <s v="kmk.ie"/>
    <s v="minus"/>
    <s v="Fail"/>
    <s v="v=spf1 ip4:54.217.48.90 include:spf.protection.outlook.com  -all"/>
    <m/>
    <x v="1"/>
    <s v="v=DMARC1; p=quarantine; pct=100; rua=mailto:denise@kmk.ie"/>
    <m/>
    <m/>
    <x v="21"/>
    <x v="33"/>
  </r>
  <r>
    <s v="aercap.com"/>
    <s v="minus"/>
    <s v="Fail"/>
    <s v="v=spf1 a:mail.stream.aero ip4:54.240.89.250 ip4:173.199.155.165 ip4:151.236.49.146 ip4:52.155.165.114 ip4:54.240.96.71 include:de._netblocks.mimecast.com include:spf.protection.outlook.com include:spf.salesforce.com -all"/>
    <s v="yes"/>
    <x v="2"/>
    <s v="v=DMARC1; p=none;rua=mailto:DMARCReporting@AerCap.com"/>
    <m/>
    <m/>
    <x v="9"/>
    <x v="33"/>
  </r>
  <r>
    <s v="ryaninstitute.ie"/>
    <s v="no"/>
    <s v="Not found"/>
    <m/>
    <s v="yes"/>
    <x v="0"/>
    <m/>
    <m/>
    <m/>
    <x v="7"/>
    <x v="33"/>
  </r>
  <r>
    <s v="toc.ie"/>
    <s v="tilde"/>
    <s v="Soft Fail"/>
    <s v="v=spf1 mx a include:spf.elive.net include:spf.protection.outlook.com ~all"/>
    <m/>
    <x v="0"/>
    <m/>
    <m/>
    <m/>
    <x v="5"/>
    <x v="33"/>
  </r>
  <r>
    <s v="nichegenerics.com"/>
    <s v="minus"/>
    <s v="Fail"/>
    <s v="v=spf1 include:spf.protection.outlook.com -all"/>
    <m/>
    <x v="0"/>
    <m/>
    <m/>
    <m/>
    <x v="0"/>
    <x v="33"/>
  </r>
  <r>
    <s v="noyeks.ie"/>
    <s v="minus"/>
    <s v="Fail"/>
    <s v="v=spf1 mx include:spf.topsec.com include:spf.protection.outlook.com include:spf-eu.emailsignatures365.com ip4:93.119.27.195 -all"/>
    <s v="yes"/>
    <x v="0"/>
    <m/>
    <m/>
    <m/>
    <x v="0"/>
    <x v="33"/>
  </r>
  <r>
    <s v="rothco.ie"/>
    <s v="minus"/>
    <s v="Fail"/>
    <s v="v=spf1 -all"/>
    <m/>
    <x v="3"/>
    <s v="v=DMARC1;p=reject;fo=1;rua=mailto:dmarc_rua@emaildefense.proofpoint.com;ruf=mailto:dmarc_ruf@emaildefense.proofpoint.com"/>
    <m/>
    <m/>
    <x v="0"/>
    <x v="33"/>
  </r>
  <r>
    <s v="hondaireland.ie"/>
    <s v="minus"/>
    <s v="Fail"/>
    <s v="v=spf1 include:spf.protection.outlook.com ip4:46.22.137.96 -all"/>
    <m/>
    <x v="0"/>
    <m/>
    <m/>
    <m/>
    <x v="0"/>
    <x v="34"/>
  </r>
  <r>
    <s v="hevac.ie"/>
    <s v="minus"/>
    <s v="Fail"/>
    <s v="v=spf1 ip4:51.140.50.9  include:spf.protection.outlook.com include:amazonses.com ip4:89.204.241.30 ip4:89.204.241.24 ip4:188.93.177.246 ip4:185.190.206.78 mx -all"/>
    <s v="yes"/>
    <x v="1"/>
    <s v="v=DMARC1; p=quarantine; pct=100; rua=mailto:re+pyk7ssirlkp@dmarc.postmarkapp.com"/>
    <m/>
    <m/>
    <x v="0"/>
    <x v="34"/>
  </r>
  <r>
    <s v="4sitenetworks.com"/>
    <s v="minus"/>
    <s v="Fail"/>
    <s v="v=spf1 include:spf.protection.outlook.com -all"/>
    <s v="yes"/>
    <x v="3"/>
    <s v="v=DMARC1;p=reject;sp=reject;adkim=s;aspf=s;"/>
    <m/>
    <m/>
    <x v="5"/>
    <x v="34"/>
  </r>
  <r>
    <s v="nli.ie"/>
    <s v="tilde"/>
    <s v="Soft Fail"/>
    <s v="v=spf1 a:dispatch-eu.ppe-hosted.com include:spf.protection.outlook.com ip4:137.191.242.53 mx ~all"/>
    <s v="yes"/>
    <x v="1"/>
    <s v="v=DMARC1; p=quarantine; pct=100"/>
    <m/>
    <m/>
    <x v="0"/>
    <x v="35"/>
  </r>
  <r>
    <s v="oakviewnh.ie"/>
    <s v="minus"/>
    <s v="Fail"/>
    <s v="v=spf1 include:spf.protection.outlook.com -all"/>
    <s v="yes"/>
    <x v="3"/>
    <s v="v=DMARC1; p=reject; rua=mailto:dmarcsupport@oakviewnh.ie"/>
    <m/>
    <m/>
    <x v="11"/>
    <x v="36"/>
  </r>
  <r>
    <s v="caceis.com"/>
    <s v="minus"/>
    <s v="Fail"/>
    <s v="v=spf1 a mx a:spf.credit-agricole.fr/24 include:spfDXC.caceis.com ip4:83.244.201.208/28 ip4:80.85.75.0/24 ip4:93.91.22.0/24 ip4:93.89.86.0/24 ip4:212.159.237.33 ip4:198.96.131.1 &quot; &quot;ip4:104.40.205.111 ip4:52.28.207.52 exists:%{i}.spf.santandergroup.c3s2.iphmx.com ip4:156.133.108.1 ip4:156.133.108.132 include:spfhost.messageprovider.com -all"/>
    <s v="yes"/>
    <x v="3"/>
    <s v="v=DMARC1; p=reject; sp=reject; rua=mailto:rua@dmarc.ca-gip.fr, mailto:devensys-caceis.rua@emailsecurity.merox.io;"/>
    <m/>
    <m/>
    <x v="0"/>
    <x v="37"/>
  </r>
  <r>
    <s v="mooreireland.ie"/>
    <s v="minus"/>
    <s v="Fail"/>
    <s v="v=spf1 include:eu._netblocks.mimecast.com +include:mandrillapp.com -all"/>
    <m/>
    <x v="2"/>
    <s v="v=DMARC1; p=none;"/>
    <m/>
    <m/>
    <x v="1"/>
    <x v="37"/>
  </r>
  <r>
    <s v="xsdirect.com"/>
    <s v="tilde"/>
    <s v="Soft Fail"/>
    <s v="v=spf1 ip4:195.211.227.117 ip4:89.28.176.51 ip4:209.15.27.81 include:spf.protection.outlook.com include:spf.fusemail.net include:_netblocks.mimecast.com ~all"/>
    <m/>
    <x v="2"/>
    <s v="v=DMARC1; p=none; rua=mailto:lsnp4a7r@ag.eu.dmarcian.com, mailto:e5797c2bc8c9859@rep.dmarcanalyzer.com; ruf=mailto:e5797c2bc8c9859@for.dmarcanalyzer.com; fo=1;"/>
    <m/>
    <m/>
    <x v="0"/>
    <x v="37"/>
  </r>
  <r>
    <s v="irishturkeys.ie"/>
    <s v="tilde"/>
    <s v="Soft Fail"/>
    <s v="v=spf1 +a +mx include:irishturkeys.ie.spf.auto.dnssmarthost.net ~all"/>
    <s v="yes"/>
    <x v="2"/>
    <s v="v=DMARC1; p=none; aspf=r; adkim=r;"/>
    <m/>
    <m/>
    <x v="12"/>
    <x v="37"/>
  </r>
  <r>
    <s v="facilitysupportservices.ie"/>
    <s v="no"/>
    <s v="Not found"/>
    <m/>
    <m/>
    <x v="0"/>
    <m/>
    <m/>
    <m/>
    <x v="0"/>
    <x v="37"/>
  </r>
  <r>
    <s v="barclays.ie"/>
    <s v="minus"/>
    <s v="Fail"/>
    <s v="v=spf1 -all"/>
    <m/>
    <x v="3"/>
    <s v="v=DMARC1; p=reject; fo=1; rua=mailto:dmarc_rua@emaildefense.proofpoint.com; ruf=mailto:dmarc_ruf@emaildefense.proofpoint.com"/>
    <m/>
    <m/>
    <x v="0"/>
    <x v="37"/>
  </r>
  <r>
    <s v="ironmountain.ie"/>
    <s v="tilde"/>
    <s v="Soft Fail"/>
    <s v="v=spf1 mx ip4:208.66.139.0/27 ip4:216.229.156.0/27 ip4:193.30.233.17 ip4:193.30.233.116 include:_spf.google.com ~all"/>
    <s v="yes"/>
    <x v="3"/>
    <s v="v=DMARC1;p=reject;rua=mailto:ckaiqst3@ag.dmarcian.com"/>
    <m/>
    <m/>
    <x v="0"/>
    <x v="37"/>
  </r>
  <r>
    <s v="essltd.ie"/>
    <s v="minus"/>
    <s v="Fail"/>
    <s v="v=spf1 include:spf.protection.outlook.com include:_spf.salesforce.com -all"/>
    <s v="yes"/>
    <x v="1"/>
    <s v="v=DMARC1; p=quarantine; pct=100; rua=mailto:rua@essltd.ie; ruf=mailto:ruf@essltd.ie"/>
    <m/>
    <m/>
    <x v="5"/>
    <x v="37"/>
  </r>
  <r>
    <s v="thesmartcrowd.com"/>
    <s v="no"/>
    <s v="Not found"/>
    <m/>
    <m/>
    <x v="0"/>
    <m/>
    <m/>
    <m/>
    <x v="4"/>
    <x v="37"/>
  </r>
  <r>
    <s v="precision.ie"/>
    <s v="minus"/>
    <s v="Fail"/>
    <s v="v=spf1 include:spf.protection.outlook.com -all"/>
    <m/>
    <x v="0"/>
    <m/>
    <m/>
    <m/>
    <x v="0"/>
    <x v="37"/>
  </r>
  <r>
    <s v="zenithtechnologies.com"/>
    <s v="minus"/>
    <s v="Fail"/>
    <s v="v=spf1 a mx ip4:54.36.1.228 ip4:85.115.32.0/19 ip4:86.111.216.0/23 ip4:116.50.56.0/21 ip4:208.87.232.0/21 ip4:86.111.220.0/22 ip4:103.1.196.0/22 ip4:177.39.96.0/22 ip4:196.216.238.0/23 ip4:185.136.189.88 ip4:185.136.188.88 ip4:80.69.20.160/2 include:_spf.&quot; &quot;bullhornmail.com -all"/>
    <s v="yes"/>
    <x v="1"/>
    <s v="v=DMARC1;p=quarantine;sp=quarantine;adkim=r;aspf=r;pct=100;fo=0;rf=afrf;ri=86400;rua=mailto:DMARC@zenithtechnologies.com;ruf=mailto:DMARC@zenithtechnologies.com"/>
    <m/>
    <m/>
    <x v="1"/>
    <x v="37"/>
  </r>
  <r>
    <s v="atkinsireland.ie"/>
    <s v="no"/>
    <s v="Not found"/>
    <m/>
    <m/>
    <x v="0"/>
    <m/>
    <m/>
    <m/>
    <x v="0"/>
    <x v="37"/>
  </r>
  <r>
    <s v="capitaassetservices.ie"/>
    <s v="no"/>
    <s v="Not found"/>
    <m/>
    <m/>
    <x v="0"/>
    <m/>
    <m/>
    <m/>
    <x v="16"/>
    <x v="37"/>
  </r>
  <r>
    <s v="breentransport.com"/>
    <s v="tilde"/>
    <s v="Soft Fail"/>
    <s v="v=spf1 include:spf.protection.outlook.com include:spf.mailanyone.net ~all"/>
    <s v="yes"/>
    <x v="0"/>
    <m/>
    <m/>
    <m/>
    <x v="3"/>
    <x v="37"/>
  </r>
  <r>
    <s v="perennialfreight.com"/>
    <s v="tilde"/>
    <s v="Soft Fail"/>
    <s v="v=spf1 a include:spf.blacknight.ie include:spf.protection.outlook.com include:spf.ess.de.barracudanetworks.com ~all"/>
    <s v="yes"/>
    <x v="0"/>
    <m/>
    <m/>
    <m/>
    <x v="3"/>
    <x v="37"/>
  </r>
  <r>
    <s v="betdaq.com"/>
    <s v="minus"/>
    <s v="Fail"/>
    <s v="v=spf1 include:spf.protection.outlook.com -all"/>
    <s v="yes"/>
    <x v="2"/>
    <s v="v=DMARC1;  p=none; rua=mailto:45106cc1d9ac4b22911cea437f64805f@dmarc-reports.cloudflare.net"/>
    <m/>
    <m/>
    <x v="0"/>
    <x v="37"/>
  </r>
  <r>
    <s v="cru.ie"/>
    <s v="minus"/>
    <s v="Fail"/>
    <s v="v=spf1 include:_u.cru.ie._spf.smart.ondmarc.com -all"/>
    <s v="yes"/>
    <x v="3"/>
    <s v="v=DMARC1; p=reject; pct=100; fo=1; ri=3600; rua=mailto:9c51ab0c@inbox.ondmarc.com; ruf=mailto:9c51ab0c@inbox.ondmarc.com;"/>
    <m/>
    <m/>
    <x v="0"/>
    <x v="37"/>
  </r>
  <r>
    <s v="hfcs.ie"/>
    <s v="minus"/>
    <s v="Fail"/>
    <s v="v=spf1 include:spf.protection.outlook.com -all"/>
    <m/>
    <x v="0"/>
    <m/>
    <m/>
    <m/>
    <x v="0"/>
    <x v="37"/>
  </r>
  <r>
    <s v="malahidecs.ie"/>
    <s v="tilde"/>
    <s v="Soft Fail"/>
    <s v="v=spf1 include:_spf.google.com ~all"/>
    <m/>
    <x v="0"/>
    <m/>
    <m/>
    <m/>
    <x v="0"/>
    <x v="37"/>
  </r>
  <r>
    <s v="highschooldublin.com"/>
    <s v="minus"/>
    <s v="Fail"/>
    <s v="v=spf1 include:spf.protection.outlook.com -all"/>
    <m/>
    <x v="2"/>
    <s v="v=DMARC1;p=none;pct=100;rua=mailto:administrator@highschooldublin.com"/>
    <m/>
    <m/>
    <x v="0"/>
    <x v="37"/>
  </r>
  <r>
    <s v="carevillage.ie"/>
    <s v="tilde"/>
    <s v="Soft Fail"/>
    <s v="v=spf1 include:spf.reg365.net ~all"/>
    <m/>
    <x v="0"/>
    <m/>
    <m/>
    <m/>
    <x v="1"/>
    <x v="37"/>
  </r>
  <r>
    <s v="cavancrystalhotel.com"/>
    <s v="minus"/>
    <s v="Fail"/>
    <s v="v=spf1 include:spf.protection.outlook.com include:authsmtp.com include:spf.newsletter.ie -all"/>
    <s v="yes"/>
    <x v="2"/>
    <s v="v=DMARC1; p=none; rua=mailto:dmarc@lantech.uriports.com; ruf=mailto:dmarc@lantech.uriports.com; fo=1:d:s"/>
    <m/>
    <m/>
    <x v="11"/>
    <x v="37"/>
  </r>
  <r>
    <s v="bunrattycastlehotel.com"/>
    <s v="minus"/>
    <s v="Fail"/>
    <s v="v=spf1 include:spf.protection.outlook.com include:spf.topsec.com -all"/>
    <m/>
    <x v="2"/>
    <s v="v=DMARC1;p=none;sp=none;rua=mailto:211a5a2e44@rua.easydmarc.eu;ruf=mailto:211a5a2e44@ruf.easydmarc.eu;fo=1"/>
    <m/>
    <m/>
    <x v="9"/>
    <x v="37"/>
  </r>
  <r>
    <s v="hibernianhotelmallow.com"/>
    <s v="tilde"/>
    <s v="Soft Fail"/>
    <s v="v=spf1 include:spf.blacknight.ie include:netaffinity.net include:guestline.net include:roomlynx.net ~all"/>
    <m/>
    <x v="0"/>
    <m/>
    <m/>
    <m/>
    <x v="1"/>
    <x v="37"/>
  </r>
  <r>
    <s v="villarose.net"/>
    <s v="minus"/>
    <s v="Fail"/>
    <s v="v=spf1 include:spf.protection.outlook.com mx ip4:109.169.74.175 ip4:81.17.254.9 mx:inbound-smtp.cp.blacknight.com ip4:216.119.106.54 include:spf.blacknight.com mx:smtp1r.cp.blacknight.com include:netaffinity.net include:authsmtp.com -all"/>
    <s v="yes"/>
    <x v="2"/>
    <s v="v=DMARC1; p=none; rua=mailto:leslie@leslielong.ie"/>
    <m/>
    <m/>
    <x v="6"/>
    <x v="37"/>
  </r>
  <r>
    <s v="fitzwilliamhoteldublin.com"/>
    <s v="mis"/>
    <s v="Invalid SPF Syntax"/>
    <s v="v=spf1 include:spf.synxis.com"/>
    <m/>
    <x v="0"/>
    <m/>
    <m/>
    <m/>
    <x v="0"/>
    <x v="37"/>
  </r>
  <r>
    <s v="riverhousehotel.com"/>
    <s v="no"/>
    <s v="Not found"/>
    <m/>
    <m/>
    <x v="3"/>
    <s v="v=DMARC1; p=reject; adkim=r; aspf=r; rua=mailto:dmarc_rua@onsecureserver.net;"/>
    <m/>
    <m/>
    <x v="0"/>
    <x v="37"/>
  </r>
  <r>
    <s v="scottshotelkillarney.com"/>
    <s v="minus"/>
    <s v="Fail"/>
    <s v="v=spf1 ip4:52.166.124.85 mx include:spf.mandrillapp.com include:spf.protection.outlook.com ip4:13.95.66.253 +a:vm.inec.ie -all"/>
    <m/>
    <x v="0"/>
    <m/>
    <m/>
    <m/>
    <x v="14"/>
    <x v="37"/>
  </r>
  <r>
    <s v="knightsbrook.com"/>
    <s v="minus"/>
    <s v="Fail"/>
    <s v="v=spf1 include:spf.protection.outlook.com include:netaffinity.net include:spf.premiersoftware.co.uk include:authsmtp.com -all"/>
    <m/>
    <x v="2"/>
    <s v="v=DMARC1; p=none"/>
    <m/>
    <m/>
    <x v="15"/>
    <x v="37"/>
  </r>
  <r>
    <s v="clonmelparkhotel.com"/>
    <s v="tilde"/>
    <s v="Soft Fail"/>
    <s v="v=spf1 include:spf.protection.outlook.com  include:netaffinity.net ~all"/>
    <m/>
    <x v="2"/>
    <s v="v=DMARC1; p=none;"/>
    <m/>
    <m/>
    <x v="13"/>
    <x v="37"/>
  </r>
  <r>
    <s v="knightfrank.ie"/>
    <s v="tilde"/>
    <s v="Soft Fail"/>
    <s v="v=spf1 a:ebarrier.providentit.com a:ebarrier1.providentit.com a:remote.kfdublin.ie include:in25app.com\010include:spf.ess.de.barracudanetworks.com include:spf.protection.outlook.com include:spf.EU.exclaimer.net ~all"/>
    <s v="yes"/>
    <x v="0"/>
    <m/>
    <m/>
    <m/>
    <x v="0"/>
    <x v="37"/>
  </r>
  <r>
    <s v="quinnrv.com"/>
    <s v="minus"/>
    <s v="Fail"/>
    <s v="v=spf1 include:spf.protection.outlook.com ip4:93.107.124.176 a:spamtitan.zenotec.ie -all"/>
    <s v="yes"/>
    <x v="2"/>
    <s v="v=DMARC1; p=none; pct=100; rua=mailto:dmarc@zenotec.ie; ruf=mailto:dmarc@zenotec.ie; fo=1"/>
    <m/>
    <m/>
    <x v="7"/>
    <x v="37"/>
  </r>
  <r>
    <s v="exitex.com"/>
    <s v="minus"/>
    <s v="Fail"/>
    <s v="v=spf1 include:appriver.com -all"/>
    <s v="yes"/>
    <x v="2"/>
    <s v="v=DMARC1; p=none; pct=100; rua=mailto:re+d8hwhfcufst@dmarc.postmarkapp.com; sp=none; aspf=r;"/>
    <m/>
    <m/>
    <x v="2"/>
    <x v="37"/>
  </r>
  <r>
    <s v="condronconcrete.com"/>
    <s v="minus"/>
    <s v="Fail"/>
    <s v="v=spf1 include:spf.protection.outlook.com -all"/>
    <m/>
    <x v="2"/>
    <s v="v=DMARC1; p=none;"/>
    <m/>
    <m/>
    <x v="21"/>
    <x v="37"/>
  </r>
  <r>
    <s v="brettbrothers.ie"/>
    <s v="minus"/>
    <s v="Fail"/>
    <s v="v=spf1 include:spf.protection.outlook.com +a +mx +ip4:91.210.232.245 include:spf.webhostingireland.ie include:spf1.emailsecurity.app +ip4:82.141.238.194 ip4:84.51.253.158 -all"/>
    <s v="yes"/>
    <x v="0"/>
    <m/>
    <m/>
    <m/>
    <x v="17"/>
    <x v="37"/>
  </r>
  <r>
    <s v="cylon.com"/>
    <s v="minus"/>
    <s v="Fail"/>
    <s v="v=spf1 ip4:89.101.141.32/27 include:spf.protection.outlook.com include:_spf.salesforce.com -all"/>
    <s v="yes"/>
    <x v="1"/>
    <s v="v=DMARC1; p=quarantine"/>
    <m/>
    <m/>
    <x v="0"/>
    <x v="37"/>
  </r>
  <r>
    <s v="amcsgroup.com"/>
    <s v="tilde"/>
    <s v="Soft Fail"/>
    <s v="v=spf1 ip4:198.21.4.52 ip4:40.92.0.0/15 ip4:167.89.31.27 ip4:40.107.0.0/16 ip4:52.100.0.0/14 ip4:104.47.0.0/17 ip4:3.222.0.24/29 ip4:69.72.32.0/20 ip4:13.111.0.0/16 ip4:167.89.0.0/17 ip4:50.31.32.0/19 ip4:198.21.0.0/21 ip4:149.72.0.0/16 ip4:66.102.0.0/20 &quot; &quot;ip4:74.125.0.0/16 ip4:35.191.0.0/16 ip4:62.13.128.0/24 ip4:62.13.136.0/22 ip4:62.13.140.0/22 ip4:62.13.144.0/22 ip4:62.13.148.0/23 ip4:62.13.150.0/23 include:_spf0000000.amcsgroup.com ~all"/>
    <s v="yes"/>
    <x v="3"/>
    <s v="v=DMARC1; p=reject; rua=mailto:dmarc_reports@amcsgroup.com,mailto:c90542a0@mxtoolbox.dmarc-report.com; ruf=mailto:dmarc_reports@amcsgroup.com,mailto:c90542a0@forensics.dmarc-report.com; rf=afrf; fo=1:d:s; pct=100;  ri=86400; adkim=r; aspf=r;"/>
    <m/>
    <m/>
    <x v="5"/>
    <x v="37"/>
  </r>
  <r>
    <s v="readychef.ie"/>
    <s v="tilde"/>
    <s v="Soft Fail"/>
    <s v="v=spf1 include:%{ir}.%{v}.%{d}.spf.has.pphosted.com ~all"/>
    <s v="yes"/>
    <x v="3"/>
    <s v="v=DMARC1; p=reject; fo=1; rua=mailto:dmarc_rua@emaildefense.proofpoint.com; ruf=mailto:dmarc_ruf@emaildefense.proofpoint.com"/>
    <m/>
    <m/>
    <x v="0"/>
    <x v="37"/>
  </r>
  <r>
    <s v="ecijcb.ie"/>
    <s v="minus"/>
    <s v="Fail"/>
    <s v="v=spf1 ip4:172.167.98.229 include:spf.protection.outlook.com include:mail.ibcosonline.co.uk -all"/>
    <m/>
    <x v="0"/>
    <m/>
    <m/>
    <m/>
    <x v="0"/>
    <x v="37"/>
  </r>
  <r>
    <s v="boylanprintgroup.ie"/>
    <s v="tilde"/>
    <s v="Soft Fail"/>
    <s v="v=spf1 ip4:185.199.220.88 include:relay.k.io a mx ip4:77.72.0.150 ~all"/>
    <s v="yes"/>
    <x v="0"/>
    <m/>
    <m/>
    <m/>
    <x v="2"/>
    <x v="37"/>
  </r>
  <r>
    <s v="gea.com"/>
    <s v="minus"/>
    <s v="Fail"/>
    <s v="v=spf1 ip4:178.77.90.228 ip4:40.68.136.81 ip4:40.114.253.6 ip4:195.50.76.232 ip4:195.50.76.237 ip4:149.235.15.0/24 ip4:130.214.105.240/28 ip4:130.214.134.192/28 ip4:130.214.240.208/28 ip4:130.214.163.240/28 include:spf.protection.outlook.com ip4:85.214.&quot; &quot;129.169 ip4:197.97.85.97 ip4:185.93.143.53 ip4:185.215.218.82 include:_spf.online.superoffice.com -all"/>
    <s v="yes"/>
    <x v="3"/>
    <s v="v=DMARC1; p=reject; rua=mailto:dmarc_agg@vali.email,mailto:dmarc@inbound.flowmailer.net; ruf=mailto:dmarc@inbound.flowmailer.net; fo=1;"/>
    <m/>
    <m/>
    <x v="16"/>
    <x v="37"/>
  </r>
  <r>
    <s v="dulux.ie"/>
    <s v="minus"/>
    <s v="Fail"/>
    <s v="v=spf1 include:spf1.akzonobel.com a:static.msdp1.com ip4:52.16.11.63 include:spf.newsletter.ie -all"/>
    <s v="yes"/>
    <x v="1"/>
    <s v="v=DMARC1; p=quarantine; pct=100; rua=mailto:dmarc-report@sensorpro.net; ruf=mailto:dmarc-report@sensorpro.net"/>
    <m/>
    <m/>
    <x v="1"/>
    <x v="37"/>
  </r>
  <r>
    <s v="l'oreal.com"/>
    <s v="no"/>
    <s v="Not found"/>
    <m/>
    <m/>
    <x v="0"/>
    <m/>
    <m/>
    <m/>
    <x v="0"/>
    <x v="37"/>
  </r>
  <r>
    <s v="abgrouppackaging.com"/>
    <s v="minus"/>
    <s v="Fail"/>
    <s v="v=spf1 include:spf.protection.outlook.com include:sent-via.netsuite.com -all"/>
    <m/>
    <x v="0"/>
    <m/>
    <m/>
    <m/>
    <x v="24"/>
    <x v="37"/>
  </r>
  <r>
    <s v="wppg.com"/>
    <s v="minus"/>
    <s v="Fail"/>
    <s v="v=spf1 a ip4:158.120.85.36 ip4:62.64.249.230/31 ip4:213.170.190.9/29 ip4:213.170.190.209/28 ip4:80.65.107.16/28 ip4:84.19.51.146/29 ip4:195.243.14.154/29 ip4:2.136.200.80 ip4:149.36.231.242 ip4:89.125.252.224 ip4:89.125.254.217 ip4:78.137.137.130 ip4:213.&quot; &quot;136.12.0/24 ip4:84.19.51.146/32 ip4:91.2.23.239/32 ip4:162.254.89.7 ip4:85.232.20.185 ip4:85.62.12.78 ip4:187.251.246.197 ip4:81.0.74.180 ip4:194.143.244.198 ip4:85.134.132.253 ip4:189.51.0.163 ip4:192.174.81.41/26 ip4:37.251.181.124/31 ip4:178.62.218.212&quot; &quot;/32 ip4:114.143.235.114 ip4:187.251.246.30 ip4:152.169.190.214 ip4:65.56.40.90 ip6:2001:7b8:3:5::25:0/112 include:spf.protection.outlook.com include:sendgrid.net include:spf-breaks-email.bit.nl include:servers.mcsv.net include:emaileuc.freshservice.com in&quot; &quot;clude:de._netblocks.mimecast.com -all"/>
    <s v="yes"/>
    <x v="3"/>
    <s v="v=DMARC1;p=reject;sp=reject;pct=100;rua=mailto:dmarc@wppg.com"/>
    <m/>
    <m/>
    <x v="5"/>
    <x v="37"/>
  </r>
  <r>
    <s v="mars.com"/>
    <s v="tilde"/>
    <s v="Soft Fail"/>
    <s v="v=spf1 include:spf.mars-inc.com include:spf.protection.outlook.com include:spf.mandrillapp.com include:_spf.salesforce.com ~all"/>
    <s v="yes"/>
    <x v="3"/>
    <s v="v=DMARC1; p=reject; fo=1; ri=3600; rua=mailto:mars@rua.agari.com; ruf=mailto:mars@ruf.agari.com"/>
    <m/>
    <m/>
    <x v="0"/>
    <x v="37"/>
  </r>
  <r>
    <s v="galmere.ie"/>
    <s v="minus"/>
    <s v="Fail"/>
    <s v="v=spf1 include:spf.protection.outlook.com -all"/>
    <s v="yes"/>
    <x v="0"/>
    <m/>
    <m/>
    <m/>
    <x v="7"/>
    <x v="37"/>
  </r>
  <r>
    <s v="kilcarrigquarries.ie"/>
    <s v="minus"/>
    <s v="Fail"/>
    <s v="v=spf1 include:spf.protection.outlook.com -all"/>
    <m/>
    <x v="0"/>
    <m/>
    <m/>
    <m/>
    <x v="25"/>
    <x v="37"/>
  </r>
  <r>
    <s v="cartoonsaloon.ie"/>
    <s v="tilde"/>
    <s v="Soft Fail"/>
    <s v="v=spf1 include:_spf.google.com ~all"/>
    <s v="yes"/>
    <x v="0"/>
    <m/>
    <m/>
    <m/>
    <x v="17"/>
    <x v="37"/>
  </r>
  <r>
    <s v="allianzworldwidecare.com"/>
    <s v="tilde"/>
    <s v="Soft Fail"/>
    <s v="v=spf1 include:spf.allianz.com ip4:87.106.1.21 ip4:208.86.168.7 ip4:135.84.68.123 ip4:193.240.14.113 ip4:204.93.80.116 ip4:204.93.80.117 include:_spf.allianzworldwidecare.com include:esaas.inmoment.eu ~all"/>
    <s v="yes"/>
    <x v="3"/>
    <s v="v=DMARC1; p=reject; fo=1; ri=3600; rua=mailto:Rua-allianz@allianz.com; ruf=mailto:Ruf-allianz@allianz.com"/>
    <m/>
    <m/>
    <x v="0"/>
    <x v="37"/>
  </r>
  <r>
    <s v="faithlegg.com"/>
    <s v="minus"/>
    <s v="Fail"/>
    <s v="v=spf1 ip4:66.102.128.96 ip4:91.136.49.203 ip4:207.55.255.4 include:spf.protection.outlook.com include:authsmtp.com include:netaffinity.net include:turbo-smtp.com -all"/>
    <s v="yes"/>
    <x v="3"/>
    <s v="v=DMARC1;p=reject;pct=0"/>
    <m/>
    <m/>
    <x v="10"/>
    <x v="37"/>
  </r>
  <r>
    <s v="camdencourthotel.com"/>
    <s v="minus"/>
    <s v="Fail"/>
    <s v="v=spf1 include:spf.protection.outlook.com include:_spf.bookassist.com  -all"/>
    <m/>
    <x v="0"/>
    <m/>
    <m/>
    <m/>
    <x v="0"/>
    <x v="37"/>
  </r>
  <r>
    <s v="hsscu.ie"/>
    <s v="minus"/>
    <s v="Fail"/>
    <s v="v=spf1 include:spf.protection.outlook.com include:_spf.soluno.se include:spf.cuonline.well-it.com include:spf.mailjet.com include:spf.happyfox.com -all"/>
    <s v="yes"/>
    <x v="1"/>
    <s v="v=DMARC1; p=quarantine"/>
    <m/>
    <m/>
    <x v="0"/>
    <x v="37"/>
  </r>
  <r>
    <s v="essentrapackaging.com"/>
    <s v="no"/>
    <s v="Not found"/>
    <m/>
    <s v="yes"/>
    <x v="0"/>
    <m/>
    <m/>
    <m/>
    <x v="0"/>
    <x v="37"/>
  </r>
  <r>
    <s v="walshcolourprint.com"/>
    <s v="minus"/>
    <s v="Fail"/>
    <s v="v=spf1 include:spf.protection.outlook.com a:server1.printlogicsystem.com a:server2.printlogicsystem.com -all"/>
    <s v="yes"/>
    <x v="2"/>
    <s v="v=DMARC1; p=none; rua=mailto:backup@infinity2.ie; ruf=mailto:backup@infinity2.ie; fo=1"/>
    <m/>
    <m/>
    <x v="14"/>
    <x v="37"/>
  </r>
  <r>
    <s v="crestsolutions.ie"/>
    <s v="minus"/>
    <s v="Fail"/>
    <s v="v=spf1 ip4:212.17.60.82 include:spf.protection.outlook.com include:_spf.clockwise.info include:farahilde.clockwise.info include:servers.mcsv.net include:marketing.dynamics.com -all"/>
    <s v="yes"/>
    <x v="1"/>
    <s v="v=DMARC1; p=quarantine; rua=mailto:david.burke@crestsolutions.ie; ruf=mailto:david.burke@crestsolutions.ie;"/>
    <m/>
    <m/>
    <x v="1"/>
    <x v="37"/>
  </r>
  <r>
    <s v="airconmech.com"/>
    <s v="minus"/>
    <s v="Fail"/>
    <s v="v=spf1 mx a  ip4:94.102.198.214 ip4:212.126.59.52 ip4:212.126.58.192/27  a:mail.airconmech.com include:spf.ess.uk.barracudanetworks.com include:spf.protection.outlook.com include:sendgrid.net -all"/>
    <s v="yes"/>
    <x v="1"/>
    <s v="v=DMARC1; p=quarantine; rua=mailto:dmarc@airconmech.com; ruf=mailto:dmarc@airconmech.com; fo=1; adkim=r; aspf=r"/>
    <m/>
    <m/>
    <x v="3"/>
    <x v="37"/>
  </r>
  <r>
    <s v="scoilghobnatan.com"/>
    <s v="minus"/>
    <s v="Fail"/>
    <s v="v=spf1 include:spf.protection.outlook.com -all"/>
    <m/>
    <x v="0"/>
    <m/>
    <m/>
    <m/>
    <x v="1"/>
    <x v="37"/>
  </r>
  <r>
    <s v="sunday-times.ie"/>
    <s v="tilde"/>
    <s v="Soft Fail"/>
    <s v="v=spf1 include:_spf.news.co.uk ~all"/>
    <s v="yes"/>
    <x v="3"/>
    <s v="v=DMARC1; p=reject; fo=1; rua=mailto:dmarc_rua@emaildefense.proofpoint.com; ruf=mailto:dmarc_ruf@emaildefense.proofpoint.com"/>
    <m/>
    <m/>
    <x v="0"/>
    <x v="37"/>
  </r>
  <r>
    <s v="hml.ltd"/>
    <s v="minus"/>
    <s v="Fail"/>
    <s v="v=spf1 include:spf.protection.outlook.com -all"/>
    <m/>
    <x v="2"/>
    <s v="v=DMARC1; p=none;"/>
    <m/>
    <m/>
    <x v="6"/>
    <x v="37"/>
  </r>
  <r>
    <s v="brooklyn.ie"/>
    <s v="mis"/>
    <s v="Invalid SPF Syntax"/>
    <s v="v=spf1 redirect=_sei5h55j5.sdmarc.net"/>
    <s v="yes"/>
    <x v="3"/>
    <s v="v=DMARC1; p=reject; pct=100; rua=mailto:a.ei5h55j5@sdmarc.net"/>
    <m/>
    <m/>
    <x v="0"/>
    <x v="37"/>
  </r>
  <r>
    <s v="connectcentre.ie"/>
    <s v="no"/>
    <s v="Not found"/>
    <m/>
    <m/>
    <x v="0"/>
    <m/>
    <m/>
    <m/>
    <x v="0"/>
    <x v="37"/>
  </r>
  <r>
    <s v="retirementservices.ie"/>
    <s v="mis"/>
    <s v="Invalid SPF Syntax"/>
    <s v="v=spf1 a mx include:spf.irishdomains.com"/>
    <m/>
    <x v="0"/>
    <m/>
    <m/>
    <m/>
    <x v="11"/>
    <x v="37"/>
  </r>
  <r>
    <s v="newtownparkhouse.ie"/>
    <s v="minus"/>
    <s v="Fail"/>
    <s v="v=spf1 include:spf.protection.outlook.com -all"/>
    <m/>
    <x v="0"/>
    <m/>
    <m/>
    <m/>
    <x v="0"/>
    <x v="37"/>
  </r>
  <r>
    <s v="supervalufermoy.ie"/>
    <s v="no"/>
    <s v="Not found"/>
    <m/>
    <m/>
    <x v="0"/>
    <m/>
    <m/>
    <m/>
    <x v="1"/>
    <x v="37"/>
  </r>
  <r>
    <s v="joycesupermarket.com"/>
    <s v="minus"/>
    <s v="Fail"/>
    <s v="v=spf1 include:spf.protection.outlook.com ip4:83.70.80.17 ip4:86.43.114.181 ip4:83.70.80.21 ip4:86.43.84.46 ip4:78.143.178.30 ip4:83.70.80.22 ip4:86.43.100.112 -all"/>
    <s v="yes"/>
    <x v="0"/>
    <m/>
    <m/>
    <m/>
    <x v="7"/>
    <x v="37"/>
  </r>
  <r>
    <s v="supervalu.com"/>
    <s v="tilde"/>
    <s v="Soft Fail"/>
    <s v="v=spf1 include:%{ir}.%{v}.%{d}.spf.has.pphosted.com ~all"/>
    <m/>
    <x v="3"/>
    <s v="v=DMARC1; p=reject; fo=1; rua=mailto:dmarc_rua@emaildefense.proofpoint.com; ruf=mailto:dmarc_ruf@emaildefense.proofpoint.com"/>
    <m/>
    <m/>
    <x v="23"/>
    <x v="37"/>
  </r>
  <r>
    <s v="arboretum.com"/>
    <s v="question"/>
    <s v="Neutral"/>
    <s v="v=spf1 a mx ptr include:hostmonster.com ?all"/>
    <m/>
    <x v="0"/>
    <m/>
    <m/>
    <m/>
    <x v="25"/>
    <x v="37"/>
  </r>
  <r>
    <s v="brooksgroup.ie"/>
    <s v="tilde"/>
    <s v="Soft Fail"/>
    <s v="v=spf1 ip4:93.94.115.204 ip4:109.237.17.211 ip4:5.134.91.56/29 ip4:109.237.17.249 ip4:195.69.94.245 ip4:78.153.220.223 ip4:168.245.102.0 ip4:198.2.136.252 ip4:194.39.167.152 include:eu._netblocks.mimecast.com include:sendgrid.net include:spf.protection.ou&quot; &quot;tlook.com include:spf.mandrillapp.com include:servers.mcsv.net include:spf.emailsignatures365.com ~all"/>
    <s v="yes"/>
    <x v="0"/>
    <m/>
    <m/>
    <m/>
    <x v="0"/>
    <x v="37"/>
  </r>
  <r>
    <s v="crownroofing.ie"/>
    <s v="minus"/>
    <s v="Fail"/>
    <s v="v=spf1 ip4:83.147.183.6 include:spf.protection.outlook.com include:spf.ess.de.barracudanetworks.com include:servers.mcsv.net include:spf.exclaimer.net include:_spf.elasticemail.com -all"/>
    <s v="yes"/>
    <x v="2"/>
    <s v="v=DMARC1;p=none;pct=100;aspf=r;adkim=r;"/>
    <m/>
    <m/>
    <x v="24"/>
    <x v="37"/>
  </r>
  <r>
    <s v="frankkeanebmw.ie"/>
    <s v="tilde"/>
    <s v="Soft Fail"/>
    <s v="v=spf1 a mx include:spf.protection.outlook.com include:spf.mandrillapp.com ip4:178.250.116.82 ip4:82.198.158.249 ip4:144.2.246.213 ip4:62.77.169.41 ip4:213.94.190.12 ip4:159.134.118.18 ip4:62.77.169.42 include:_spf.netdirector.auto ~all"/>
    <s v="yes"/>
    <x v="2"/>
    <s v="v=DMARC1;  p=none; rua=mailto:23f2961f5c814f5e8bebc7da1ed9f13d@dmarc-reports.cloudflare.net"/>
    <m/>
    <m/>
    <x v="0"/>
    <x v="37"/>
  </r>
  <r>
    <s v="gpwood.ie"/>
    <s v="tilde"/>
    <s v="Soft Fail"/>
    <s v="v=spf1 +a +mx +a:web1.iseek.host +a:mail.darklite.ie include:spf.protection.outlook.com ip4:40.107.105.124 ip4:78.153.205.192/27 ip4:92.60.192.115 ip4:89.100.159.89 ip4:89.100.116.81 ~all"/>
    <s v="yes"/>
    <x v="2"/>
    <s v="v=DMARC1; p=none"/>
    <m/>
    <m/>
    <x v="1"/>
    <x v="37"/>
  </r>
  <r>
    <s v="cavaninstitute.ie"/>
    <s v="minus"/>
    <s v="Fail"/>
    <s v="v=spf1 include:spf.protection.outlook.com include:spf.dcsnet.ie ip4:137.191.239.238 ip4:159.183.154.182 ip4:159.183.137.76 -all"/>
    <s v="yes"/>
    <x v="3"/>
    <s v="v=DMARC1;p=reject;rua=mailto:dmarcsupport@cavaninstitute.ie"/>
    <m/>
    <m/>
    <x v="11"/>
    <x v="37"/>
  </r>
  <r>
    <s v="bayer.com"/>
    <s v="minus"/>
    <s v="Fail"/>
    <s v="v=spf1 a mx ip4:192.237.159.170 ip4:166.78.71.146 ip4:192.237.159.44 ip4:23.253.183.59 ip4:212.64.225.225  ip4:212.64.225.226 include:spf.bayer.com -all"/>
    <s v="yes"/>
    <x v="2"/>
    <s v="v=DMARC1; p=none; rua=mailto:abejo5ak@ag.eu.dmarcian.com"/>
    <m/>
    <m/>
    <x v="0"/>
    <x v="37"/>
  </r>
  <r>
    <s v="iitc.ie"/>
    <s v="minus"/>
    <s v="Fail"/>
    <s v="v=spf1 +a +mx +a:web2.iseek.host ip4:84.51.253.158 ip4:213.191.227.247 ip4:78.153.205.192/27 include:spf.protection.outlook.com ip4:78.143.184.206 -all"/>
    <s v="yes"/>
    <x v="2"/>
    <s v="v=DMARC1; p=none"/>
    <m/>
    <m/>
    <x v="1"/>
    <x v="37"/>
  </r>
  <r>
    <s v="cr2.com"/>
    <s v="minus"/>
    <s v="Fail"/>
    <s v="v=spf1 ip4:80.169.141.162 ip4:80.169.141.164 ip4:82.212.89.7 ip4:80.90.165.197 ip4:159.196.201.80 ip4:51.145.174.105 mx include:eu._netblocks.mimecast.com include:_spf.salesforce.com include:19711316.spf04.hubspotemail.net -all"/>
    <s v="yes"/>
    <x v="2"/>
    <s v="v=DMARC1;p=none;"/>
    <s v="yes"/>
    <s v="https://images.bimi-report.com/cr2.com.svg"/>
    <x v="0"/>
    <x v="37"/>
  </r>
  <r>
    <s v="fsai.ie"/>
    <s v="minus"/>
    <s v="Fail"/>
    <s v="v=spf1 include:spf.protection.outlook.com ip4:137.191.237.116 -all"/>
    <m/>
    <x v="0"/>
    <m/>
    <m/>
    <m/>
    <x v="0"/>
    <x v="37"/>
  </r>
  <r>
    <s v="theardilaunhotel.ie"/>
    <s v="minus"/>
    <s v="Fail"/>
    <s v="v=spf1 include:spf.protection.outlook.com ip4:5.9.72.76 include:smtproutes.com include:sendgrid.net include:authsmtp.com -all"/>
    <s v="yes"/>
    <x v="1"/>
    <s v="v=DMARC1; p=quarantine; sp=quarantine; rua=mailto:dmarc@theardilaunhotel.ie; ruf=mailto:dmarc@theardilaunhotel.ie; fo=1; pct=100"/>
    <m/>
    <m/>
    <x v="7"/>
    <x v="37"/>
  </r>
  <r>
    <s v="larchfieldpark.ie"/>
    <s v="tilde"/>
    <s v="Soft Fail"/>
    <s v="v=spf1 +mx +a +ip4:91.210.235.140 include:spf.protection.outlook.com ~all"/>
    <s v="yes"/>
    <x v="0"/>
    <m/>
    <m/>
    <m/>
    <x v="16"/>
    <x v="37"/>
  </r>
  <r>
    <s v="slcontrols.com"/>
    <s v="minus"/>
    <s v="Fail"/>
    <s v="v=spf1 include:spf.protection.outlook.com ip4:212.17.32.37 include:spf.topsec.com include:servers.mcsv.net -all"/>
    <m/>
    <x v="0"/>
    <m/>
    <m/>
    <m/>
    <x v="8"/>
    <x v="38"/>
  </r>
  <r>
    <s v="sle.ie"/>
    <s v="tilde"/>
    <s v="Soft Fail"/>
    <s v="v=spf1 a mx include:spf.elive.net ip4:83.71.139.201 include:spf.protection.outlook.com ~all"/>
    <m/>
    <x v="2"/>
    <s v="v=DMARC1; p=none; sp=none; rf=afrf; pct=100; ri=86400"/>
    <m/>
    <m/>
    <x v="9"/>
    <x v="39"/>
  </r>
  <r>
    <s v="teel.com"/>
    <s v="tilde"/>
    <s v="Soft Fail"/>
    <s v="v=spf1 ip4:162.245.183.32/28 ip4:4.43.193.184/29 include:spf.protection.outlook.com ~all"/>
    <s v="yes"/>
    <x v="2"/>
    <s v="v=DMARC1; p=none;"/>
    <m/>
    <m/>
    <x v="16"/>
    <x v="39"/>
  </r>
  <r>
    <s v="eskerlodgenursinghome.ie"/>
    <s v="tilde"/>
    <s v="Soft Fail"/>
    <s v="v=spf1 ip4:185.32.253.250 include:spf.protection.outlook.com include:spf.mailanyone.net include:spf-esec.heimdalsecurity.com include:spf.smtp2go.com ~all"/>
    <s v="yes"/>
    <x v="0"/>
    <m/>
    <m/>
    <m/>
    <x v="11"/>
    <x v="40"/>
  </r>
  <r>
    <s v="stflannanscollege.ie"/>
    <s v="minus"/>
    <s v="Fail"/>
    <s v="v=spf1 +ip4:116.202.210.197 +include:spf.protection.outlook.com -all"/>
    <s v="yes"/>
    <x v="0"/>
    <m/>
    <m/>
    <m/>
    <x v="9"/>
    <x v="41"/>
  </r>
  <r>
    <s v="dunreidy.com"/>
    <s v="minus"/>
    <s v="Fail"/>
    <s v="v=spf1 include:servers.mcsv.net a:cleanmail1.deycom.com a:cleanmail2.deycom.com a:remote.deycom.com a:remote.dunreidy.com a:mail.dunreidy.com include:spf.protection.outlook.com include:_spf.elasticemail.com -all"/>
    <s v="yes"/>
    <x v="2"/>
    <s v="v=DMARC1; p=none;"/>
    <m/>
    <m/>
    <x v="17"/>
    <x v="41"/>
  </r>
  <r>
    <s v="tente.com"/>
    <s v="minus"/>
    <s v="Fail"/>
    <s v="v=spf1 ip4:157.55.9.128/25 ip4:65.54.121.120/29 ip4:65.55.81.48/28 ip4:65.55.234.192/26 ip4:207.46.200.0/27 ip4:65.55.52.224/27 ip4:94.245.112.10/31 i&quot; &quot;p4:94.245.112.0/27 ip4:111.221.26.0/27 ip4:207.46.50.192/26 ip4:207.46.50.224 ip4:207.68.169.173/30 ip4:207.68.176.0/26 ip4:207.46.132.128/27 ip4:207.&quot; &quot;68.176.96/27 ip4:65.55.238.129/26 ip4:207.46.116.128/29 ip4:65.55.178.128/27 ip4:213.199.161.128/27 ip4:65.55.33.64/28 ip4:167.220.67.238 ip4:51.4.71.&quot; &quot;62 ip4:23.103.131.7 ip4:131.253.121.20 ip4:131.253.121.52 ip4:65.55.81.54/31 ip4:65.54.121.124/31 ip4:103.9.8.121 ip4:51.144.115.48 ip4:103.9.8.122 ip&quot; &quot;4:103.9.8.123 ip4:42.159.163.81 ip4:42.159.163.82 ip4:42.159.163.83 ip4:157.55.0.192/26 ip4:157.55.1.128/26 ip4:157.55.2.0/25 ip4:65.54.190.0/24 ip4:6&quot; &quot;5.54.51.64/26 ip4:65.54.61.64/26 ip4:65.55.111.0/24 ip4:65.55.116.0/25 ip4:65.55.34.0/24 ip4:65.55.90.0/24 ip4:65.54.241.0/24 ip4:207.46.117.0/24 ip4:&quot; &quot;65.55.78.128/25 ip4:111.221.112.0/21 ip4:207.46.58.128/25 ip4:111.221.69.128/25 ip4:111.221.66.0/25 ip4:111.221.23.128/25 ip4:70.37.151.128/25 ip4:157&quot; &quot;.56.248.0/21 ip4:213.199.177.0/26 ip4:157.55.225.0/25 ip4:157.55.11.0/25 ip4:185.104.73.142 ip4:89.202.39.129 ip4:91.205.116.251 ip4:193.179.14.98 ip4&quot; &quot;:193.179.14.99 ip4:69.61.206.162 ip4:82.76.191.79 ip4:37.228.154.183 ip4:37.228.154.77 ip4:213.163.164.201 ip4:213.163.169.136 ip4:46.105.67.29 ip4:19&quot; &quot;3.242.174.52 ip4:195.215.31.222 ip4:62.55.182.68 ip4:3.68.40.83 ip4:18.198.18.157 ip4:3.68.17.221 ip4:3.67.235.98 ip4:3.68.38.23 ip4:18.198.149.19 ip4&quot; &quot;:3.64.131.199 ip4:3.64.88.217 ip4:3.64.142.243 ip4:87.53.90.22 ip4:78.24.15.64/26 ip4:185.68.68.0/22 ip4:185.115.1.86 ip4:102.22.194.100 ip4:41.120.17&quot; &quot;.188 ip4:3.67.178.138  include:spf.protection.outlook.com include:spf.emailsignatures365.com include:emaileu.clickdimensions.com include:_spf.cmail.on&quot; &quot;demand.com include:spf.plutex.de a:managedmail.3ict.nl include:spfv4.sosafe.de include:spfv6.sosafe.de -all"/>
    <s v="yes"/>
    <x v="1"/>
    <s v="v=DMARC1; p=quarantine; rua=mailto:dmarc.de@tente.com; fo=0; adkim=r; aspf=r; rf=afrf; sp=none; pct=100"/>
    <m/>
    <m/>
    <x v="8"/>
    <x v="41"/>
  </r>
  <r>
    <s v="sheenfallslodge.ie"/>
    <s v="tilde"/>
    <s v="Soft Fail"/>
    <s v="v=spf1 ip4:185.51.105.225 ip4:149.72.150.15 ip4:168.245.107.83 ip4:149.72.136.158 include:spf.protection.outlook.com include:spf.mtasv.net include:mailgun.org include:spf.premiersoftware.co.uk include:spf.mailjet.com ~all"/>
    <s v="yes"/>
    <x v="2"/>
    <s v="v=DMARC1; p=none; fo=1; rua=mailto:rua+sheenfallslodge.ie@dmarc.barracudanetworks.com; ruf=mailto:ruf+sheenfallslodge.ie@dmarc.barracudanetworks.com"/>
    <m/>
    <m/>
    <x v="14"/>
    <x v="41"/>
  </r>
  <r>
    <s v="amberoil.ie"/>
    <s v="tilde"/>
    <s v="Soft Fail"/>
    <s v="v=spf1 include:%{i}._ip.%{h}._ehlo.%{d}._spf.vali.email ~all"/>
    <m/>
    <x v="3"/>
    <s v="v=DMARC1; p=reject; rua=mailto:dmarc_agg@vali.email,mailto:DMARC.RUF@greenergy.com; ruf=mailto:DMARC.RUF@greenergy.com"/>
    <m/>
    <m/>
    <x v="1"/>
    <x v="41"/>
  </r>
  <r>
    <s v="svhf.ie"/>
    <s v="tilde"/>
    <s v="Soft Fail"/>
    <s v="v=spf1 include:spf.protection.outlook.com a:mail1.svhf.ie  ~all"/>
    <m/>
    <x v="0"/>
    <m/>
    <m/>
    <m/>
    <x v="0"/>
    <x v="42"/>
  </r>
  <r>
    <s v="bolgers.com"/>
    <s v="tilde"/>
    <s v="Soft Fail"/>
    <s v="v=spf1 include:spf.topsec.com include:spf.protection.outlook.com ip4:93.107.109.52/32 ~all"/>
    <m/>
    <x v="0"/>
    <m/>
    <m/>
    <m/>
    <x v="9"/>
    <x v="42"/>
  </r>
  <r>
    <s v="moog.com"/>
    <s v="minus"/>
    <s v="Fail"/>
    <s v="v=spf1 ip4:104.193.137.41 ip4:104.193.137.227 ip4:104.193.137.209 include:spf-00184801.pphosted.com include:_spf.moog.com include:_spf.createsend.com include:servers.mcsv.net -all"/>
    <s v="yes"/>
    <x v="3"/>
    <s v="v=DMARC1; p=reject; fo=1; rua=mailto:dmarc_rua@emaildefense.proofpoint.com; ruf=mailto:dmarc_ruf@emaildefense.proofpoint.com"/>
    <m/>
    <m/>
    <x v="1"/>
    <x v="42"/>
  </r>
  <r>
    <s v="corktaxi.ie"/>
    <s v="tilde"/>
    <s v="Soft Fail"/>
    <s v="v=spf1 +a +mx +ip4:66.206.3.250 +ip4:104.47.14.57 include:spf.protection.outlook.com include:spf.reg365.net ~all"/>
    <m/>
    <x v="0"/>
    <m/>
    <m/>
    <m/>
    <x v="1"/>
    <x v="42"/>
  </r>
  <r>
    <s v="bellurgan.com"/>
    <s v="minus"/>
    <s v="Fail"/>
    <s v="v=spf1 ip4:109.234.99.146 include:spf.protection.outlook.com -all"/>
    <s v="yes"/>
    <x v="1"/>
    <s v="v=DMARC1; p=quarantine; rua=mailto:dmarc@bellurgan.com"/>
    <m/>
    <m/>
    <x v="2"/>
    <x v="43"/>
  </r>
  <r>
    <s v="caw.ie"/>
    <s v="tilde"/>
    <s v="Soft Fail"/>
    <s v="v=spf1 include:spf.protection.outlook.com include:smtp.cologlobal.com ip4:89.101.151.145 ~all"/>
    <m/>
    <x v="0"/>
    <m/>
    <m/>
    <m/>
    <x v="0"/>
    <x v="44"/>
  </r>
  <r>
    <s v="stwarchitects.com"/>
    <s v="minus"/>
    <s v="Fail"/>
    <s v="v=spf1 include:spf.protection.outlook.com -all"/>
    <m/>
    <x v="0"/>
    <m/>
    <m/>
    <m/>
    <x v="0"/>
    <x v="45"/>
  </r>
  <r>
    <s v="quinns.ie"/>
    <s v="mis"/>
    <s v="Invalid SPF Syntax"/>
    <s v="v=spf1 a mx include:spf.irishdomains.com"/>
    <m/>
    <x v="0"/>
    <m/>
    <m/>
    <m/>
    <x v="24"/>
    <x v="45"/>
  </r>
  <r>
    <s v="faacgroup.com"/>
    <s v="minus"/>
    <s v="Fail"/>
    <s v="v=spf1 mx include:spf.protection.outlook.com include:_spf.elasticemail.com include:servers.mcsv.net include:spf.icontroller.eu include:musvc.com include:spf.constantcontact.com include:_spf.mlsend.com ip4:149.72.171.119 ip4:217.8.248.0/25 exists:%{i}.spf.&quot; &quot;hc2493-46.eu.iphmx.com -all"/>
    <s v="yes"/>
    <x v="3"/>
    <s v="v=DMARC1; p=reject; pct=100; rua=mailto:dmarca@faacgroup.com; ruf=mailto:dmarcf@faacgroup.com; fo=1"/>
    <m/>
    <m/>
    <x v="0"/>
    <x v="45"/>
  </r>
  <r>
    <s v="crowehorwath.ie"/>
    <s v="minus"/>
    <s v="Fail"/>
    <s v="v=spf1 include:spf.topsec.com include:spf.sendinblue.com include:spf.protection.outlook.com mx -all"/>
    <m/>
    <x v="2"/>
    <s v="v=DMARC1; p=none; rua=mailto:dmarcreports@crowe.ie; ruf=mailto:dmarcreports@crowe.ie; fo=1; adkim=s; aspf=s;"/>
    <m/>
    <m/>
    <x v="0"/>
    <x v="46"/>
  </r>
  <r>
    <s v="charteredaccountants.ie"/>
    <s v="tilde"/>
    <s v="Soft Fail"/>
    <s v="v=spf1 mx a ip4:193.120.76.114 ip4:89.185.150.44 include:spf.protection.outlook.com include:cmail1.com include:_spf.arlo.co include:msgfocus.com ~all"/>
    <s v="yes"/>
    <x v="1"/>
    <s v="v=DMARC1; p=quarantine; sp=none; rua=mailto:webmaster@charteredaccountants.ie;"/>
    <m/>
    <m/>
    <x v="0"/>
    <x v="46"/>
  </r>
  <r>
    <s v="irishrugby.ie"/>
    <s v="minus"/>
    <s v="Fail"/>
    <s v="v=spf1 include:spf.myconnectwise.net include:spf.protection.outlook.com include:spf.soticservers.net include:eu._netblocks.mimecast.com include:_spf-dc55.sapsf.eu -all"/>
    <s v="yes"/>
    <x v="3"/>
    <s v="v=DMARC1; p=reject; rua=mailto:00576b64b191795@rep.dmarcanalyzer.com; ruf=mailto:00576b64b191795@for.dmarcanalyzer.com; fo=1;"/>
    <m/>
    <m/>
    <x v="0"/>
    <x v="46"/>
  </r>
  <r>
    <s v="goracing.ie"/>
    <s v="minus"/>
    <s v="Fail"/>
    <s v="v=spf1 exists:%{i}.spf.acme.iphmx.com ip4:137.191.244.169 ip4:137.191.244.177 ip4:139.138.61.113 ip4:139.138.61.197 ip4:139.138.36.15 ip4:139.138.36.238 ip4:208.91.114.151 include:spf.protection.outlook.com -all"/>
    <m/>
    <x v="1"/>
    <s v="v=DMARC1; p=quarantine; rua=mailto:357d325411d64ab7aaff9cb2b19582f7@dmarc-reports.cloudflare.net"/>
    <m/>
    <m/>
    <x v="16"/>
    <x v="46"/>
  </r>
  <r>
    <s v="accreate.com"/>
    <s v="tilde"/>
    <s v="Soft Fail"/>
    <s v="v=spf1 include:spf2.premiergp.com include:spf.premiergp.com ~all"/>
    <s v="yes"/>
    <x v="2"/>
    <s v="v=DMARC1; p=none; rua=mailto:mailadministator@accreate.com; ruf=mailto:mailadministator@accreate.com; sp=none; fo=1; ri=86400"/>
    <m/>
    <m/>
    <x v="0"/>
    <x v="46"/>
  </r>
  <r>
    <s v="ashfieldhealthcare.com"/>
    <s v="tilde"/>
    <s v="Soft Fail"/>
    <s v="v=spf1 include:eu._netblocks.mimecast.com include:mailgun.org include:_spf.salesforce.com ip4:38.100.206.240/32 ip4:79.137.16.192/27 ip4:198.2.132.142/32 ~all"/>
    <m/>
    <x v="1"/>
    <s v="v=DMARC1; p=quarantine; rua=mailto:rua@ashfieldhealthcare.com; ruf=mailto:ruf@ashfieldhealthcare.com"/>
    <m/>
    <m/>
    <x v="0"/>
    <x v="46"/>
  </r>
  <r>
    <s v="parcaviation.com"/>
    <s v="tilde"/>
    <s v="Soft Fail"/>
    <s v="v=spf1 include:outlook.com ~all"/>
    <m/>
    <x v="2"/>
    <s v="v=DMARC1;p=none;rua=mailto:iyh2whum@ag.ca.dmarcian.com;"/>
    <m/>
    <m/>
    <x v="0"/>
    <x v="46"/>
  </r>
  <r>
    <s v="morganmckinley.com"/>
    <s v="tilde"/>
    <s v="Soft Fail"/>
    <s v="v=spf1 include:spf2.premiergp.com include:spf.premiergp.com ~all"/>
    <s v="yes"/>
    <x v="2"/>
    <s v="v=DMARC1;p=none;rua=mailto:mailadministator@morganmckinley.com,mailto:6167661274@rua.easydmarc.eu;ruf=mailto:mailadministator@morganmckinley.com,mailto:6167661274@ruf.easydmarc.eu;fo=1;"/>
    <m/>
    <m/>
    <x v="0"/>
    <x v="46"/>
  </r>
  <r>
    <s v="glennons.ie"/>
    <s v="tilde"/>
    <s v="Soft Fail"/>
    <s v="v=spf1 a mx include:_spf.createsend.com include:sendgrid.net include:spf.protection.outlook.com include:_spf.salesforce.com ip4:88.150.142.67 ip4:20.234.96.176 ip4:13.74.114.132 ip4:13.69.157.38 ip4:83.142.230.177 ip4:20.234.123.147 ip4:20.234.113.38 ip4:&quot; &quot;85.255.23.51 ~all"/>
    <s v="yes"/>
    <x v="1"/>
    <s v="v=DMARC1; p=quarantine; rua=mailto:dmarc_rua@glennons.ie;"/>
    <m/>
    <m/>
    <x v="0"/>
    <x v="46"/>
  </r>
  <r>
    <s v="fotaisland.ie"/>
    <s v="minus"/>
    <s v="Fail"/>
    <s v="v=spf1 include:eu-sender.zohosubscriptions.com include:spf.eu.exclaimer.net include:_spf.granite.ie include:spf.protection.outlook.com include:email2.guestfolio.net include:sendgrid.net include:oracleindustry.com -all"/>
    <s v="yes"/>
    <x v="2"/>
    <s v="v=DMARC1; p=none; rua=mailto:dmarc_agg@vali.email;"/>
    <m/>
    <m/>
    <x v="1"/>
    <x v="46"/>
  </r>
  <r>
    <s v="worldrugby.org"/>
    <s v="mis"/>
    <s v="Invalid SPF Syntax"/>
    <s v="v=spf1 redirect=baoh8se5._spf._d.mim.ec"/>
    <s v="yes"/>
    <x v="3"/>
    <s v="v=DMARC1; p=reject; rua=mailto:02ba35546e8c330@rep.dmarcanalyzer.com, mailto:dmarc_agg@vali.email; ruf=mailto:02ba35546e8c330@for.dmarcanalyzer.com; fo=1;"/>
    <m/>
    <m/>
    <x v="0"/>
    <x v="46"/>
  </r>
  <r>
    <s v="jcdecaux.ie"/>
    <s v="minus"/>
    <s v="Fail"/>
    <s v="v=spf1 include:spf.jcdecaux.com -all"/>
    <s v="yes"/>
    <x v="0"/>
    <m/>
    <m/>
    <m/>
    <x v="0"/>
    <x v="46"/>
  </r>
  <r>
    <s v="omd.com"/>
    <s v="minus"/>
    <s v="Fail"/>
    <s v="v=spf1 include:spf.protection.outlook.com include:servers.mcsv.net include:2432162.spf08.hubspotemail.net include:_spf.kase.se include:_spfmo.mediaocean.com -all"/>
    <s v="yes"/>
    <x v="3"/>
    <s v="v=DMARC1; p=reject; rua=mailto:rc7yjbis@ag.us.dmarcian.com;"/>
    <m/>
    <m/>
    <x v="0"/>
    <x v="46"/>
  </r>
  <r>
    <s v="electricgalway.com"/>
    <s v="minus"/>
    <s v="Fail"/>
    <s v="v=spf1 include:spf.protection.outlook.com a:vie01a-dmta-pe01-2.mx.upcmail.net -all"/>
    <m/>
    <x v="0"/>
    <m/>
    <m/>
    <m/>
    <x v="7"/>
    <x v="46"/>
  </r>
  <r>
    <s v="parkrite.ie"/>
    <s v="minus"/>
    <s v="Fail"/>
    <s v="v=spf1 include:spf.protection.outlook.com -all"/>
    <m/>
    <x v="0"/>
    <m/>
    <m/>
    <m/>
    <x v="0"/>
    <x v="46"/>
  </r>
  <r>
    <s v="trabolgan.com"/>
    <s v="minus"/>
    <s v="Fail"/>
    <s v="v=spf1 include:mail.campmanager.com ip4:86.47.226.59 ip4:91.210.232.140 ip4:78.137.168.236 include:spf.constantcontact.com include:servers.mcsv.net include:spf.protection.outlook.com -all"/>
    <s v="yes"/>
    <x v="2"/>
    <s v="v=DMARC1; p=none;"/>
    <m/>
    <m/>
    <x v="1"/>
    <x v="46"/>
  </r>
  <r>
    <s v="rabobank.ie"/>
    <s v="minus"/>
    <s v="Fail"/>
    <s v="v=spf1 MX -all"/>
    <m/>
    <x v="3"/>
    <s v="v=DMARC1; p=reject; rua=mailto:difuwh3e@ag.eu.dmarcadvisor.com"/>
    <m/>
    <m/>
    <x v="0"/>
    <x v="46"/>
  </r>
  <r>
    <s v="greyhound.ie"/>
    <s v="minus"/>
    <s v="Fail"/>
    <s v="v=spf1 include:spf.protection.outlook.com ip4:52.209.222.127 -all"/>
    <s v="yes"/>
    <x v="2"/>
    <s v="v=DMARC1; p=none;"/>
    <m/>
    <m/>
    <x v="0"/>
    <x v="46"/>
  </r>
  <r>
    <s v="mulleadygroup.com"/>
    <s v="no"/>
    <s v="Not found"/>
    <m/>
    <m/>
    <x v="0"/>
    <m/>
    <m/>
    <m/>
    <x v="20"/>
    <x v="46"/>
  </r>
  <r>
    <s v="corvil.com"/>
    <s v="tilde"/>
    <s v="Soft Fail"/>
    <s v="v=spf1 mx ip4:31.193.216.71 include:aspmx.pardot.com include:docebosaas.com include:spf.protection.outlook.com include:_spf.salesforce.com ~all"/>
    <s v="yes"/>
    <x v="3"/>
    <s v="v=DMARC1; p=reject; pct=100; rua=mailto:re+cnejrc6vg96@dmarc.postmarkapp.com; sp=none; aspf=r;"/>
    <m/>
    <m/>
    <x v="0"/>
    <x v="46"/>
  </r>
  <r>
    <s v="lynskeyeng.ie"/>
    <s v="tilde"/>
    <s v="Soft Fail"/>
    <s v="v=spf1 +a +mx +ip4:31.25.185.186 +include:relay.mailchannels.net +ip4:185.108.130.131 +ip4:31.216.237.218 +include:spf.protection.outlook.com ~all"/>
    <s v="yes"/>
    <x v="1"/>
    <s v="v=DMARC1; p=quarantine; rua=mailto:dmarc@infinitetechnology.ie; ruf=mailto:dmarc@infinitetechnology.ie; fo=1;"/>
    <m/>
    <m/>
    <x v="0"/>
    <x v="46"/>
  </r>
  <r>
    <s v="malonegroup.com"/>
    <s v="tilde"/>
    <s v="Soft Fail"/>
    <s v="v=spf1 include:spf.protection.outlook.com include:spf.exclaimer.net include:spf.helpdesk.com ~all"/>
    <s v="yes"/>
    <x v="3"/>
    <s v="v=DMARC1; p=reject; rua=mailto:e507e39da11c427a981e8f15bc4d86b8@dmarc-reports.cloudflare.net,mailto:6g8ir3ci@ag.eu.dmarcadvisor.com;"/>
    <m/>
    <m/>
    <x v="0"/>
    <x v="46"/>
  </r>
  <r>
    <s v="cygnum.ie"/>
    <s v="minus"/>
    <s v="Fail"/>
    <s v="v=spf1 include:spf.protection.outlook.com ip4:78.153.205.201 -all"/>
    <m/>
    <x v="2"/>
    <s v="v=DMARC1; p=none"/>
    <m/>
    <m/>
    <x v="1"/>
    <x v="46"/>
  </r>
  <r>
    <s v="myhome.ie"/>
    <s v="tilde"/>
    <s v="Soft Fail"/>
    <s v="v=spf1 ip4:217.112.147.0/24 ip4:195.7.33.0/24 include:_spf.google.com include:spf.protection.outlook.com ~all"/>
    <s v="yes"/>
    <x v="2"/>
    <s v="v=DMARC1; p=none;"/>
    <m/>
    <m/>
    <x v="0"/>
    <x v="46"/>
  </r>
  <r>
    <s v="extraspacesolutions.com"/>
    <s v="no"/>
    <s v="Not found"/>
    <m/>
    <m/>
    <x v="0"/>
    <m/>
    <m/>
    <m/>
    <x v="0"/>
    <x v="46"/>
  </r>
  <r>
    <s v="clancy.ie"/>
    <s v="tilde"/>
    <s v="Soft Fail"/>
    <s v="v=spf1 +a +mx +ip4:92.51.242.205 +ip4:92.51.242.54 +ip4:91.142.102.188 +a:smtp.upcmail.ie +a:mail.eircom.net +a:spamblock.clancy.ie +include:spf.protection.outlook.com +a:remote.clancy.ie ~all"/>
    <s v="yes"/>
    <x v="2"/>
    <s v="v=DMARC1;p=none;sp=none;adkim=r;aspf=r;pct=100;fo=1;rf=afrf;ri=86400;rua=mailto:rep-dmarc@i-dmarc.com;ruf=mailto:for-dmarc@i-dmarc.com"/>
    <m/>
    <m/>
    <x v="13"/>
    <x v="46"/>
  </r>
  <r>
    <s v="bennettconstruction.ie"/>
    <s v="minus"/>
    <s v="Fail"/>
    <s v="v=spf1 include:spf.protection.outlook.com include:spf.blacknight.com include:spf.topsec.com include:_spf_cd.spamtitan.com -all"/>
    <m/>
    <x v="0"/>
    <m/>
    <m/>
    <m/>
    <x v="23"/>
    <x v="46"/>
  </r>
  <r>
    <s v="energia.ie"/>
    <s v="minus"/>
    <s v="Fail"/>
    <s v="v=spf1 mx ip4:5.61.115.48/28 ip4:5.61.115.32/28 ip4:81.20.37.9 ip4:185.129.177.9 ip4:31.121.9.142 ip4:31.121.9.181 ip4:31.121.9.203 ip4:23.21.109.197 ip4:23.21.109.212 ip4:147.160.167.14 ip4:147.160.167.15 ip4:52.49.235.189 ip4:52.49.201.246 include:spf.p&quot; &quot;rotection.outlook.com include:_spf.salesforce.com include:mandrillapp.com include:_spf.eu.mailgun.org include:_spf.mailgun.org -all"/>
    <s v="yes"/>
    <x v="1"/>
    <s v="v=DMARC1; p=quarantine; rua=mailto:dmarc@energia.ie,mailto:brziax9u@ag.eu.dmarcian.com; fo=1"/>
    <m/>
    <m/>
    <x v="0"/>
    <x v="46"/>
  </r>
  <r>
    <s v="collengroup.com"/>
    <s v="no"/>
    <s v="Not found"/>
    <m/>
    <m/>
    <x v="0"/>
    <m/>
    <m/>
    <m/>
    <x v="0"/>
    <x v="46"/>
  </r>
  <r>
    <s v="byrnemech.ie"/>
    <s v="minus"/>
    <s v="Fail"/>
    <s v="v=spf1 a include:spf.protection.outlook.com a:spamtitan.zenotec.ie ip4:93.107.177.179  include:spf.topsec.com -all"/>
    <s v="yes"/>
    <x v="1"/>
    <s v="v=DMARC1; p=quarantine; pct=100; rua=mailto:dmarc@zenotec.ie; ruf=mailto:dmarc@zenotec.ie; fo=1"/>
    <m/>
    <m/>
    <x v="7"/>
    <x v="46"/>
  </r>
  <r>
    <s v="alsglobal.com"/>
    <s v="tilde"/>
    <s v="Soft Fail"/>
    <s v="v=spf1 include:spf.protection.outlook.com include:%{i}._ip.%{h}._ehlo.%{d}._spf.vali.email ~all"/>
    <s v="yes"/>
    <x v="3"/>
    <s v="v=DMARC1; p=reject; rua=mailto:dmarc_agg@vali.email"/>
    <s v="yes"/>
    <s v="https://amplify.valimail.com/bimi/als-laboratory-group/d3DGfkbvUfD-CMYK-ALS-LogoCircle-Blue.svg"/>
    <x v="7"/>
    <x v="46"/>
  </r>
  <r>
    <s v="itsa.ie"/>
    <s v="tilde"/>
    <s v="Soft Fail"/>
    <s v="v=spf1 include:SPF.protection.outlook.com ~all"/>
    <m/>
    <x v="0"/>
    <m/>
    <m/>
    <m/>
    <x v="0"/>
    <x v="46"/>
  </r>
  <r>
    <s v="lscatering.ie"/>
    <s v="no"/>
    <s v="Not found"/>
    <m/>
    <m/>
    <x v="0"/>
    <m/>
    <m/>
    <m/>
    <x v="0"/>
    <x v="46"/>
  </r>
  <r>
    <s v="klasmann-deilmann.com"/>
    <s v="minus"/>
    <s v="Fail"/>
    <s v="v=spf1 a ip4:82.165.57.128 ip4:80.228.84.131 ip4:80.228.84.130 ip4:217.160.0.65 ip4:212.227.126.130 include:amazonses.com include:spf-de.emailsignatures365.com include:spf.protection.outlook.com -all"/>
    <s v="yes"/>
    <x v="1"/>
    <s v="v=DMARC1; p=quarantine; sp=none;"/>
    <m/>
    <m/>
    <x v="23"/>
    <x v="46"/>
  </r>
  <r>
    <s v="eurofound.europa.eu"/>
    <s v="tilde"/>
    <s v="Soft Fail"/>
    <s v="v=spf1  ip4:6.105.61.53 ip4:193.1.10.137 include:spf.protection.outlook.com include:spf.emailsignatures365.com include:customers.clickdimensions.com include:network.mynewsdesk.com ~all"/>
    <s v="yes"/>
    <x v="2"/>
    <s v="v=DMARC1; p=none; rua=mailto:d103bys7@ag.eu.dmarcadvisor.com; adkim=r; aspf=r; sp=none"/>
    <m/>
    <m/>
    <x v="0"/>
    <x v="46"/>
  </r>
  <r>
    <s v="annerhotel.com"/>
    <s v="minus"/>
    <s v="Fail"/>
    <s v="v=spf1 -all"/>
    <m/>
    <x v="0"/>
    <m/>
    <m/>
    <m/>
    <x v="13"/>
    <x v="46"/>
  </r>
  <r>
    <s v="syncreon.com"/>
    <s v="tilde"/>
    <s v="Soft Fail"/>
    <s v="v=spf1 mx a ptr ip4:198.54.218.0/24 a:mailus.syncreon.com a:mailus1.syncreon.com include:us._netblocks.mimecast.com include:spf.afas.online include:_spf.salesforce.com include:spf.protection.outlook.com ~all"/>
    <m/>
    <x v="0"/>
    <m/>
    <m/>
    <m/>
    <x v="0"/>
    <x v="46"/>
  </r>
  <r>
    <s v="flemingtransport.ie"/>
    <s v="no"/>
    <s v="Not found"/>
    <m/>
    <m/>
    <x v="0"/>
    <m/>
    <m/>
    <m/>
    <x v="0"/>
    <x v="46"/>
  </r>
  <r>
    <s v="qtponline.com"/>
    <s v="tilde"/>
    <s v="Soft Fail"/>
    <s v="v=spf1 ip4:165.72.200.104 ip4:165.72.200.105 ip4:165.72.200.106 ip4:165.72.200.107 include:sendgrid.net include:fdspfus.freshemail.io include:fdspfeuc.freshemail.io include:fdspfind.freshemail.io include:fdspfaus.freshemail.io include:spf.protection.&quot; &quot;outlook.com ~all"/>
    <s v="yes"/>
    <x v="1"/>
    <s v="v=DMARC1;p=quarantine;pct=100;rua=mailto:it@qtponline.com;ri=86400;fo=1"/>
    <m/>
    <m/>
    <x v="23"/>
    <x v="46"/>
  </r>
  <r>
    <s v="vitalograph.ie"/>
    <s v="tilde"/>
    <s v="Soft Fail"/>
    <s v="v=spf1 ip4:31.121.82.196  include:spf.fusemail.net include:spf.mailanyone.net include:_spf.psm.knowbe4.com include:20292539.spf10.hubspotemail.net include:_spf.psm.knowbe4.com ~all"/>
    <s v="yes"/>
    <x v="2"/>
    <s v="v=DMARC1; p=none; pct=100; rua=mailto:dmarc_agg@vali.email; sp=none; aspf=r;"/>
    <m/>
    <m/>
    <x v="9"/>
    <x v="46"/>
  </r>
  <r>
    <s v="bordbia.ie"/>
    <s v="tilde"/>
    <s v="Soft Fail"/>
    <s v="v=spf1 mx ip4:137.191.239.166 a:autotask.net include:spf.mandrillapp.com include:spf.protection.outlook.com include:spf.exclaimer.net include:_spf.salesforce.com include:sendgrid.net include:autotask.net ~all"/>
    <s v="yes"/>
    <x v="2"/>
    <s v="v=DMARC1; p=none; rua=mailto:dmarc@bordbia.ie; ruf=mailto:dmarc@bordbia.ie; aspf=r"/>
    <m/>
    <m/>
    <x v="0"/>
    <x v="46"/>
  </r>
  <r>
    <s v="cro.ie"/>
    <s v="tilde"/>
    <s v="Soft Fail"/>
    <s v="v=spf1 ip4:137.191.224.104 include:spf.sendinblue.com mx ~all"/>
    <m/>
    <x v="3"/>
    <s v="v=DMARC1; p=reject; pct=100; fo=1; ri=3600; rua=mailto:bfa65a29@inbox.ondmarc.com; ruf=mailto:bfa65a29@inbox.ondmarc.com;"/>
    <m/>
    <m/>
    <x v="0"/>
    <x v="46"/>
  </r>
  <r>
    <s v="carrigcs.ie"/>
    <s v="tilde"/>
    <s v="Soft Fail"/>
    <s v="v=spf1 ip4:95.215.226.190 include:thewebhostserver.com include:_spf.google.com ~all"/>
    <s v="yes"/>
    <x v="2"/>
    <s v="v=DMARC1;  p=none; rua=mailto:a0815128270a44ed92047f5d942c6546@dmarc-reports.cloudflare.net"/>
    <m/>
    <m/>
    <x v="1"/>
    <x v="46"/>
  </r>
  <r>
    <s v="christkingschool.com"/>
    <s v="no"/>
    <s v="Not found"/>
    <m/>
    <s v="yes"/>
    <x v="0"/>
    <m/>
    <m/>
    <m/>
    <x v="1"/>
    <x v="46"/>
  </r>
  <r>
    <s v="glanmirecc.ie"/>
    <s v="tilde"/>
    <s v="Soft Fail"/>
    <s v="v=spf1 +a +mx include:spf.protection.outlook.com include:spf.dcsnet.ie +a:mail.glanmirecc.ie +a:scanner.scoilnet.ie ip4:78.153.205.203 ip4:87.36.28.4 ~all"/>
    <s v="yes"/>
    <x v="3"/>
    <s v="v=DMARC1;p=reject;sp=reject"/>
    <m/>
    <m/>
    <x v="1"/>
    <x v="46"/>
  </r>
  <r>
    <s v="carndonaghcs.ie"/>
    <s v="minus"/>
    <s v="Fail"/>
    <s v="v=spf1 include:spf.protection.outlook.com -all"/>
    <m/>
    <x v="0"/>
    <m/>
    <m/>
    <m/>
    <x v="6"/>
    <x v="46"/>
  </r>
  <r>
    <s v="alexandracollege.ie"/>
    <s v="tilde"/>
    <s v="Soft Fail"/>
    <s v="v=spf1 include:servers.mcsv.net include:_spf.google.com include:schoolmail.aladdin.ie ~all"/>
    <s v="yes"/>
    <x v="1"/>
    <s v="v=DMARC1; p=quarantine; rua=mailto:dmarc@alexandracollege.ie; pct=90; sp=none"/>
    <m/>
    <m/>
    <x v="0"/>
    <x v="46"/>
  </r>
  <r>
    <s v="colaistedhulaighpp.ie"/>
    <s v="minus"/>
    <s v="Fail"/>
    <s v="v=spf1 include:spf.protection.outlook.com -all"/>
    <s v="yes"/>
    <x v="0"/>
    <m/>
    <m/>
    <m/>
    <x v="0"/>
    <x v="46"/>
  </r>
  <r>
    <s v="collinstownpark.ie"/>
    <s v="minus"/>
    <s v="Fail"/>
    <s v="v=spf1 include:spf.protection.outlook.com ip4:77.107.211.222 ip4:77.107.210.71 -all"/>
    <s v="yes"/>
    <x v="0"/>
    <m/>
    <m/>
    <m/>
    <x v="0"/>
    <x v="46"/>
  </r>
  <r>
    <s v="coolminecs.ie"/>
    <s v="minus"/>
    <s v="Fail"/>
    <s v="v=spf1 include:spf.protection.outlook.com include:spf.irishdomains.com -all"/>
    <m/>
    <x v="0"/>
    <m/>
    <m/>
    <m/>
    <x v="0"/>
    <x v="46"/>
  </r>
  <r>
    <s v="hartstowncs.ie"/>
    <s v="minus"/>
    <s v="Fail"/>
    <s v="v=spf1 include:spf.protection.outlook.com -all"/>
    <m/>
    <x v="0"/>
    <m/>
    <m/>
    <m/>
    <x v="0"/>
    <x v="46"/>
  </r>
  <r>
    <s v="kylemorecollege.ie"/>
    <s v="minus"/>
    <s v="Fail"/>
    <s v="v=spf1 include:spf.protection.outlook.com -all"/>
    <s v="yes"/>
    <x v="0"/>
    <m/>
    <m/>
    <m/>
    <x v="0"/>
    <x v="46"/>
  </r>
  <r>
    <s v="mounttemple.ie"/>
    <s v="tilde"/>
    <s v="Soft Fail"/>
    <s v="v=spf1 a include:spf.blacknight.com include:_spf.google.com ~all"/>
    <m/>
    <x v="0"/>
    <m/>
    <m/>
    <m/>
    <x v="0"/>
    <x v="46"/>
  </r>
  <r>
    <s v="oldbawncs.ie"/>
    <s v="tilde"/>
    <s v="Soft Fail"/>
    <s v="v=spf1 a mx include:spf.webhost.ie ~all"/>
    <m/>
    <x v="0"/>
    <m/>
    <m/>
    <m/>
    <x v="0"/>
    <x v="46"/>
  </r>
  <r>
    <s v="stmacdaras.ie"/>
    <s v="minus"/>
    <s v="Fail"/>
    <s v="v=spf1 include:spf.protection.outlook.com include:spf.dcsnet.ie -all"/>
    <s v="yes"/>
    <x v="0"/>
    <m/>
    <m/>
    <m/>
    <x v="0"/>
    <x v="46"/>
  </r>
  <r>
    <s v="clongowes.com"/>
    <s v="tilde"/>
    <s v="Soft Fail"/>
    <s v="v=spf1 include:_spf.google.com ~all"/>
    <s v="yes"/>
    <x v="0"/>
    <m/>
    <m/>
    <m/>
    <x v="16"/>
    <x v="46"/>
  </r>
  <r>
    <s v="phcol.ie"/>
    <s v="no"/>
    <s v="Not found"/>
    <m/>
    <m/>
    <x v="0"/>
    <m/>
    <m/>
    <m/>
    <x v="16"/>
    <x v="46"/>
  </r>
  <r>
    <s v="kilkennycollege.ie"/>
    <s v="tilde"/>
    <s v="Soft Fail"/>
    <s v="v=spf1 +a +mx +ip4:185.224.198.96 +include:antispamcloud.com +include:spf.sendinblue.com +include:autotask.net +include:spf.protection.outlook.com ~all"/>
    <s v="yes"/>
    <x v="2"/>
    <s v="v=DMARC1; p=none; sp=none; rua=mailto:dmarc@mailinblue.com!10m; ruf=mailto:dmarc@mailinblue.com!10m; rf=afrf; pct=100; ri=86400"/>
    <m/>
    <m/>
    <x v="17"/>
    <x v="46"/>
  </r>
  <r>
    <s v="castletroycollege.ie"/>
    <s v="no"/>
    <s v="Not found"/>
    <m/>
    <m/>
    <x v="0"/>
    <m/>
    <m/>
    <m/>
    <x v="5"/>
    <x v="46"/>
  </r>
  <r>
    <s v="rockwellcollege.ie"/>
    <s v="minus"/>
    <s v="Fail"/>
    <s v="v=spf1 include:spf.protection.outlook.com -all"/>
    <s v="yes"/>
    <x v="2"/>
    <s v="v=DMARC1; p=none"/>
    <m/>
    <m/>
    <x v="13"/>
    <x v="46"/>
  </r>
  <r>
    <s v="athlonecc.ie"/>
    <s v="tilde"/>
    <s v="Soft Fail"/>
    <s v="v=spf1 include:_spf.google.com ~all"/>
    <m/>
    <x v="0"/>
    <m/>
    <m/>
    <m/>
    <x v="23"/>
    <x v="46"/>
  </r>
  <r>
    <s v="moatecs.com"/>
    <s v="mis"/>
    <s v="Invalid SPF Syntax"/>
    <s v="v=spf1 redirect=_sn47aipob.sdmarc.net"/>
    <s v="yes"/>
    <x v="3"/>
    <s v="v=DMARC1; p=reject; pct=100; rua=mailto:a.n47aipob@sdmarc.net"/>
    <m/>
    <m/>
    <x v="23"/>
    <x v="46"/>
  </r>
  <r>
    <s v="walshmushrooms.com"/>
    <s v="minus"/>
    <s v="Fail"/>
    <s v="v=spf1 include:spf.protection.outlook.com include:emails.recplus.co.uk~co.uk -all"/>
    <m/>
    <x v="0"/>
    <m/>
    <m/>
    <m/>
    <x v="3"/>
    <x v="46"/>
  </r>
  <r>
    <s v="stfrancisprivatehospital.com"/>
    <s v="tilde"/>
    <s v="Soft Fail"/>
    <s v="v=spf1 a:remote.stfrancisprivatehospital.com include:spf.protection.outlook.com include:spf.topsec.com ~all"/>
    <s v="yes"/>
    <x v="3"/>
    <s v="v=DMARC1;p=reject;sp=reject;pct=100;rua=mailto:ed324e1168@rua.easydmarc.eu;ruf=mailto:ed324e1168@ruf.easydmarc.eu;ri=86400;fo=1"/>
    <m/>
    <m/>
    <x v="23"/>
    <x v="46"/>
  </r>
  <r>
    <s v="corkinternationalhotel.com"/>
    <s v="minus"/>
    <s v="Fail"/>
    <s v="v=spf1 a mx ip4:84.203.232.226 ip4:84.203.232.227 ip4:83.147.183.82 ip4:80.93.21.0/24 include:email2.guestfolio.net include:spf.protection.outlook.com include:guestline.net include:roomlynx.net include:netaffinity.net -all"/>
    <s v="yes"/>
    <x v="2"/>
    <s v="v=DMARC1; p=none; fo=1; rua=mailto:rua+corkinternationalhotel.com@dmarc.barracudanetworks.com; ruf=mailto:ruf+corkinternationalhotel.com@dmarc.barracudanetworks.com"/>
    <m/>
    <m/>
    <x v="1"/>
    <x v="46"/>
  </r>
  <r>
    <s v="dunmorehousehotel.ie"/>
    <s v="minus"/>
    <s v="Fail"/>
    <s v="v=spf1 include:spf.protection.outlook.com -all"/>
    <m/>
    <x v="0"/>
    <m/>
    <m/>
    <m/>
    <x v="1"/>
    <x v="46"/>
  </r>
  <r>
    <s v="fernhillhousehotel.com"/>
    <s v="minus"/>
    <s v="Fail"/>
    <s v="v=spf1 include:_spf.google.com include:spf.blacknight.ie include:guestline.net include:roomlynx.net include:authsmtp.com -all"/>
    <m/>
    <x v="0"/>
    <m/>
    <m/>
    <m/>
    <x v="1"/>
    <x v="46"/>
  </r>
  <r>
    <s v="garryvoehotel.com"/>
    <s v="minus"/>
    <s v="Fail"/>
    <s v="v=spf1 include:spf.protection.outlook.com -all"/>
    <m/>
    <x v="2"/>
    <s v="v=DMARC1; p=none;"/>
    <m/>
    <m/>
    <x v="1"/>
    <x v="46"/>
  </r>
  <r>
    <s v="jacksonshotel.ie"/>
    <s v="tilde"/>
    <s v="Soft Fail"/>
    <s v="v=spf1 include:spf.protection.outlook.com include:netaffinity.net include:authsmtp.com ip4:51.89.164.148 ip6:2a01:111:f403:2612::70f/128 ~all"/>
    <s v="yes"/>
    <x v="2"/>
    <s v="v=DMARC1; p=none; rua=mailto:leslie@leslielong.ie"/>
    <m/>
    <m/>
    <x v="6"/>
    <x v="46"/>
  </r>
  <r>
    <s v="solislougheskecastle.com"/>
    <s v="no"/>
    <s v="Not found"/>
    <m/>
    <m/>
    <x v="0"/>
    <m/>
    <m/>
    <m/>
    <x v="6"/>
    <x v="46"/>
  </r>
  <r>
    <s v="carnegiecourthotel.com"/>
    <s v="no"/>
    <s v="Not found"/>
    <m/>
    <m/>
    <x v="0"/>
    <m/>
    <m/>
    <m/>
    <x v="0"/>
    <x v="46"/>
  </r>
  <r>
    <s v="maldronhoteldublinairport.com"/>
    <s v="no"/>
    <s v="Not found"/>
    <m/>
    <m/>
    <x v="0"/>
    <m/>
    <m/>
    <m/>
    <x v="0"/>
    <x v="46"/>
  </r>
  <r>
    <s v="morrisonhotel.ie"/>
    <s v="minus"/>
    <s v="Fail"/>
    <s v="v=spf1 include:spf.protection.outlook.com -all"/>
    <s v="yes"/>
    <x v="2"/>
    <s v="v=DMARC1;p=none;sp=none;pct=100;rua=mailto:dmarcreports@morrisonhotel.ie;ruf=mailto:dmarcreports@morrisonhotel.ie;ri=86400;aspf=r;adkim=r;fo=1"/>
    <m/>
    <m/>
    <x v="0"/>
    <x v="46"/>
  </r>
  <r>
    <s v="ballsbridgehotel.com"/>
    <s v="no"/>
    <s v="Not found"/>
    <m/>
    <m/>
    <x v="0"/>
    <m/>
    <m/>
    <m/>
    <x v="0"/>
    <x v="46"/>
  </r>
  <r>
    <s v="louisfitzgeraldhotel.com"/>
    <s v="tilde"/>
    <s v="Soft Fail"/>
    <s v="v=spf1 a mx ip4:89.101.218.38 include:oracleindustry.com include:eu.rp.oracleemaildelivery.com ~all"/>
    <m/>
    <x v="2"/>
    <s v="v=DMARC1; p=none"/>
    <m/>
    <m/>
    <x v="0"/>
    <x v="46"/>
  </r>
  <r>
    <s v="plazahotel.ie"/>
    <s v="minus"/>
    <s v="Fail"/>
    <s v="v=spf1 include:spf.protection.outlook.com -all"/>
    <m/>
    <x v="0"/>
    <m/>
    <m/>
    <m/>
    <x v="0"/>
    <x v="46"/>
  </r>
  <r>
    <s v="thespencerhotel.com"/>
    <s v="minus"/>
    <s v="Fail"/>
    <s v="v=spf1 ip4:5.149.174.186 include:spf.protection.outlook.com include:spf.mandrillapp.com include:hemlock.avvio.com include:_spf.bookassist.com Include:_spf.salesforce.com -all"/>
    <s v="yes"/>
    <x v="1"/>
    <s v="v=DMARC1; p=quarantine; pct=100; rua=mailto:dmarc@thespencerhotel.com; ruf=mailto:dmarc@thespencerhotel.com"/>
    <m/>
    <m/>
    <x v="0"/>
    <x v="46"/>
  </r>
  <r>
    <s v="shearwaterhotel.com"/>
    <s v="minus"/>
    <s v="Fail"/>
    <s v="v=spf1 a mx include:spf.protection.outlook.com include:netaffinity.net -all"/>
    <m/>
    <x v="1"/>
    <s v="v=DMARC1; p=quarantine; pct=100; fo=1"/>
    <m/>
    <m/>
    <x v="7"/>
    <x v="46"/>
  </r>
  <r>
    <s v="parknasillahotel.ie"/>
    <s v="tilde"/>
    <s v="Soft Fail"/>
    <s v="v=spf1 include:_spf.google.com ip4:91.216.241.78 include:authsmtp.com  include:eu.rp.oracleemmaildelivery.com ~all"/>
    <m/>
    <x v="2"/>
    <s v="v=DMARC1; p=none; rua=mailto:dmarc-reports@parknasillahotel.ie"/>
    <m/>
    <m/>
    <x v="14"/>
    <x v="46"/>
  </r>
  <r>
    <s v="springfieldhotel.ie"/>
    <s v="minus"/>
    <s v="Fail"/>
    <s v="v=spf1 mx include:spf.protection.outlook.com include:netaffinity.net include:spamtitan.tierneys.ie include:_spf.wire.threatspike.com -all"/>
    <s v="yes"/>
    <x v="2"/>
    <s v="v=DMARC1; p=none;"/>
    <m/>
    <m/>
    <x v="16"/>
    <x v="46"/>
  </r>
  <r>
    <s v="langtons.ie"/>
    <s v="minus"/>
    <s v="Fail"/>
    <s v="v=spf1 ip4:89.101.223.26 include:spf.protection.outlook.com ip4:91.220.45.250 include:spf.topsec.com include:netaffinity.net -all"/>
    <m/>
    <x v="2"/>
    <s v="v=DMARC1; p=none;"/>
    <m/>
    <m/>
    <x v="17"/>
    <x v="46"/>
  </r>
  <r>
    <s v="mountfalcon.com"/>
    <s v="minus"/>
    <s v="Fail"/>
    <s v="v=spf1 a mx ip4:88.91.97.2 include:spf.protection.outlook.com include:spf.mandrillapp.com include:netaffinity.net include:authsmtp.com -all"/>
    <s v="yes"/>
    <x v="2"/>
    <s v="v=DMARC1; p=none;"/>
    <m/>
    <m/>
    <x v="4"/>
    <x v="46"/>
  </r>
  <r>
    <s v="castleleslie.com"/>
    <s v="minus"/>
    <s v="Fail"/>
    <s v="v=spf1 a:sid.customerminds.com a mx include:spf.topsec.com ip4:23.253.183.212 include:spf.protection.outlook.com -all"/>
    <m/>
    <x v="2"/>
    <s v="v=DMARC1; p=none; ruf=mailto:ruf@castleleslie.com; rua=mailto:rua@castleleslie.com;"/>
    <m/>
    <m/>
    <x v="12"/>
    <x v="46"/>
  </r>
  <r>
    <s v="granville-hotel.ie"/>
    <s v="tilde"/>
    <s v="Soft Fail"/>
    <s v="v=spf1 ip4:194.165.184.231 ip4:89.101.218.195 include:spf.protection.outlook.com include:spf.ess.de.barracudanetworks.com include:spf.guestjoy.com ~all"/>
    <s v="yes"/>
    <x v="0"/>
    <m/>
    <m/>
    <m/>
    <x v="10"/>
    <x v="46"/>
  </r>
  <r>
    <s v="annebrook.ie"/>
    <s v="minus"/>
    <s v="Fail"/>
    <s v="v=spf1 include:spf.protection.outlook.com include:spf.resdiary.com -all"/>
    <s v="yes"/>
    <x v="3"/>
    <s v="v=DMARC1; p=reject;"/>
    <m/>
    <m/>
    <x v="23"/>
    <x v="46"/>
  </r>
  <r>
    <s v="talbothotel.ie"/>
    <s v="minus"/>
    <s v="Fail"/>
    <s v="v=spf1 include:spf.protection.outlook.com include:netaffinity.net include:authsmtp.com include:spf.emailing.loungeup.com include:sendgrid.net -all"/>
    <s v="yes"/>
    <x v="2"/>
    <s v="v=DMARC1; p=none;"/>
    <m/>
    <m/>
    <x v="3"/>
    <x v="46"/>
  </r>
  <r>
    <s v="themartello.ie"/>
    <s v="minus"/>
    <s v="Fail"/>
    <s v="v=spf1 +a +mx +ip4:185.43.233.229 +include:spf.antispamcloud.com -all"/>
    <s v="yes"/>
    <x v="2"/>
    <s v="v=DMARC1; p=none"/>
    <m/>
    <m/>
    <x v="24"/>
    <x v="46"/>
  </r>
  <r>
    <s v="efc.ie"/>
    <s v="tilde"/>
    <s v="Soft Fail"/>
    <s v="v=spf1 mx a:securemail.efc.ie include:spf.topsec.com include:spf.protection.outlook.com include:nw005.com include:c9a32dc6-spf.mta.getcheckrecipient.com ~all"/>
    <m/>
    <x v="0"/>
    <m/>
    <m/>
    <m/>
    <x v="0"/>
    <x v="46"/>
  </r>
  <r>
    <s v="fieldfisher.com"/>
    <s v="minus"/>
    <s v="Fail"/>
    <s v="v=spf1 include:eu._netblocks.mimecast.com include:de._netblocks.mimecast.com include:_spf.zimpel.de include:spf.eu.exclaimer.net ip4:192.0.5.0/24 ip4:103.2.142.87/32 -all"/>
    <s v="yes"/>
    <x v="3"/>
    <s v="v=DMARC1; p=reject; fo=1; rua=mailto:informationsecurity@fieldfisher.com; ruf=mailto:informationsecurity@fieldfisher.com"/>
    <m/>
    <m/>
    <x v="0"/>
    <x v="46"/>
  </r>
  <r>
    <s v="ivorfitzpatrick.ie"/>
    <s v="minus"/>
    <s v="Fail"/>
    <s v="v=spf1 include:spf.protection.outlook.com include:spf.messagelabs.com include:sendgrid.net include:mailgun.org -all"/>
    <s v="yes"/>
    <x v="2"/>
    <s v="v=DMARC1; pct=100; p=none; rua=mailto:helpdesk@ivorfitzpatrick.ie"/>
    <m/>
    <m/>
    <x v="0"/>
    <x v="46"/>
  </r>
  <r>
    <s v="aceautobody.ie"/>
    <s v="minus"/>
    <s v="Fail"/>
    <s v="v=spf1 include:spf.protection.outlook.com a:s1-se.blacknight.ie a:s2-se.blacknight.ie include:spf1.emailsecurity.app -all"/>
    <m/>
    <x v="0"/>
    <m/>
    <m/>
    <m/>
    <x v="0"/>
    <x v="46"/>
  </r>
  <r>
    <s v="suretank.com"/>
    <s v="tilde"/>
    <s v="Soft Fail"/>
    <s v="v=spf1 a mx include:_spf.elasticemail.com include:spf.hornetsecurity.com include:spf.protection.outlook.com  ~all"/>
    <m/>
    <x v="2"/>
    <s v="v=DMARC1; p=none;"/>
    <m/>
    <m/>
    <x v="2"/>
    <x v="46"/>
  </r>
  <r>
    <s v="kentstainless.com"/>
    <s v="tilde"/>
    <s v="Soft Fail"/>
    <s v="v=spf1 mx include:mailanyone.net include:spf.protection.outlook.com include:_spf.elasticemail.com ~all"/>
    <m/>
    <x v="2"/>
    <s v="v=DMARC1; p=none;"/>
    <m/>
    <m/>
    <x v="3"/>
    <x v="46"/>
  </r>
  <r>
    <s v="amneal.com"/>
    <s v="mis"/>
    <s v="Invalid SPF Syntax"/>
    <s v="&quot;v=spf1 ip4:45.79.128.24 ip4:23.239.15.18 ip4:174.128.40.224/27 ip4:208.80.200.0/21 ip4:52.170.85.198 ip4:40.118.163.33 ip4:54.240.43.16 include:spf-003ba101.pphosted.com include:spf.protection.outlook.com  include:_spf.salesforce.com&quot; &quot;include:_spf.q4press.com include:40023361.spf10.hubspotemail.net include:docebosaas.com -all&quot;"/>
    <s v="yes"/>
    <x v="2"/>
    <s v="v=DMARC1; p=none; fo=1; rua=mailto:dmarc_rua@emaildefense.proofpoint.com; ruf=mailto:dmarc_ruf@emaildefense.proofpoint.com"/>
    <m/>
    <m/>
    <x v="13"/>
    <x v="46"/>
  </r>
  <r>
    <s v="milishfoods.ie"/>
    <s v="minus"/>
    <s v="Fail"/>
    <s v="v=spf1 ip4:149.71.160.226 ip4:52.31.106.198 include:spf.reg365.net include:spf.protection.outlook.com -all"/>
    <s v="yes"/>
    <x v="3"/>
    <s v="v=DMARC1; p=reject"/>
    <m/>
    <m/>
    <x v="0"/>
    <x v="46"/>
  </r>
  <r>
    <s v="oreillyconcrete.com"/>
    <s v="minus"/>
    <s v="Fail"/>
    <s v="v=spf1 ip4:82.198.136.162 include:spf.protection.outlook.com include:spf.zoho.eu include:eu.transmail.net -all"/>
    <s v="yes"/>
    <x v="4"/>
    <s v="v=DMARC1; p=reject; pct=100; rua=mailto:itex-rua@oreillyconcrete.com; ruf=mailto:itex-ruf@oreillyconcrete.com; fo=1 ;v=DMARC1; p=none;"/>
    <m/>
    <m/>
    <x v="11"/>
    <x v="46"/>
  </r>
  <r>
    <s v="lagan-group.com"/>
    <s v="no"/>
    <s v="Not found"/>
    <m/>
    <m/>
    <x v="0"/>
    <m/>
    <m/>
    <m/>
    <x v="23"/>
    <x v="46"/>
  </r>
  <r>
    <s v="cwscomms.ie"/>
    <s v="minus"/>
    <s v="Fail"/>
    <s v="v=spf1 ip4:89.34.16.71 include:spf.protection.outlook.com -all"/>
    <s v="yes"/>
    <x v="0"/>
    <m/>
    <m/>
    <m/>
    <x v="0"/>
    <x v="46"/>
  </r>
  <r>
    <s v="mjflood.ie"/>
    <s v="tilde"/>
    <s v="Soft Fail"/>
    <s v="v=spf1 a mx ip4:148.252.8.110 ip4:13.74.87.196 ip4:148.163.155.188 include:_netblocks.mimecast.com include:spf.protection.outlook.com include:spf.elive.net include:websitewelcome.com include:email.freshdesk.com ~all"/>
    <m/>
    <x v="0"/>
    <m/>
    <m/>
    <m/>
    <x v="0"/>
    <x v="46"/>
  </r>
  <r>
    <s v="oceanconnect.com"/>
    <s v="minus"/>
    <s v="Fail"/>
    <s v="v=spf1 -all"/>
    <m/>
    <x v="0"/>
    <m/>
    <m/>
    <m/>
    <x v="0"/>
    <x v="46"/>
  </r>
  <r>
    <s v="enet.ie"/>
    <s v="minus"/>
    <s v="Fail"/>
    <s v="v=spf1 ip4:10.2.1.52 ip4:10.1.1.180 ip4:193.120.142.174 include:spf.protection.outlook.com include:_spf.psm.knowbe4.com include:aspmx.pardot.com include:_spf.salesforce.com include:spf.eu.exclaimer.net include:authsmtp.com -all"/>
    <s v="yes"/>
    <x v="2"/>
    <s v="v=DMARC1; p=none; ruf=mailto:security@enet.ie; fo=1; pct=100"/>
    <m/>
    <m/>
    <x v="5"/>
    <x v="46"/>
  </r>
  <r>
    <s v="rigid.ie"/>
    <s v="no"/>
    <s v="Not found"/>
    <m/>
    <m/>
    <x v="0"/>
    <m/>
    <m/>
    <m/>
    <x v="5"/>
    <x v="46"/>
  </r>
  <r>
    <s v="ganlys.ie"/>
    <s v="minus"/>
    <s v="Fail"/>
    <s v="v=spf1 include:spf.protection.outlook.com include:spf1.ganlys.ie -all"/>
    <s v="yes"/>
    <x v="1"/>
    <s v="v=DMARC1; p=quarantine; fo=1; rua=mailto:webmaster@ganlys.ie"/>
    <m/>
    <m/>
    <x v="22"/>
    <x v="46"/>
  </r>
  <r>
    <s v="led.ie"/>
    <s v="minus"/>
    <s v="Fail"/>
    <s v="v=spf1 include:spf.protection.outlook.com ip4:89.101.121.225 ip4:27.126.148.96/27 ip4:27.126.147.96/27 ip4:27.126.146.96/27 ip4:205.166.177.0/24 ip4:204.75.142.0/24 ip4:203.55.21.0/24 ip4:103.28.42.0/24 include:authsmtp.com -all"/>
    <s v="yes"/>
    <x v="2"/>
    <s v="v=DMARC1;p=none;pct=100;rua=mailto:itsupport@led.ie"/>
    <m/>
    <m/>
    <x v="0"/>
    <x v="46"/>
  </r>
  <r>
    <s v="lifeline.ie"/>
    <s v="tilde"/>
    <s v="Soft Fail"/>
    <s v="v=spf1 include:_spf.google.com include:spf.protection.outlook.com ~all"/>
    <m/>
    <x v="2"/>
    <s v="v=DMARC1; p=none; fo=1"/>
    <m/>
    <m/>
    <x v="16"/>
    <x v="46"/>
  </r>
  <r>
    <s v="cwc-ae.com"/>
    <s v="question"/>
    <s v="Neutral"/>
    <s v="v=spf1 +a +mx +ip4:66.147.244.69 ?all"/>
    <m/>
    <x v="3"/>
    <s v="v=DMARC1; p=reject; fo=1; rua=mailto:dmarc_rua@emaildefense.proofpoint.com; ruf=mailto:dmarc_ruf@emaildefense.proofpoint.com"/>
    <m/>
    <m/>
    <x v="0"/>
    <x v="46"/>
  </r>
  <r>
    <s v="ardaghgroup.com"/>
    <s v="mis"/>
    <s v="Invalid SPF Syntax"/>
    <s v="v=spf1 mx a ip4:194.156.135.50 ip4:67.231.144.99 ip4:208.86.201.212 ip4:162.18.16.90 ip4:5.79.0.191 ip4:196.5.108.72 ip4:196.5.108.73 include:spf.protection.outlook.com include:servers.mcsv.net include:marketing.dynamics.com include:_spf-dc33.sapsf.eu ~al&quot; &quot;l"/>
    <s v="yes"/>
    <x v="1"/>
    <s v="v=DMARC1; p=quarantine; pct=100; rua=mailto:dmarc@ardaghgroup.com; sp=quarantine; aspf=r;"/>
    <m/>
    <m/>
    <x v="0"/>
    <x v="46"/>
  </r>
  <r>
    <s v="staffordlynch.ie"/>
    <s v="minus"/>
    <s v="Fail"/>
    <s v="v=spf1 include:spf.protection.outlook.com -all"/>
    <s v="yes"/>
    <x v="1"/>
    <s v="v=DMARC1;p=quarantine;pct=100;rua=mailto:dmarc@staffordlynch.ie"/>
    <m/>
    <m/>
    <x v="0"/>
    <x v="46"/>
  </r>
  <r>
    <s v="renishaw.com"/>
    <s v="minus"/>
    <s v="Fail"/>
    <s v="v=spf1 include:spf.protection.outlook.com a:hybrid.renishaw.com a:admin.journyx.com a:c.spf.service-now.com a:d.spf.service-now.com include:spf-part1.renishaw.com ip4:64.14.29.8 ip4:167.89.5.8 ip4:213.120.89.45 ip4:210.57.51.241 -all"/>
    <s v="yes"/>
    <x v="3"/>
    <s v="v=DMARC1; p=reject; rua=mailto:dmarc_agg@vali.email,mailto:8e1f20543db7378@rep.dmarcanalyzer.com; ruf=mailto:dmarc@renishaw.com"/>
    <m/>
    <m/>
    <x v="0"/>
    <x v="46"/>
  </r>
  <r>
    <s v="vwr.com"/>
    <s v="minus"/>
    <s v="Fail"/>
    <s v="v=spf1 include:spf1.vwr.com include:spf2.vwr.com -all"/>
    <s v="yes"/>
    <x v="1"/>
    <s v="v=DMARC1;p=quarantine;rua=mailto:dmarc.reports@vwr.com;ruf=mailto:dmarc.reports@vwr.com;sp=reject;ri=84600"/>
    <m/>
    <m/>
    <x v="0"/>
    <x v="46"/>
  </r>
  <r>
    <s v="orona-mwl.ie"/>
    <s v="mis"/>
    <s v="Invalid SPF Syntax"/>
    <s v="v=spf1 redirect=orona.es"/>
    <s v="yes"/>
    <x v="3"/>
    <s v="v=DMARC1; p=reject;pct=15;rua=mailto:b1ey2bt8@ag.eu.dmarcian.com,mailto:dmarc@orona-group.com; ruf=mailto:b1ey2bt8@fr.eu.dmarcian.com,mailto:dmarc@orona-group.com; fo=1;"/>
    <m/>
    <m/>
    <x v="5"/>
    <x v="46"/>
  </r>
  <r>
    <s v="irishmerchants.com"/>
    <s v="tilde"/>
    <s v="Soft Fail"/>
    <s v="v=spf1 include:%{i}._ip.%{h}._ehlo.%{d}._spf.vali.email ~all"/>
    <s v="yes"/>
    <x v="1"/>
    <s v="v=DMARC1; p=quarantine; rua=mailto:dmarc_agg@vali.email; fo=1"/>
    <m/>
    <m/>
    <x v="0"/>
    <x v="46"/>
  </r>
  <r>
    <s v="concast.ie"/>
    <s v="minus"/>
    <s v="Fail"/>
    <s v="v=spf1 include:spf.protection.outlook.com -all"/>
    <m/>
    <x v="0"/>
    <m/>
    <m/>
    <m/>
    <x v="0"/>
    <x v="46"/>
  </r>
  <r>
    <s v="graceconstruction.com"/>
    <s v="no"/>
    <s v="Not found"/>
    <m/>
    <m/>
    <x v="0"/>
    <m/>
    <m/>
    <m/>
    <x v="0"/>
    <x v="46"/>
  </r>
  <r>
    <s v="cascadedesigns.com"/>
    <s v="minus"/>
    <s v="Fail"/>
    <s v="v=spf1 ip4:209.245.166.14 ip4:166.78.70.233 ip4:65.61.97.12 include:mail.zendesk.com include:_spf.samanage.com include:spf.workfront.com include:spf.protection.outlook.com include:turbo-smtp.com -all"/>
    <s v="yes"/>
    <x v="2"/>
    <s v="v=DMARC1; p=none"/>
    <m/>
    <m/>
    <x v="1"/>
    <x v="46"/>
  </r>
  <r>
    <s v="cambusmedical.com"/>
    <s v="minus"/>
    <s v="Fail"/>
    <s v="v=spf1 ip4:83.70.207.254 ip4:178.20.87.205 ip4:54.36.17.64 ip4:75.16.150.25 ip4:89.204.212.101 ip4:66.206.3.250 include:spf.protection.outlook.com -all"/>
    <s v="yes"/>
    <x v="1"/>
    <s v="v=DMARC1; p=quarantine; fo=1"/>
    <m/>
    <m/>
    <x v="7"/>
    <x v="46"/>
  </r>
  <r>
    <s v="goodmanmedical.ie"/>
    <s v="minus"/>
    <s v="Fail"/>
    <s v="v=spf1 ip4:86.43.69.72 ip4:213.79.33.78 ip4:84.203.181.158 include:spf.protection.outlook.com -all"/>
    <m/>
    <x v="0"/>
    <m/>
    <m/>
    <m/>
    <x v="7"/>
    <x v="46"/>
  </r>
  <r>
    <s v="mcaree-eng.com"/>
    <s v="minus"/>
    <s v="Fail"/>
    <s v="v=spf1 include:spf.everycloudtech.com include:spf.protection.outlook.com -all"/>
    <m/>
    <x v="0"/>
    <m/>
    <m/>
    <m/>
    <x v="12"/>
    <x v="46"/>
  </r>
  <r>
    <s v="novum.ie"/>
    <s v="minus"/>
    <s v="Fail"/>
    <s v="v=spf1 include:spf.protection.outlook.com include:spf.newsletter.ie ip4:89.101.134.201 -all"/>
    <s v="yes"/>
    <x v="1"/>
    <s v="v=DMARC1; p=quarantine; rua=mailto:dmarc.reports@novum.ie; ruf=mailto:dmarc.reports@novum.ie; fo=1"/>
    <m/>
    <m/>
    <x v="0"/>
    <x v="46"/>
  </r>
  <r>
    <s v="cognex.com"/>
    <s v="minus"/>
    <s v="Fail"/>
    <s v="v=spf1 a mx include:mailgun.org include:spf.protection.outlook.com include:_spf.salesforce.com -all"/>
    <s v="yes"/>
    <x v="1"/>
    <s v="v=DMARC1; p=quarantine; pct=100; rua=mailto:securityops@cognex.com; ruf=mailto:securityops@cognex.com; fo=1"/>
    <m/>
    <m/>
    <x v="1"/>
    <x v="46"/>
  </r>
  <r>
    <s v="ppi.ie"/>
    <s v="minus"/>
    <s v="Fail"/>
    <s v="v=spf1 ip4:185.43.232.187 include:spf.protection.outlook.com include:spf1.emailsecurity.app -all"/>
    <m/>
    <x v="2"/>
    <s v="v=DMARC1; p=none; rua=mailto:2f589ab2@mxtoolbox.dmarc-report.com; ruf=mailto:2f589ab2@forensics.dmarc-report.com; fo=1"/>
    <m/>
    <m/>
    <x v="10"/>
    <x v="46"/>
  </r>
  <r>
    <s v="framesdirect.ie"/>
    <s v="minus"/>
    <s v="Fail"/>
    <s v="v=spf1 include:spf.protection.outlook.com -all"/>
    <m/>
    <x v="2"/>
    <s v="v=DMARC1; p=none;"/>
    <m/>
    <m/>
    <x v="6"/>
    <x v="46"/>
  </r>
  <r>
    <s v="gradyjoinery.com"/>
    <s v="minus"/>
    <s v="Fail"/>
    <s v="v=spf1 +a +mx ip4:93.107.24.63 ip4:88.81.126.213 include:spf.protection.outlook.com include:_spf.elasticemail.com include:spf.topsec.com -all"/>
    <m/>
    <x v="2"/>
    <s v="v=DMARC1; p=none;"/>
    <m/>
    <m/>
    <x v="4"/>
    <x v="46"/>
  </r>
  <r>
    <s v="coldchon.ie"/>
    <s v="minus"/>
    <s v="Fail"/>
    <s v="v=spf1 include:spf1.speig.fr include:spf2.speig.fr include:spf3.speig.fr include:spf4.speig.fr -all"/>
    <m/>
    <x v="0"/>
    <m/>
    <m/>
    <m/>
    <x v="7"/>
    <x v="46"/>
  </r>
  <r>
    <s v="milupa.ie"/>
    <s v="minus"/>
    <s v="Fail"/>
    <s v="v=spf1 include:%{ir}.%{v}.%{d}.spf.has.pphosted.com -all"/>
    <m/>
    <x v="3"/>
    <s v="v=DMARC1; p=reject; fo=1; rua=mailto:dmarc_rua@emaildefense.proofpoint.com; ruf=mailto:dmarc_ruf@emaildefense.proofpoint.com"/>
    <m/>
    <m/>
    <x v="0"/>
    <x v="46"/>
  </r>
  <r>
    <s v="easons.com"/>
    <s v="minus"/>
    <s v="Fail"/>
    <s v="v=spf1 mx a:hybrid.easons.com include:spf.protection.outlook.com include:_spf.salesforce.com -all"/>
    <s v="yes"/>
    <x v="2"/>
    <s v="v=DMARC1; p=none; pct=100; rua=mailto:DMARC@easons.com, mailto:dmarc_agg@vali.email; ruf=mailto:DMARC@easons.com; fo=1"/>
    <m/>
    <m/>
    <x v="0"/>
    <x v="46"/>
  </r>
  <r>
    <s v="carapartners.ie"/>
    <s v="minus"/>
    <s v="Fail"/>
    <s v="v=spf1 mx include:_spf.schwabe-group.com ip4:89.234.97.194 -all"/>
    <m/>
    <x v="0"/>
    <m/>
    <m/>
    <m/>
    <x v="1"/>
    <x v="46"/>
  </r>
  <r>
    <s v="chemco.ie"/>
    <s v="minus"/>
    <s v="Fail"/>
    <s v="v=spf1 ip4:83.70.173.186 include:spf.mailanyone.net include:spf.protection.outlook.com mx a include:_spf.salesforce.com -all"/>
    <m/>
    <x v="2"/>
    <s v="v=DMARC1; p=none; rua=mailto:DMARCReport@chemco.ie; adkim=r; aspf=r; rf=afrf"/>
    <m/>
    <m/>
    <x v="0"/>
    <x v="46"/>
  </r>
  <r>
    <s v="athlone-laboratories.com"/>
    <s v="no"/>
    <s v="Not found"/>
    <m/>
    <m/>
    <x v="0"/>
    <m/>
    <m/>
    <m/>
    <x v="22"/>
    <x v="46"/>
  </r>
  <r>
    <s v="elanco.com"/>
    <s v="tilde"/>
    <s v="Soft Fail"/>
    <s v="v=spf1 include:%{i}._ip.%{h}._ehlo.%{d}._spf.vali.email ~all"/>
    <s v="yes"/>
    <x v="3"/>
    <s v="v=DMARC1; p=reject; pct=100; rua=mailto:dmarc_agg@vali.email"/>
    <s v="yes"/>
    <s v="https://amplify.valimail.com/bimi/elanco-animal-health/3hdEKd-aUK2-elanco_animal_health_incorporated_848399708.svg"/>
    <x v="8"/>
    <x v="46"/>
  </r>
  <r>
    <s v="caulfieldindustrial.com"/>
    <s v="minus"/>
    <s v="Fail"/>
    <s v="v=spf1 a mx a:spamtitan.caulfieldindustrial.com ip4:84.203.176.97/29 include:spf.protection.outlook.com include:amazonses.com -all"/>
    <s v="yes"/>
    <x v="2"/>
    <s v="v=DMARC1; p=none"/>
    <m/>
    <m/>
    <x v="7"/>
    <x v="46"/>
  </r>
  <r>
    <s v="protechplastics.org"/>
    <s v="no"/>
    <s v="Not found"/>
    <m/>
    <m/>
    <x v="0"/>
    <m/>
    <m/>
    <m/>
    <x v="1"/>
    <x v="46"/>
  </r>
  <r>
    <s v="jfc.ie"/>
    <s v="minus"/>
    <s v="Fail"/>
    <s v="v=spf1 include:spf.protection.outlook.com -all"/>
    <s v="yes"/>
    <x v="1"/>
    <s v="v=DMARC1; p=quarantine; rua=mailto:it@jfc.ie,mailto:dmarc_agg@vali.email; ruf=mailto:it@jfc.ie; fo=1"/>
    <m/>
    <m/>
    <x v="7"/>
    <x v="46"/>
  </r>
  <r>
    <s v="toolandplastic.ie"/>
    <s v="no"/>
    <s v="Not found"/>
    <m/>
    <m/>
    <x v="0"/>
    <m/>
    <m/>
    <m/>
    <x v="20"/>
    <x v="46"/>
  </r>
  <r>
    <s v="gemplastics.ie"/>
    <s v="minus"/>
    <s v="Fail"/>
    <s v="v=spf1 include:spf.protection.outlook.com include:spf.everycloudtech.com mx a ip4:31.193.219.218 ip4:193.28.176.0/24 ip4:86.43.69.183  -all"/>
    <s v="yes"/>
    <x v="1"/>
    <s v="v=DMARC1; p=quarantine;"/>
    <m/>
    <m/>
    <x v="11"/>
    <x v="46"/>
  </r>
  <r>
    <s v="automaticplastics.com"/>
    <s v="minus"/>
    <s v="Fail"/>
    <s v="v=spf1 a:cleanmail1.deycom.com ip4:83.71.22.139 ip4:185.182.74.121 include:spf.protection.outlook.com include:spf.ess.de.barracudanetworks.com -all"/>
    <m/>
    <x v="0"/>
    <m/>
    <m/>
    <m/>
    <x v="24"/>
    <x v="46"/>
  </r>
  <r>
    <s v="glenmarshellfish.com"/>
    <s v="minus"/>
    <s v="Fail"/>
    <s v="v=spf1 include:spf.protection.outlook.com -all"/>
    <s v="yes"/>
    <x v="0"/>
    <m/>
    <m/>
    <m/>
    <x v="1"/>
    <x v="46"/>
  </r>
  <r>
    <s v="paneltofoods.ie"/>
    <s v="tilde"/>
    <s v="Soft Fail"/>
    <s v="v=spf1 a mx ip4:208.43.75.107 ip4:89.101.86.88 ip4:75.126.136.162 ip4:184.172.50.186 ip4:185.61.3.153 ip4:86.47.87.169 include:de._netblocks.mimecast.com include:sendgrid.net include:spf.smtp2go.com include:spf.protection.outlook.com ~all"/>
    <s v="yes"/>
    <x v="2"/>
    <s v="v=DMARC1; p=none; rua=mailto:527cec69a3c3496@rep.dmarcanalyzer.com;"/>
    <m/>
    <m/>
    <x v="20"/>
    <x v="46"/>
  </r>
  <r>
    <s v="mrcrumb.ie"/>
    <s v="minus"/>
    <s v="Fail"/>
    <s v="v=spf1 mx include:spf.protection.outlook.com ip4:82.141.207.155 -all"/>
    <m/>
    <x v="0"/>
    <m/>
    <m/>
    <m/>
    <x v="23"/>
    <x v="46"/>
  </r>
  <r>
    <s v="manningsbakery.com"/>
    <s v="minus"/>
    <s v="Fail"/>
    <s v="v=spf1 include:spf.protection.outlook.com -all"/>
    <m/>
    <x v="0"/>
    <m/>
    <m/>
    <m/>
    <x v="0"/>
    <x v="46"/>
  </r>
  <r>
    <s v="portasol.com"/>
    <s v="minus"/>
    <s v="Fail"/>
    <s v="v=spf1 ip4:173.212.236.170 include:spf.protection.outlook.com include:spf1.emailsecurity.app -all"/>
    <m/>
    <x v="0"/>
    <m/>
    <m/>
    <m/>
    <x v="25"/>
    <x v="46"/>
  </r>
  <r>
    <s v="marsh.ie"/>
    <s v="no"/>
    <s v="Not found"/>
    <m/>
    <m/>
    <x v="0"/>
    <m/>
    <m/>
    <m/>
    <x v="0"/>
    <x v="46"/>
  </r>
  <r>
    <s v="strathroydairy.ie"/>
    <s v="tilde"/>
    <s v="Soft Fail"/>
    <s v="v=spf1 ip4:89.204.213.73 include:spf.hornetsecurity.com include:spf.protection.outlook.com ~all"/>
    <m/>
    <x v="0"/>
    <m/>
    <m/>
    <m/>
    <x v="0"/>
    <x v="46"/>
  </r>
  <r>
    <s v="mcgrathquarries.ie"/>
    <s v="minus"/>
    <s v="Fail"/>
    <s v="v=spf1 ip4:80.93.26.51 ip4:80.93.26.52 include:spf.protection.outlook.com -all"/>
    <m/>
    <x v="0"/>
    <m/>
    <m/>
    <m/>
    <x v="9"/>
    <x v="46"/>
  </r>
  <r>
    <s v="harcourthotel.ie"/>
    <s v="minus"/>
    <s v="Fail"/>
    <s v="v=spf1 include:spf.protection.outlook.com include:netaffinity.net -all"/>
    <s v="yes"/>
    <x v="2"/>
    <s v="v=DMARC1; p=none;"/>
    <m/>
    <m/>
    <x v="0"/>
    <x v="46"/>
  </r>
  <r>
    <s v="abccleaning.ie"/>
    <s v="mis"/>
    <s v="Invalid SPF Syntax"/>
    <s v="v=spf1 include:eu-sender.zoho-inventory.com"/>
    <s v="yes"/>
    <x v="3"/>
    <s v="v=DMARC1; p=reject; fo=1; ua=mailto:dmarcreporting@abccleaning.ie ruf=mailto:dmarcreporting@abccleaning.ie; sp=reject; ri=84600;"/>
    <m/>
    <m/>
    <x v="14"/>
    <x v="46"/>
  </r>
  <r>
    <s v="theinnatdromoland.ie"/>
    <s v="minus"/>
    <s v="Fail"/>
    <s v="v=spf1 include:spamtitan.tierneys.ie include:spf.protection.outlook.com include:oracleindustry.com -all"/>
    <m/>
    <x v="0"/>
    <m/>
    <m/>
    <m/>
    <x v="9"/>
    <x v="46"/>
  </r>
  <r>
    <s v="mounterrigal.com"/>
    <s v="tilde"/>
    <s v="Soft Fail"/>
    <s v="v=spf1 include:_spf.google.com include:netaffinity.net include:spf.guestjoy.com include:guestline.net include:roomlynx.net  ~all"/>
    <m/>
    <x v="0"/>
    <m/>
    <m/>
    <m/>
    <x v="6"/>
    <x v="46"/>
  </r>
  <r>
    <s v="templebarhotel.com"/>
    <s v="no"/>
    <s v="Not found"/>
    <m/>
    <m/>
    <x v="0"/>
    <m/>
    <m/>
    <m/>
    <x v="0"/>
    <x v="46"/>
  </r>
  <r>
    <s v="dublin.hilton.com"/>
    <s v="no"/>
    <s v="Not found"/>
    <m/>
    <m/>
    <x v="0"/>
    <m/>
    <m/>
    <m/>
    <x v="0"/>
    <x v="46"/>
  </r>
  <r>
    <s v="talbothotelstillorgan.com"/>
    <s v="minus"/>
    <s v="Fail"/>
    <s v="v=spf1 include:spf.protection.outlook.com ip4:205.201.128.0/20 ip4:198.2.128.0/18 ip4:148.105.8.0/21 include:netaffinity.net include:mindaclient.com -all"/>
    <m/>
    <x v="2"/>
    <s v="v=DMARC1; p=none; pct=100; fo=1"/>
    <m/>
    <m/>
    <x v="0"/>
    <x v="46"/>
  </r>
  <r>
    <s v="theccd.ie"/>
    <s v="tilde"/>
    <s v="Soft Fail"/>
    <s v="v=spf1 ip4:190.180.144.237 +a +mx +ip4:207.55.255.4 +include:spf.protection.outlook.com +exists:%{i}.spf.hc1133-43.c3s2.iphmx.com +ip4:89.101.192.1 +include:spf.exclaimer.net ~all +include:_spf.createsend.com ~all"/>
    <s v="yes"/>
    <x v="1"/>
    <s v="v=DMARC1;p=quarantine;sp=quarantine;adkim=r;aspf=r;pct=100;fo=0;rf=afrf;ri=86400"/>
    <m/>
    <m/>
    <x v="0"/>
    <x v="46"/>
  </r>
  <r>
    <s v="connemaracoast.ie"/>
    <s v="minus"/>
    <s v="Fail"/>
    <s v="v=spf1 include:spf.protection.outlook.com include:authsmtp.com -all"/>
    <s v="yes"/>
    <x v="2"/>
    <s v="v=DMARC1; p=none; rua=mailto:dmarc@lantech.uriports.com; ruf=mailto:dmarc@lantech.uriports.com; fo=1:d:s"/>
    <m/>
    <m/>
    <x v="7"/>
    <x v="46"/>
  </r>
  <r>
    <s v="claytonhotellimerick.com"/>
    <s v="minus"/>
    <s v="Fail"/>
    <s v="v=spf1 include:spf.protection.outlook.com -all"/>
    <m/>
    <x v="0"/>
    <m/>
    <m/>
    <m/>
    <x v="5"/>
    <x v="46"/>
  </r>
  <r>
    <s v="ballymascanlon.com"/>
    <s v="minus"/>
    <s v="Fail"/>
    <s v="v=spf1 ip4:86.47.36.160 include:spf.protection.outlook.com include:netaffinity.net include:authsmtp.com -all"/>
    <s v="yes"/>
    <x v="2"/>
    <s v="v=DMARC1; p=none; rua=mailto:dmarc@lantech.uriports.com; ruf=mailto:dmarc@lantech.uriports.com; fo=1:d:s"/>
    <m/>
    <m/>
    <x v="2"/>
    <x v="46"/>
  </r>
  <r>
    <s v="esri.ie"/>
    <s v="minus"/>
    <s v="Fail"/>
    <s v="v=spf1 include:spf.protection.outlook.com include:nw008.com -all"/>
    <s v="yes"/>
    <x v="3"/>
    <s v="v=DMARC1; p=reject; rua=mailto:dmarc_agg@vali.email;"/>
    <m/>
    <m/>
    <x v="0"/>
    <x v="46"/>
  </r>
  <r>
    <s v="apcoa.ie"/>
    <s v="minus"/>
    <s v="Fail"/>
    <s v="v=spf1 include:spf.protection.outlook.com include:spf.topdesk.net include:mail.zendesk.com -all"/>
    <m/>
    <x v="0"/>
    <m/>
    <m/>
    <m/>
    <x v="0"/>
    <x v="46"/>
  </r>
  <r>
    <s v="sig.com"/>
    <s v="minus"/>
    <s v="Fail"/>
    <s v="v=spf1 ip4:217.112.146.130 include:susq.com include:_spf.bluematrix.com include:_u.sig.com._spf.smart.ondmarc.com -all"/>
    <s v="yes"/>
    <x v="2"/>
    <s v="v=DMARC1; p=none; sp=none; pct=100; aspf=s; fo=1; ri=3600; rua=mailto:499aaf2e@inbox.ondmarc.com,mailto:dmarcreplies@sig.com; ruf=mailto:499aaf2e@inbox.ondmarc.com,mailto:dmarcreplies@sig.com;"/>
    <m/>
    <m/>
    <x v="0"/>
    <x v="46"/>
  </r>
  <r>
    <s v="gempackfoods.ie"/>
    <s v="minus"/>
    <s v="Fail"/>
    <s v="v=spf1 ip4:83.70.133.98 ip4:83.70.133.97 include:spf.protection.outlook.com -all"/>
    <m/>
    <x v="1"/>
    <s v="v=DMARC1; p=quarantine; sp=quarantine; ri=3600; rua=mailto:6fuehgkv@ag.dmarcian-eu.com"/>
    <m/>
    <m/>
    <x v="0"/>
    <x v="46"/>
  </r>
  <r>
    <s v="nicholasodwyer.com"/>
    <s v="minus"/>
    <s v="Fail"/>
    <s v="v=spf1 include:spf.protection.outlook.com -all"/>
    <s v="yes"/>
    <x v="1"/>
    <s v="v=DMARC1; p=quarantine; sp=none; rua=mailto:dmarc@nicholasodwyer.ie!10m; ruf=mailto:dmarc@nicholasodwyer.ie!10m; rf=afrf; pct=100; ri=86400;"/>
    <m/>
    <m/>
    <x v="0"/>
    <x v="46"/>
  </r>
  <r>
    <s v="sharpgroup.ie"/>
    <s v="tilde"/>
    <s v="Soft Fail"/>
    <s v="v=spf1 include:spf.protection.outlook.com include:spf.theemaillaundry.net ~all"/>
    <m/>
    <x v="0"/>
    <m/>
    <m/>
    <m/>
    <x v="0"/>
    <x v="46"/>
  </r>
  <r>
    <s v="pco.ie"/>
    <s v="minus"/>
    <s v="Fail"/>
    <s v="v=spf1 include:spf.protection.outlook.com include:_spf.psm.knowbe4.com ip4:87.120.248.48/28 ip4:185.190.207.176/28 ip4:149.40.96.82/32 ip4:217.38.236.82/32 ip4:147.160.167.0/26 ip4:52.49.201.246 ip4:52.49.235.189 ip4:23.21.109.197 ip4:23.21.109.212 -all"/>
    <s v="yes"/>
    <x v="2"/>
    <s v="v=DMARC1; p=none; pct=100; rua=mailto:techsupport@pco.ie,mailto:dmarc_agg@vali.email; ruf=mailto:techsupport@pco.ie;"/>
    <m/>
    <m/>
    <x v="15"/>
    <x v="46"/>
  </r>
  <r>
    <s v="aerogen.com"/>
    <s v="minus"/>
    <s v="Fail"/>
    <s v="v=spf1 a ip4:206.19.48.0/25 ip4:86.47.125.219/32 ip4:85.222.158.237 ip4:83.223.109.50/32 ip4:83.223.109.51/32 ip4:84.203.244.106/32 ip4:78.137.157.90/32 ip4:83.223.109.73/32 ip4:185.113.242.129/32 ip4:78.153.203.206/32 ip4:217.72.192.74/32 ip4:85.222.158.&quot; &quot;230/32 a:mail.aerogen&quot; &quot;.com include:spf.protection.outlook.com include:spf.topsec.com include:servers.mcsv.net include:docebosaas.com include:_spf.salesforce.com include:spf2.accessacloud.com -all"/>
    <s v="yes"/>
    <x v="1"/>
    <s v="v=DMARC1; p=quarantine; pct=100; rua=mailto:aerogendmarc@aerogen.com; ruf=mailto:aerogendmarc@aerogen.com; fo=1"/>
    <m/>
    <m/>
    <x v="7"/>
    <x v="46"/>
  </r>
  <r>
    <s v="thecope.ie"/>
    <s v="minus"/>
    <s v="Fail"/>
    <s v="v=spf1 include:spf.protection.outlook.com +ip4:83.138.8.106 -all"/>
    <s v="yes"/>
    <x v="2"/>
    <s v="v=DMARC1; p=none; rua=mailto:its@thecope.ie"/>
    <m/>
    <m/>
    <x v="6"/>
    <x v="46"/>
  </r>
  <r>
    <s v="brothersofcharityclare.ie"/>
    <s v="no"/>
    <s v="Not found"/>
    <m/>
    <m/>
    <x v="0"/>
    <m/>
    <m/>
    <m/>
    <x v="9"/>
    <x v="46"/>
  </r>
  <r>
    <s v="concern.net"/>
    <s v="tilde"/>
    <s v="Soft Fail"/>
    <s v="v=spf1 ip4:115.68.64.54 ip4:89.234.34.121 include:spf.protection.outlook.com include:sendgrid.net ~all"/>
    <s v="yes"/>
    <x v="2"/>
    <s v="v=DMARC1; p=none; rua=mailto:cw8iz4vn@ag.eu.dmarcian.com;"/>
    <m/>
    <m/>
    <x v="0"/>
    <x v="46"/>
  </r>
  <r>
    <s v="dubsimon.ie"/>
    <s v="minus"/>
    <s v="Fail"/>
    <s v="v=spf1 mx ip4:52.17.55.17 include:spf.protection.outlook.com include:servers.mcsv.net include:_spf.createsend.com include:spf.smtp2go.com include:_spf.salesforce.com -all"/>
    <s v="yes"/>
    <x v="1"/>
    <s v="v=DMARC1; p=quarantine; sp=quarantine; fo=1; rua=mailto:dmarc@dubsimon.ie; ruf=mailto:dmarc@dubsimon.ie; pct=100;"/>
    <m/>
    <m/>
    <x v="0"/>
    <x v="46"/>
  </r>
  <r>
    <s v="limerickyouthservice.com"/>
    <s v="tilde"/>
    <s v="Soft Fail"/>
    <s v="v=spf1 include:spf.reg365.net ~all"/>
    <m/>
    <x v="0"/>
    <m/>
    <m/>
    <m/>
    <x v="5"/>
    <x v="46"/>
  </r>
  <r>
    <s v="stmunchinscommunitycentre.ie"/>
    <s v="minus"/>
    <s v="Fail"/>
    <s v="v=spf1 mx a include:spf.elive.net -all"/>
    <m/>
    <x v="0"/>
    <m/>
    <m/>
    <m/>
    <x v="5"/>
    <x v="46"/>
  </r>
  <r>
    <s v="samaritians.org"/>
    <s v="no"/>
    <s v="Not found"/>
    <m/>
    <m/>
    <x v="0"/>
    <m/>
    <m/>
    <m/>
    <x v="5"/>
    <x v="46"/>
  </r>
  <r>
    <s v="rehabcare.ie"/>
    <s v="minus"/>
    <s v="Fail"/>
    <s v="v=spf1 include:spf.protection.outlook.com -all"/>
    <s v="yes"/>
    <x v="3"/>
    <s v="v=DMARC1; p=reject; rua=mailto:kh63j5azfi@rua.powerdmarc.com; ruf=mailto:kh63j5azfi@ruf.powerdmarc.com; pct=100; fo=0:1;"/>
    <s v="yes"/>
    <s v="https://app.powerbimi.com/15509/4baa9bd4-a09b-4736-8cd0-725ce35570e2.svg"/>
    <x v="2"/>
    <x v="46"/>
  </r>
  <r>
    <s v="vistatec.com"/>
    <s v="minus"/>
    <s v="Fail"/>
    <s v="v=spf1 ip4:85.159.20.0/24 ip4:169.50.207.110 ip4:40.85.77.193 ip4:138.201.252.45 ip4:85.159.20.70 ip4:185.118.113.53 ip4:54.75.175.106 ip4:54.77.142.175 ip4:149.72.156.198 ip6:2a01:4d8:0::/46 a include:_spf.google.com include:_spf.salesforce.com include:s&quot; &quot;pf.protection.outlook.com include:_spf.smtp.com include:spf.exclaimer.net -all"/>
    <m/>
    <x v="2"/>
    <s v="v=DMARC1; p=none"/>
    <m/>
    <m/>
    <x v="0"/>
    <x v="46"/>
  </r>
  <r>
    <s v="exertissupplychain.com"/>
    <s v="minus"/>
    <s v="Fail"/>
    <s v="v=spf1 include:spf.protection.outlook.com -all"/>
    <m/>
    <x v="0"/>
    <m/>
    <m/>
    <m/>
    <x v="5"/>
    <x v="46"/>
  </r>
  <r>
    <s v="abbeytheatre.ie"/>
    <s v="tilde"/>
    <s v="Soft Fail"/>
    <s v="v=spf1 include:_u.abbeytheatre.ie._spf.smart.ondmarc.com ~all"/>
    <s v="yes"/>
    <x v="3"/>
    <s v="v=DMARC1; p=reject; pct=100; fo=1; ri=3600; rua=mailto:ab8379a3@inbox.ondmarc.com; ruf=mailto:ab8379a3@inbox.ondmarc.com;"/>
    <m/>
    <m/>
    <x v="0"/>
    <x v="46"/>
  </r>
  <r>
    <s v="bfei.ie"/>
    <s v="minus"/>
    <s v="Fail"/>
    <s v="v=spf1 mx ip4:193.1.231.1/26 ip4:213.94.193.24/29 ip4:86.47.251.19/32 ip4:89.101.230.56/29 ip4:87.34.136.0/23 include:outlook.com include:spf.protection.outlook.com ip4:78.137.164.120 ip4:78.137.164.50 ip4:137.191.239.207 ip4:137.191.239.209 include:&quot; &quot;spf.dcsnet.ie  include:relaymailchannels.net -all"/>
    <s v="yes"/>
    <x v="0"/>
    <m/>
    <m/>
    <m/>
    <x v="0"/>
    <x v="46"/>
  </r>
  <r>
    <s v="baldoyletrainingcentre.ie"/>
    <s v="tilde"/>
    <s v="Soft Fail"/>
    <s v="v=spf1 a include:spf.blacknight.ie ~all"/>
    <m/>
    <x v="0"/>
    <m/>
    <m/>
    <m/>
    <x v="0"/>
    <x v="46"/>
  </r>
  <r>
    <s v="dfei.ie"/>
    <s v="minus"/>
    <s v="Fail"/>
    <s v="v=spf1 include:spf.protection.outlook.com ip4:193.1.231.2 ip4:82.113.146.165 include:spf.dcsnet.ie -all"/>
    <s v="yes"/>
    <x v="0"/>
    <m/>
    <m/>
    <m/>
    <x v="0"/>
    <x v="46"/>
  </r>
  <r>
    <s v="jungheinrich.ie"/>
    <s v="minus"/>
    <s v="Fail"/>
    <s v="v=spf1 include:%{ir}.%{v}.%{d}.spf.has.pphosted.com -all"/>
    <s v="yes"/>
    <x v="3"/>
    <s v="v=DMARC1; p=reject; rua=mailto:dmarc_rua@emaildefense.proofpoint.com; ruf=mailto:dmarc_ruf@emaildefense.proofpoint.com; fo=1"/>
    <m/>
    <m/>
    <x v="16"/>
    <x v="46"/>
  </r>
  <r>
    <s v="holyfamilyschoolcootehill.com"/>
    <s v="no"/>
    <s v="Not found"/>
    <m/>
    <m/>
    <x v="0"/>
    <m/>
    <m/>
    <m/>
    <x v="11"/>
    <x v="46"/>
  </r>
  <r>
    <s v="scoiliosagain.ie"/>
    <s v="tilde"/>
    <s v="Soft Fail"/>
    <s v="v=spf1 include:spf.reg365.net ~all"/>
    <m/>
    <x v="0"/>
    <m/>
    <m/>
    <m/>
    <x v="6"/>
    <x v="46"/>
  </r>
  <r>
    <s v="gglsecurity.com"/>
    <s v="minus"/>
    <s v="Fail"/>
    <s v="v=spf1 ip4:185.43.232.238 +ip4:80.93.28.164 +include:spf.protection.outlook.com -all"/>
    <s v="yes"/>
    <x v="0"/>
    <m/>
    <m/>
    <m/>
    <x v="5"/>
    <x v="46"/>
  </r>
  <r>
    <s v="swordsecurity.com"/>
    <s v="minus"/>
    <s v="Fail"/>
    <s v="v=spf1 include:spf.smtp2go.com include:spf.mailanyone.net  -all"/>
    <m/>
    <x v="0"/>
    <m/>
    <m/>
    <m/>
    <x v="5"/>
    <x v="46"/>
  </r>
  <r>
    <s v="shellfishireland.com"/>
    <s v="minus"/>
    <s v="Fail"/>
    <s v="v=spf1 a ip4:54.37.105.96/32 ip4:54.37.105.103/32 include:spf.protection.outlook.com -all"/>
    <m/>
    <x v="0"/>
    <m/>
    <m/>
    <m/>
    <x v="1"/>
    <x v="46"/>
  </r>
  <r>
    <s v="shannonvalefoods.ie"/>
    <s v="minus"/>
    <s v="Fail"/>
    <s v="v=spf1 include:spf.protection.outlook.com -all"/>
    <m/>
    <x v="2"/>
    <s v="v=DMARC1; p=none"/>
    <m/>
    <m/>
    <x v="1"/>
    <x v="46"/>
  </r>
  <r>
    <s v="unilever.com"/>
    <s v="minus"/>
    <s v="Fail"/>
    <s v="v=spf1 include:spf.protection.outlook.com ip4:13.112.93.182 ip4:188.95.0.38 ip4:188.95.7.6 ip4:89.202.116.58 ip4:43.228.187.74 ip4:174.143.100.191 a:b.spf.service-now.com a:c.spf.service-now.com a:d.spf.service-now.com include:eu.rp.oracleemaildelivery.co&quot; &quot;m ip4:194.60.106.150 ip4:194.60.106.152 ip4:204.110.162.26/31 -all"/>
    <s v="yes"/>
    <x v="3"/>
    <s v="v=DMARC1; p=reject; rua=mailto:dmarc@unilever.com; fo=0; adkim=r; aspf=r; pct=100; rf=afrf"/>
    <m/>
    <m/>
    <x v="0"/>
    <x v="46"/>
  </r>
  <r>
    <s v="moyvalleymeats.ie"/>
    <s v="minus"/>
    <s v="Fail"/>
    <s v="v=spf1 mx a:mailon.spamtitan.com include:spf.protection.outlook.com -all"/>
    <s v="yes"/>
    <x v="1"/>
    <s v="v=DMARC1; p=quarantine; rua=mailto:dmarc@mtcsolutions.ie"/>
    <m/>
    <m/>
    <x v="16"/>
    <x v="46"/>
  </r>
  <r>
    <s v="abconireland.com"/>
    <s v="minus"/>
    <s v="Fail"/>
    <s v="v=spf1 ip4:91.92.29.94 include:_spf.mlsend.com include:spf.protection.outlook.com include:spf.mandrillapp.com include:sendgrid.net -all"/>
    <m/>
    <x v="0"/>
    <m/>
    <m/>
    <m/>
    <x v="11"/>
    <x v="46"/>
  </r>
  <r>
    <s v="atagroup.ie"/>
    <s v="minus"/>
    <s v="Fail"/>
    <s v="v=spf1 ip4:81.133.158.169  ip4:145.227.10.17 ip4:77.107.237.203 include:spf.protection.outlook.com include:spf.exclaimer.net include:mail.zendesk.com include:atahelpdesk.zendesk.com include:_spf.psm.knowbe4.com -all"/>
    <s v="yes"/>
    <x v="3"/>
    <s v="v=DMARC1; p=reject; rua=mailto:dmarc@atagroup.com; ruf=mailto:dmarc@atagroup.com; sp=reject; fo=1"/>
    <m/>
    <m/>
    <x v="11"/>
    <x v="46"/>
  </r>
  <r>
    <s v="ipa.ie"/>
    <s v="tilde"/>
    <s v="Soft Fail"/>
    <s v="v=spf1 mx ip4:89.185.148.18 ip4:46.137.21.115 ip4:193.1.242.30 a:spf.webtrade.ie include:app.sgizmo.com include:spf.blacknight.com a:s2a-se.blacknight.ie include:spf.protection.outlook.com include:_spf.eu.messagegears.net ~all"/>
    <s v="yes"/>
    <x v="2"/>
    <s v="Value: v=DMARC1; p=none; rua=mailto:cisalerts@ipa.ie; ruf=mailto:cisalerts@ipa.ie; fo=1"/>
    <m/>
    <m/>
    <x v="0"/>
    <x v="46"/>
  </r>
  <r>
    <s v="eveningecho.ie"/>
    <s v="tilde"/>
    <s v="Soft Fail"/>
    <s v="v=spf1 include:_spf.google.com ~all"/>
    <m/>
    <x v="2"/>
    <s v="v=DMARC1; p=none; rua=mailto:larry.kavanagh@examiner.ie,mailto:dmarc.reports@examiner.ie; ruf=mailto:larry.kavanagh@examiner.ie,mailto:dmarc.reports@examiner.ie; sp=none; ri=86400"/>
    <m/>
    <m/>
    <x v="1"/>
    <x v="46"/>
  </r>
  <r>
    <s v="derrinstown.com"/>
    <s v="minus"/>
    <s v="Fail"/>
    <s v="v=spf1 include:spf.protection.outlook.com -all"/>
    <m/>
    <x v="0"/>
    <m/>
    <m/>
    <m/>
    <x v="16"/>
    <x v="46"/>
  </r>
  <r>
    <s v="irishcarrentals.ie"/>
    <s v="no"/>
    <s v="Not found"/>
    <m/>
    <m/>
    <x v="0"/>
    <m/>
    <m/>
    <m/>
    <x v="0"/>
    <x v="46"/>
  </r>
  <r>
    <s v="leolynch.com"/>
    <s v="minus"/>
    <s v="Fail"/>
    <s v="v=spf1 mx ip4:40.113.68.21 a:webmail.llynch.com include:spf.exclaimer.net include:spf.protection.outlook.com -all"/>
    <s v="yes"/>
    <x v="2"/>
    <s v="v=DMARC1; p=none;"/>
    <m/>
    <m/>
    <x v="0"/>
    <x v="46"/>
  </r>
  <r>
    <s v="cahercalla.ie"/>
    <s v="minus"/>
    <s v="Fail"/>
    <s v="v=spf1 +ip4:142.132.206.101 +include:spf.protection.outlook.com +include:spf.topsec.com -all"/>
    <s v="yes"/>
    <x v="0"/>
    <m/>
    <m/>
    <m/>
    <x v="9"/>
    <x v="46"/>
  </r>
  <r>
    <s v="stmarysmerrion.ie"/>
    <s v="no"/>
    <s v="Not found"/>
    <m/>
    <m/>
    <x v="0"/>
    <m/>
    <m/>
    <m/>
    <x v="0"/>
    <x v="46"/>
  </r>
  <r>
    <s v="ballymaloe.ie"/>
    <s v="minus"/>
    <s v="Fail"/>
    <s v="v=spf1 include:guestline.net include:roomlynx.net -all"/>
    <m/>
    <x v="2"/>
    <s v="v=DMARC1; p=none;"/>
    <m/>
    <m/>
    <x v="1"/>
    <x v="46"/>
  </r>
  <r>
    <s v="aldi.ie"/>
    <s v="mis"/>
    <s v="Invalid SPF Syntax"/>
    <s v="v=spf1 redirect=aldi.ie.hosted.spf-report.com"/>
    <s v="yes"/>
    <x v="3"/>
    <s v="v=DMARC1; p=reject; rua=mailto:a556a34f@mxtoolbox.dmarc-report.com; ruf=mailto:a556a34f@forensics.dmarc-report.com; adkim=r; aspf=r; fo=1"/>
    <m/>
    <m/>
    <x v="16"/>
    <x v="46"/>
  </r>
  <r>
    <s v="dubraybooks.ie"/>
    <s v="minus"/>
    <s v="Fail"/>
    <s v="v=spf1 ip4:168.245.72.207 include:spf.protection.outlook.com include:sendgrid.net -all"/>
    <s v="yes"/>
    <x v="2"/>
    <s v="v=DMARC1; p=none;"/>
    <m/>
    <m/>
    <x v="24"/>
    <x v="46"/>
  </r>
  <r>
    <s v="swampfashion.ie"/>
    <s v="no"/>
    <s v="Not found"/>
    <m/>
    <m/>
    <x v="0"/>
    <m/>
    <m/>
    <m/>
    <x v="1"/>
    <x v="46"/>
  </r>
  <r>
    <s v="anthonyryans.com"/>
    <s v="minus"/>
    <s v="Fail"/>
    <s v="v=spf1 a mx +ip4:95.154.221.73 +include:spf.protection.outlook.com +include:_spf_cd.spamtitan.com -all"/>
    <s v="yes"/>
    <x v="2"/>
    <s v="v=DMARC1; p=none;"/>
    <m/>
    <m/>
    <x v="7"/>
    <x v="46"/>
  </r>
  <r>
    <s v="jbsgroup.ie"/>
    <s v="minus"/>
    <s v="Fail"/>
    <s v="v=spf1 ip4:91.92.29.82 ip4:62.233.76.18 include:sendgrid.net include:mailanyone.net include:spf.protection.outlook.com include:spf.exclaimer.net -all"/>
    <s v="yes"/>
    <x v="0"/>
    <m/>
    <m/>
    <m/>
    <x v="12"/>
    <x v="46"/>
  </r>
  <r>
    <s v="cumminssports.ie"/>
    <s v="tilde"/>
    <s v="Soft Fail"/>
    <s v="v=spf1 a mx include:relay.mailchannels.net include:spf.protection.outlook.com include:mailgun.org ~all"/>
    <s v="yes"/>
    <x v="2"/>
    <s v="v=DMARC1; p=none; rua=mailto:9df42002268d44f088964dc9c58d34e6@dmarc-reports.cloudflare.net,mailto:dmarc@cumminssports.ie; ruf=mailto:dmarc@cumminssports.ie; fo=1"/>
    <m/>
    <m/>
    <x v="1"/>
    <x v="46"/>
  </r>
  <r>
    <s v="buy4now.com"/>
    <s v="minus"/>
    <s v="Fail"/>
    <s v="v=spf1 ip6:fdcf:abda:4154::/48 -all"/>
    <m/>
    <x v="0"/>
    <m/>
    <m/>
    <m/>
    <x v="0"/>
    <x v="46"/>
  </r>
  <r>
    <s v="irishcomms.ie"/>
    <s v="tilde"/>
    <s v="Soft Fail"/>
    <s v="v=spf1 ip4:178.250.118.18 ip4:148.252.13.186 include:spf.topsec.com include:spf.turbo-smtp.com include:amazonses.com ip4:192.138.110.14 ip4:192.138.110.15 ip4:192.138.110.232 ip4:192.138.117.78 ip4:192.138.116.77 ip4:192.157.9.134 ~all"/>
    <m/>
    <x v="2"/>
    <s v="v=DMARC1; p=none;"/>
    <m/>
    <m/>
    <x v="16"/>
    <x v="46"/>
  </r>
  <r>
    <s v="glennonbrothers.ie"/>
    <s v="minus"/>
    <s v="Fail"/>
    <s v="v=spf1 ip4:82.141.252.242/32 ip4:83.71.244.181/32 ip4:86.43.85.1/32 ip4:81.17.254.59/32 ip4:89.204.252.84/32 ip4:89.204.252.81/32 ip4:204.13.200.0/22 include:spf.protection.outlook.com include:spf.us.mailmarshal.cloud include:spf.ess.de.barracudanetw&quot; &quot;orks.com -all"/>
    <m/>
    <x v="0"/>
    <m/>
    <m/>
    <m/>
    <x v="1"/>
    <x v="46"/>
  </r>
  <r>
    <s v="biggsoil.ie"/>
    <s v="tilde"/>
    <s v="Soft Fail"/>
    <s v="v=spf1 a include:spf.blacknight.ie include:spf.protection.outlook.com include:mailgun.org ~all"/>
    <m/>
    <x v="2"/>
    <s v="v=DMARC1; p=none;"/>
    <m/>
    <m/>
    <x v="1"/>
    <x v="46"/>
  </r>
  <r>
    <s v="fdsworldwide.com"/>
    <s v="minus"/>
    <s v="Fail"/>
    <s v="v=spf1 include:spf.protection.outlook.com include:amazonses.com include:servers.mcsv.net -all"/>
    <s v="yes"/>
    <x v="2"/>
    <s v="v=DMARC1; p=none"/>
    <m/>
    <m/>
    <x v="0"/>
    <x v="46"/>
  </r>
  <r>
    <s v="siginteriors.ie"/>
    <s v="minus"/>
    <s v="Fail"/>
    <s v="v=spf1 -all"/>
    <m/>
    <x v="3"/>
    <s v="v=DMARC1; p=reject; rua=mailto:21e415078983506@rep.dmarcanalyzer.com; ruf=mailto:21e415078983506@for.dmarcanalyzer.com; fo=1;"/>
    <m/>
    <m/>
    <x v="0"/>
    <x v="46"/>
  </r>
  <r>
    <s v="frsnetwork.ie"/>
    <s v="tilde"/>
    <s v="Soft Fail"/>
    <s v="v=spf1 include:transmail.net include:zoho.com include:transmail.net include:spf.protection.outlook.com a:smtp.hosts.co.uk a:athena.hosts.co.uk a:hermes.hosts.co.uk a:outgoing-smtp.namesco.net include:email.freshservice.com ~all"/>
    <s v="yes"/>
    <x v="0"/>
    <m/>
    <m/>
    <m/>
    <x v="11"/>
    <x v="46"/>
  </r>
  <r>
    <s v="bife.ie"/>
    <s v="no"/>
    <s v="Not found"/>
    <m/>
    <m/>
    <x v="0"/>
    <m/>
    <m/>
    <m/>
    <x v="24"/>
    <x v="46"/>
  </r>
  <r>
    <s v="cls.ie"/>
    <s v="tilde"/>
    <s v="Soft Fail"/>
    <s v="v=spf1 include:spf.mailjet.com include:spf.protection.outlook.com include:27136097.spf10.hubspotemail.net ~all"/>
    <s v="yes"/>
    <x v="1"/>
    <s v="v=DMARC1; p=quarantine; rua=mailto:kh@cls.ie; ruf=mailto:kh@cls.ie; fo=1;"/>
    <m/>
    <m/>
    <x v="7"/>
    <x v="46"/>
  </r>
  <r>
    <s v="statelab.ie"/>
    <s v="tilde"/>
    <s v="Soft Fail"/>
    <s v="v=spf1 ip4:137.191.238.192/29 ip4:54.229.2.165 ip4:52.30.130.201 include:spf.protection.outlook.com a:fmail.statelab.ie ~all"/>
    <s v="yes"/>
    <x v="2"/>
    <s v=" v=DMARC1; p=none; pct=100; rua=mailto:colin.russellconway@statelab.ie; "/>
    <m/>
    <m/>
    <x v="16"/>
    <x v="46"/>
  </r>
  <r>
    <s v="redmills.com"/>
    <s v="minus"/>
    <s v="Fail"/>
    <s v="v=spf1 a:exchangelabs.com a:mailanyone.net a:gw117220.fortimail.com ip4:185.2.66.40 ip4:142.0.181.21 ip4:209.52.117.220 ip4:89.204.254.68 ip4:52.214.176.33 include:spf.protection.outlook.com -all"/>
    <s v="yes"/>
    <x v="1"/>
    <s v="v=DMARC1; p=quarantine; sp=none;"/>
    <m/>
    <m/>
    <x v="17"/>
    <x v="46"/>
  </r>
  <r>
    <s v="csn.ie"/>
    <s v="minus"/>
    <s v="Fail"/>
    <s v="v=spf1 ip4:137.191.239.214 include:spf.protection.outlook.com include:spf.dcsnet.ie -all"/>
    <s v="yes"/>
    <x v="2"/>
    <s v="v=DMARC1;p=none;sp=none;rua=mailto:211a5a2e44@rua.easydmarc.eu;ruf=mailto:211a5a2e44@ruf.easydmarc.eu;fo=1"/>
    <m/>
    <m/>
    <x v="1"/>
    <x v="46"/>
  </r>
  <r>
    <s v="adamstowncc.ie"/>
    <s v="tilde"/>
    <s v="Soft Fail"/>
    <s v="v=spf1 include:_spf.google.com include:spf.dcsnet.ie ~all"/>
    <m/>
    <x v="0"/>
    <m/>
    <m/>
    <m/>
    <x v="0"/>
    <x v="46"/>
  </r>
  <r>
    <s v="crumlincollege.ie"/>
    <s v="minus"/>
    <s v="Fail"/>
    <s v="v=spf1 include:spf.protection.outlook.com -all"/>
    <m/>
    <x v="0"/>
    <m/>
    <m/>
    <m/>
    <x v="0"/>
    <x v="46"/>
  </r>
  <r>
    <s v="tudublin.ie"/>
    <s v="minus"/>
    <s v="Fail"/>
    <s v="v=spf1 include:spf.protection.outlook.com include:spf1.tudublin.ie include:spf2.tudublin.ie include:spf3.tudublin.ie include:spf.elluciancloud.com include:mail.zendesk.com include:_spf.createsend.com include:a._spf.brightspace.com -all"/>
    <s v="yes"/>
    <x v="3"/>
    <s v="v=DMARC1; p=reject; rua=mailto:xydjhcdp@ag.eu.dmarcian.com;"/>
    <m/>
    <m/>
    <x v="0"/>
    <x v="46"/>
  </r>
  <r>
    <s v="croninscoaches.com"/>
    <s v="minus"/>
    <s v="Fail"/>
    <s v="v=spf1 a:mail.mindaclient.com include:spf.protection.outlook.com -all"/>
    <m/>
    <x v="0"/>
    <m/>
    <m/>
    <m/>
    <x v="1"/>
    <x v="46"/>
  </r>
  <r>
    <s v="matthews.ie"/>
    <s v="tilde"/>
    <s v="Soft Fail"/>
    <s v="v=spf1 include:spf.protection.outlook.com include:spf.blacknight.ie include:spf1.emailsecurity.app include:spfa.mailendo.com ~all"/>
    <m/>
    <x v="2"/>
    <s v="v=DMARC1; p=none;"/>
    <m/>
    <m/>
    <x v="12"/>
    <x v="46"/>
  </r>
  <r>
    <s v="finning.ie"/>
    <s v="tilde"/>
    <s v="Soft Fail"/>
    <s v="v=spf1 +a +mx +ip4:91.210.232.8 include:spf.webhostingireland.ie +ip4:185.43.232.251 ~all"/>
    <m/>
    <x v="0"/>
    <m/>
    <m/>
    <m/>
    <x v="0"/>
    <x v="46"/>
  </r>
  <r>
    <s v="corkmarts.com"/>
    <s v="minus"/>
    <s v="Fail"/>
    <s v="v=spf1 ip4:83.71.159.92 ip4:86.47.86.155 ip4:86.43.101.0 ip4:93.95.80.139 ip4:86.43.101.2 ip4:86.43.101.5 ip4:86.43.101.6 include:spf.protection.outlook.com include:mailgun.org -all"/>
    <s v="yes"/>
    <x v="0"/>
    <m/>
    <m/>
    <m/>
    <x v="1"/>
    <x v="46"/>
  </r>
  <r>
    <s v="plannet21.ie"/>
    <s v="minus"/>
    <s v="Fail"/>
    <s v="v=spf1 a mx ip4:78.158.111.80 include:mktomail.com -all"/>
    <s v="yes"/>
    <x v="2"/>
    <s v="v=DMARC1\\; p=none\\; rua=mailto:dmarc@plannet21.ie\\;"/>
    <m/>
    <m/>
    <x v="0"/>
    <x v="46"/>
  </r>
  <r>
    <s v="appliedmaterials.com"/>
    <s v="minus"/>
    <s v="Fail"/>
    <s v="v=spf1 mx include:spf1.workhuman.com include:_spf.google.com include:spf.protection.outlook.com include:spf.messagelabs.com -all"/>
    <s v="yes"/>
    <x v="3"/>
    <s v="v=DMARC1; p=reject; fo=1; pct=100; ri=3600; rua=mailto:dmarc_rua@emaildefense.proofpoint.com,mailto:DMARC_Report@amat.com; ruf=mailto:dmarc_ruf@emaildefense.proofpoint.com,mailto:DMARCFore_Report@amat.com"/>
    <m/>
    <m/>
    <x v="16"/>
    <x v="46"/>
  </r>
  <r>
    <s v="asiamarket.ie"/>
    <s v="minus"/>
    <s v="Fail"/>
    <s v="v=spf1 include:de._netblocks.mimecast.com include:spf1.asiamarket.ie include:spf3.asiamarket.ie -all"/>
    <s v="yes"/>
    <x v="2"/>
    <s v="v=DMARC1; p=none; rua=mailto:dmarc@asiamarket.ie"/>
    <m/>
    <m/>
    <x v="0"/>
    <x v="46"/>
  </r>
  <r>
    <s v="obrien-ingredients.ie"/>
    <s v="tilde"/>
    <s v="Soft Fail"/>
    <s v="v=spf1 include:spf.protection.outlook.com include:spf.topsec.com ~all"/>
    <m/>
    <x v="0"/>
    <m/>
    <m/>
    <m/>
    <x v="0"/>
    <x v="46"/>
  </r>
  <r>
    <s v="mcgeesfood.com"/>
    <s v="no"/>
    <s v="Not found"/>
    <m/>
    <m/>
    <x v="0"/>
    <m/>
    <m/>
    <m/>
    <x v="12"/>
    <x v="46"/>
  </r>
  <r>
    <s v="hovione.com"/>
    <s v="minus"/>
    <s v="Fail"/>
    <s v="v=spf1 a:mail.hovione.com ip4:194.38.130.3  ip4:194.38.130.4 ip4:52.165.90.41 ip4:194.38.130.10 ip4:40.78.154.41 a:spf.ltg.email ip4:18.168.51.200 ip4:18.168.140.58 include:spf.protection.outlook.com include:hv_spf.hovione.com -all"/>
    <s v="yes"/>
    <x v="1"/>
    <s v="v=DMARC1; p=quarantine; sp=reject; pct=100; rua=mailto:record_rua@hovione.com; ruf=mailto:record_ruf@hovione.com; fo=1:d:s; aspf=s; adkim=s; rf=afrf; ri=86400"/>
    <m/>
    <m/>
    <x v="1"/>
    <x v="46"/>
  </r>
  <r>
    <s v="westrock.com"/>
    <s v="tilde"/>
    <s v="Soft Fail"/>
    <s v="v=spf1 include:%{ir}.%{v}.%{d}.spf.has.pphosted.com ~all"/>
    <m/>
    <x v="2"/>
    <s v="v=DMARC1; p=none; fo=1; rua=mailto:dmarc_rua@emaildefense.proofpoint.com; ruf=mailto:dmarc_ruf@emaildefense.proofpoint.com"/>
    <m/>
    <m/>
    <x v="0"/>
    <x v="46"/>
  </r>
  <r>
    <s v="perrigo.com"/>
    <s v="tilde"/>
    <s v="Soft Fail"/>
    <s v="v=spf1 include:spf.protection.outlook.com include:spf.natchcloud.com include:spf.messagelabs.com include:spf.mailjet.com a:smtp5.silae.fr include:_spf-dc8.sapsf.com include:_spf-dc4.sapsf.com ip4:67.231.152.89 ip4:208.84.65.89 ip4:148.163.151.89&quot; &quot; ip4:148.163.155.35 ip4:70.42.227.151/32 ip4:70.42.227.152/32 ip4:65.221.8.29/32 ip4:65.221.12.128/32 ip4:65.221.12.148/32 ip4:198.11.114.29/32 ~all"/>
    <s v="yes"/>
    <x v="3"/>
    <s v="v=DMARC1; p=reject; fo=1; rua=mailto:dmarc_rua@emaildefense.proofpoint.com; ruf=mailto:dmarc_ruf@emaildefense.proofpoint.com"/>
    <m/>
    <m/>
    <x v="0"/>
    <x v="46"/>
  </r>
  <r>
    <s v="sudocrem.com"/>
    <s v="minus"/>
    <s v="Fail"/>
    <s v="v=spf1 ip4:164.132.160.62 include:_spf.mail.teva include:spf.protection.outlook.com -all"/>
    <s v="yes"/>
    <x v="3"/>
    <s v="v=DMARC1;p=reject;fo=1;ri=3600;rua=mailto:dmarc.RUA@tevapharm.com;ruf=mailto:dmarc.RUA@tevapharm.com"/>
    <m/>
    <m/>
    <x v="0"/>
    <x v="46"/>
  </r>
  <r>
    <s v="bbraun.com"/>
    <s v="minus"/>
    <s v="Fail"/>
    <s v="v=spf1 include:spf-00163d02.pphosted.com include:_spf.salesforce.com include:_spf-dc33.sapsf.eu -all"/>
    <s v="yes"/>
    <x v="3"/>
    <s v="v=DMARC1; p=reject; rua=mailto:u8jrbwhm@ag.eu.dmarcian.com, mailto:dmarc_rua@emaildefense.proofpoint.com; ruf=mailto:u8jrbwhm@fr.eu.dmarcian.com, mailto:dmarc_ruf@emaildefense.proofpoint.com"/>
    <m/>
    <m/>
    <x v="8"/>
    <x v="46"/>
  </r>
  <r>
    <s v="reynoldslogistics.ie"/>
    <s v="minus"/>
    <s v="Fail"/>
    <s v="v=spf1 include:spf.protection.outlook.com -all"/>
    <s v="yes"/>
    <x v="0"/>
    <m/>
    <m/>
    <m/>
    <x v="0"/>
    <x v="46"/>
  </r>
  <r>
    <s v="gfbs.ie"/>
    <s v="tilde"/>
    <s v="Soft Fail"/>
    <s v="v=spf1 ip4:51.83.111.125 ip4:51.68.93.177 ip4:188.165.6.8 ip4:54.36.1.228 ip4:54.36.1.229 ip4:37.187.179.155 include:_spf.google.com ~all"/>
    <s v="yes"/>
    <x v="0"/>
    <m/>
    <m/>
    <m/>
    <x v="1"/>
    <x v="46"/>
  </r>
  <r>
    <s v="home.kuehne-nagel.com"/>
    <s v="no"/>
    <s v="Not found"/>
    <m/>
    <m/>
    <x v="0"/>
    <m/>
    <m/>
    <m/>
    <x v="1"/>
    <x v="46"/>
  </r>
  <r>
    <s v="cashandcarrykitchens.ie"/>
    <s v="minus"/>
    <s v="Fail"/>
    <s v="v=spf1 include:mail.zendesk.com include:spf.protection.outlook.com include:aspmx.pardot.com ip4:185.24.99.18 include:secureserver.net mx include:spf.autopilothq.com include:sendgrid.net include:spf.ess.de.barracudanetworks.com -all"/>
    <s v="yes"/>
    <x v="1"/>
    <s v="v=DMARC1; p=quarantine; rua=mailto:dmarc-reports@cashandcarrykitchens.ie; ruf=mailto:dmarc-failures@cashandcarrykitchens.ie; sp=none; aspf=r;"/>
    <m/>
    <m/>
    <x v="1"/>
    <x v="46"/>
  </r>
  <r>
    <s v="hayes-solicitors.ie"/>
    <s v="tilde"/>
    <s v="Soft Fail"/>
    <s v="v=spf1 ip4:5.61.115.48/28 include:hayessolicitors.nw005.com include:spf.protection.outlook.com include:eu._extnetblocks.mimecast.com include:eu._netblocks.mimecast.com include:31d8ffbb-spf.mta.getcheckrecipient.com a:dnsus1.accellion.com a:dnsus2.accellio&quot; &quot;n.com ~all"/>
    <m/>
    <x v="2"/>
    <s v="v=DMARC1;p=none;sp=none;adkim=r;aspf=r;pct=100;fo=1;rf=afrf;ri=86400;rua=mailto:59421f2f29ba464@rep.dmarcanalyzer.com;ruf=mailto:59421f2f29ba464@rep.dmarcanalyzer.com"/>
    <m/>
    <m/>
    <x v="0"/>
    <x v="46"/>
  </r>
  <r>
    <s v="hollister.com"/>
    <s v="minus"/>
    <s v="Fail"/>
    <s v="v=spf1 include:spf.messagelabs.com ip4:138.1.170.0/24 ip4:147.154.126.0/24 ip4:147.154.191.0/24 ip4:147.154.32.0/25 ip4:147.154.63.0/24 ip4:162.88.24.0/21 ip4:192.29.103.128/25 ip4:192.29.72.0/25 ip4:10.144.155.128/26 ip4:192.29.88.0/25 ip4:192.29.134.0/2&quot; &quot;5 ip4:129.148.164.0/25 ip4:129.148.215.0/25 ip4:129.149.38.0/25 ip4:129.149.6.0/25 ip4:129.146.91.38/25 ip4:129.146.146.59/25 ip4:198.105.204.18/32 ip4:198.105.204.19/32 ip4:198.105.204.20/32 ip4:198.105.205.18/32 ip4:198.105.205.19/32 ip4:198.105.205.20/&quot; &quot;32 include:spf.protection.outlook.com include:_spf-sfdc.successfactors.com include:aspmx.pardot.com include:_spf.salesforce.com -all"/>
    <s v="yes"/>
    <x v="3"/>
    <s v="v=DMARC1; p=reject; ruf=mailto:postmaster@hollister.com; fo=1; pct=100"/>
    <m/>
    <m/>
    <x v="0"/>
    <x v="46"/>
  </r>
  <r>
    <s v="ilac.ie"/>
    <s v="minus"/>
    <s v="Fail"/>
    <s v="v=spf1 include:mailzone.co.uk -all"/>
    <m/>
    <x v="0"/>
    <m/>
    <m/>
    <m/>
    <x v="0"/>
    <x v="46"/>
  </r>
  <r>
    <s v="inva.com"/>
    <s v="minus"/>
    <s v="Fail"/>
    <s v="v=spf1 include:spf.protection.outlook.com include:mailsenders.netsuite.com a:dispatch-us.ppe-hosted.com -all"/>
    <s v="yes"/>
    <x v="1"/>
    <s v="v=DMARC1; p=quarantine; rua=mailto:clarissa.lau@inva.com; ruf=mailto:clarissa.lau@inva.com; fo=1"/>
    <m/>
    <m/>
    <x v="0"/>
    <x v="46"/>
  </r>
  <r>
    <s v="maldronhotelparnellsquare.com"/>
    <s v="no"/>
    <s v="Not found"/>
    <m/>
    <m/>
    <x v="0"/>
    <m/>
    <m/>
    <m/>
    <x v="0"/>
    <x v="46"/>
  </r>
  <r>
    <s v="mqi.ie"/>
    <s v="tilde"/>
    <s v="Soft Fail"/>
    <s v="v=spf1 include:_u.mqi.ie._spf.smart.ondmarc.com ~all"/>
    <s v="yes"/>
    <x v="3"/>
    <s v="v=DMARC1; p=reject; pct=100; sp=none; rua=mailto:5b355004@inbox.ondmarc.com; ruf=mailto:5b355004@inbox.ondmarc.com; adkim=r; aspf=r; fo=1; rf=afrf; ri=3600"/>
    <m/>
    <m/>
    <x v="0"/>
    <x v="46"/>
  </r>
  <r>
    <s v="ipo.gov.ie"/>
    <s v="minus"/>
    <s v="Fail"/>
    <s v="v=spf1 include:jsec.ie -all"/>
    <m/>
    <x v="0"/>
    <m/>
    <m/>
    <m/>
    <x v="0"/>
    <x v="46"/>
  </r>
  <r>
    <s v="davenporthotel.ie"/>
    <s v="tilde"/>
    <s v="Soft Fail"/>
    <s v="v=spf1 include:ireshotels.com include:spf.reg365.net ~all"/>
    <s v="yes"/>
    <x v="0"/>
    <m/>
    <m/>
    <m/>
    <x v="0"/>
    <x v="46"/>
  </r>
  <r>
    <s v="bluetreesystems.com"/>
    <s v="tilde"/>
    <s v="Soft Fail"/>
    <s v="v=spf1 ip4:212.17.43.128/29 ip4:84.203.176.32/28 ip4:99.80.80.190 ip4:52.17.17.51 ip4:3.254.33.127 include:spf.protection.outlook.com ~all"/>
    <m/>
    <x v="0"/>
    <m/>
    <m/>
    <m/>
    <x v="7"/>
    <x v="46"/>
  </r>
  <r>
    <s v="ballyroe.com"/>
    <s v="tilde"/>
    <s v="Soft Fail"/>
    <s v="v=spf1 mx include:netaffinity.net ~all"/>
    <m/>
    <x v="0"/>
    <m/>
    <m/>
    <m/>
    <x v="14"/>
    <x v="46"/>
  </r>
  <r>
    <s v="leestrand.ie"/>
    <s v="minus"/>
    <s v="Fail"/>
    <s v="v=spf1 a:dispatch-eu.ppe-hosted.com a:coredatacenter.leestrand.ie -all"/>
    <m/>
    <x v="1"/>
    <s v="v=DMARC1; p=quarantine; rua=mailto:administrator@leestrand.ie;"/>
    <m/>
    <m/>
    <x v="14"/>
    <x v="46"/>
  </r>
  <r>
    <s v="lakehotel.com"/>
    <s v="minus"/>
    <s v="Fail"/>
    <s v="v=spf1 include:spf.protection.outlook.com include:netaffinity.net include:spf.emailing.loungeup.com ip4:89.234.97.164 -all"/>
    <s v="yes"/>
    <x v="2"/>
    <s v="v=DMARC1; p=none; fo=1; rua=mailto:rua+lakehotel.com@dmarc.barracudanetworks.com; ruf=mailto:ruf+lakehotel.com@dmarc.barracudanetworks.com"/>
    <m/>
    <m/>
    <x v="14"/>
    <x v="46"/>
  </r>
  <r>
    <s v="glenroyalhotelkildare.com"/>
    <s v="no"/>
    <s v="Not found"/>
    <m/>
    <m/>
    <x v="0"/>
    <m/>
    <m/>
    <m/>
    <x v="16"/>
    <x v="46"/>
  </r>
  <r>
    <s v="irishcasings.com"/>
    <s v="minus"/>
    <s v="Fail"/>
    <s v="v=spf1 mx a:mailon.spamtitan.com include:spf.protection.outlook.com -all"/>
    <s v="yes"/>
    <x v="1"/>
    <s v="v=DMARC1; p=quarantine; rua=mailto:dmarc@mtcsolutions.ie; fo=1"/>
    <m/>
    <m/>
    <x v="21"/>
    <x v="46"/>
  </r>
  <r>
    <s v="stephenscateringequipment.com"/>
    <s v="no"/>
    <s v="Not found"/>
    <m/>
    <m/>
    <x v="2"/>
    <s v="v=DMARC1; p=none; rua=mailto:info@stephenscateringequipment.com"/>
    <m/>
    <m/>
    <x v="16"/>
    <x v="47"/>
  </r>
  <r>
    <s v="gls.ie"/>
    <s v="no"/>
    <s v="Not found"/>
    <m/>
    <m/>
    <x v="0"/>
    <m/>
    <m/>
    <m/>
    <x v="0"/>
    <x v="48"/>
  </r>
  <r>
    <s v="maguireinternational.eu"/>
    <s v="tilde"/>
    <s v="Soft Fail"/>
    <s v="v=spf1 a mx include:websitewelcome.com include:relay.k.io ~all"/>
    <s v="yes"/>
    <x v="0"/>
    <m/>
    <m/>
    <m/>
    <x v="12"/>
    <x v="49"/>
  </r>
  <r>
    <s v="gamestop.ie"/>
    <s v="minus"/>
    <s v="Fail"/>
    <s v="v=spf1 include:spf.protection.outlook.com include:mail.zendesk.com include:de._netblocks.mimecast.com ip4:12.25.107.229 -all"/>
    <m/>
    <x v="3"/>
    <s v="v=DMARC1; p=reject; pct=100; rua=mailto:1d453daa2046248@rep.dmarcanalyzer.com; ruf=mailto:1d453daa2046248@for.dmarcanalyzer.com; fo=1;"/>
    <m/>
    <m/>
    <x v="0"/>
    <x v="49"/>
  </r>
  <r>
    <s v="cjs.ie"/>
    <s v="minus"/>
    <s v="Fail"/>
    <s v="v=spf1 include:spf.protection.outlook.com include:spf.theemaillaundry.net include:_spf.mlsend.com ip4:86.43.89.74 ip4:5.134.94.241 -all"/>
    <m/>
    <x v="2"/>
    <s v="v=DMARC1; p=none"/>
    <m/>
    <m/>
    <x v="18"/>
    <x v="49"/>
  </r>
  <r>
    <s v="transitions.com"/>
    <s v="tilde"/>
    <s v="Soft Fail"/>
    <s v="v=spf1 ip4:20.44.247.0/26 include:_spf.google.com include:spf.protection.outlook.com include:spf2.transitions.com ~all"/>
    <s v="yes"/>
    <x v="1"/>
    <s v="v=DMARC1; p=quarantine; fo=1; rua=mailto:dmarc_rua@emaildefense.proofpoint.com,mailto:dmarc-analysts@transitions.com; ruf=mailto:dmarc_ruf@emaildefense.proofpoint.com"/>
    <m/>
    <m/>
    <x v="7"/>
    <x v="49"/>
  </r>
  <r>
    <s v="towerhotelwaterford.com"/>
    <s v="no"/>
    <s v="Not found"/>
    <m/>
    <m/>
    <x v="0"/>
    <m/>
    <m/>
    <m/>
    <x v="10"/>
    <x v="49"/>
  </r>
  <r>
    <s v="forensicscience.ie"/>
    <s v="no"/>
    <s v="Not found"/>
    <m/>
    <m/>
    <x v="0"/>
    <m/>
    <m/>
    <m/>
    <x v="0"/>
    <x v="49"/>
  </r>
  <r>
    <s v="lenmacservices.com"/>
    <s v="no"/>
    <s v="Not found"/>
    <m/>
    <m/>
    <x v="0"/>
    <m/>
    <m/>
    <m/>
    <x v="5"/>
    <x v="49"/>
  </r>
  <r>
    <s v="tulfarris.com"/>
    <s v="tilde"/>
    <s v="Soft Fail"/>
    <s v="v=spf1 ip4:78.143.137.55 include:spf.protection.outlook.com include:servers.mcsv.net include:netaffinity.net include:spf.sendinblue.com include:authsmtp.com include:spf.exclaimer.net ~all"/>
    <s v="yes"/>
    <x v="2"/>
    <s v="v=DMARC1; p=none; rua=mailto:admin@Tulfarris.onmicrosoft.com; ruf=mailto:admin@Tulfarris.onmicrosoft.com; sp=reject; aspf=s; ri=86400"/>
    <m/>
    <m/>
    <x v="24"/>
    <x v="50"/>
  </r>
  <r>
    <s v="natus.com"/>
    <s v="tilde"/>
    <s v="Soft Fail"/>
    <s v="v=spf1 include:%{i}._ip.%{h}._ehlo.%{d}._spf.vali.email ~all"/>
    <s v="yes"/>
    <x v="1"/>
    <s v="v=DMARC1; p=quarantine; rua=mailto:dmarc_agg@vali.email,mailto:dmarc_reporting@natus.com"/>
    <m/>
    <m/>
    <x v="7"/>
    <x v="51"/>
  </r>
  <r>
    <s v="rathdownschool.ie"/>
    <s v="minus"/>
    <s v="Fail"/>
    <s v="v=spf1 include:_spf.google.com include:spf.blacknight.ie include:spf.schoolbaseonline.biz -all"/>
    <s v="yes"/>
    <x v="0"/>
    <m/>
    <m/>
    <m/>
    <x v="0"/>
    <x v="52"/>
  </r>
  <r>
    <s v="paulbyronshoes.com"/>
    <s v="minus"/>
    <s v="Fail"/>
    <s v="v=spf1 +a +mx +ip4:95.216.111.60 +ip6:2a01:4f9:2b:4a9::698:f4da +ip4:213.239.192.56 include:amazonses.com -all"/>
    <m/>
    <x v="2"/>
    <s v="v=DMARC1;  p=none;  rua=mailto:83e992e4131d544@rep.dmarcanalyzer.com; sp=none;"/>
    <m/>
    <m/>
    <x v="22"/>
    <x v="52"/>
  </r>
  <r>
    <s v="kingspaninsulation.ie"/>
    <s v="tilde"/>
    <s v="Soft Fail"/>
    <s v="v=spf1 include:spf2.kingspan.com include:_spf.eu.messagegears.net ~all"/>
    <s v="yes"/>
    <x v="0"/>
    <m/>
    <m/>
    <m/>
    <x v="12"/>
    <x v="52"/>
  </r>
  <r>
    <s v="ngahr.com"/>
    <s v="minus"/>
    <s v="Fail"/>
    <s v="v=spf1 mx include:spf.ngahr.com include:spf.protection.outlook.com include:_spf-dc12.successfactors.com include:spf.afas.online include:_spf.cmail.ondemand.com include:de._netblocks.mimecast.com ip4:204.152.232.176/28 -all"/>
    <s v="yes"/>
    <x v="3"/>
    <s v="v=DMARC1; p=reject; sp=reject; rua=mailto:dmarc_agg@vali.email,mailto:bab9625a2d81b58f32c25bc06c36a9de-d@dmarc.report-uri.com,mailto:dmarc.reports@ngahr.com,mailto:re+ix7m11mfc53@dmarc.postmarkapp.com; ruf=mailto:dmarc.reports@ngahr.com"/>
    <m/>
    <m/>
    <x v="0"/>
    <x v="52"/>
  </r>
  <r>
    <s v="oxfordcorp.com"/>
    <s v="minus"/>
    <s v="Fail"/>
    <s v="v=spf1 include:spf.protection.outlook.com include:successfactors.eu include:_spf.bullhornmail.com a:mail.ccdbv.nl include:spf-us.emailsignatures365.com include:relay.mailchannels.net include:_spf.salesforce.com ip4:192.103.250.150 ip4:4.152.233.120 -all"/>
    <s v="yes"/>
    <x v="1"/>
    <s v="v=DMARC1;p=quarantine;rua=mailto:5acqye4x@ag.us.dmarcian.com; ruf=mailto:5acqye4x@fr.us.dmarcian.com;fo=1;"/>
    <m/>
    <m/>
    <x v="1"/>
    <x v="53"/>
  </r>
  <r>
    <s v="fai.ie"/>
    <s v="tilde"/>
    <s v="Soft Fail"/>
    <s v="v=spf1 include:amazonses.com include:spf.exclaimer.net include:sendgrid.net include:servers.mcsv.net include:spf.protection.outlook.com ip4:46.22.133.49/32 ip4:89.204.255.0/24 include:_spf.salesforce.com include:authsmtp.com ~all"/>
    <s v="yes"/>
    <x v="2"/>
    <s v="v=DMARC1; p=none;"/>
    <m/>
    <m/>
    <x v="0"/>
    <x v="54"/>
  </r>
  <r>
    <s v="fintrax.com"/>
    <s v="minus"/>
    <s v="Fail"/>
    <s v="v=spf1 a mx ip4:185.82.241.36  ip4:77.75.99.245 ip4:5.135.102.112 ip4:52.215.69.98 ip4:35.176.183.125 include:spf.protection.outlook.com include:mandrillapp.com include:aspmx.pardot.com include:_spf.createsend.com  -all"/>
    <s v="yes"/>
    <x v="2"/>
    <s v="v=DMARC1; p=none; fo=1; rua=mailto:dmarc_agg@fintrax.com;ruf=mailto:dmarc_afrf@fintrax.com"/>
    <m/>
    <m/>
    <x v="7"/>
    <x v="54"/>
  </r>
  <r>
    <s v="maryborough.com"/>
    <s v="no"/>
    <s v="Not found"/>
    <m/>
    <m/>
    <x v="0"/>
    <m/>
    <m/>
    <m/>
    <x v="1"/>
    <x v="54"/>
  </r>
  <r>
    <s v="royalhotel.ie"/>
    <s v="tilde"/>
    <s v="Soft Fail"/>
    <s v="v=spf1 mx a include:spf.protection.outlook.com include:netaffinity.net ~all"/>
    <m/>
    <x v="0"/>
    <m/>
    <m/>
    <m/>
    <x v="24"/>
    <x v="54"/>
  </r>
  <r>
    <s v="jenkinson.ie"/>
    <s v="minus"/>
    <s v="Fail"/>
    <s v="v=spf1 ip4:185.43.232.201 ip4:78.137.164.87 ip4:78.137.164.122 ip4:89.101.22.6 ip4:89.101.22.2 ip4:213.94.214.86 ip4:213.94.214.82 include:spf.protection.outlook.com +a +mx -all"/>
    <s v="yes"/>
    <x v="0"/>
    <m/>
    <m/>
    <m/>
    <x v="0"/>
    <x v="54"/>
  </r>
  <r>
    <s v="stpeterscc.ie"/>
    <s v="no"/>
    <s v="Not found"/>
    <m/>
    <m/>
    <x v="0"/>
    <m/>
    <m/>
    <m/>
    <x v="15"/>
    <x v="54"/>
  </r>
  <r>
    <s v="upmc.ie"/>
    <s v="minus"/>
    <s v="Fail"/>
    <s v="v=spf1 ip4:128.147.28.14 ip4:128.147.254.4 ip4:157.229.254.4 ip4:198.99.201.0/24 ip4:91.210.235.218 include:spf-0002f001.pphosted.com include:spf.protection.outlook.com include:aspmx.pardot.com -all"/>
    <s v="yes"/>
    <x v="2"/>
    <s v="v=DMARC1; p=none; rua=mailto:dmarc_agg@vali.email;"/>
    <m/>
    <m/>
    <x v="16"/>
    <x v="54"/>
  </r>
  <r>
    <s v="royalmarine.ie"/>
    <s v="minus"/>
    <s v="Fail"/>
    <s v="v=spf1 mx a:mail.royalmarine.ie include:spf.protection.outlook.com include:netaffinity.net -all"/>
    <m/>
    <x v="1"/>
    <s v="v=DMARC1; p=quarantine; pct=100; fo=1"/>
    <m/>
    <m/>
    <x v="0"/>
    <x v="54"/>
  </r>
  <r>
    <s v="hilifetools.com"/>
    <s v="minus"/>
    <s v="Fail"/>
    <s v="v=spf1 include:pccairframe.com -all"/>
    <m/>
    <x v="1"/>
    <s v="v=DMARC1; p=quarantine; rua=mailto:dmarcrpts@precastcorp.com; ruf=mailto:dmarcrpts@precastcorp.com; fo=1;"/>
    <m/>
    <m/>
    <x v="9"/>
    <x v="54"/>
  </r>
  <r>
    <s v="oranprecast.ie"/>
    <s v="minus"/>
    <s v="Fail"/>
    <s v="v=spf1 include:spf.protection.outlook.com include:spf.smtp2go.com -all"/>
    <s v="yes"/>
    <x v="1"/>
    <s v="v=DMARC1; p=quarantine; sp=quarantine; fo=1; rua=mailto:dmarc@6w95c0az.uriports.com,mailto:dmarc@oranprecast.ie; ruf=mailto:dmarc@6w95c0az.uriports.com,mailto:dmarc@oranprecast.ie; pct=100;"/>
    <m/>
    <m/>
    <x v="7"/>
    <x v="54"/>
  </r>
  <r>
    <s v="alcatel-lucent.com"/>
    <s v="tilde"/>
    <s v="Soft Fail"/>
    <s v="v=spf1 include:%{i}._ip.%{h}._ehlo.%{d}._spf.vali.email ~all"/>
    <s v="yes"/>
    <x v="3"/>
    <s v="v=DMARC1; p=reject; pct=100; rua=mailto:dmarc_agg@vali.email,mailto:dmarc.rua@nokia.com; ruf=mailto:dmarc.ruf@nokia.com"/>
    <m/>
    <m/>
    <x v="0"/>
    <x v="54"/>
  </r>
  <r>
    <s v="aquilantmedical.ie"/>
    <s v="minus"/>
    <s v="Fail"/>
    <s v="v=spf1 include:spf.protection.outlook.com -all"/>
    <s v="yes"/>
    <x v="0"/>
    <m/>
    <m/>
    <m/>
    <x v="0"/>
    <x v="54"/>
  </r>
  <r>
    <s v="rh-lenses.com"/>
    <s v="tilde"/>
    <s v="Soft Fail"/>
    <s v="v=spf1 ip4:194.25.28.83 include:_spf.google.com include:spf.protection.outlook.com ~all"/>
    <s v="yes"/>
    <x v="1"/>
    <s v="v=DMARC1; p=quarantine; rua=mailto:dmarc-analysts@essilor.com; pct=10"/>
    <m/>
    <m/>
    <x v="24"/>
    <x v="54"/>
  </r>
  <r>
    <s v="timberfencinggates.ie"/>
    <s v="minus"/>
    <s v="Fail"/>
    <s v="v=spf1 include:spf.myukcloud.com -all"/>
    <s v="yes"/>
    <x v="0"/>
    <m/>
    <m/>
    <m/>
    <x v="18"/>
    <x v="54"/>
  </r>
  <r>
    <s v="corkplastics.com"/>
    <s v="no"/>
    <s v="Not found"/>
    <m/>
    <m/>
    <x v="0"/>
    <m/>
    <m/>
    <m/>
    <x v="1"/>
    <x v="54"/>
  </r>
  <r>
    <s v="mulrines.ie"/>
    <s v="minus"/>
    <s v="Fail"/>
    <s v="v=spf1 ip4:83.70.182.194 ip4:86.43.102.247 ip4:159.134.177.250 include:spf.protection.outlook.com -all"/>
    <s v="yes"/>
    <x v="3"/>
    <s v="v=DMARC1; p=reject; adkim=s; aspf=s;"/>
    <m/>
    <m/>
    <x v="6"/>
    <x v="54"/>
  </r>
  <r>
    <s v="murphygs.ie"/>
    <s v="minus"/>
    <s v="Fail"/>
    <s v="v=spf1 ip4:77.75.102.186 ip4:89.204.219.23 ip4:178.250.118.238 ip4:148.252.8.245 ip4:144.2.247.169 ip4:109.78.233.103 include:spf.protection.outlook.com include:spf.exclaimer.net include:email.freshservice.com -all"/>
    <s v="yes"/>
    <x v="1"/>
    <s v="v=DMARC1; p=quarantine; rua=mailto:dmarc_agg@vali.email;"/>
    <m/>
    <m/>
    <x v="16"/>
    <x v="54"/>
  </r>
  <r>
    <s v="gcil.ie"/>
    <s v="minus"/>
    <s v="Fail"/>
    <s v="v=spf1 include:spf.protection.outlook.com -all"/>
    <s v="yes"/>
    <x v="1"/>
    <s v="v=DMARC1; p=quarantine; pct=100; rua=mailto:dmarc@zenotec.ie; ruf=mailto:dmarc@zenotec.ie; fo=1"/>
    <m/>
    <m/>
    <x v="7"/>
    <x v="54"/>
  </r>
  <r>
    <s v="condronconcrete.ie"/>
    <s v="minus"/>
    <s v="Fail"/>
    <s v="v=spf1 +a +mx -all"/>
    <m/>
    <x v="0"/>
    <m/>
    <m/>
    <m/>
    <x v="21"/>
    <x v="54"/>
  </r>
  <r>
    <s v="glenhaven.ie"/>
    <s v="minus"/>
    <s v="Fail"/>
    <s v="v=spf1 include:spf.protection.outlook.com -all"/>
    <m/>
    <x v="0"/>
    <m/>
    <m/>
    <m/>
    <x v="24"/>
    <x v="54"/>
  </r>
  <r>
    <s v="laoishire.com"/>
    <s v="minus"/>
    <s v="Fail"/>
    <s v="v=spf1 ip4:40.107.8.53 ip4:52.178.133.2 ip4:40.107.4.85 ip4:40.69.222.83 ip4:65.52.227.126 ip4:138.91.57.7 ip4:52.169.189.99 ip4:168.61.84.174 ip4:13.94.98.15 ip4:52.164.247.40 ip4:13.79.165.158 ip4:52.178.150.104 ip4:13.79.160.26 ip4:13.74.61.135 include&quot; &quot;:spf.protection.outlook.com include:eu._netblocks.mimecast.com include:spf.bigchange.com -all"/>
    <m/>
    <x v="3"/>
    <s v="v=DMARC1; p=reject; rua=mailto:7ceb2dabe9d9741@rep.dmarcanalyzer.com; ruf=mailto:7ceb2dabe9d9741@for.dmarcanalyzer.com; fo=1;"/>
    <m/>
    <m/>
    <x v="18"/>
    <x v="54"/>
  </r>
  <r>
    <s v="dealganhouse.ie"/>
    <s v="minus"/>
    <s v="Fail"/>
    <s v="v=spf1 include:spf.protection.outlook.com -all"/>
    <s v="yes"/>
    <x v="3"/>
    <s v="v=DMARC1;p=reject;rua=mailto:c5bf406e83@rua.easydmarc.eu;ruf=mailto:c5bf406e83@ruf.easydmarc.eu;aspf=s;adkim=s;fo=0:1:d:s;"/>
    <m/>
    <m/>
    <x v="2"/>
    <x v="54"/>
  </r>
  <r>
    <s v="thorntongroup.ie"/>
    <s v="tilde"/>
    <s v="Soft Fail"/>
    <s v="v=spf1 include:eu._netblocks.mimecast.com include:spf2.thorntongroup.ie include:spf3.thorntongroup.ie include:spf.exclaimer.net ~all"/>
    <s v="yes"/>
    <x v="1"/>
    <s v="v=DMARC1; p=quarantine; rua=mailto:24471b1799da302@rep.dmarcanalyzer.com; ruf=mailto:24471b1799da302@for.dmarcanalyzer.com; fo=1;"/>
    <m/>
    <m/>
    <x v="0"/>
    <x v="54"/>
  </r>
  <r>
    <s v="glenaulin.com"/>
    <s v="minus"/>
    <s v="Fail"/>
    <s v="v=spf1 include:spf.protection.outlook.com mx a -all"/>
    <s v="yes"/>
    <x v="2"/>
    <s v="v=DMARC1; p=none;"/>
    <m/>
    <m/>
    <x v="0"/>
    <x v="54"/>
  </r>
  <r>
    <s v="mediolanum.it"/>
    <s v="minus"/>
    <s v="Fail"/>
    <s v="v=spf1 include:part1.mediolanum.it include:part2.mediolanum.it include:part3.mediolanum.it include:spf.protection.outlook.com include:spf.mandrillapp.com include:spf.sendinblue.com -all"/>
    <s v="yes"/>
    <x v="3"/>
    <s v="v=DMARC1; p=reject; sp=reject; rua=mailto:dmarc_rua@mediolanum.it; ruf=mailto:dmarc_ruf@mediolanum.it; rf=afrf; pct=100; ri=86400"/>
    <m/>
    <m/>
    <x v="0"/>
    <x v="54"/>
  </r>
  <r>
    <s v="sfh.ie"/>
    <s v="minus"/>
    <s v="Fail"/>
    <s v="v=spf1 mx a ip4:81.173.13.5 ip4:80.93.26.116 include:spf.protection.outlook.com include:theemaillaundry.net include:spf.hornetsecurity.com -all"/>
    <s v="yes"/>
    <x v="2"/>
    <s v="v=DMARC1; p=none; rua=mailto:dmarc_check@stfrancishospice.onmicrosoft.com; ruf=mailto:dmarc_check@stfrancishospice.onmicrosoft.com; fo=1"/>
    <m/>
    <m/>
    <x v="0"/>
    <x v="55"/>
  </r>
  <r>
    <s v="hegartydemolition.ie"/>
    <s v="tilde"/>
    <s v="Soft Fail"/>
    <s v="v=spf1 ip4:66.206.3.250 +a +mx +ip4:23.111.150.226 include:spf.protection.outlook.com include:spf.stackmail.com ~all"/>
    <s v="yes"/>
    <x v="0"/>
    <m/>
    <m/>
    <m/>
    <x v="0"/>
    <x v="56"/>
  </r>
  <r>
    <s v="jll.ie"/>
    <s v="no"/>
    <s v="Not found"/>
    <m/>
    <m/>
    <x v="0"/>
    <m/>
    <m/>
    <m/>
    <x v="0"/>
    <x v="56"/>
  </r>
  <r>
    <s v="gwlisk.com"/>
    <s v="minus"/>
    <s v="Fail"/>
    <s v="v=spf1 ip4:199.167.194.64/27 ip4:98.159.217.192/28 include:spf.ess.barracudanetworks.com include:spf.protection.outlook.com -all"/>
    <s v="yes"/>
    <x v="0"/>
    <m/>
    <m/>
    <m/>
    <x v="7"/>
    <x v="56"/>
  </r>
  <r>
    <s v="fitzwilliamcardclub.com"/>
    <s v="no"/>
    <s v="Not found"/>
    <m/>
    <m/>
    <x v="0"/>
    <m/>
    <m/>
    <m/>
    <x v="0"/>
    <x v="56"/>
  </r>
  <r>
    <s v="news.co.uk"/>
    <s v="tilde"/>
    <s v="Soft Fail"/>
    <s v="v=spf1 include:%{ir}.%{v}.%{d}.spf.has.pphosted.com ~all"/>
    <s v="yes"/>
    <x v="3"/>
    <s v="v=DMARC1; p=reject; fo=1; rua=mailto:dmarc_rua@emaildefense.proofpoint.com; ruf=mailto:dmarc_ruf@emaildefense.proofpoint.com"/>
    <m/>
    <m/>
    <x v="0"/>
    <x v="56"/>
  </r>
  <r>
    <s v="rsm.ie"/>
    <s v="minus"/>
    <s v="Fail"/>
    <s v="v=spf1 include:spf.protection.outlook.com include:spf.elive.net -all"/>
    <m/>
    <x v="0"/>
    <m/>
    <m/>
    <m/>
    <x v="21"/>
    <x v="57"/>
  </r>
  <r>
    <s v="sigmar.ie"/>
    <s v="tilde"/>
    <s v="Soft Fail"/>
    <s v="v=spf1 include:spf.protection.outlook.com include:_spf.bullhornmail.com ip4:83.147.166.18 ~all"/>
    <s v="yes"/>
    <x v="1"/>
    <s v="v=DMARC1; p=quarantine;"/>
    <m/>
    <m/>
    <x v="0"/>
    <x v="57"/>
  </r>
  <r>
    <s v="campionins.com"/>
    <s v="minus"/>
    <s v="Fail"/>
    <s v="v=spf1 include:de._netblocks.mimecast.com include:spf.protection.outlook.com include:relay.mailchannels.net include:appliedexch.co.uk -all"/>
    <m/>
    <x v="0"/>
    <m/>
    <m/>
    <m/>
    <x v="0"/>
    <x v="57"/>
  </r>
  <r>
    <s v="colorman.ie"/>
    <s v="minus"/>
    <s v="Fail"/>
    <s v="v=spf1 mx include:spf.protection.outlook.com include:_spf_cd.spamtitan.com include:hubspotemail.net ip4:62.146.164.57 ip4:89.204.199.148 ip4:62.77.164.5 ip4:34.250.255.84 -all"/>
    <s v="yes"/>
    <x v="1"/>
    <s v="v=DMARC1; p=quarantine ; rua=mailto:dmarc-reports@colorman.ie; ruf=mailto:dmarc-failures@colorman.ie; fo=1"/>
    <m/>
    <m/>
    <x v="0"/>
    <x v="57"/>
  </r>
  <r>
    <s v="bankofamerica.com"/>
    <s v="tilde"/>
    <s v="Soft Fail"/>
    <s v="v=spf1 ip4:171.161.41.178 ip4:171.159.227.167 ip4:171.161.147.155 include:spf-0000ec15.pphosted.com ~all"/>
    <m/>
    <x v="3"/>
    <s v="v=DMARC1; p=reject; fo=1; rua=mailto:auth.report_ns@bankofamerica.com; ruf=mailto:bankofamerica@ruf.agari.com"/>
    <s v="yes"/>
    <s v="https://vmc.digicert.com/1cb6c69e-5221-4c7e-a648-8fb0baee6b2a.svg"/>
    <x v="0"/>
    <x v="57"/>
  </r>
  <r>
    <s v="cushwake.com"/>
    <s v="tilde"/>
    <s v="Soft Fail"/>
    <s v="v=spf1 include:_netblocks.mimecast.com include:spf.protection.outlook.com include:spf_3rdparty.cushwake.com ~all"/>
    <s v="yes"/>
    <x v="3"/>
    <s v="v=DMARC1; p=reject; rua=mailto:efa254a75f3a887@rep.dmarcanalyzer.com; ruf=mailto:efa254a75f3a887@for.dmarcanalyzer.com; sp=reject; fo=1;"/>
    <m/>
    <m/>
    <x v="0"/>
    <x v="57"/>
  </r>
  <r>
    <s v="csm.cit.ie"/>
    <s v="no"/>
    <s v="Not found"/>
    <m/>
    <m/>
    <x v="0"/>
    <m/>
    <m/>
    <m/>
    <x v="1"/>
    <x v="57"/>
  </r>
  <r>
    <s v="boots.com"/>
    <s v="tilde"/>
    <s v="Soft Fail"/>
    <s v="v=spf1 mx exists:%{i}.spf.WBA.c3s2.iphmx.com include:spf.protection.outlook.com include:kallidus-suite.com ~all"/>
    <s v="yes"/>
    <x v="2"/>
    <s v="v=DMARC1; p=none; rua=mailto:6193e7442fb3728@rep.dmarcanalyzer.com,mailto:dmarc@wbaoneit.com; ruf=mailto:6193e7442fb3728@for.dmarcanalyzer.com,mailto:dmarc@wbaoneit.com; fo=1;"/>
    <m/>
    <m/>
    <x v="0"/>
    <x v="57"/>
  </r>
  <r>
    <s v="rockwell.ie"/>
    <s v="tilde"/>
    <s v="Soft Fail"/>
    <s v="v=spf1 a:mailfromwebsite.rockwell.ie a:remote.rockwell.ie include:spf.protection.outlook.com ~all"/>
    <s v="yes"/>
    <x v="2"/>
    <s v="v=DMARC1; p=none; rua=mailto:dmarc@rockwell.ie; fo=1"/>
    <m/>
    <m/>
    <x v="1"/>
    <x v="57"/>
  </r>
  <r>
    <s v="geodis.ie"/>
    <s v="minus"/>
    <s v="Fail"/>
    <s v="v=spf1 ip6:fd1b:212c:a5f9::/48 -all"/>
    <m/>
    <x v="0"/>
    <m/>
    <m/>
    <m/>
    <x v="0"/>
    <x v="57"/>
  </r>
  <r>
    <s v="providentfinancial.com"/>
    <s v="minus"/>
    <s v="Fail"/>
    <s v="v=spf1  ip4:77.111.213.39/32 include:spf.protection.outlook.com include:kallidus-suite.com include:_spf.salesforce.com -all"/>
    <s v="yes"/>
    <x v="2"/>
    <s v="v=DMARC1; p=none; pct=100; rua=mailto:dmarc@provident.co.uk; ruf=mailto:dmarc_fail@provident.co.uk"/>
    <m/>
    <m/>
    <x v="0"/>
    <x v="57"/>
  </r>
  <r>
    <s v="tpi.ie"/>
    <s v="minus"/>
    <s v="Fail"/>
    <s v="v=spf1 ip4:80.93.162.32 ip4:80.93.162.33 ip4:51.141.124.42 ip4:80.93.162.34 ip4:80.93.162.36 ip4:92.60.108.130 ip4:185.2.66.140 ip4:80.93.168.26 ip4:81.17.249.0/24 ip4:51.141.97.0 ip4:51.140.245.164 ip4:108.129.15.59 ip4:108.128.18.211 a:outbound-smt&quot; &quot;p08.blacknight.com include:spf.protection.outlook.com include:tpidigitalsolutions.com -all"/>
    <s v="yes"/>
    <x v="1"/>
    <s v="v=DMARC1; p=quarantine; rua=mailto:postmaster.tp@tpi.ie"/>
    <m/>
    <m/>
    <x v="0"/>
    <x v="57"/>
  </r>
  <r>
    <s v="carrigcourt.com"/>
    <s v="minus"/>
    <s v="Fail"/>
    <s v="v=spf1 ip4:89.204.213.43/32 ip4:93.107.40.175 include:spf.protection.outlook.com include:netaffinity.net -all"/>
    <s v="yes"/>
    <x v="2"/>
    <s v="v=DMARC1; p=none; fo=1; rua=mailto:rua+carrigcourt.com@dmarc.barracudanetworks.com; ruf=mailto:ruf+carrigcourt.com@dmarc.barracudanetworks.com"/>
    <m/>
    <m/>
    <x v="1"/>
    <x v="57"/>
  </r>
  <r>
    <s v="bmt.ie"/>
    <s v="minus"/>
    <s v="Fail"/>
    <s v="v=spf1 include:spf.protection.outlook.com include:spf.emailsignatures365.com -all"/>
    <s v="yes"/>
    <x v="2"/>
    <s v="v=DMARC1; p=none; rua=mailto:admin@bmt.ie"/>
    <m/>
    <m/>
    <x v="12"/>
    <x v="57"/>
  </r>
  <r>
    <s v="comreg.ie"/>
    <s v="minus"/>
    <s v="Fail"/>
    <s v="v=spf1 include:spf.protection.outlook.com include:autotask.net include:hpadc29.comreg.ie -all"/>
    <s v="yes"/>
    <x v="2"/>
    <s v="v=DMARC1; p=none; rua=mailto:IT.Suggestions@comreg.ie; ruf=mailto:IT.Suggestions@comreg.ie;"/>
    <m/>
    <m/>
    <x v="0"/>
    <x v="57"/>
  </r>
  <r>
    <s v="colaistechoilm.ie"/>
    <s v="tilde"/>
    <s v="Soft Fail"/>
    <s v="v=spf1 include:spf.dcsnet.ie include:_spf.google.com ~all"/>
    <m/>
    <x v="0"/>
    <m/>
    <m/>
    <m/>
    <x v="1"/>
    <x v="57"/>
  </r>
  <r>
    <s v="mpps.ie"/>
    <s v="minus"/>
    <s v="Fail"/>
    <s v="v=spf1 include:spf.protection.outlook.com -all"/>
    <m/>
    <x v="0"/>
    <m/>
    <m/>
    <m/>
    <x v="16"/>
    <x v="57"/>
  </r>
  <r>
    <s v="themonthotel.ie"/>
    <s v="minus"/>
    <s v="Fail"/>
    <s v="v=spf1 include:ireshotels.com include:spf.protection.outlook.com include:_spf.prod.hydra.sophos.com -all"/>
    <s v="yes"/>
    <x v="0"/>
    <m/>
    <m/>
    <m/>
    <x v="0"/>
    <x v="57"/>
  </r>
  <r>
    <s v="galwaybayhotel.com"/>
    <s v="minus"/>
    <s v="Fail"/>
    <s v="v=spf1 include:spf.protection.outlook.com include:spf.ireshotels.com include:oracleindustry.com include:sendgrid.net -all"/>
    <s v="yes"/>
    <x v="2"/>
    <s v="v=DMARC1; p=none; pct=100; rua=mailto:postman@galwaybayhotel.com; ruf=mailto:postman@galwaybayhotel.com; sp=quarantine; fo=1;"/>
    <m/>
    <m/>
    <x v="7"/>
    <x v="57"/>
  </r>
  <r>
    <s v="brandonhotel.ie"/>
    <s v="minus"/>
    <s v="Fail"/>
    <s v="v=spf1 +mx +a:ns1.realbroadband.com +a:exch01.ekerry.net +a:exch19-1.ekerry.net ip4:198.2.132.26 include:netaffinity.net -all"/>
    <m/>
    <x v="2"/>
    <s v="v=DMARC1; p=none; rua=mailto:support@realbroadband.com; pct=50;"/>
    <m/>
    <m/>
    <x v="14"/>
    <x v="57"/>
  </r>
  <r>
    <s v="castletroypark.ie"/>
    <s v="minus"/>
    <s v="Fail"/>
    <s v="v=spf1 include:spf.protection.outlook.com include:mailgun.org -all"/>
    <m/>
    <x v="1"/>
    <s v="v=DMARC1; p=quarantine; rua=mailto:8b3700aba2aa640@rep.dmarcanalyzer.com; ruf=mailto:8b3700aba2aa640@for.dmarcanalyzer.com; sp=none; fo=1;"/>
    <m/>
    <m/>
    <x v="5"/>
    <x v="57"/>
  </r>
  <r>
    <s v="thedhotel.com"/>
    <s v="minus"/>
    <s v="Fail"/>
    <s v="v=spf1 include:spf.protection.outlook.com include:spf.hornetsecurity.com include:netaffinity.net mx a ptr ip4:86.47.107.224 ip4:46.255.154.163 -all"/>
    <m/>
    <x v="0"/>
    <m/>
    <m/>
    <m/>
    <x v="2"/>
    <x v="57"/>
  </r>
  <r>
    <s v="homs.ie"/>
    <s v="tilde"/>
    <s v="Soft Fail"/>
    <s v="v=spf1 a:arronwolfgang.ddns.net include:spf.EU.exclaimer.net include:spf.protection.outlook.com ~all"/>
    <s v="yes"/>
    <x v="3"/>
    <s v="v=DMARC1; p=reject; pct=100; rua=mailto:dkim@homs.ie; ruf=mailto:dkim@homs.ie; fo=1"/>
    <m/>
    <m/>
    <x v="5"/>
    <x v="57"/>
  </r>
  <r>
    <s v="westbourne.ie"/>
    <s v="minus"/>
    <s v="Fail"/>
    <s v="v=spf1 include:spf.protection.outlook.com -all"/>
    <m/>
    <x v="2"/>
    <s v="v=DMARC1; p=none;"/>
    <m/>
    <m/>
    <x v="1"/>
    <x v="57"/>
  </r>
  <r>
    <s v="fastfit.ie"/>
    <s v="tilde"/>
    <s v="Soft Fail"/>
    <s v="v=spf1 mx a ip4:194.39.141.126 ip4:194.39.141.123 ip4:194.39.141.165 ip4:194.39.141.100 ip4:194.39.141.86 include:mail.silkmoth.net include:_spf.google.com ~all"/>
    <s v="yes"/>
    <x v="1"/>
    <s v="v=DMARC1; p=quarantine"/>
    <m/>
    <m/>
    <x v="0"/>
    <x v="57"/>
  </r>
  <r>
    <s v="geith.com"/>
    <s v="minus"/>
    <s v="Fail"/>
    <s v="v=spf1 ip4:209.59.236.64/29 ip4:207.46.163.10 include:spf.protection.outlook.com include:amazonses.com include:aspmx.pardot.com include:cust-spf.exacttarget.com -all"/>
    <m/>
    <x v="3"/>
    <s v="v=DMARC1; p=reject; pct=100;"/>
    <m/>
    <m/>
    <x v="0"/>
    <x v="57"/>
  </r>
  <r>
    <s v="foynesengineering.ie"/>
    <s v="minus"/>
    <s v="Fail"/>
    <s v="v=spf1 include:spf.protection.outlook.com include:spf.smtp2go.com -all"/>
    <m/>
    <x v="0"/>
    <m/>
    <m/>
    <m/>
    <x v="5"/>
    <x v="57"/>
  </r>
  <r>
    <s v="johnsonandjohnson.com"/>
    <s v="no"/>
    <s v="Not found"/>
    <m/>
    <m/>
    <x v="0"/>
    <m/>
    <m/>
    <m/>
    <x v="0"/>
    <x v="57"/>
  </r>
  <r>
    <s v="respabeds.ie"/>
    <s v="minus"/>
    <s v="Fail"/>
    <s v="v=spf1 include:spf.protection.outlook.com include:eu.zcsend.net -all"/>
    <s v="yes"/>
    <x v="1"/>
    <s v="v=DMARC1; p=quarantine; fo=1; rua=mailto:dmarc@respabeds.ie; ruf=mailto:dmarc@respabeds.ie;"/>
    <m/>
    <m/>
    <x v="15"/>
    <x v="57"/>
  </r>
  <r>
    <s v="ie.tricel.eu"/>
    <s v="tilde"/>
    <s v="Soft Fail"/>
    <s v="v=spf1 a mx ip4:178.250.119.182 include:spf.protection.outlook.com include:sendgrid.net include:amazonses.com ~all"/>
    <m/>
    <x v="2"/>
    <s v="v=DMARC1; p=none; fo=1; rua=mailto:a5331dcb@mxtoolbox.dmarc-report.com; ruf=mailto:a5331dcb@forensics.dmarc-report.com;"/>
    <m/>
    <m/>
    <x v="14"/>
    <x v="57"/>
  </r>
  <r>
    <s v="profiledevelopments.com"/>
    <s v="tilde"/>
    <s v="Soft Fail"/>
    <s v="v=spf1 a mx include:spf.mandrillapp.com include:amazonses.com include:_mailcust.gandi.net include:mailgun.org ~all"/>
    <m/>
    <x v="2"/>
    <s v="v=DMARC1; p=none; rua=mailto:it@profiledevelopments.com;"/>
    <m/>
    <m/>
    <x v="5"/>
    <x v="57"/>
  </r>
  <r>
    <s v="odaios-foods.com"/>
    <s v="tilde"/>
    <s v="Soft Fail"/>
    <s v="v=spf1 ip4:52.49.99.152 include:spf.protection.outlook.com include:sendgrid.net ~all"/>
    <m/>
    <x v="0"/>
    <m/>
    <m/>
    <m/>
    <x v="0"/>
    <x v="57"/>
  </r>
  <r>
    <s v="lilyobriens.ie"/>
    <s v="minus"/>
    <s v="Fail"/>
    <s v="v=spf1 a:mail.lilyobriens.ie ip4:89.101.27.241/32 ip4:31.216.234.194/32 ip4:176.34.100.11/32 include:spf.protection.outlook.com include:spf1.emailsecurity.app include:servers.mcsv.net -all"/>
    <m/>
    <x v="2"/>
    <s v="v=DMARC1; p=none; rua=mailto:jmorris@lilyobriens.ie;"/>
    <m/>
    <m/>
    <x v="16"/>
    <x v="57"/>
  </r>
  <r>
    <s v="mccloskeysbakery.ie"/>
    <s v="minus"/>
    <s v="Fail"/>
    <s v="v=spf1 include:spf.protection.outlook.com -all"/>
    <s v="yes"/>
    <x v="2"/>
    <s v="v=DMARC1; p=none; pct=100"/>
    <m/>
    <m/>
    <x v="2"/>
    <x v="57"/>
  </r>
  <r>
    <s v="rosnarun.com"/>
    <s v="tilde"/>
    <s v="Soft Fail"/>
    <s v="v=spf1 ip4:213.94.201.177 ~all"/>
    <m/>
    <x v="1"/>
    <s v="v=DMARC1; p=quarantine; rua=mailto:danny@iarfhis.ie; ruf=mailto:danny@iarfhis.ie; fo=1"/>
    <m/>
    <m/>
    <x v="7"/>
    <x v="57"/>
  </r>
  <r>
    <s v="postinsurance.ie"/>
    <s v="mis"/>
    <s v="Invalid SPF Syntax"/>
    <s v="v=spf1 ip4:86.47.136.113/32 ip4:82.141.218.156/32 ip4:86.47.103.171/32 ~all.postinsurance.ie."/>
    <m/>
    <x v="0"/>
    <m/>
    <m/>
    <m/>
    <x v="23"/>
    <x v="57"/>
  </r>
  <r>
    <s v="lacpatrick.com"/>
    <s v="minus"/>
    <s v="Fail"/>
    <s v="v=spf1 ip4:90.155.124.81 include:spf.protection.outlook.com include:_netblocks.mimecast.com include:27.126.146.0/24 include:103.28.42.0/24 include:146.88.28.0/24 include:163.47.180.0/22 include:203.55.21.0/24 include:204.75.142.0/24 -all"/>
    <s v="yes"/>
    <x v="0"/>
    <m/>
    <m/>
    <m/>
    <x v="12"/>
    <x v="57"/>
  </r>
  <r>
    <s v="dtwonightclub.com"/>
    <s v="tilde"/>
    <s v="Soft Fail"/>
    <s v="v=spf1 ip4:176.31.7.0/25 ip4:178.33.84.64/27 ip4:174.142.165.40/29 ip4:174.142.128.32/27 ip4:5.135.241.64/26 ip4:5.135.31.128/27 ip4:188.165.95.224/27 ip4:176.31.140.80/28 include:_spf2.elasticemail.com include:_spf3.elasticemail.com include:sparkpos&quot; &quot; tmail.com include:spf.protection.outlook.com include:spf.blacknight.ie include:sparkpostmail.com ~all"/>
    <m/>
    <x v="0"/>
    <m/>
    <m/>
    <m/>
    <x v="0"/>
    <x v="57"/>
  </r>
  <r>
    <s v="sthelens.dublin.radissonblu.com"/>
    <s v="no"/>
    <s v="Not found"/>
    <m/>
    <m/>
    <x v="0"/>
    <m/>
    <m/>
    <m/>
    <x v="0"/>
    <x v="57"/>
  </r>
  <r>
    <s v="richmondmarketing.com"/>
    <s v="minus"/>
    <s v="Fail"/>
    <s v="v=spf1 include:helpscoutemail.com include:spf.protection.outlook.com include:spf.topsec.com ip4:185.122.133.12 ip4:193.120.40.106 -all"/>
    <m/>
    <x v="2"/>
    <s v="v=DMARC1; p=none; rua=mailto:rua@dmarc.brevo.com"/>
    <m/>
    <m/>
    <x v="0"/>
    <x v="57"/>
  </r>
  <r>
    <s v="saintaidansservices.com"/>
    <s v="minus"/>
    <s v="Fail"/>
    <s v="v=spf1 include:spf.protection.outlook.com -all"/>
    <m/>
    <x v="0"/>
    <m/>
    <m/>
    <m/>
    <x v="3"/>
    <x v="57"/>
  </r>
  <r>
    <s v="invesco.ie"/>
    <s v="tilde"/>
    <s v="Soft Fail"/>
    <s v="v=spf1 include:%{ir}.%{v}.%{d}.spf.has.pphosted.com ~all"/>
    <m/>
    <x v="3"/>
    <s v="v=DMARC1; p=reject; rua=mailto:dmarc_rua@emaildefense.proofpoint.com; ruf=mailto:dmarc_ruf@emaildefense.proofpoint.com; fo=1;"/>
    <m/>
    <m/>
    <x v="0"/>
    <x v="57"/>
  </r>
  <r>
    <s v="cupprint.ie"/>
    <s v="tilde"/>
    <s v="Soft Fail"/>
    <s v="v=spf1 mx a ptr ip4:12.105.150.28  ip4:212.147.209.123 ip4:212.147.209.217 include:spf.ess.de.barracudanetworks.com include:spf.protection.outlook.com ~all"/>
    <m/>
    <x v="0"/>
    <m/>
    <m/>
    <m/>
    <x v="9"/>
    <x v="57"/>
  </r>
  <r>
    <s v="dps.ie"/>
    <s v="no"/>
    <s v="Not found"/>
    <m/>
    <m/>
    <x v="0"/>
    <m/>
    <m/>
    <m/>
    <x v="1"/>
    <x v="57"/>
  </r>
  <r>
    <s v="colgate.ie"/>
    <s v="no"/>
    <s v="Not found"/>
    <m/>
    <m/>
    <x v="3"/>
    <s v="v=DMARC1; p=reject; fo=1; ri=3600; rua=mailto:dmarc_rua@emaildefense.proofpoint.com; ruf=mailto:dmarc_ruf@emaildefense.proofpoint.com"/>
    <m/>
    <m/>
    <x v="0"/>
    <x v="57"/>
  </r>
  <r>
    <s v="marymountcarecentre.ie"/>
    <s v="no"/>
    <s v="Not found"/>
    <m/>
    <m/>
    <x v="0"/>
    <m/>
    <m/>
    <m/>
    <x v="0"/>
    <x v="57"/>
  </r>
  <r>
    <s v="copegalway.ie"/>
    <s v="minus"/>
    <s v="Fail"/>
    <s v="v=spf1 include:spf.protection.outlook.com include:_spf.elasticemail.com include:spf.topsec.com include:outboundmail.blackbaud.net include:spf.brevo.com include:spf2.accessacloud.com -all"/>
    <m/>
    <x v="2"/>
    <s v="v=DMARC1; p=none; rua=mailto:rua@dmarc.brevo.com"/>
    <m/>
    <m/>
    <x v="7"/>
    <x v="57"/>
  </r>
  <r>
    <s v="extern.org"/>
    <s v="tilde"/>
    <s v="Soft Fail"/>
    <s v="v=spf1 mx  ip4:34.248.179.208/32 include:gateway.encrypttitan.io include:mailgun.org include:spf2.accessacloud.com ip4:89.185.136.227 include:spf.protection.outlook.com ~all"/>
    <s v="yes"/>
    <x v="3"/>
    <s v="v=DMARC1;p=reject;sp=reject;pct=100;adkim=r;aspf=r;rua=mailto:dmarc@extern.org;ruf=mailto:dmarc@extern.org;fo=1"/>
    <m/>
    <m/>
    <x v="16"/>
    <x v="57"/>
  </r>
  <r>
    <s v="mckesson.ie"/>
    <s v="minus"/>
    <s v="Fail"/>
    <s v="v=spf1 include:_spf1.mckesson.com include:spf.messagelabs.com include:_spf.salesforce.com -all"/>
    <s v="yes"/>
    <x v="3"/>
    <s v="v=DMARC1;p=reject;sp=reject;adkim=r;aspf=r;fo=1;pct=100;rf=afrf;ri=86400;rua=mailto:dmarc_rua@emaildefense.proofpoint.com;ruf=mailto:dmarc_ruf@emaildefense.proofpoint.com"/>
    <m/>
    <m/>
    <x v="1"/>
    <x v="57"/>
  </r>
  <r>
    <s v="informatica.com"/>
    <s v="minus"/>
    <s v="Fail"/>
    <s v="v=spf1 exists:%{i}.spf.informatica.com include:spf.protection.outlook.com include:a.informatica.com include:_spf.salesforce.com include:spf_c.oraclecloud.com include:spf-003d1f01.pphosted.com -all"/>
    <s v="yes"/>
    <x v="3"/>
    <s v="v=DMARC1; p=reject; fo=1; ri=3600; rua=mailto:dmarc_rua@emaildefense.proofpoint.com; ruf=mailto:dmarc_ruf@emaildefense.proofpoint.com"/>
    <m/>
    <m/>
    <x v="0"/>
    <x v="57"/>
  </r>
  <r>
    <s v="wright.ie"/>
    <s v="minus"/>
    <s v="Fail"/>
    <s v="v=spf1 include:spf.protection.outlook.com -all"/>
    <s v="yes"/>
    <x v="0"/>
    <m/>
    <m/>
    <m/>
    <x v="12"/>
    <x v="57"/>
  </r>
  <r>
    <s v="duggansystems.ie"/>
    <s v="minus"/>
    <s v="Fail"/>
    <s v="v=spf1 include:spf.protection.outlook.com -all"/>
    <m/>
    <x v="0"/>
    <m/>
    <m/>
    <m/>
    <x v="5"/>
    <x v="57"/>
  </r>
  <r>
    <s v="mie.ie"/>
    <s v="minus"/>
    <s v="Fail"/>
    <s v="v=spf1 a mx a:debut.mie.ie ip4:193.1.32.132 ip4:193.120.143.134 include:spf.protection.outlook.com -all"/>
    <m/>
    <x v="2"/>
    <s v="v=DMARC1; p=none; pct=100; ruf=mailto:dmarc@mie.ie; rua=mailto:dmarc@mie.ie; adkim=r; aspf=r"/>
    <m/>
    <m/>
    <x v="0"/>
    <x v="57"/>
  </r>
  <r>
    <s v="childvision.ie"/>
    <s v="minus"/>
    <s v="Fail"/>
    <s v="v=spf1 include:eu._netblocks.mimecast.com -all"/>
    <s v="yes"/>
    <x v="0"/>
    <m/>
    <m/>
    <m/>
    <x v="0"/>
    <x v="57"/>
  </r>
  <r>
    <s v="scoilchormaic.ie"/>
    <s v="no"/>
    <s v="Not found"/>
    <m/>
    <m/>
    <x v="0"/>
    <m/>
    <m/>
    <m/>
    <x v="13"/>
    <x v="57"/>
  </r>
  <r>
    <s v="sofrimar.ie"/>
    <s v="tilde"/>
    <s v="Soft Fail"/>
    <s v="v=spf1 ip4:94.247.54.111 ip4:80.93.21.7 ip4:93.92.8.200 ip4:78.153.200.49 ip4:94.247.51.241 include:spf.us.emailservice.io include:_spf.createsend.com include:outbound.mailhop.org ~all"/>
    <m/>
    <x v="0"/>
    <m/>
    <m/>
    <m/>
    <x v="3"/>
    <x v="57"/>
  </r>
  <r>
    <s v="loughnanes.ie"/>
    <s v="minus"/>
    <s v="Fail"/>
    <s v="v=spf1 include:spf.protection.outlook.com -all"/>
    <s v="yes"/>
    <x v="2"/>
    <s v="v=DMARC1; p=none; rua=mailto:LOG.ITnotifications@loughnanes.ie"/>
    <m/>
    <m/>
    <x v="7"/>
    <x v="57"/>
  </r>
  <r>
    <s v="carrigoranhouse.ie"/>
    <s v="minus"/>
    <s v="Fail"/>
    <s v="v=spf1 mx a include:spf.elive.net -all"/>
    <m/>
    <x v="0"/>
    <m/>
    <m/>
    <m/>
    <x v="9"/>
    <x v="57"/>
  </r>
  <r>
    <s v="stlukeshome.ie"/>
    <s v="minus"/>
    <s v="Fail"/>
    <s v="v=spf1 ip4:91.223.9.26 ip4:95.45.250.153 include:spf.protection.outlook.com include:soverin.net -all"/>
    <s v="yes"/>
    <x v="2"/>
    <s v="v=DMARC1; p=none; fo=1; rua=mailto:rua+stlukeshome.ie@dmarc.barracudanetworks.com; ruf=mailto:ruf+stlukeshome.ie@dmarc.barracudanetworks.com"/>
    <m/>
    <m/>
    <x v="1"/>
    <x v="57"/>
  </r>
  <r>
    <s v="ardkeen.com"/>
    <s v="tilde"/>
    <s v="Soft Fail"/>
    <s v="v=spf1  include:spf.protection.outlook.com +a +mx +ip4:91.210.232.238 +ip4:89.101.217.154 include:spf.webhostingireland.ie include:spf.ess.de.barracudanetworks.com ~all"/>
    <m/>
    <x v="2"/>
    <s v="v=DMARC1; p=none; rua=mailto:rmoynan@ardkeen.com;"/>
    <m/>
    <m/>
    <x v="10"/>
    <x v="57"/>
  </r>
  <r>
    <s v="wallaces.ie"/>
    <s v="minus"/>
    <s v="Fail"/>
    <s v="v=spf1 ip4:87.198.197.255 ip4:213.79.39.35 ip4:213.94.210.195 include:spf.mailanyone.net include:spf.protection.outlook.com -all"/>
    <m/>
    <x v="0"/>
    <m/>
    <m/>
    <m/>
    <x v="3"/>
    <x v="57"/>
  </r>
  <r>
    <s v="mercedes-benz.ie"/>
    <s v="minus"/>
    <s v="Fail"/>
    <s v="v=spf1 include:spf.protection.outlook.com include:spf.ssmx.net include:spf.mailanyone.net include:_spf.salesforce.com include:spf.mandrillapp.com ip4:82.198.128.17 -all"/>
    <m/>
    <x v="3"/>
    <s v="v=DMARC1; p=reject; rua=mailto:weacxe0d@ag.eu.dmarcadvisor.com;"/>
    <m/>
    <m/>
    <x v="0"/>
    <x v="57"/>
  </r>
  <r>
    <s v="ecc.ie"/>
    <s v="minus"/>
    <s v="Fail"/>
    <s v="v=spf1 include:spf.protection.outlook.com include:mail1.eircom.net -all"/>
    <s v="yes"/>
    <x v="0"/>
    <m/>
    <m/>
    <m/>
    <x v="7"/>
    <x v="57"/>
  </r>
  <r>
    <s v="phonewatch.ie"/>
    <s v="tilde"/>
    <s v="Soft Fail"/>
    <s v="v=spf1 ip4:195.159.138.0/24 ip4:77.40.172.0/24 ip4:195.159.105.0/24 ip4:195.159.211.0/24 ip4:62.92.79.0/24 ip4:195.53.183.34 ip4:212.230.132.98 ip4:52.214.194.246  include:spf.protection.outlook.com include:spf.alarm.com ~all"/>
    <s v="yes"/>
    <x v="1"/>
    <s v="v=DMARC1; p=quarantine; pct=100; rua=mailto:postmaster@sectoralarm.net; ruf=mailto:postmaster@sectoralarm.net"/>
    <m/>
    <m/>
    <x v="0"/>
    <x v="57"/>
  </r>
  <r>
    <s v="loveireland.com"/>
    <s v="minus"/>
    <s v="Fail"/>
    <s v="v=spf1 include:spf.protection.outlook.com -all"/>
    <m/>
    <x v="0"/>
    <m/>
    <m/>
    <m/>
    <x v="0"/>
    <x v="57"/>
  </r>
  <r>
    <s v="as.techdata.eu"/>
    <s v="no"/>
    <s v="Not found"/>
    <m/>
    <m/>
    <x v="0"/>
    <m/>
    <m/>
    <m/>
    <x v="0"/>
    <x v="57"/>
  </r>
  <r>
    <s v="exertis.ie"/>
    <s v="minus"/>
    <s v="Fail"/>
    <s v="v=spf1 include:spf.protection.outlook.com -all"/>
    <m/>
    <x v="0"/>
    <m/>
    <m/>
    <m/>
    <x v="0"/>
    <x v="57"/>
  </r>
  <r>
    <s v="humanscale.com"/>
    <s v="tilde"/>
    <s v="Soft Fail"/>
    <s v="v=spf1 include:mektj2sosi.powerspf.com ~all"/>
    <s v="yes"/>
    <x v="3"/>
    <s v="v=DMARC1; p=reject; sp=none; rua=mailto:6ppzmwefji@rua.powerdmarc.com; ruf=mailto:6ppzmwefji@ruf.powerdmarc.com; pct=100; fo=1;"/>
    <m/>
    <m/>
    <x v="0"/>
    <x v="57"/>
  </r>
  <r>
    <s v="avara.com"/>
    <s v="minus"/>
    <s v="Fail"/>
    <s v="v=spf1 ip4:87.242.196.98 ip4:147.202.195.74/31 ip4:10.0.152.0/24 ip4:81.145.229.138 ip4:10.154.9.63 ip4:64.27.70.143 ip4:12.193.61.69 ip4:68.15.196.250 include:spf.protection.outlook.com include:mail.zendesk.com -all"/>
    <s v="yes"/>
    <x v="2"/>
    <s v="v=DMARC1; p=none; rua=mailto:dmarc_rua@emaildefense.proofpoint.com; ruf=mailto:dmarc_ruf@emaildefense.proofpoint.com; fo=1"/>
    <m/>
    <m/>
    <x v="9"/>
    <x v="57"/>
  </r>
  <r>
    <s v="corkbuilders.ie"/>
    <s v="no"/>
    <s v="Not found"/>
    <m/>
    <m/>
    <x v="0"/>
    <m/>
    <m/>
    <m/>
    <x v="1"/>
    <x v="57"/>
  </r>
  <r>
    <s v="corkbp.ie"/>
    <s v="minus"/>
    <s v="Fail"/>
    <s v="v=spf1 mx ip4:82.147.18.199 ip4:54.246.177.122/32 ip4:89.101.136.230/32 ip4:162.13.46.88/32 ip4:23.102.29.87 include:spf.protection.outlook.com include:spf.smtp2go.com include:dotmailer.co.uk include:amazonses.com -all"/>
    <s v="yes"/>
    <x v="3"/>
    <s v="v=DMARC1; p=reject; rua=mailto:220de43055e1045@rep.dmarcanalyzer.com; ruf=mailto:220de43055e1045@for.dmarcanalyzer.com; fo=1;"/>
    <m/>
    <m/>
    <x v="1"/>
    <x v="57"/>
  </r>
  <r>
    <s v="etexgroup.com"/>
    <s v="minus"/>
    <s v="Fail"/>
    <s v="v=spf1 ip4:52.149.71.249 ip4:91.241.79.1/24 ip4:52.157.235.134/32 ip4:40.67.223.&quot; &quot;195/32 ip4:52.157.236.186/32 ip4:193.104.82.0/24 ip4:213.181.53.221 ip4:185.250.&quot; &quot;239.0/22 ip4:35.214.208.81/32 ip4:35.214.213.218/32 ip4:35.214.183.81/32 ip4:35.&quot; &quot;214.212.238/32 ip4:13.74.56.125 include:mktomail.com include:_spf.cmail.ondemand&quot; &quot;.com include:amazonses.com include:27021741.spf10.hubspotemail.net include:euro.&quot; &quot;confirmit.com include:eskerondemand.com include:spf.protection.outlook.com -all"/>
    <s v="yes"/>
    <x v="2"/>
    <s v="v=DMARC1;p=none;rua=mailto:DMARC_Report@etexgroup.com"/>
    <m/>
    <m/>
    <x v="16"/>
    <x v="57"/>
  </r>
  <r>
    <s v="farnhamestate.ie"/>
    <s v="tilde"/>
    <s v="Soft Fail"/>
    <s v="v=spf1 ip4:190.180.144.248 ip4:91.136.49.205 ip4:185.61.1.131 include:spf.protection.outlook.com include:authsmtp.com ~all"/>
    <s v="yes"/>
    <x v="2"/>
    <s v="v=DMARC1; p=none; rua=mailto:dmarc@lantech.uriports.com; ruf=mailto:dmarc@lantech.uriports.com; fo=1:d:s"/>
    <m/>
    <m/>
    <x v="11"/>
    <x v="57"/>
  </r>
  <r>
    <s v="arup.com"/>
    <s v="minus"/>
    <s v="Fail"/>
    <s v="v=spf1 include:amazonses.com mx include:_spf-a.arup.com include:_spf-b.arup.com include:_spf-c.arup.com include:mktomail.com include:spf.protection.outlook.com include:app.sgizmo.com include:marketing.dynamics.com -all"/>
    <s v="yes"/>
    <x v="1"/>
    <s v="v=DMARC1; p=quarantine; rua=mailto:dmarc_agg@vali.email; fo=1; ri=3600"/>
    <m/>
    <m/>
    <x v="1"/>
    <x v="57"/>
  </r>
  <r>
    <s v="logitech.com"/>
    <s v="minus"/>
    <s v="Fail"/>
    <s v="v=spf1 include:_spf.google.com include:everbridge.net include:mail.zendesk.com include:direct2u.spf.dt.com include:spfa.cpmails.com&quot; &quot; ip4:63.150.149.5 ip4:63.150.149.6 ip4:74.118.162.35 ip4:74.118.162.36 ip4:213.165.74.136 ip4:207.211.31.67&quot; &quot; ip4:13.110.146.172 ip4:205.139.110.47 ip4:204.77.217.54 ip4:107.23.26.71 ip4:107.23.32.213 ip4:82.195.249.26 ip4:54.251.169.91 ip4:204.77.217.50 ip6:2406:da18:8c8:4e00:c141:5599:cb4:8bd0 ip4:188.40.2.7 ip4:152.160.0.0/16&quot; &quot; ip4:37.98.235.2 ip4:199.15.215.48 ip4:54.236.103.127 ip4:208.66.205.16/28 -all"/>
    <s v="yes"/>
    <x v="3"/>
    <s v="v=DMARC1; p=reject; ruf=mailto:qojun7kz@fr.us.dmarcian.com,mailto:logitechlimited@us.cp-dmarc.com; rua=mailto:logitechlimited@us.cp-dmarc.com,mailto:qojun7kz@ag.us.dmarcian.com;"/>
    <m/>
    <m/>
    <x v="1"/>
    <x v="57"/>
  </r>
  <r>
    <s v="dublin.maplesandcalder.com"/>
    <s v="no"/>
    <s v="Not found"/>
    <m/>
    <m/>
    <x v="0"/>
    <m/>
    <m/>
    <m/>
    <x v="0"/>
    <x v="57"/>
  </r>
  <r>
    <s v="techrete.com"/>
    <s v="minus"/>
    <s v="Fail"/>
    <s v="v=spf1 include:spf.protection.outlook.com -all"/>
    <s v="yes"/>
    <x v="0"/>
    <m/>
    <m/>
    <m/>
    <x v="0"/>
    <x v="57"/>
  </r>
  <r>
    <s v="gleneng.com"/>
    <s v="no"/>
    <s v="Not found"/>
    <m/>
    <m/>
    <x v="0"/>
    <m/>
    <m/>
    <m/>
    <x v="5"/>
    <x v="57"/>
  </r>
  <r>
    <s v="irelandwestairport.com"/>
    <s v="minus"/>
    <s v="Fail"/>
    <s v="v=spf1 +a +mx +ip4:91.210.232.29 ip4:88.81.127.199 include:spf.webhostingireland.ie include:spf.protection.outlook.com ip4:104.26.4.107/32 ip4:88.81.123.221 -all"/>
    <m/>
    <x v="1"/>
    <s v="v=DMARC1; p=quarantine; pct=100; rua=mailto:dmarc@zenotec.ie; ruf=mailto:dmarc@zenotec.ie; fo=1"/>
    <m/>
    <m/>
    <x v="4"/>
    <x v="57"/>
  </r>
  <r>
    <s v="theghotel.ie"/>
    <s v="minus"/>
    <s v="Fail"/>
    <s v="v=spf1 include:eu._netblocks.mimecast.com include:spf.protection.outlook.com include:ireshotels.com -all"/>
    <s v="yes"/>
    <x v="2"/>
    <s v="v=DMARC1; p=none; rua=mailto:5004af7e386c115@rep.dmarcanalyzer.com; ruf=mailto:5004af7e386c115@for.dmarcanalyzer.com; fo=1;"/>
    <m/>
    <m/>
    <x v="7"/>
    <x v="58"/>
  </r>
  <r>
    <s v="steel.ie"/>
    <s v="minus"/>
    <s v="Fail"/>
    <s v="v=spf1 ip4:86.47.127.125 include:spf.protection.outlook.com include:_spf.google.com -all"/>
    <m/>
    <x v="0"/>
    <m/>
    <m/>
    <m/>
    <x v="17"/>
    <x v="58"/>
  </r>
  <r>
    <s v="globoforce.com"/>
    <s v="minus"/>
    <s v="Fail"/>
    <s v="v=spf1 mx ip4:87.198.219.215 ip4:87.198.219.207 include:vtrnz.com include:mktomail.com include:_spf.salesforce.com include:spf.protection.outlook.com include:spf1.workhuman.com -all"/>
    <m/>
    <x v="1"/>
    <s v="v=DMARC1; p=quarantine; pct=51; rua=mailto:af95b2723499219@rep.dmarcanalyzer.com; sp=none;"/>
    <m/>
    <m/>
    <x v="0"/>
    <x v="59"/>
  </r>
  <r>
    <s v="belmonthouse.ie"/>
    <s v="mis"/>
    <s v="Invalid SPF Syntax"/>
    <s v="v=spf1 a mx include:spf.irishdomains.com"/>
    <m/>
    <x v="0"/>
    <m/>
    <m/>
    <m/>
    <x v="0"/>
    <x v="59"/>
  </r>
  <r>
    <s v="didstore.com"/>
    <s v="minus"/>
    <s v="Fail"/>
    <s v="v=spf1 ip6:fd9c:d030:168c::/48 -all"/>
    <m/>
    <x v="0"/>
    <m/>
    <m/>
    <m/>
    <x v="0"/>
    <x v="59"/>
  </r>
  <r>
    <s v="keywordsintl.com"/>
    <s v="minus"/>
    <s v="Fail"/>
    <s v="v=spf1 include:spf.protection.outlook.com include:_spf.keywordsstudios.com -all"/>
    <s v="yes"/>
    <x v="1"/>
    <s v="v=DMARC1; p=quarantine; sp=reject; rua=mailto:feo28avf@ag.eu.dmarcian.com;"/>
    <m/>
    <m/>
    <x v="0"/>
    <x v="59"/>
  </r>
  <r>
    <s v="nolans.ie"/>
    <s v="minus"/>
    <s v="Fail"/>
    <s v="v=spf1 include:spf.protection.outlook.com -all"/>
    <m/>
    <x v="0"/>
    <m/>
    <m/>
    <m/>
    <x v="0"/>
    <x v="59"/>
  </r>
  <r>
    <s v="dromone.com"/>
    <s v="tilde"/>
    <s v="Soft Fail"/>
    <s v="v=spf1 include:spf.hornetsecurity.com ~all"/>
    <m/>
    <x v="0"/>
    <m/>
    <m/>
    <m/>
    <x v="15"/>
    <x v="60"/>
  </r>
  <r>
    <s v="icds.ie"/>
    <s v="minus"/>
    <s v="Fail"/>
    <s v="v=spf1 include:spf.protection.outlook.com -all"/>
    <m/>
    <x v="0"/>
    <m/>
    <m/>
    <m/>
    <x v="0"/>
    <x v="61"/>
  </r>
  <r>
    <s v="kone.com"/>
    <s v="minus"/>
    <s v="Fail"/>
    <s v="v=spf1 include:spf1.kone.com include:spf2.kone.com -all"/>
    <s v="yes"/>
    <x v="3"/>
    <s v="v=DMARC1; p=reject; rua=mailto:sf4xpfqs@ag.eu.dmarcadvisor.com"/>
    <m/>
    <m/>
    <x v="0"/>
    <x v="61"/>
  </r>
  <r>
    <s v="gategourmet.com"/>
    <s v="tilde"/>
    <s v="Soft Fail"/>
    <s v="v=spf1 include:spf.protection.outlook.com ip4:64.238.152.130 ip4:120.89.34.100 ip4:216.245.187.72 ip4:216.245.187.71 ip4:212.243.171.144/32 ip4:212.243.171.203/32 ~all"/>
    <m/>
    <x v="0"/>
    <m/>
    <m/>
    <m/>
    <x v="0"/>
    <x v="61"/>
  </r>
  <r>
    <s v="quintillion.ie"/>
    <s v="minus"/>
    <s v="Fail"/>
    <s v="v=spf1 include:elavon.com -all"/>
    <m/>
    <x v="2"/>
    <s v="v=DMARC1;p=none;rua=mailto:us-bank@rua.agari.com;ruf=mailto:us-bank@ruf.agari.com;fo=1"/>
    <m/>
    <m/>
    <x v="0"/>
    <x v="61"/>
  </r>
  <r>
    <s v="luceytransport.ie"/>
    <s v="tilde"/>
    <s v="Soft Fail"/>
    <s v="v=spf1 ip4:86.43.106.157 include:spf.protection.outlook.com ~all"/>
    <m/>
    <x v="0"/>
    <m/>
    <m/>
    <m/>
    <x v="1"/>
    <x v="61"/>
  </r>
  <r>
    <s v="redcowmoranhotel.com"/>
    <s v="minus"/>
    <s v="Fail"/>
    <s v="v=spf1 ip4:31.216.235.202 include:ireshotels.com include:spf.protection.outlook.com -all"/>
    <s v="yes"/>
    <x v="0"/>
    <m/>
    <m/>
    <m/>
    <x v="0"/>
    <x v="61"/>
  </r>
  <r>
    <s v="theheritage.com"/>
    <s v="tilde"/>
    <s v="Soft Fail"/>
    <s v="v=spf1 a mx include:spf.protection.outlook.com include:netaffinity.net include:authsmtp.com include:spf.turbo-smtp.com ~all"/>
    <s v="yes"/>
    <x v="2"/>
    <s v="v=DMARC1; p=none;"/>
    <m/>
    <m/>
    <x v="18"/>
    <x v="61"/>
  </r>
  <r>
    <s v="pbmachinetech.ie"/>
    <s v="mis"/>
    <s v="Invalid SPF Syntax"/>
    <s v="v=spf1 a mx include:spf.irishdomains.com"/>
    <m/>
    <x v="2"/>
    <s v="v=DMARC1; p=none;"/>
    <m/>
    <m/>
    <x v="25"/>
    <x v="61"/>
  </r>
  <r>
    <s v="okeeffesbakery.ie"/>
    <s v="minus"/>
    <s v="Fail"/>
    <s v="v=spf1 ip4:35.157.190.224/27 include:spf.protection.outlook.com -all"/>
    <s v="yes"/>
    <x v="2"/>
    <s v="v=DMARC1; p=none; fo=1; rua=mailto:rua+okeeffesbakery.ie@dmarc.barracudanetworks.com; ruf=mailto:ruf+okeeffesbakery.ie@dmarc.barracudanetworks.com"/>
    <m/>
    <m/>
    <x v="1"/>
    <x v="61"/>
  </r>
  <r>
    <s v="orange.com"/>
    <s v="minus"/>
    <s v="Fail"/>
    <s v="v=spf1 include:spffed-ip.orange.com include:spffed-mm.orange.com include:_spf1.orange.com include:_spf2.orange.com include:spfe.orange.com include:spff.orange.com include:spf6a.orange.com -all"/>
    <m/>
    <x v="2"/>
    <s v="v=DMARC1; p=none; sp=none; pct=100; fo=1; ri=3600; rua=mailto:c7adfba4@inbox.eu.redsift.cloud; ruf=mailto:c7adfba4@inbox.eu.redsift.cloud;"/>
    <m/>
    <m/>
    <x v="0"/>
    <x v="61"/>
  </r>
  <r>
    <s v="irelandassist.com"/>
    <s v="no"/>
    <s v="Not found"/>
    <m/>
    <m/>
    <x v="0"/>
    <m/>
    <m/>
    <m/>
    <x v="7"/>
    <x v="61"/>
  </r>
  <r>
    <s v="davenham.com"/>
    <s v="minus"/>
    <s v="Fail"/>
    <e v="#NAME?"/>
    <m/>
    <x v="2"/>
    <s v="v=DMARC1; p=none;"/>
    <m/>
    <m/>
    <x v="0"/>
    <x v="61"/>
  </r>
  <r>
    <s v="nelipak.com"/>
    <s v="minus"/>
    <s v="Fail"/>
    <s v="v=spf1 a mx ip4:52.31.237.158 include:242148343.spf10.hubspotemail.net include:spf.protection.outlook.com include:spf-00647601.pphosted.com include:relay.mailchannels.net -all"/>
    <s v="yes"/>
    <x v="2"/>
    <s v="v=DMARC1; p=none; fo=1; rua=mailto:ITTeam@nelipak.com,mailto:dmarc_rua@emaildefense.proofpoint.com; \010ruf=mailto:ITTeam@nelipak.com,mailto:dmarc_ruf@emaildefense.proofpoint.com"/>
    <m/>
    <m/>
    <x v="7"/>
    <x v="61"/>
  </r>
  <r>
    <s v="claytonhotelsballsbridge.com"/>
    <s v="no"/>
    <s v="Not found"/>
    <m/>
    <m/>
    <x v="0"/>
    <m/>
    <m/>
    <m/>
    <x v="0"/>
    <x v="61"/>
  </r>
  <r>
    <s v="steeltechsheds.ie"/>
    <s v="mis"/>
    <s v="Invalid SPF Syntax"/>
    <s v="v=spf1 include:_spf.google.com v=spf1 include:_spf.mailersend.net ~all"/>
    <s v="yes"/>
    <x v="2"/>
    <s v="v=DMARC1; p=none; rua=mailto:it@steeltechsheds.ie; ruf=mailto:it@steeltechsheds.ie; fo=1"/>
    <m/>
    <m/>
    <x v="7"/>
    <x v="61"/>
  </r>
  <r>
    <s v="ifg.ie"/>
    <s v="minus"/>
    <s v="Fail"/>
    <s v="v=spf1 include:_spf.mlsend.com include:spf.protection.outlook.com -all"/>
    <m/>
    <x v="0"/>
    <m/>
    <m/>
    <m/>
    <x v="0"/>
    <x v="61"/>
  </r>
  <r>
    <s v="lauralynn.ie"/>
    <s v="tilde"/>
    <s v="Soft Fail"/>
    <s v="v=spf1 +a +mx ip4:31.216.234.210 ip4:78.153.201.30 ip4:93.107.171.55 ip4:87.117.199.66 ip4:205.139.105.48/29 ip4:83.98.160.225 ip4:206.79.6.128/26 ip4:208.40.241.140/30 ip4:216.37.18.6 ip4:204.8.10.114 ip4:216.235.197.198 ip4:64.209.141.221 ip4:167.89.55.&quot; &quot;59 ip4:193.189.141.33 include:spf.protection.outlook.com include:sendgrid.ne include:_spf.createsend.com include:spf.newsletter.ie ~all"/>
    <s v="yes"/>
    <x v="1"/>
    <s v="v=DMARC1; p=quarantine; pct=100; rua=mailto:Dmarc_reports@Lauralynn.ie "/>
    <m/>
    <m/>
    <x v="0"/>
    <x v="61"/>
  </r>
  <r>
    <s v="unumjobs.ie"/>
    <s v="no"/>
    <s v="Not found"/>
    <m/>
    <m/>
    <x v="0"/>
    <m/>
    <m/>
    <m/>
    <x v="25"/>
    <x v="61"/>
  </r>
  <r>
    <s v="mallonfoods.com"/>
    <s v="tilde"/>
    <s v="Soft Fail"/>
    <s v="v=spf1 include:eu._netblocks.mimecast.com include:mallonfoods.com.spf.auto.dnssmarthost.net ~all"/>
    <s v="yes"/>
    <x v="2"/>
    <s v="v=DMARC1; p=none; pct=100; sp=none; rua=mailto:3287498a@inbox.ondmarc.com; ruf=mailto:3287498a@inbox.ondmarc.com; adkim=r; aspf=r; fo=1; rf=afrf; ri=3600"/>
    <m/>
    <m/>
    <x v="12"/>
    <x v="61"/>
  </r>
  <r>
    <s v="lh-intouch.com"/>
    <s v="tilde"/>
    <s v="Soft Fail"/>
    <s v="v=spf1 include:_spf-eu.ionos.com include:servers.mcsv.net ~all"/>
    <m/>
    <x v="2"/>
    <s v="v=DMARC1; p=none; pct=100; rua=mailto:re+s2eqfltsaix@dmarc.postmarkapp.com; ruf=mailto:intouch_security@dlh.de; sp=none; aspf=r;"/>
    <m/>
    <m/>
    <x v="0"/>
    <x v="61"/>
  </r>
  <r>
    <s v="near.ie"/>
    <s v="minus"/>
    <s v="Fail"/>
    <s v="v=spf1 include:_spf.1984.is -all"/>
    <m/>
    <x v="3"/>
    <s v="v=DMARC1; p=reject; rua=mailto:gavin@near.ie; ruf=mailto:gavin@near.ie;"/>
    <m/>
    <m/>
    <x v="0"/>
    <x v="61"/>
  </r>
  <r>
    <s v="curamhealthcare.ie"/>
    <s v="minus"/>
    <s v="Fail"/>
    <s v="v=spf1 include:spf.protection.outlook.com -all"/>
    <s v="yes"/>
    <x v="3"/>
    <s v="v=DMARC1;p=reject;rua=mailto:c5bf406e83@rua.easydmarc.eu;ruf=mailto:c5bf406e83@ruf.easydmarc.eu;fo=1;"/>
    <m/>
    <m/>
    <x v="3"/>
    <x v="61"/>
  </r>
  <r>
    <s v="collinssupervalu.com"/>
    <s v="no"/>
    <s v="Not found"/>
    <m/>
    <m/>
    <x v="0"/>
    <m/>
    <m/>
    <m/>
    <x v="1"/>
    <x v="61"/>
  </r>
  <r>
    <s v="blackwatermotors.ie"/>
    <s v="tilde"/>
    <s v="Soft Fail"/>
    <s v="v=spf1 mx a ip4:83.71.195.197 include:spf.elive.net include:amazonses.com include:spf.protection.outlook.com ~all"/>
    <m/>
    <x v="0"/>
    <m/>
    <m/>
    <m/>
    <x v="1"/>
    <x v="61"/>
  </r>
  <r>
    <s v="eurocarparts.com"/>
    <s v="minus"/>
    <s v="Fail"/>
    <s v="v=spf1 ip4:80.248.176.217 ip4:89.151.75.144 include:spf.protection.outlook.com include:amazonses.com ip4:46.236.8.200 ip4:46.236.8.201 ip4:148.253.151.170 ip4:46.236.8.202 ip4:81.144.144.125 ip4:217.33.101.133 ip4:217.33.101.139 include:spf1.eurocarparts.&quot; &quot;com -all"/>
    <s v="yes"/>
    <x v="1"/>
    <s v="v=DMARC1; p=quarantine; pct=70; aspf=s; adkim=s; rua=mailto:qi4yr7xa@ag.eu.dmarcian.com; ruf=mailto:qi4yr7xa@fr.eu.dmarcian.com; fo=1;"/>
    <m/>
    <m/>
    <x v="0"/>
    <x v="61"/>
  </r>
  <r>
    <s v="abbey.ie"/>
    <s v="minus"/>
    <s v="Fail"/>
    <s v="v=spf1 mx include:sendgrid.net ip4:78.153.204.196 include:spf.protection.outlook.com include:servers.mcsv.net include:spf.tmes.trendmicro.com include:mail.zendesk.com ip4:31.193.2.125 ip4:203.55.21.87 ip4:79.170.244.0/24 ip4:52.59.58.195 ip4:3.122.45.38 i&quot; &quot;p4:52.58.98.157 ip4:52.16.253.121 ip4:52.18.148.31 -all"/>
    <s v="yes"/>
    <x v="3"/>
    <s v="v=DMARC1; p=reject; sp=none; fo=1; ri=3600; rua=mailto:dmarc@abbey.ie; ruf=mailto:dmarc@abbey.ie"/>
    <m/>
    <m/>
    <x v="0"/>
    <x v="61"/>
  </r>
  <r>
    <s v="fcrmedia.ie"/>
    <s v="minus"/>
    <s v="Fail"/>
    <s v="v=spf1 include:spf.protection.outlook.com include:rd43.com include:mail.adplorer.eu include:mail.sendgrid.net include:5435571.spf03.hubspotemail.net include:spf.us-east.atmailcloud.com +ip4:90.182.206.228 +ip4:159.183.234.11 +ip4:198.37.144.37 -all"/>
    <s v="yes"/>
    <x v="1"/>
    <s v="v=DMARC1; p=quarantine; pct=100; rua=mailto:dmarc_reports@fcrmedia.ie; ruf=mailto:dmarc_reports@fcrmedia.ie"/>
    <m/>
    <m/>
    <x v="0"/>
    <x v="61"/>
  </r>
  <r>
    <s v="xlinsurance.com"/>
    <s v="minus"/>
    <s v="Fail"/>
    <s v="v=spf1 -all"/>
    <m/>
    <x v="3"/>
    <s v="v=DMARC1; p=reject; fo=1; ri=3600; rua=mailto:xlcat@rua.agari.com,mailto:ewai10d2@ag.eu.dmarcian.com; ruf=mailto:xlcat@ruf.agari.com"/>
    <m/>
    <m/>
    <x v="0"/>
    <x v="62"/>
  </r>
  <r>
    <s v="oharasoffoxford.com"/>
    <s v="minus"/>
    <s v="Fail"/>
    <s v="v=spf1 include:spf.protection.outlook.com include:_spf.intacct.com -all"/>
    <s v="yes"/>
    <x v="2"/>
    <s v="v=DMARC1;p=none;pct=100;rua=mailto:a998f4468b@rua.easydmarc.eu;ruf=mailto:a998f4468b@ruf.easydmarc.eu;ri=86400;fo=1;"/>
    <m/>
    <m/>
    <x v="4"/>
    <x v="62"/>
  </r>
  <r>
    <s v="novas.ie"/>
    <s v="minus"/>
    <s v="Fail"/>
    <s v="v=spf1 a mx ip4:86.43.102.110 include:spf.elive.net include:spf.protection.outlook.com include:spf.webcore.cloud include:eu.zcsend.net -all"/>
    <s v="yes"/>
    <x v="2"/>
    <s v="v=DMARC1; p=none; pct=100; fo=1; ri=3600"/>
    <m/>
    <m/>
    <x v="5"/>
    <x v="63"/>
  </r>
  <r>
    <s v="completelabsolutions.com"/>
    <s v="no"/>
    <s v="Not found"/>
    <m/>
    <m/>
    <x v="0"/>
    <m/>
    <m/>
    <m/>
    <x v="7"/>
    <x v="63"/>
  </r>
  <r>
    <s v="timkellygroup.com"/>
    <s v="minus"/>
    <s v="Fail"/>
    <s v="v=spf1 include:spf.protection.outlook.com -all"/>
    <s v="yes"/>
    <x v="2"/>
    <s v="v=DMARC1; p=none;"/>
    <m/>
    <m/>
    <x v="4"/>
    <x v="64"/>
  </r>
  <r>
    <s v="brambles.ie"/>
    <s v="question"/>
    <s v="Neutral"/>
    <s v="v=spf1 +a +mx +ip4:209.87.158.12 ?all"/>
    <s v="yes"/>
    <x v="1"/>
    <s v="v=DMARC1;p=quarantine;sp=none;adkim=r;aspf=r;pct=100;fo=0;rf=afrf;ri=86400rua=mailto:rua@dmarc.brevo.com"/>
    <m/>
    <m/>
    <x v="0"/>
    <x v="64"/>
  </r>
  <r>
    <s v="data-display.com"/>
    <s v="tilde"/>
    <s v="Soft Fail"/>
    <s v="v=spf1 +a +mx +ip4:172.96.186.137 include:_spf.arandomserver.com ~all"/>
    <s v="yes"/>
    <x v="0"/>
    <m/>
    <m/>
    <m/>
    <x v="9"/>
    <x v="65"/>
  </r>
  <r>
    <s v="ncps.ie"/>
    <s v="no"/>
    <s v="Not found"/>
    <m/>
    <m/>
    <x v="0"/>
    <m/>
    <m/>
    <m/>
    <x v="0"/>
    <x v="65"/>
  </r>
  <r>
    <s v="cleanhabit.com"/>
    <s v="minus"/>
    <s v="Fail"/>
    <s v="v=spf1 include:spf.protection.outlook.com include:spf.elive.net -all"/>
    <s v="yes"/>
    <x v="2"/>
    <s v="v=DMARC1; p=none; rua=mailto:ea16b06b4342170@rep.dmarcanalyzer.com; ruf=mailto:ea16b06b4342170@for.dmarcanalyzer.com; sp=none; fo=1;"/>
    <m/>
    <m/>
    <x v="9"/>
    <x v="65"/>
  </r>
  <r>
    <s v="smbc.aero"/>
    <s v="minus"/>
    <s v="Fail"/>
    <s v="v=spf1 include:spf.protection.outlook.com include:_spf.psm.Knowbe4.com include:spfa.cpmails.com include:_spf.salesforce.com -all"/>
    <s v="yes"/>
    <x v="1"/>
    <s v="v=DMARC1; p=quarantine; rua=mailto:7ycren43@ag.eu.dmarcian.com;"/>
    <m/>
    <m/>
    <x v="0"/>
    <x v="65"/>
  </r>
  <r>
    <s v="virginialogistics.ie"/>
    <s v="tilde"/>
    <s v="Soft Fail"/>
    <s v="v=spf1 include:spf.protection.outlook.com include:spf.hornetsecurity.com include:amazonses.com ~all"/>
    <s v="yes"/>
    <x v="1"/>
    <s v="v=DMARC1; p=quarantine"/>
    <m/>
    <m/>
    <x v="11"/>
    <x v="65"/>
  </r>
  <r>
    <s v="attorneygeneral.ie"/>
    <s v="no"/>
    <s v="Not found"/>
    <m/>
    <m/>
    <x v="0"/>
    <m/>
    <m/>
    <m/>
    <x v="0"/>
    <x v="65"/>
  </r>
  <r>
    <s v="castleknockcc.ie"/>
    <s v="minus"/>
    <s v="Fail"/>
    <s v="v=spf1 include:spf.protection.outlook.com include:spf.dcsnet.ie -all"/>
    <s v="yes"/>
    <x v="0"/>
    <m/>
    <m/>
    <m/>
    <x v="0"/>
    <x v="65"/>
  </r>
  <r>
    <s v="themidlandsparkhotel.com"/>
    <s v="no"/>
    <s v="Not found"/>
    <m/>
    <m/>
    <x v="0"/>
    <m/>
    <m/>
    <m/>
    <x v="18"/>
    <x v="65"/>
  </r>
  <r>
    <s v="masonite.com"/>
    <s v="tilde"/>
    <s v="Soft Fail"/>
    <s v="v=spf1 include:spf.mandrillapp.com include:marketing.dynamics.com include:_spf.highradius.com include:_spf.salesforce.com include:mktomail.com include:servers.mcsv.net include:spf.protection.outlook.com&quot; &quot; exists:%{i}.spf.hc4106-94.iphmx.com ip4:209.136.2.159 ip4:23.21.109.197 ip4:23.21.109.212 ip4:147.160.167.0/26 ~all"/>
    <s v="yes"/>
    <x v="2"/>
    <s v="v=DMARC1;&quot; &quot;p=none;&quot; &quot;rua=mailto:dmarcvalidationreport@masonite.com;&quot; &quot;ruf=mailto:dmarcvalidationreport@masonite.com;&quot; &quot;fo=1"/>
    <m/>
    <m/>
    <x v="19"/>
    <x v="65"/>
  </r>
  <r>
    <s v="ktl.ie"/>
    <s v="minus"/>
    <s v="Fail"/>
    <s v="v=spf1 include:spf.protection.outlook.com include:sent-via.netsuite.com  include:notification.netsuite.com include:mailsenders.netsuite.com -all"/>
    <s v="yes"/>
    <x v="2"/>
    <s v="v=DMARC1; p=none; pct=100; rua=mailto:cyber@ktl.ie"/>
    <m/>
    <m/>
    <x v="16"/>
    <x v="65"/>
  </r>
  <r>
    <s v="ocarrollengineering.com"/>
    <s v="minus"/>
    <s v="Fail"/>
    <s v="v=spf1 include:spf.protection.outlook.com include:spf.smtp2go.com -all"/>
    <s v="yes"/>
    <x v="1"/>
    <s v="v=DMARC1; p=quarantine"/>
    <m/>
    <m/>
    <x v="14"/>
    <x v="65"/>
  </r>
  <r>
    <s v="kssl.ie"/>
    <s v="tilde"/>
    <s v="Soft Fail"/>
    <s v="v=spf1 ip4:158.120.85.51 ip4:212.227.20.69 ip4:158.120.84.223 ip4:80.209.158.55 ip4:185.190.204.96 ip4:80.233.126.252 include:spf.protection.outlook.com include:_spf.psm.knowbe4.com ~all"/>
    <s v="yes"/>
    <x v="1"/>
    <s v="v=DMARC1; p=quarantine; rua=mailto:c5844ce0@mxtoolbox.dmarc-report.com; ruf=mailto:c5844ce0@forensics.dmarc-report.com; fo=1"/>
    <m/>
    <m/>
    <x v="20"/>
    <x v="65"/>
  </r>
  <r>
    <s v="multipkg.com"/>
    <s v="minus"/>
    <s v="Fail"/>
    <s v="v=spf1 include:westrock.com -all"/>
    <m/>
    <x v="3"/>
    <s v="v=DMARC1; p=reject; fo=1; rua=mailto:dmarc_rua@emaildefense.proofpoint.com; ruf=mailto:dmarc_ruf@emaildefense.proofpoint.com"/>
    <m/>
    <m/>
    <x v="4"/>
    <x v="65"/>
  </r>
  <r>
    <s v="irishdogfoods.com"/>
    <s v="minus"/>
    <s v="Fail"/>
    <s v="v=spf1 include:eu._netblocks.mimecast.com include:spf.protection.outlook.com include:spf.mandrillapp.com ip4:109.70.209.139 ip4:193.120.143.0/24 ip4:193.120.142.176 -all"/>
    <s v="yes"/>
    <x v="2"/>
    <s v="v=DMARC1; p=none; sp=none; fo=1; rua=mailto:dmarc@irishdogfoods.com; ruf=mailto:dmarc@irishdogfoods.com; pct=100;"/>
    <m/>
    <m/>
    <x v="16"/>
    <x v="65"/>
  </r>
  <r>
    <s v="poppulo.com"/>
    <s v="tilde"/>
    <s v="Soft Fail"/>
    <s v="v=spf1 include:%{i}._ip.%{h}._ehlo.%{d}._spf.vali.email ~all"/>
    <s v="yes"/>
    <x v="2"/>
    <s v="v=DMARC1; p=none; sp=none; aspf=r; rua=mailto:dmarc_agg@vali.email"/>
    <m/>
    <m/>
    <x v="1"/>
    <x v="65"/>
  </r>
  <r>
    <s v="bouldermedia.tv"/>
    <s v="minus"/>
    <s v="Fail"/>
    <s v="v=spf1 include:spf.protection.outlook.com include:spf.reg365.net -all"/>
    <s v="yes"/>
    <x v="3"/>
    <s v="v=DMARC1; p=reject; pct=100; fo=1; ri=3600; rua=mailto:c0f1617a@inbox.ondmarc.com; ruf=mailto:c0f1617a@inbox.ondmarc.com;"/>
    <m/>
    <m/>
    <x v="0"/>
    <x v="65"/>
  </r>
  <r>
    <s v="aig.ie"/>
    <s v="minus"/>
    <s v="Fail"/>
    <s v="v=spf1 include:%{d}.ac.spf-protect.agari.com exists:%{i}._i.%{d}._d.espf.agari.com -all"/>
    <m/>
    <x v="3"/>
    <s v="v=DMARC1; p=reject; fo=1; ri=3600; rua=mailto:aig@rua.agari.com; ruf=mailto:aig@ruf.agari.com"/>
    <m/>
    <m/>
    <x v="0"/>
    <x v="65"/>
  </r>
  <r>
    <s v="sevenoakshotel.com"/>
    <s v="minus"/>
    <s v="Fail"/>
    <s v="v=spf1 include:spf.protection.outlook.com include:netaffinity.net -all"/>
    <m/>
    <x v="0"/>
    <m/>
    <m/>
    <m/>
    <x v="25"/>
    <x v="65"/>
  </r>
  <r>
    <s v="claytonhotelsilversprings.com"/>
    <s v="minus"/>
    <s v="Fail"/>
    <s v="v=spf1 -all"/>
    <m/>
    <x v="0"/>
    <m/>
    <m/>
    <m/>
    <x v="1"/>
    <x v="65"/>
  </r>
  <r>
    <s v="woodlands-hotel.ie"/>
    <s v="minus"/>
    <s v="Fail"/>
    <s v="v=spf1 include:spf.protection.outlook.com include:netaffinity.net include:sendgrid.net a include:authsmtp.com -all"/>
    <m/>
    <x v="2"/>
    <s v="v=DMARC1; p=none;"/>
    <m/>
    <m/>
    <x v="5"/>
    <x v="65"/>
  </r>
  <r>
    <s v="greatsouthernkillarney.com"/>
    <s v="minus"/>
    <s v="Fail"/>
    <s v="v=spf1 include:spf.protection.outlook.com include:spf-a.authsmtp.com include:spf-b.authsmtp.com include:oracleindustry.com ip4:87.198.171.254 -all"/>
    <s v="yes"/>
    <x v="2"/>
    <s v="v=DMARC1; p=none; fo=1; rua=mailto:rua+greatsouthernkillarney.com@dmarc.barracudanetworks.com; ruf=mailto:ruf+greatsouthernkillarney.com@dmarc.barracudanetworks.com"/>
    <m/>
    <m/>
    <x v="14"/>
    <x v="65"/>
  </r>
  <r>
    <s v="corkcityfirebrigade.ie"/>
    <s v="no"/>
    <s v="Not found"/>
    <m/>
    <m/>
    <x v="0"/>
    <m/>
    <m/>
    <m/>
    <x v="1"/>
    <x v="65"/>
  </r>
  <r>
    <s v="steris.com"/>
    <s v="tilde"/>
    <s v="Soft Fail"/>
    <s v="v=spf1 include:%{ir}.%{v}.%{d}.spf.has.pphosted.com ~all"/>
    <s v="yes"/>
    <x v="3"/>
    <s v="v=DMARC1; p=reject; fo=1; ri=3600; rua=mailto:dmarc_rua@emaildefense.proofpoint.com; ruf=mailto:dmarc_ruf@emaildefense.proofpoint.com"/>
    <m/>
    <m/>
    <x v="21"/>
    <x v="65"/>
  </r>
  <r>
    <s v="carraigdonn.com"/>
    <s v="tilde"/>
    <s v="Soft Fail"/>
    <s v="v=spf1 include:shops.shopify.com include:spf.protection.outlook.com ~all"/>
    <s v="yes"/>
    <x v="1"/>
    <s v="v=DMARC1;p=quarantine;pct=100;rua=mailto:reporting@carraigdonn.com;ruf=mailto:reporting@carraigdonn.com;ri=86400;fo=1"/>
    <m/>
    <m/>
    <x v="4"/>
    <x v="65"/>
  </r>
  <r>
    <s v="kedington.ie"/>
    <s v="minus"/>
    <s v="Fail"/>
    <s v="v=spf1 include:eu._netblocks.mimecast.com ip4:89.100.74.174 ip4:212.17.44.108 -all"/>
    <s v="yes"/>
    <x v="3"/>
    <s v="v=DMARC1; p=reject; ruf=mailto:admin@kedington.ie; rua=mailto:admin@kedington.ie; sp=reject; aspf=s; adkim=s"/>
    <m/>
    <m/>
    <x v="0"/>
    <x v="65"/>
  </r>
  <r>
    <s v="netwatchsystem.com"/>
    <s v="minus"/>
    <s v="Fail"/>
    <s v="v=spf1 include:spf.protection.outlook.com include:servers.mcsv.net include:mail.zendesk.com include:aspmx.pardot.com include:_spf.salesforce.com include:_spf.elasticemail.com -all"/>
    <s v="yes"/>
    <x v="1"/>
    <s v="v=DMARC1; p=quarantine; rua=mailto:dmarc@4j0craxr.uriports.com; ruf=mailto:dmarc@4j0craxr.uriports.com; fo=1:d:s"/>
    <m/>
    <m/>
    <x v="25"/>
    <x v="65"/>
  </r>
  <r>
    <s v="horseware.com"/>
    <s v="minus"/>
    <s v="Fail"/>
    <s v="v=spf1 a mx a:smtp.luzernsolutions.com include:_spf.mailersend.net include:emsd1.com include:spf.protection.outlook.com include:123456.spf03.hubspotemail.net -all"/>
    <s v="yes"/>
    <x v="1"/>
    <s v="v=DMARC1; p=quarantine; sp=quarantine; fo=1; rua=mailto:dmarc@horseware.com; ruf=mailto:dmarc@horseware.com"/>
    <m/>
    <m/>
    <x v="2"/>
    <x v="65"/>
  </r>
  <r>
    <s v="killarneyhotels.ie"/>
    <s v="minus"/>
    <s v="Fail"/>
    <s v="v=spf1 include:spf.protection.outlook.com -all"/>
    <s v="yes"/>
    <x v="2"/>
    <s v="v=DMARC1; p=none; sp=none; aspf=s; fo=1;rua=mailto:dmarc_rua@emaildefense.proofpoint.com; ruf=mailto:dmarc_ruf@emaildefense.proofpoint.com"/>
    <m/>
    <m/>
    <x v="14"/>
    <x v="65"/>
  </r>
  <r>
    <s v="cowpercare.ie"/>
    <s v="minus"/>
    <s v="Fail"/>
    <s v="v=spf1 include:spf.protection.outlook.com -all"/>
    <m/>
    <x v="0"/>
    <m/>
    <m/>
    <m/>
    <x v="0"/>
    <x v="65"/>
  </r>
  <r>
    <s v="kerloguenursinghome.com"/>
    <s v="minus"/>
    <s v="Fail"/>
    <s v="v=spf1 include:spf.protection.outlook.com -all"/>
    <s v="yes"/>
    <x v="3"/>
    <s v="v=DMARC1; p=reject;"/>
    <m/>
    <m/>
    <x v="3"/>
    <x v="65"/>
  </r>
  <r>
    <s v="portofcork.ie"/>
    <s v="question"/>
    <s v="Neutral"/>
    <s v="v=spf1 ip4:77.107.221.218 ip4:54.217.242.174 include:spf.protection.outlook.com include:spf.ess.de.barracudanetworks.com include:amazonses.com ?all"/>
    <m/>
    <x v="3"/>
    <s v="v=DMARC1; p=reject; fo=1; rua=mailto:rua+portofcork.ie@dmarc.barracudanetworks.com; ruf=mailto:ruf+portofcork.ie@dmarc.barracudanetworks.com"/>
    <m/>
    <m/>
    <x v="1"/>
    <x v="65"/>
  </r>
  <r>
    <s v="morganmckinley.ie"/>
    <s v="tilde"/>
    <s v="Soft Fail"/>
    <s v="v=spf1 include:spf2.premiergp.com include:spf.premiergp.com ~all"/>
    <s v="yes"/>
    <x v="2"/>
    <s v="v=DMARC1; p=none; rua=mailto:mailadministator@morganmckinley.ie; ruf=mailto:mailadministator@morganmckinley.ie; sp=none; fo=1; ri=86400"/>
    <m/>
    <m/>
    <x v="1"/>
    <x v="65"/>
  </r>
  <r>
    <s v="laroussefoods.ie"/>
    <s v="minus"/>
    <s v="Fail"/>
    <s v="v=spf1 ip4:217.115.115.198 include:spf.protection.outlook.com ip4:83.71.135.83 ip4:194.151.190.162 ip4:18.202.45.229 ip4:159.183.134.72 ip4:159.183.147.173 ip4:130.117.253.164 ip4:3.68.129.51 ip4:13.36.253.151 include:spf.amris.com include:servers.mcsv.ne&quot; &quot;t include:relay.mailchannels.net -all"/>
    <m/>
    <x v="0"/>
    <m/>
    <m/>
    <m/>
    <x v="0"/>
    <x v="65"/>
  </r>
  <r>
    <s v="modularautomation.ie"/>
    <s v="no"/>
    <s v="Not found"/>
    <m/>
    <m/>
    <x v="0"/>
    <m/>
    <m/>
    <m/>
    <x v="9"/>
    <x v="65"/>
  </r>
  <r>
    <s v="cancer.ie"/>
    <s v="tilde"/>
    <s v="Soft Fail"/>
    <s v="v=spf1 include:_spf.mx.cloudflare.net ~all"/>
    <s v="yes"/>
    <x v="3"/>
    <s v="v=DMARC1; p=reject; rua=mailto:27eed7a6e3884d738bc8b1b38f44841b@dmarc-reports.cloudflare.net,mailto:lxuh6y7n@ag.eu.dmarcian.com; ruf=mailto:lxuh6y7n@fr.eu.dmarcian.com;"/>
    <m/>
    <m/>
    <x v="0"/>
    <x v="65"/>
  </r>
  <r>
    <s v="rkd.ie"/>
    <s v="minus"/>
    <s v="Fail"/>
    <s v="v=spf1 include:spf.protection.outlook.com include:spf.messagelabs.com include:spf-eu.emailsignatures365.com -all"/>
    <s v="yes"/>
    <x v="2"/>
    <s v="v=DMARC1; p=none; pct=100; fo=1; ri=3600; rua=mailto:it@rkd.ie; ruf=mailto:it@rkd.ie;"/>
    <m/>
    <m/>
    <x v="0"/>
    <x v="65"/>
  </r>
  <r>
    <s v="ballygarryhouse.com"/>
    <s v="minus"/>
    <s v="Fail"/>
    <s v="v=spf1 +mx +a include:owa.ballygarryhouse.com include:ns1.realbroadband.com include:Mail.ihotelier.com include:Postoffice.ihotelier.com ip4:172.16.10.33 ip4:209.242.69.231 ip4:199.167.219.49 ip4:206.222.177.128 ip4:206.222.177.148 -all"/>
    <m/>
    <x v="0"/>
    <m/>
    <m/>
    <m/>
    <x v="14"/>
    <x v="65"/>
  </r>
  <r>
    <s v="monaghan-mushrooms.com"/>
    <s v="tilde"/>
    <s v="Soft Fail"/>
    <s v="v=spf1 include:spf.protection.outlook.com include:_spf.prod.hydra.sophos.com ip4:195.59.157.101 ip4:195.59.157.110 ip4:195.59.157.103 ~all"/>
    <m/>
    <x v="2"/>
    <s v="v=DMARC1; p=none"/>
    <m/>
    <m/>
    <x v="16"/>
    <x v="65"/>
  </r>
  <r>
    <s v="cbe.ie"/>
    <s v="minus"/>
    <s v="Fail"/>
    <s v="v=spf1 mx a ptr ip4:87.198.180.130/28 ip4:86.47.123.217/29 ip4:93.94.118.234/29 include:autotask.net  include:spf.protection.outlook.com include:spf-eu.emailsignatures365.com include:_spf.psm.knowbe4.com include:sendgrid.net -all"/>
    <s v="yes"/>
    <x v="1"/>
    <s v="v=DMARC1; p=quarantine; pct=100; rua=mailto:dmarc@zenotec.ie; ruf=mailto:dmarc@zenotec.ie; fo=1"/>
    <m/>
    <m/>
    <x v="4"/>
    <x v="65"/>
  </r>
  <r>
    <s v="firecrestclinical.com"/>
    <s v="minus"/>
    <s v="Fail"/>
    <s v="v=spf1 exists:%{i}._i.%{d}._d.espf.agari.com include:%{d}.ee.spf-protect.agari.com -all"/>
    <s v="yes"/>
    <x v="3"/>
    <s v="v=DMARC1; p=reject; fo=1; ri=3600; rua=mailto:icon@rua.agari.com; ruf=mailto:icon@ruf.agari.com"/>
    <m/>
    <m/>
    <x v="5"/>
    <x v="66"/>
  </r>
  <r>
    <s v="wuerth.ie"/>
    <s v="tilde"/>
    <s v="Soft Fail"/>
    <s v="v=spf1 ip4:148.253.151.170 ip4:40.85.92.201 include:limajo.witglobal.net include:_spf.vivantio.com ~all"/>
    <m/>
    <x v="3"/>
    <s v="v=DMARC1; p=reject; rua=mailto:dmarc@witglobal.net; ruf=mailto:dmarc@witglobal.net; fo=1; pct=100"/>
    <m/>
    <m/>
    <x v="5"/>
    <x v="67"/>
  </r>
  <r>
    <s v="west-bake.com"/>
    <s v="minus"/>
    <s v="Fail"/>
    <s v="v=spf1 a mx ip4:94.102.198.243 ip4:35.214.41.65 ip4:104.47.17.74 include:spf.protection.outlook.com -all"/>
    <m/>
    <x v="0"/>
    <m/>
    <m/>
    <m/>
    <x v="7"/>
    <x v="68"/>
  </r>
  <r>
    <s v="ventionmedical.com"/>
    <s v="minus"/>
    <s v="Fail"/>
    <s v="v=spf1 ip4:64.78.151.128/26 ip4:208.185.229.0/24 ip4:208.185.235.0/24 ip4:216.241.183.0/24 a:dispatch-us.ppe-hosted.com ip4:199.71.239.178 ip4:67.216.183.10 -all"/>
    <m/>
    <x v="3"/>
    <s v="v=DMARC1; p=reject; rua=mailto:e837c7005787269@rep.dmarcanalyzer.com; ruf=mailto:e837c7005787269@for.dmarcanalyzer.com; pct=100; fo=1;"/>
    <m/>
    <m/>
    <x v="22"/>
    <x v="68"/>
  </r>
  <r>
    <s v="aviva.com"/>
    <s v="minus"/>
    <s v="Fail"/>
    <s v="v=spf1 include:%{ir}.%{v}.%{d}.spf.has.pphosted.com -all"/>
    <s v="yes"/>
    <x v="3"/>
    <s v="v=DMARC1; p=reject; fo=1; rua=mailto:dmarc_rua@emaildefense.proofpoint.com; ruf=mailto:dmarc_ruf@emaildefense.proofpoint.com"/>
    <m/>
    <m/>
    <x v="1"/>
    <x v="68"/>
  </r>
  <r>
    <s v="hilton.co.uk"/>
    <s v="no"/>
    <s v="Not found"/>
    <m/>
    <m/>
    <x v="0"/>
    <m/>
    <m/>
    <m/>
    <x v="0"/>
    <x v="69"/>
  </r>
  <r>
    <s v="maplesff.com"/>
    <s v="no"/>
    <s v="Not found"/>
    <m/>
    <m/>
    <x v="0"/>
    <m/>
    <m/>
    <m/>
    <x v="0"/>
    <x v="70"/>
  </r>
  <r>
    <s v="ec.europa.eu"/>
    <s v="minus"/>
    <s v="Fail"/>
    <s v="v=spf1 include:_spf.tech.ec.europa.eu include:_spf-jrc.tech.ec.europa.eu -all"/>
    <s v="yes"/>
    <x v="3"/>
    <s v="v=DMARC1; p=reject; rua=mailto:swtyii6t@ag.eu.dmarcadvisor.com; adkim=s; aspf=s"/>
    <m/>
    <m/>
    <x v="15"/>
    <x v="70"/>
  </r>
  <r>
    <s v="noelgroup.ie"/>
    <s v="tilde"/>
    <s v="Soft Fail"/>
    <s v="v=spf1 include:spf.protection.outlook.com include:email.freshservice.com include:zohopeople.com ip4:80.93.26.92 ~all"/>
    <m/>
    <x v="2"/>
    <s v="v=DMARC1; p=none;"/>
    <m/>
    <m/>
    <x v="0"/>
    <x v="70"/>
  </r>
  <r>
    <s v="fdc.ie"/>
    <s v="minus"/>
    <s v="Fail"/>
    <s v="v=spf1 include:spf.protection.outlook.com include:9258467.spf08.hubspotemail.net include:spf-00196902.pphosted.com  -all"/>
    <s v="yes"/>
    <x v="3"/>
    <s v="v=DMARC1; p=reject"/>
    <m/>
    <m/>
    <x v="1"/>
    <x v="70"/>
  </r>
  <r>
    <s v="arc-al.com"/>
    <s v="tilde"/>
    <s v="Soft Fail"/>
    <s v="v=spf1 ip4:31.216.236.114 include:spf.protection.outlook.com include:spf.emailsignatures365.com include:spf.mtaroutes.com ~all"/>
    <s v="yes"/>
    <x v="0"/>
    <m/>
    <m/>
    <m/>
    <x v="0"/>
    <x v="70"/>
  </r>
  <r>
    <s v="depfa.com"/>
    <s v="minus"/>
    <s v="Fail"/>
    <s v="v=spf1 include:spf.protection.outlook.com ip4:194.107.107.241/32 -all"/>
    <s v="yes"/>
    <x v="1"/>
    <s v="v=DMARC1; p=quarantine; rua=mailto:dmarc@bawaggroup.com; ruf=mailto:dmarc@bawaggroup.com; sp=quarantine; fo=1;"/>
    <m/>
    <m/>
    <x v="0"/>
    <x v="70"/>
  </r>
  <r>
    <s v="investec.ie"/>
    <s v="minus"/>
    <s v="Fail"/>
    <s v="v=spf1 mx ip4:185.197.52.132 ip4:185.197.52.133 ip4:185.197.52.130 ip4:185.197.52.131 ip4:185.197.52.134 ip4:185.197.52.135 a:mail.stream.aero include:za._netblocks.mimecast.com include:spf.protection.outlook.com include:sendgrid.net&quot; &quot; include:_spf.salesforce.com -all"/>
    <m/>
    <x v="3"/>
    <s v="v=DMARC1; p=reject; rua=mailto:a0c168b1c618365@rep.dmarcanalyzer.com;ruf=mailto:a0c168b1c618365@for.dmarcanalyzer.com; fo=1;"/>
    <m/>
    <m/>
    <x v="0"/>
    <x v="70"/>
  </r>
  <r>
    <s v="rpsgroup.ie"/>
    <s v="no"/>
    <s v="Not found"/>
    <m/>
    <m/>
    <x v="0"/>
    <m/>
    <m/>
    <m/>
    <x v="0"/>
    <x v="70"/>
  </r>
  <r>
    <s v="prioritydrilling.ie"/>
    <s v="tilde"/>
    <s v="Soft Fail"/>
    <s v="v=spf1 a include:spf.blacknight.ie ~all"/>
    <m/>
    <x v="0"/>
    <m/>
    <m/>
    <m/>
    <x v="7"/>
    <x v="70"/>
  </r>
  <r>
    <s v="aol.com"/>
    <s v="mis"/>
    <s v="Invalid SPF Syntax"/>
    <s v="v=spf1 redirect=_spf.mail.yahoo.com"/>
    <m/>
    <x v="3"/>
    <s v="v=DMARC1; p=reject; pct=100; rua=mailto:d@rua.agari.com; ruf=mailto:d@ruf.agari.com;"/>
    <m/>
    <m/>
    <x v="0"/>
    <x v="70"/>
  </r>
  <r>
    <s v="hyl.ie"/>
    <s v="no"/>
    <s v="Not found"/>
    <m/>
    <m/>
    <x v="0"/>
    <m/>
    <m/>
    <m/>
    <x v="0"/>
    <x v="70"/>
  </r>
  <r>
    <s v="openhydro.com"/>
    <s v="no"/>
    <s v="Not found"/>
    <m/>
    <m/>
    <x v="0"/>
    <m/>
    <m/>
    <m/>
    <x v="0"/>
    <x v="70"/>
  </r>
  <r>
    <s v="marlborotrust.ie"/>
    <s v="minus"/>
    <s v="Fail"/>
    <s v="v=spf1 include:spf.protection.outlook.com include:sendgrid.net ip4:149.72.223.55 ip4:86.47.100.109 ip4:46.32.238.64 ip4:40.114.165.223 -all"/>
    <s v="yes"/>
    <x v="2"/>
    <s v="v=DMARC1; p=none;"/>
    <m/>
    <m/>
    <x v="1"/>
    <x v="70"/>
  </r>
  <r>
    <s v="mccambridgeduffy.ie"/>
    <s v="tilde"/>
    <s v="Soft Fail"/>
    <s v="v=spf1 mx ip4:168.245.122.87 ip4:159.183.186.201 include:mail.zendesk.com include:4815088.spf08.hubspotemail.net include:spf.protection.outlook.com ~all"/>
    <s v="yes"/>
    <x v="0"/>
    <m/>
    <m/>
    <m/>
    <x v="6"/>
    <x v="70"/>
  </r>
  <r>
    <s v="gam.com"/>
    <s v="tilde"/>
    <s v="Soft Fail"/>
    <s v="v=spf1 ip4:217.73.9.208/28 ip4:217.68.19.128/25 ip4:173.193.133.206 ip4:166.78.69.206 ip4:20.77.129.6 ip4:20.77.129.9 a:relay.brighttalk.com include:spfa.gam.com include:servers.mcsv.net include:spf.protection.outlook.com include:spf-00235001.pphosted.com&quot; &quot; ~all"/>
    <s v="yes"/>
    <x v="2"/>
    <s v="v=DMARC1; p=none; pct=100; fo=1:d:s; ri=3600; rua=mailto:3b01410b@inbox.ondmarc.com,mailto:dmarc_rua@emaildefense.proofpoint.com,mailto:dmarc@mzc9kt22.uriports.com; ruf=mailto:3b01410b@inbox.ondmarc.com,mailto:dmarc_ruf@emaildefense.proofpoint.com,mailto:&quot; &quot;dmarc@mzc9kt22.uriports.com;"/>
    <m/>
    <m/>
    <x v="0"/>
    <x v="70"/>
  </r>
  <r>
    <s v="transfermate.com"/>
    <s v="tilde"/>
    <s v="Soft Fail"/>
    <s v="v=spf1 include:spf0.transfermate.com include:trustpilotservice.com include:aspmx.pardot.com include:_spf.vsn.voltage.com include:amazonses.com include:spf.protection.outlook.com include:_spf_euwest1.prod.hydra.sophos.com include:_spf.salesforce.com ~all"/>
    <s v="yes"/>
    <x v="1"/>
    <s v="v=DMARC1; p=quarantine; pct=100"/>
    <m/>
    <m/>
    <x v="0"/>
    <x v="70"/>
  </r>
  <r>
    <s v="carrickdale.com"/>
    <s v="minus"/>
    <s v="Fail"/>
    <s v="v=spf1 a mx ip4:159.134.107.51 include:netaffinity.net include:spf.ess.uk.barracudanetworks.com -all"/>
    <m/>
    <x v="2"/>
    <s v="v=DMARC1; p=none;"/>
    <m/>
    <m/>
    <x v="2"/>
    <x v="70"/>
  </r>
  <r>
    <s v="hodsonbayhotel.com"/>
    <s v="minus"/>
    <s v="Fail"/>
    <s v="v=spf1 include:spf.protection.outlook.com include:spf.ireshotels.com include:oracleindustry.com include:sendgrid.net -all"/>
    <s v="yes"/>
    <x v="2"/>
    <s v="v=DMARC1; p=none; pct=100; rua=mailto:postman@hodsonbayhotel.com; ruf=mailto:postman@hodsonbayhotel.com; sp=quarantine; fo=1;"/>
    <m/>
    <m/>
    <x v="22"/>
    <x v="70"/>
  </r>
  <r>
    <s v="aslairlines.com"/>
    <s v="minus"/>
    <s v="Fail"/>
    <s v="v=spf1 ip4:152.228.195.160/27 ip4:117.120.14.38 ip4:34.241.40.53 ip4:212.6.55.1 ip4:213.152.0.21 ip4:46.18.128.203 ip4:212.243.61.82 ip4:89.19.94.77 ip4:81.246.92.212 ip4:109.197.246.0/26 ip4:217.74.103.0/24 ip4:92.103.69.0/24 ip4:81.246.55&quot; &quot;.198 ip4:54.37.216.187 ip4:52.47.203.24/32 ip4:35.180.3.224/32 ip4:185.187.30.10/32 ip4:89.19.91.43 ip4:83.70.199.207 include:spf.protection.outlook.com a:mx1.emailsrvr.com a:mx2.email&quot; &quot;srvr.com include:_netblocks.mimecast.com -all"/>
    <s v="yes"/>
    <x v="1"/>
    <s v="v=DMARC1; p=quarantine; rua=mailto:dmarc_agg@vali.email;"/>
    <m/>
    <m/>
    <x v="0"/>
    <x v="70"/>
  </r>
  <r>
    <s v="baroneracing.com"/>
    <s v="minus"/>
    <s v="Fail"/>
    <s v="v=spf1 include:spf.protection.outlook.com include:mail.zendesk.com -all"/>
    <s v="yes"/>
    <x v="2"/>
    <s v="v=DMARC1; p=none; sp=none; rua=mailto:749cadeedc97.a@dmarcinput.com; ruf=mailto:749cadeedc97.f@dmarcinput.com; fo=1"/>
    <m/>
    <m/>
    <x v="2"/>
    <x v="70"/>
  </r>
  <r>
    <s v="shannondoc.ie"/>
    <s v="tilde"/>
    <s v="Soft Fail"/>
    <s v="v=spf1 +ip4:91.210.232.25 +include:spf.webhostingireland.ie +include:spf.protection.outlook.com ~all"/>
    <s v="yes"/>
    <x v="1"/>
    <s v="v=DMARC1;p=quarantine;rua=mailto:mryan@shannondoc.ie"/>
    <m/>
    <m/>
    <x v="5"/>
    <x v="70"/>
  </r>
  <r>
    <s v="pleanala.ie"/>
    <s v="minus"/>
    <s v="Fail"/>
    <s v="v=spf1 include:spf.protection.outlook.com -all"/>
    <s v="yes"/>
    <x v="3"/>
    <s v="v=DMARC1;p=reject;pct=100;rua=mailto:5de2621c85@rua.easydmarc.eu;ruf=mailto:5de2621c85@ruf.easydmarc.eu;ri=3600;fo=1"/>
    <m/>
    <m/>
    <x v="0"/>
    <x v="70"/>
  </r>
  <r>
    <s v="passport.ie"/>
    <s v="minus"/>
    <s v="Fail"/>
    <s v="v=spf1 ip6:fdcf:abda:4154::/48 -all"/>
    <m/>
    <x v="0"/>
    <m/>
    <m/>
    <m/>
    <x v="0"/>
    <x v="70"/>
  </r>
  <r>
    <s v="examinations.ie"/>
    <s v="tilde"/>
    <s v="Soft Fail"/>
    <s v="v=spf1 include:spf.protection.outlook.com include:mailcontrol.com include:amazonses.com ip4:137.191.237.98 ip4:137.191.224.99 ip4:217.78.9.192/27 ip4:80.93.21.0/24 ip4:83.147.146.64/27 ~all"/>
    <s v="yes"/>
    <x v="2"/>
    <s v="v=DMARC1; p=none; pct=100; rua=mailto:re+w7sl5lhk6bk@dmarc.postmarkapp.com, mailto:dmarc_agg@vali.email, mailto:dmarc.rua@examinations.ie; sp=none; aspf=r;"/>
    <m/>
    <m/>
    <x v="23"/>
    <x v="70"/>
  </r>
  <r>
    <s v="dinnri.com"/>
    <s v="minus"/>
    <s v="Fail"/>
    <s v="v=spf1 include:spf.protection.outlook.com -all"/>
    <s v="yes"/>
    <x v="2"/>
    <s v="v=DMARC1; p=none; rua=mailto:Administrator@dinnri.com;"/>
    <m/>
    <m/>
    <x v="25"/>
    <x v="70"/>
  </r>
  <r>
    <s v="mountwolseley.ie"/>
    <s v="minus"/>
    <s v="Fail"/>
    <s v="v=spf1 a mx include:spf.protection.outlook.com include:servers.mcsv.net include:authsmtp.com -all"/>
    <s v="yes"/>
    <x v="2"/>
    <s v="v=DMARC1; p=none;"/>
    <m/>
    <m/>
    <x v="25"/>
    <x v="70"/>
  </r>
  <r>
    <s v="rochestownpark.com"/>
    <s v="tilde"/>
    <s v="Soft Fail"/>
    <s v="v=spf1 a mx include:_spf.google.com include:spf.protection.outlook.com include:spf_3a.oracleindustry.com include:_spf.travelclick.com include:spf.ess.de.barracudanetworks.com include:spf2.rochestownpark.com ~all"/>
    <m/>
    <x v="0"/>
    <m/>
    <m/>
    <m/>
    <x v="1"/>
    <x v="70"/>
  </r>
  <r>
    <s v="clontarfcastle.ie"/>
    <s v="minus"/>
    <s v="Fail"/>
    <s v="v=spf1 a:shops.shopify.com ip4:84.203.245.29 ip4:78.137.176.59 include:spf.protection.outlook.com include:oracleindustry.com -all"/>
    <m/>
    <x v="2"/>
    <s v="v=DMARC1; p=none; rua=mailto:34af1efaa79a440aaf04e99c6ec9665d@dmarc-reports.cloudflare.net,mailto:dmarc-reports@clontarfcastle.ie"/>
    <m/>
    <m/>
    <x v="0"/>
    <x v="70"/>
  </r>
  <r>
    <s v="conraddublin.com"/>
    <s v="no"/>
    <s v="Not found"/>
    <m/>
    <m/>
    <x v="0"/>
    <m/>
    <m/>
    <m/>
    <x v="0"/>
    <x v="70"/>
  </r>
  <r>
    <s v="cpireland.crowneplaza.com"/>
    <s v="no"/>
    <s v="Not found"/>
    <m/>
    <m/>
    <x v="0"/>
    <m/>
    <m/>
    <m/>
    <x v="0"/>
    <x v="70"/>
  </r>
  <r>
    <s v="fitzpatrickcastle.com"/>
    <s v="minus"/>
    <s v="Fail"/>
    <s v="v=spf1 include:spf.protection.outlook.com include:spf.mandrillapp.com include:netaffinity.net -all"/>
    <s v="yes"/>
    <x v="2"/>
    <s v="v=DMARC1; p=none;"/>
    <m/>
    <m/>
    <x v="0"/>
    <x v="70"/>
  </r>
  <r>
    <s v="claytonhotelgalway.ie"/>
    <s v="no"/>
    <s v="Not found"/>
    <m/>
    <m/>
    <x v="0"/>
    <m/>
    <m/>
    <m/>
    <x v="7"/>
    <x v="70"/>
  </r>
  <r>
    <s v="glenviewhotel.com"/>
    <s v="tilde"/>
    <s v="Soft Fail"/>
    <s v="v=spf1 ip4:193.57.206.86 include:email2.guestfolio.net include:oracleindustry.com include:spf.protection.outlook.com ~all"/>
    <s v="yes"/>
    <x v="3"/>
    <s v="v=DMARC1; p=reject; pct=100"/>
    <m/>
    <m/>
    <x v="24"/>
    <x v="70"/>
  </r>
  <r>
    <s v="philiplee.ie"/>
    <s v="tilde"/>
    <s v="Soft Fail"/>
    <s v="v=spf1 ip4:217.115.113.3 +a +mx +include:eu._netblocks.mimecast.com include:3971010.spf03.hubspotemail.net ~all"/>
    <m/>
    <x v="1"/>
    <s v="v=DMARC1; p=quarantine; rua=mailto:secalert@Philiplee.ie,mailto:29addbea@mxtoolbox.dmarc-report.com; ruf=mailto:secalert@Philiplee.ie,mailto:29addbea@forensics.dmarc-report.com; fo=1"/>
    <m/>
    <m/>
    <x v="0"/>
    <x v="70"/>
  </r>
  <r>
    <s v="ipsi.ie"/>
    <s v="minus"/>
    <s v="Fail"/>
    <s v="v=spf1 ip4:82.113.134.179 ip4:82.113.134.184 ip4:194.247.78.126 ip4:203.196.101.140 ip4:203.96.81.140 ip4:27.111.213.195 ip4:27.111.224.68 include:_netblocks.mimecast.com include:aspmx.pardot.com -all"/>
    <m/>
    <x v="3"/>
    <s v="v=DMARC1; p=reject; rua=mailto:315cf8ba871f301@rep.dmarcanalyzer.com; ruf=mailto:315cf8ba871f301@for.dmarcanalyzer.com; fo=1;"/>
    <m/>
    <m/>
    <x v="0"/>
    <x v="70"/>
  </r>
  <r>
    <s v="cbre.ie"/>
    <s v="no"/>
    <s v="Not found"/>
    <m/>
    <m/>
    <x v="2"/>
    <s v="v=DMARC1;p=none;rua=mailto:dmarc_rua@emaildefense.proofpoint.com;ruf=mailto:dmarc_ruf@emaildefense.proofpoint.com;fo=1"/>
    <m/>
    <m/>
    <x v="0"/>
    <x v="70"/>
  </r>
  <r>
    <s v="fabricated-products.com"/>
    <s v="minus"/>
    <s v="Fail"/>
    <s v="v=spf1 include:spf.protection.outlook.com -all"/>
    <s v="yes"/>
    <x v="2"/>
    <s v="v=DMARC1; p=none; rua=mailto:dmarc@fabricated-products.com"/>
    <m/>
    <m/>
    <x v="9"/>
    <x v="70"/>
  </r>
  <r>
    <s v="tegral.com"/>
    <s v="tilde"/>
    <s v="Soft Fail"/>
    <s v="v=spf1 mx ip4:62.13.147.77 ip4:62.12.128.205 ip4:62.12.128.203 include:spf.protection.outlook.com ~all"/>
    <s v="yes"/>
    <x v="0"/>
    <m/>
    <m/>
    <m/>
    <x v="16"/>
    <x v="70"/>
  </r>
  <r>
    <s v="broderickbrothers.com"/>
    <s v="minus"/>
    <s v="Fail"/>
    <s v="v=spf1 include:spf.protection.outlook.com -all"/>
    <m/>
    <x v="0"/>
    <m/>
    <m/>
    <m/>
    <x v="0"/>
    <x v="70"/>
  </r>
  <r>
    <s v="brennansbread.ie"/>
    <s v="no"/>
    <s v="Not found"/>
    <m/>
    <m/>
    <x v="0"/>
    <m/>
    <m/>
    <m/>
    <x v="0"/>
    <x v="70"/>
  </r>
  <r>
    <s v="quinn-buildingproducts.com"/>
    <s v="minus"/>
    <s v="Fail"/>
    <s v="v=spf1 include:_netblocks.mimecast.com include:spf.protection.outlook.com include:sendgrid.net -all"/>
    <s v="yes"/>
    <x v="0"/>
    <m/>
    <m/>
    <m/>
    <x v="11"/>
    <x v="70"/>
  </r>
  <r>
    <s v="accesstelecom.ie"/>
    <s v="no"/>
    <s v="Not found"/>
    <m/>
    <m/>
    <x v="0"/>
    <m/>
    <m/>
    <m/>
    <x v="0"/>
    <x v="70"/>
  </r>
  <r>
    <s v="sennheiser.com"/>
    <s v="minus"/>
    <s v="Fail"/>
    <s v="v=spf1 ip4:52.35.123.36 ip4:208.75.123.0/24 ip4:160.34.204.28 ip4:210.247.232.211 ip4:185.217.45.75 ip4:185.217.45.140 ip4:185.217.45.76 ip4:85.125.245.124 ip4:85.125.245.125 ip4:84.17.184.240/28 ip4:195.25.217.68 ip4:80.190.118.0/24 ip4:80.190.129.128/&quot; &quot;25 ip4:87.106.27.67 ip4:208.79.250.0/24 ip4:208.82.174.0/24 ip4:139.138.59.249 ip4:139.138.34.246 ip4:51.116.145.35 ip4:62.55.182.68 ip4:185.217.45.16 ip4:185.217.45.17 ip4:147.160.167.0/26 ip4:23.21.109.197 ip4:23.21.109.212 ip4:35.246.188.19 ip4:34.10&quot; &quot;7.41.233 include:_spf.salesforce.com include:spf.servicemail24.de include:_spf.senders.scnem.com include:servers.mcsv.net include:spf.sendinblue.com include:customers.prezly.io include:shops.shopify.com include:spf.protection.outlook.com -all"/>
    <s v="yes"/>
    <x v="1"/>
    <s v="v=DMARC1; p=quarantine; ruf=mailto:dmarc@sennheiser.com; fo=1;"/>
    <m/>
    <m/>
    <x v="21"/>
    <x v="70"/>
  </r>
  <r>
    <s v="solvar.ie"/>
    <s v="tilde"/>
    <s v="Soft Fail"/>
    <s v="v=spf1 include:_u.solvar.ie._spf.smart.ondmarc.com ~all"/>
    <s v="yes"/>
    <x v="3"/>
    <s v="v=DMARC1; p=reject; pct=100; sp=none; rua=mailto:83d3f9f8@inbox.ondmarc.com; ruf=mailto:83d3f9f8@inbox.ondmarc.com; adkim=r; aspf=r; fo=1; rf=afrf; ri=3600"/>
    <m/>
    <m/>
    <x v="0"/>
    <x v="70"/>
  </r>
  <r>
    <s v="freefoam.com"/>
    <s v="minus"/>
    <s v="Fail"/>
    <s v="v=spf1 include:spf.protection.outlook.com include:mailgun.org include:mail.trefforest.com -all"/>
    <m/>
    <x v="2"/>
    <s v="v=DMARC1; p=none;"/>
    <m/>
    <m/>
    <x v="1"/>
    <x v="70"/>
  </r>
  <r>
    <s v="trulife.com"/>
    <s v="minus"/>
    <s v="Fail"/>
    <s v="v=spf1 include:spf.protection.outlook.com include:e2ma.net include:shops.shopify.com include:servers.mcsv.net include:mail.zendesk.com -all"/>
    <s v="yes"/>
    <x v="2"/>
    <s v="v=DMARC1;p=none;sp=none;rua=mailto:4ddc8881f3@rua.easydmarc.us,mailto:trulife@rua.agari.com;ruf=mailto:4ddc8881f3@ruf.easydmarc.us,mailto:trulife@ruf.agari.com;ri=3600;fo=1"/>
    <m/>
    <m/>
    <x v="0"/>
    <x v="70"/>
  </r>
  <r>
    <s v="adt.ie"/>
    <s v="minus"/>
    <s v="Fail"/>
    <s v="v=spf1 include:spf.protection.outlook.com include:amazonses.com include:spf.jci.com -all"/>
    <s v="yes"/>
    <x v="3"/>
    <s v="v=DMARC1;p=reject;fo=1;ri=3600;rua=mailto:jci@rua.agari.com;ruf=mailto:jci@ruf.agari.com"/>
    <m/>
    <m/>
    <x v="0"/>
    <x v="70"/>
  </r>
  <r>
    <s v="rapuk.com"/>
    <s v="mis"/>
    <s v="Invalid SPF Syntax"/>
    <s v="v=spf1 mx include:spf.protection.outlook.com ip4:94.136.52.90"/>
    <s v="yes"/>
    <x v="3"/>
    <s v="v=DMARC1;p=reject;rua=mailto:1472b967b4@rua.easydmarc.us;ruf=mailto:1472b967b4@ruf.easydmarc.us;fo=1"/>
    <m/>
    <m/>
    <x v="6"/>
    <x v="70"/>
  </r>
  <r>
    <s v="aptar.com"/>
    <s v="tilde"/>
    <s v="Soft Fail"/>
    <s v="v=spf1 include:kau4a7bm2t.powerspf.com ~all"/>
    <s v="yes"/>
    <x v="3"/>
    <s v="v=DMARC1; p=reject; rua=mailto:tbqsqz8w89@rua.powerdmarc.com; ruf=mailto:tbqsqz8w89@ruf.powerdmarc.com; pct=100; fo=0:1:d:s;"/>
    <m/>
    <m/>
    <x v="7"/>
    <x v="70"/>
  </r>
  <r>
    <s v="rottapharm.com"/>
    <s v="tilde"/>
    <s v="Soft Fail"/>
    <s v="v=spf1 ip4:93.62.233.5 ip4:88.34.40.19 include:spf-0054f601.pphosted.com include:spf-0054f601.pphosted.com include:spf.protection.outlook.com ~all"/>
    <s v="yes"/>
    <x v="3"/>
    <s v="v=DMARC1; p=reject; fo=1; rua=mailto:Rua.dmarc@viatris.com; ruf=mailto:Ruf.dmarc@viatris.com;"/>
    <m/>
    <m/>
    <x v="0"/>
    <x v="70"/>
  </r>
  <r>
    <s v="zeusinc.com"/>
    <s v="tilde"/>
    <s v="Soft Fail"/>
    <s v="v=spf1 include:%{i}._ip.%{h}._ehlo.%{d}._spf.vali.email include:spf.protection.outlook.com include:spf_c.oraclecloud.com ~all"/>
    <s v="yes"/>
    <x v="1"/>
    <s v="v=DMARC1; p=quarantine; rua=mailto:dmarc_agg@vali.email; fo=1"/>
    <m/>
    <m/>
    <x v="6"/>
    <x v="70"/>
  </r>
  <r>
    <s v="portmarnock.com"/>
    <s v="minus"/>
    <s v="Fail"/>
    <s v="v=spf1 ip4:62.13.128.0/24 ip4:62.13.129.128/25 ip4:62.13.136.0/22 ip4:62.13.140.0/22 ip4:62.13.144.0/22 ip4:62.13.148.0/23 ip4:62.13.150.0/23 ip4:62.13.152.0/23 ip4:72.52.72.32/28 ip4:64.71.149.160/28 include:spf.protection.outlook.com include:oracleindus&quot; &quot;try.com -all"/>
    <s v="yes"/>
    <x v="2"/>
    <s v="v=DMARC1; p=none; ruf=mailto:it@northland.ca; rua=mailto:df4eb6869a1948e4a17e273f6af80af3@dmarc-reports.cloudflare.net,mailto:it@northland.ca"/>
    <m/>
    <m/>
    <x v="0"/>
    <x v="70"/>
  </r>
  <r>
    <s v="hotelkilkenny.ie"/>
    <s v="minus"/>
    <s v="Fail"/>
    <s v="v=spf1 a include:netaffinity.net include:spf.protection.outlook.com include:guestline.net include:roomlynx.net include:spf.mtasv.net ip4:89.101.168.34 ip4:89.101.237.178 ip4:46.245.209.97 ip4:78.153.203.202 ip4:81.17.250.62 -all"/>
    <s v="yes"/>
    <x v="0"/>
    <m/>
    <m/>
    <m/>
    <x v="17"/>
    <x v="70"/>
  </r>
  <r>
    <s v="delphiadventureresort.com"/>
    <s v="no"/>
    <s v="Not found"/>
    <m/>
    <m/>
    <x v="2"/>
    <s v="v=DMARC1; p=none;"/>
    <m/>
    <m/>
    <x v="7"/>
    <x v="70"/>
  </r>
  <r>
    <s v="imperialhotelcork.ie"/>
    <s v="minus"/>
    <s v="Fail"/>
    <s v="v=spf1 ip4:89.101.237.6 include:spf.protection.outlook.com include:oracleindustry.com -all"/>
    <s v="yes"/>
    <x v="2"/>
    <s v="v=DMARC1; p=none; fo=1; rua=mailto:rua+imperialhotelcork.ie@dmarc.barracudanetworks.com; ruf=mailto:ruf+imperialhotelcork.ie@dmarc.barracudanetworks.com"/>
    <m/>
    <m/>
    <x v="1"/>
    <x v="70"/>
  </r>
  <r>
    <s v="maldronhotelnewlandscross.com"/>
    <s v="minus"/>
    <s v="Fail"/>
    <s v="v=spf1 -all"/>
    <m/>
    <x v="0"/>
    <m/>
    <m/>
    <m/>
    <x v="0"/>
    <x v="70"/>
  </r>
  <r>
    <s v="pieta.ie"/>
    <s v="tilde"/>
    <s v="Soft Fail"/>
    <s v="v=spf1 include:spf.protection.outlook.com include:spf.mandrillapp.com include:aspmx.pardot.com include:_spf.salesforce.com include:spf.fundraiseup.com ~all"/>
    <s v="yes"/>
    <x v="2"/>
    <s v="v=DMARC1; p=none; rua=mailto:comms@pieta.ie"/>
    <m/>
    <m/>
    <x v="7"/>
    <x v="70"/>
  </r>
  <r>
    <s v="cyclone.ie"/>
    <s v="minus"/>
    <s v="Fail"/>
    <s v="v=spf1 include:spf.protection.outlook.com -all"/>
    <m/>
    <x v="2"/>
    <s v="v=DMARC1; p=none"/>
    <m/>
    <m/>
    <x v="0"/>
    <x v="70"/>
  </r>
  <r>
    <s v="valoff.ie"/>
    <s v="tilde"/>
    <s v="Soft Fail"/>
    <s v="v=spf1 ip4:137.191.226.195/28 ip4:137.191.226.148 ip4:137.191.226.148/28 ip4:137.191.227.138/29 ip4:52.30.39.204 ip4:168.245.49.92 ip4:167.89.62.239 include:spf.protection.outlook.com include:res.cisco.com ~all"/>
    <s v="yes"/>
    <x v="3"/>
    <s v="v=DMARC1; p=reject; fo=0:1:s; rf=afrf; pct=100; ri=86400"/>
    <m/>
    <m/>
    <x v="0"/>
    <x v="70"/>
  </r>
  <r>
    <s v="brothersofcharity.ie"/>
    <s v="minus"/>
    <s v="Fail"/>
    <s v="v=spf1 mx a ip4:193.178.98.132/32 ip4:193.178.97.132/32 ip4:193.178.98.133/32 include:spf.protection.outlook.com -all"/>
    <m/>
    <x v="3"/>
    <s v="v=DMARC1; p=reject; rua=mailto:fbkbpe0u@ag.dmarcian.com; ruf=mailto:fbkbpe0u@fr.dmarcian.com; fo=1;"/>
    <m/>
    <m/>
    <x v="1"/>
    <x v="70"/>
  </r>
  <r>
    <s v="brownthomas.ie"/>
    <s v="minus"/>
    <s v="Fail"/>
    <s v="v=spf1 a a:production.bteu.brownthomas.demandware.net mx:brownthomas.ie include:spf.mandrillapp.com include:servers.mcsv.net include:spf.protection.outlook.com include:_spf.salesforce.com include:mail.zendesk.com -all"/>
    <s v="yes"/>
    <x v="1"/>
    <s v="v=DMARC1; p=quarantine; rua=mailto:btsupport@brownthomas.ie; ruf=mailto:btsupport@brownthomas.ie; fo=1; pct=100"/>
    <m/>
    <m/>
    <x v="7"/>
    <x v="70"/>
  </r>
  <r>
    <s v="waterfordvisitorcentre.com"/>
    <s v="no"/>
    <s v="Not found"/>
    <m/>
    <s v="yes"/>
    <x v="2"/>
    <s v="v=DMARC1; p=none; rua=mailto:d3cf02270adc466aab625211dac1b3d4@dmarc-reports.cloudflare.net;"/>
    <m/>
    <m/>
    <x v="10"/>
    <x v="70"/>
  </r>
  <r>
    <s v="trocaire.org"/>
    <s v="minus"/>
    <s v="Fail"/>
    <s v="v=spf1 a:smtp15-asg.mta.salesforce.com ip4:52.214.189.235 ip4:52.214.63.230 ip4:52.18.0.196 include:spf.protection.outlook.com include:spf.emailsignatures365.com include:cust-spf.exacttarget.com include:spf.exclaimer.net include:spf2.tibus.net -all"/>
    <s v="yes"/>
    <x v="0"/>
    <m/>
    <m/>
    <m/>
    <x v="16"/>
    <x v="70"/>
  </r>
  <r>
    <s v="westernalzheimers.ie"/>
    <s v="minus"/>
    <s v="Fail"/>
    <s v="v=spf1 include:spf.protection.outlook.com ip4:37.27.130.124 ip4:89.204.213.65 ip4:86.42.125.57 -all"/>
    <s v="yes"/>
    <x v="1"/>
    <s v="v=DMARC1; p=quarantine; pct=100; rua=mailto:dmarc@zenotec.ie; ruf=mailto:dmarc@zenotec.ie; fo=1"/>
    <m/>
    <m/>
    <x v="4"/>
    <x v="70"/>
  </r>
  <r>
    <s v="asavie.com"/>
    <s v="minus"/>
    <s v="Fail"/>
    <s v="v=spf1 include:servers.mcsv.net include:spf.mandrillapp.com include:spf.protection.outlook.com include:_spf.salesforce.com exists:%{ir}._spf.msdp1.com -all"/>
    <s v="yes"/>
    <x v="2"/>
    <s v="v=DMARC1; p=none"/>
    <m/>
    <m/>
    <x v="0"/>
    <x v="70"/>
  </r>
  <r>
    <s v="bearingpoint.com"/>
    <s v="minus"/>
    <s v="Fail"/>
    <s v="v=spf1 include:defaultspf.bearingpoint.com include:spf.protection.outlook.com include:spf.crsend.com include:cmail1.com include:mail.zendesk.com include:spf.mailjet.com ip4:54.240.105.252 ip4:54.240.105.253 -all"/>
    <s v="yes"/>
    <x v="2"/>
    <s v="v=DMARC1; p=none; rua=mailto:dmarc@bearingpoint.com; ruf=mailto:dmarc@bearingpoint.com; fo=1"/>
    <m/>
    <m/>
    <x v="0"/>
    <x v="70"/>
  </r>
  <r>
    <s v="murphygroup.ie"/>
    <s v="minus"/>
    <s v="Fail"/>
    <s v="v=spf1 include:spf.protection.outlook.com include:spf-uk.emailsignatures365.com include:authsmtp.com -all"/>
    <s v="yes"/>
    <x v="3"/>
    <s v="v=DMARC1; p=reject; rua=mailto:aymnxs3d@ag.eu.dmarcian.com;"/>
    <m/>
    <m/>
    <x v="16"/>
    <x v="70"/>
  </r>
  <r>
    <s v="pciservices.com"/>
    <s v="minus"/>
    <s v="Fail"/>
    <s v="v=spf1 mx include:us._netblocks.mimecast.com include:_spfsub.pciservices.com include:spf.protection.outlook.com include:mktomail.com include:amazonses.com -all"/>
    <s v="yes"/>
    <x v="2"/>
    <s v="v=DMARC1;p=none;pct=10;rua=mailto:dmarcreport@pciservices.com"/>
    <m/>
    <m/>
    <x v="15"/>
    <x v="70"/>
  </r>
  <r>
    <s v="bridgestock.ie"/>
    <s v="minus"/>
    <s v="Fail"/>
    <s v="v=spf1 include:spf.protection.outlook.com -all"/>
    <s v="yes"/>
    <x v="1"/>
    <s v="v=DMARC1;p=quarantine;sp=none;adkim=r;aspf=r;pct=100;fo=1;rf=afrf;ri=86400;rua=mailto:ipm5qh6@ar.glockapps.com;ruf=mailto:ipm5qh6@fr.glockapps.com"/>
    <m/>
    <m/>
    <x v="22"/>
    <x v="70"/>
  </r>
  <r>
    <s v="olivercarty.ie"/>
    <s v="question"/>
    <s v="Neutral"/>
    <s v="v=spf1 include:spf.protection.outlook.com include:spf.avova.ie ?all"/>
    <s v="yes"/>
    <x v="2"/>
    <s v="v=DMARC1; p=none;"/>
    <m/>
    <m/>
    <x v="22"/>
    <x v="70"/>
  </r>
  <r>
    <s v="bonningtondublin.com"/>
    <s v="tilde"/>
    <s v="Soft Fail"/>
    <s v="v=spf1 mx a include:spf.protection.outlook.com include:netaffinity.net ~all"/>
    <m/>
    <x v="0"/>
    <m/>
    <m/>
    <m/>
    <x v="0"/>
    <x v="70"/>
  </r>
  <r>
    <s v="lisheennursinghome.com"/>
    <s v="minus"/>
    <s v="Fail"/>
    <s v="v=spf1 include:spf.protection.outlook.com -all"/>
    <s v="yes"/>
    <x v="2"/>
    <s v="v=DMARC1; p=none"/>
    <m/>
    <m/>
    <x v="0"/>
    <x v="70"/>
  </r>
  <r>
    <s v="castleross.ie"/>
    <s v="minus"/>
    <s v="Fail"/>
    <s v="v=spf1 include:spf.protection.outlook.com mx a -all"/>
    <s v="yes"/>
    <x v="2"/>
    <s v="v=DMARC1; p=none;"/>
    <m/>
    <m/>
    <x v="12"/>
    <x v="70"/>
  </r>
  <r>
    <s v="cwcwe.ie"/>
    <s v="minus"/>
    <s v="Fail"/>
    <s v="v=spf1 include:spf.protection.outlook.com include:spf.mailanyone.net -all"/>
    <m/>
    <x v="0"/>
    <m/>
    <m/>
    <m/>
    <x v="3"/>
    <x v="70"/>
  </r>
  <r>
    <s v="deskellyinteriors.ie"/>
    <s v="minus"/>
    <s v="Fail"/>
    <s v="v=spf1 +a +mx +ip4:91.210.232.8 include:spf.webhostingireland.ie +ip4:185.43.232.251 +include:spf.protection.outlook.com -all"/>
    <m/>
    <x v="0"/>
    <m/>
    <m/>
    <m/>
    <x v="0"/>
    <x v="70"/>
  </r>
  <r>
    <s v="mirrorcontrols.com"/>
    <s v="minus"/>
    <s v="Fail"/>
    <s v="v=spf1 include:spf.protection.outlook.com include:spf-002d6701.pphosted.com include:spf1.mirrorcontrols.com include:spfa.cpmails.com ip4:205.173.129.112 ip4:158.116.232.202 ip4:158.116.214.70 -all"/>
    <s v="yes"/>
    <x v="3"/>
    <s v="v=DMARC1;p=reject;pct=100;aspf=r"/>
    <m/>
    <m/>
    <x v="19"/>
    <x v="70"/>
  </r>
  <r>
    <s v="johnstonlogistics.ie"/>
    <s v="no"/>
    <s v="Not found"/>
    <m/>
    <m/>
    <x v="0"/>
    <m/>
    <m/>
    <m/>
    <x v="0"/>
    <x v="70"/>
  </r>
  <r>
    <s v="ncts.ie"/>
    <s v="minus"/>
    <s v="Fail"/>
    <s v="v=spf1 mx ip4:91.220.158.230 ip4:91.220.158.229 include:spf.protection.outlook.com include:spf-00592d01.pphosted.com -all"/>
    <s v="yes"/>
    <x v="3"/>
    <s v="v=DMARC1; p=reject; rua=mailto:DMARC@applus.com"/>
    <m/>
    <m/>
    <x v="0"/>
    <x v="70"/>
  </r>
  <r>
    <s v="puresafe.ie"/>
    <s v="minus"/>
    <s v="Fail"/>
    <s v="v=spf1 include:spf.protection.outlook.com include:spf.topsec.com -all"/>
    <m/>
    <x v="0"/>
    <m/>
    <m/>
    <m/>
    <x v="0"/>
    <x v="70"/>
  </r>
  <r>
    <s v="bcfe.ie"/>
    <s v="minus"/>
    <s v="Fail"/>
    <s v="v=spf1 include:spf.protection.outlook.com -all"/>
    <m/>
    <x v="0"/>
    <m/>
    <m/>
    <m/>
    <x v="0"/>
    <x v="70"/>
  </r>
  <r>
    <s v="codec.ie"/>
    <s v="minus"/>
    <s v="Fail"/>
    <s v="v=spf1 ip4:35.189.73.106 include:autotask.net include:spf.protection.outlook.com include:sendgrid.net include:mailgun.org include:514553.spf01.hubspotemail.net -all"/>
    <m/>
    <x v="2"/>
    <s v="v=DMARC1; p=none;"/>
    <m/>
    <m/>
    <x v="0"/>
    <x v="70"/>
  </r>
  <r>
    <s v="pilz.ie"/>
    <s v="minus"/>
    <s v="Fail"/>
    <s v="v=spf1 a mx include:spf.de.umantis.com include:spf.protection.outlook.com -all"/>
    <m/>
    <x v="2"/>
    <s v="v=DMARC1; p=none;"/>
    <m/>
    <m/>
    <x v="1"/>
    <x v="70"/>
  </r>
  <r>
    <s v="mmqualtech.ie"/>
    <s v="minus"/>
    <s v="Fail"/>
    <s v="v=spf1 include:spf.protection.outlook.com -all"/>
    <s v="yes"/>
    <x v="2"/>
    <s v="v=DMARC1; p=none; rua=mailto:itmail@mmqualtech.ie; ruf=mailto:itmail@mmqualtech.ie; fo=1"/>
    <m/>
    <m/>
    <x v="7"/>
    <x v="70"/>
  </r>
  <r>
    <s v="mcmahons.ie"/>
    <s v="minus"/>
    <s v="Fail"/>
    <s v="v=spf1 include:sendgrid.net -all"/>
    <s v="yes"/>
    <x v="2"/>
    <s v="v=DMARC1; p=none;"/>
    <m/>
    <m/>
    <x v="5"/>
    <x v="70"/>
  </r>
  <r>
    <s v="abb.ie"/>
    <s v="no"/>
    <s v="Not found"/>
    <m/>
    <m/>
    <x v="0"/>
    <m/>
    <m/>
    <m/>
    <x v="0"/>
    <x v="70"/>
  </r>
  <r>
    <s v="dmgmedia.ie"/>
    <s v="minus"/>
    <s v="Fail"/>
    <s v="v=spf1 include:spf.protection.outlook.com include:spf.mandrillapp.com ip4:195.234.243.112 ip4:206.155.87.84 ip4:103.13.71.86 -all"/>
    <s v="yes"/>
    <x v="3"/>
    <s v="v=DMARC1; p=reject; rua=mailto:6c46e6998a6d330@rep.dmarcanalyzer.com; ruf=mailto:6c46e6998a6d330@for.dmarcanalyzer.com; fo=1;"/>
    <m/>
    <m/>
    <x v="0"/>
    <x v="70"/>
  </r>
  <r>
    <s v="glanbiaconnect.com"/>
    <s v="tilde"/>
    <s v="Soft Fail"/>
    <s v="v=spf1 include:_netblocks.mimecast.com  ~all"/>
    <m/>
    <x v="2"/>
    <s v="v=DMARC1; p=none; rua=mailto:2a703ea43a3d198@rep.dmarcanalyzer.com; ruf=mailto:2a703ea43a3d198@for.dmarcanalyzer.com; fo=1;"/>
    <m/>
    <m/>
    <x v="0"/>
    <x v="70"/>
  </r>
  <r>
    <s v="integrity360.com"/>
    <s v="minus"/>
    <s v="Fail"/>
    <s v="v=spf1 mx ip4:89.101.228.32/27 ip4:87.198.157.192/26 ip4:212.147.151.32/28 include:spf.exclaimer.net include:_spf.salesforce.com include:spf.protection.outlook.com include:_spf.psm.knowbe4.com a:c.spf.service-now.com include:aspmx.pardot.com -all"/>
    <s v="yes"/>
    <x v="1"/>
    <s v="v=DMARC1; p=quarantine; rua=mailto:655c32f99f4e158@rep.dmarcanalyzer.com; ruf=mailto:655c32f99f4e158@for.dmarcanalyzer.com; sp=quarantine; fo=1;"/>
    <m/>
    <m/>
    <x v="0"/>
    <x v="70"/>
  </r>
  <r>
    <s v="thewestindublin.com"/>
    <s v="minus"/>
    <s v="Fail"/>
    <s v="v=spf1 include:oracleindustry.com include:microsdc.com include:spf.protection.outlook.com -all"/>
    <m/>
    <x v="0"/>
    <m/>
    <m/>
    <m/>
    <x v="0"/>
    <x v="70"/>
  </r>
  <r>
    <s v="combico.ie"/>
    <s v="minus"/>
    <s v="Fail"/>
    <s v="v=spf1 include:spf.protection.outlook.com -all"/>
    <m/>
    <x v="0"/>
    <m/>
    <m/>
    <m/>
    <x v="5"/>
    <x v="70"/>
  </r>
  <r>
    <s v="claytonhotelssligo.com"/>
    <s v="no"/>
    <s v="Not found"/>
    <m/>
    <m/>
    <x v="0"/>
    <m/>
    <m/>
    <m/>
    <x v="8"/>
    <x v="70"/>
  </r>
  <r>
    <s v="bridhaven.ie"/>
    <s v="minus"/>
    <s v="Fail"/>
    <s v="v=spf1 include:spf.protection.outlook.com ip4:95.45.233.37 -all"/>
    <s v="yes"/>
    <x v="3"/>
    <s v="v=DMARC1; p=reject; rua=mailto:dmarc.reports@bridhaven.ie; ruf=mailto:dmarc.reports@bridhaven.ie; fo=1"/>
    <m/>
    <m/>
    <x v="1"/>
    <x v="71"/>
  </r>
  <r>
    <s v="seic.com"/>
    <s v="minus"/>
    <s v="Fail"/>
    <s v="v=spf1 ip4:68.232.137.195 ip4:68.232.153.50 ip4:68.232.135.37 ip4:68.232.129.155 ip4:68.232.141.40 ip4:68.232.135.36 ip4:12.20.48.225 ip4:12.20.48.226 ip4:12.20.48.75 ip4:12.20.48.76 ip4:64.125.66.31 ip4:64.125.66.32 ip4:69.7.239.26 a:spf.peopleclick&quot; &quot;.com include:spf.workfront.com include:wappmail.com include:spfhost.messageprovider.com include:2753049.spf08.hubspotemail.net -all"/>
    <s v="yes"/>
    <x v="1"/>
    <s v="v=DMARC1; p=quarantine; rua=mailto:b34ccf22@mxtoolbox.dmarc-report.com,mailto:dmarcreports@seic.com; ruf=mailto:b34ccf22@forensics.dmarc-report.com; fo=1; pct=100"/>
    <m/>
    <m/>
    <x v="0"/>
    <x v="72"/>
  </r>
  <r>
    <s v="atkinsglobal.com"/>
    <s v="tilde"/>
    <s v="Soft Fail"/>
    <s v="v=spf1 ip4:54.240.50.173 ip4:54.240.50.174 ip4:109.228.4.23 ip4:109.228.22.247 ip4:91.207.212.121 ip4:185.132.182.130 ip4:148.163.158.117 ip4:148.163.156.126 include:spf_ldx.taleo.net include:_spfinc1.service-now.com mx:4matnetworks.com include:amazonses.&quot; &quot;com ip4:198.21.0.172 include:spf.protection.outlook.com include:_spf.salesforce.com include:docebosaas.com include:spf-001bd703.pphosted.com ~all"/>
    <s v="yes"/>
    <x v="3"/>
    <s v="v=DMARC1; p=reject; fo=1; rua=mailto:dmarc_rua@atkinsglobal.com; ruf=mailto:dmarc_ruf@atkinsglobal.com"/>
    <m/>
    <m/>
    <x v="0"/>
    <x v="73"/>
  </r>
  <r>
    <s v="ie.usembassy.gov"/>
    <s v="no"/>
    <s v="Not found"/>
    <m/>
    <m/>
    <x v="0"/>
    <m/>
    <m/>
    <m/>
    <x v="0"/>
    <x v="74"/>
  </r>
  <r>
    <s v="datalex.com"/>
    <s v="minus"/>
    <s v="Fail"/>
    <s v="v=spf1 ip4:80.169.56.0/24 ip4:34.248.121.73 ip4:52.208.165.23 include:spf.protection.outlook.com include:spf.emailsignatures365.com include:servers.mcsv.net include:amazonses.com include:2553593.spf10.hubspotemail.net -all"/>
    <m/>
    <x v="0"/>
    <m/>
    <m/>
    <m/>
    <x v="0"/>
    <x v="74"/>
  </r>
  <r>
    <s v="calorgas.ie"/>
    <s v="minus"/>
    <s v="Fail"/>
    <s v="v=spf1 ip4:91.92.29.98/27 ip4:213.228.253.0/25 ip4:83.166.174.128/25 include:spf.protection.outlook.com include:spf.mandrillapp.com include:_spf.eu.messagegears.net include:_spf.psm.knowbe4.com -all"/>
    <s v="yes"/>
    <x v="3"/>
    <s v="v=DMARC1; p=reject; rua=mailto:dmarc_rua@emaildefense.proofpoint.com; ruf=mailto:dmarc_ruf@emaildefense.proofpoint.com"/>
    <m/>
    <m/>
    <x v="0"/>
    <x v="74"/>
  </r>
  <r>
    <s v="dbfl.ie"/>
    <s v="minus"/>
    <s v="Fail"/>
    <s v="v=spf1 include:spf.protection.outlook.com -all"/>
    <m/>
    <x v="0"/>
    <m/>
    <m/>
    <m/>
    <x v="0"/>
    <x v="74"/>
  </r>
  <r>
    <s v="audgen.gov.ie"/>
    <s v="minus"/>
    <s v="Fail"/>
    <s v="v=spf1 ip4:137.191.249.164 ip4:137.191.249.123 ip4:137.191.249.174 ip4:137.191.249.114 -all"/>
    <m/>
    <x v="0"/>
    <m/>
    <m/>
    <m/>
    <x v="0"/>
    <x v="74"/>
  </r>
  <r>
    <s v="wesleycollege.ie"/>
    <s v="minus"/>
    <s v="Fail"/>
    <s v="v=spf1 a mx include:spf1.emailsecurity.app include:spf.protection.outlook.com ip4:190.180.145.98 -all"/>
    <s v="yes"/>
    <x v="2"/>
    <s v="v=DMARC1; p=none;"/>
    <m/>
    <m/>
    <x v="0"/>
    <x v="74"/>
  </r>
  <r>
    <s v="willowparkjuniorschool.ie"/>
    <s v="minus"/>
    <s v="Fail"/>
    <s v="v=spf1 include:spf.protection.outlook.com -all"/>
    <m/>
    <x v="0"/>
    <m/>
    <m/>
    <m/>
    <x v="0"/>
    <x v="74"/>
  </r>
  <r>
    <s v="castleknockhotel.com"/>
    <s v="minus"/>
    <s v="Fail"/>
    <s v="v=spf1 ip4:66.102.128.96 ip4:91.136.49.203 a mx include:relay.mailchannels.net include:spf.protection.outlook.com include:netaffinity.net include:ireshotels.com -all"/>
    <s v="yes"/>
    <x v="3"/>
    <s v="v=DMARC1;p=reject;pct=0"/>
    <m/>
    <m/>
    <x v="0"/>
    <x v="74"/>
  </r>
  <r>
    <s v="golden-bake.com"/>
    <s v="minus"/>
    <s v="Fail"/>
    <s v="v=spf1 include:spf.protection.outlook.com -all"/>
    <s v="yes"/>
    <x v="1"/>
    <s v="v=DMARC1; p=quarantine; rua=mailto:dmarc@golden-bake.com; pct=100"/>
    <m/>
    <m/>
    <x v="0"/>
    <x v="74"/>
  </r>
  <r>
    <s v="firebird.ie"/>
    <s v="minus"/>
    <s v="Fail"/>
    <s v="v=spf1 include:spf.protection.outlook.com include:smtp-engine.com -all"/>
    <m/>
    <x v="2"/>
    <s v="v=DMARC1; p=none;"/>
    <m/>
    <m/>
    <x v="1"/>
    <x v="74"/>
  </r>
  <r>
    <s v="commscope.com"/>
    <s v="minus"/>
    <s v="Fail"/>
    <s v="v=spf1 exists:%{i}.spf.commscope.iphmx.com ip4:198.135.207.215 ip4:198.135.207.230 ip4:198.135.207.129 ip4:50.31.39.13 ip4:198.135.207.143 ip4:198.135.207.142 ip4:198.135.207.141 ip4:198.90.68.141 ip4:&quot; &quot;198.90.68.142 ip4:198.90.68.143 ip4:35.169.254.90 include:_spf-sfdc.successfactors.com include:_spf-dc4.sapsf.com include:spf.protection.outlook.com include:spf_s1.oraclecloud.com include:&quot; &quot;_spf.centercode.com include:_spf.salesforce.com a:mailers.dovetailnow.com -all"/>
    <s v="yes"/>
    <x v="3"/>
    <s v="v=DMARC1; p=reject; rua=mailto:ryafobpc@ag.us.dmarcian.com;&quot; &quot;"/>
    <m/>
    <m/>
    <x v="0"/>
    <x v="74"/>
  </r>
  <r>
    <s v="bcd.ie"/>
    <s v="minus"/>
    <s v="Fail"/>
    <s v="v=spf1 a include:spf.protection.outlook.com -all"/>
    <m/>
    <x v="2"/>
    <s v="v=DMARC1; p=none"/>
    <m/>
    <m/>
    <x v="1"/>
    <x v="74"/>
  </r>
  <r>
    <s v="magee1866.com"/>
    <s v="minus"/>
    <s v="Fail"/>
    <s v="v=spf1 mx include:spf.protection.outlook.com include:amazonses.com include:sg.magee1866.com include:azurespf.irpcommerce.com -all"/>
    <s v="yes"/>
    <x v="2"/>
    <s v="v=DMARC1;p=none;rua=mailto:dmarcreports@irpcommerce.com"/>
    <m/>
    <m/>
    <x v="6"/>
    <x v="74"/>
  </r>
  <r>
    <s v="bemis.com"/>
    <s v="minus"/>
    <s v="Fail"/>
    <s v="v=spf1 include:spf.protection.outlook.com -all"/>
    <s v="yes"/>
    <x v="3"/>
    <s v="v=DMARC1; p=reject; rua=mailto:46glyn2v@ag.eu.dmarcian.com; ruf=mailto:46glyn2v@fr.eu.dmarcian.com; fo=1;"/>
    <m/>
    <m/>
    <x v="21"/>
    <x v="74"/>
  </r>
  <r>
    <s v="gsk.ie"/>
    <s v="no"/>
    <s v="Not found"/>
    <m/>
    <m/>
    <x v="3"/>
    <s v="v=DMARC1; p=reject; rua=mailto:dmarc_rua@emaildefense.proofpoint.com; ruf=mailto:dmarc_ruf@emaildefense.proofpoint.com; fo=1"/>
    <m/>
    <m/>
    <x v="8"/>
    <x v="74"/>
  </r>
  <r>
    <s v="premierpericlase.ie"/>
    <s v="minus"/>
    <s v="Fail"/>
    <s v="v=spf1 include:spf.protection.outlook.com -all"/>
    <m/>
    <x v="0"/>
    <m/>
    <m/>
    <m/>
    <x v="2"/>
    <x v="74"/>
  </r>
  <r>
    <s v="athloneextrusions.ie"/>
    <s v="minus"/>
    <s v="Fail"/>
    <s v="v=spf1 ip4:154.52.0.132/32 -all"/>
    <m/>
    <x v="0"/>
    <m/>
    <m/>
    <m/>
    <x v="23"/>
    <x v="74"/>
  </r>
  <r>
    <s v="claytonwhiteshotel.com"/>
    <s v="minus"/>
    <s v="Fail"/>
    <s v="v=spf1 -all"/>
    <m/>
    <x v="0"/>
    <m/>
    <m/>
    <m/>
    <x v="3"/>
    <x v="74"/>
  </r>
  <r>
    <s v="earlofdesmond.com"/>
    <s v="tilde"/>
    <s v="Soft Fail"/>
    <s v="v=spf1 a:dispatch-eu.ppe-hosted.com include:spf-eu.emailsignatures365.com ~all"/>
    <m/>
    <x v="0"/>
    <m/>
    <m/>
    <m/>
    <x v="14"/>
    <x v="74"/>
  </r>
  <r>
    <s v="adaremanor.com"/>
    <s v="minus"/>
    <s v="Fail"/>
    <s v="v=spf1 include:spf.protection.outlook.com include:spf.synxis.com include:emaileuc.freshservice.com include:tpced.com include:mailer.shopifyemail.com include:_spf.qualtrics.com -all"/>
    <s v="yes"/>
    <x v="3"/>
    <s v="v=DMARC1;  p=reject; rua=mailto:0ae84ca6bdd0423b8f4922698f7e33a4@dmarc-reports.cloudflare.net"/>
    <m/>
    <m/>
    <x v="5"/>
    <x v="74"/>
  </r>
  <r>
    <s v="dpd.ie"/>
    <s v="tilde"/>
    <s v="Soft Fail"/>
    <s v="v=spf1 ip4:82.141.241.25/32 ip4:185.39.164.0/24 ip4:208.50.80.36/32 ip4:195.218.115.55/32 ip4:78.137.191.140/32 ip4:103.28.42.0/24 ip4:146.88.28.0/24 ip4:163.47.180.0/22 ip4:203.55.21.0/24 ip4:204.75.142.0/24 ip4:27.126.146.0/24 include:_spf.salesforce.co&quot; &quot;m include:aspmx.pardot.com include:spf.hornetsecurity.com include:relay.mailchannels.net include:_spf.google.com ~all"/>
    <s v="yes"/>
    <x v="1"/>
    <s v="v=DMARC1; p=quarantine; rua=mailto:kn74omb9@ag.eu.dmarcian.com; ruf=mailto:kn74omb9@ag.eu.dmarcian.com; fo=1;"/>
    <m/>
    <m/>
    <x v="23"/>
    <x v="74"/>
  </r>
  <r>
    <s v="burnsidehyd.ie"/>
    <s v="minus"/>
    <s v="Fail"/>
    <s v="v=spf1 a:remote.burnsidehyd.ie ip4:31.217.247.7 ip4:86.43.115.120 a:cleanmail1.deycom.com include:spf.protection.outlook.com -all"/>
    <m/>
    <x v="0"/>
    <m/>
    <m/>
    <m/>
    <x v="25"/>
    <x v="74"/>
  </r>
  <r>
    <s v="mdoshea.ie"/>
    <s v="minus"/>
    <s v="Fail"/>
    <s v="v=spf1 ip4:213.233.128.44 ip4:84.51.253.158 ip4:54.247.71.5 include:spf.protection.outlook.com -all"/>
    <m/>
    <x v="0"/>
    <m/>
    <m/>
    <m/>
    <x v="14"/>
    <x v="74"/>
  </r>
  <r>
    <s v="dublinport.ie"/>
    <s v="minus"/>
    <s v="Fail"/>
    <s v="v=spf1 mx include:spf.protection.outlook.com ip4:95.83.225.64/28 ip4:144.2.242.240/28 ip4:34.148.101.215 ip4:167.89.51.4 ip4:167.89.60.79 ip4:167.89.60.135 ip4:167.89.60.144 ip4:167.89.59.96 &quot; &quot;ip4:167.89.61.1 ip4:167.89.61.100 ip4:167.89.61.102 ip4:167.89.6.6 ip4:167.89.6.21 ip4:167.89.6.236 ip4:167.89.6.238 ip4:167.89.6.60 ip4:167.89.6.70 ip4:167.89.6.71 ip4:167.89.6.99 ip4:167.89.60.6 &quot; &quot;ip4:167.89.60.16 ip4:167.89.60.25 ip4:167.89.60.29 ip4:167.89.60.171 ip4:167.89.60.221 ip4:167.89.60.242 ip4:167.89.60.244 ip4:167.89.36.85 ip4:167.89.41.201 ip4:168.245.0.8 ip4:168.245.16.11 -all"/>
    <m/>
    <x v="2"/>
    <s v="v=DMARC1; p=none;"/>
    <m/>
    <m/>
    <x v="0"/>
    <x v="75"/>
  </r>
  <r>
    <s v="microsemi.com"/>
    <s v="minus"/>
    <s v="Fail"/>
    <s v="v=spf1 exists:%{i}.spf.microchip.iphmx.com -all"/>
    <s v="yes"/>
    <x v="3"/>
    <s v="v=DMARC1; p=reject; fo=1; rua=mailto:n13hm4ov@ag.c1.dmarcian.com; ruf=mailto:n13hm4ov@fr.c1.dmarcian.com;"/>
    <m/>
    <m/>
    <x v="9"/>
    <x v="76"/>
  </r>
  <r>
    <s v="aircoach.ie"/>
    <s v="minus"/>
    <s v="Fail"/>
    <s v="v=spf1 include:eu._netblocks.mimecast.com include:cust-spf.exacttarget.com include:spf.theemaillaundry.net ip4:185.19.17.20 ip4:185.19.17.21 include:email-od.com -all"/>
    <m/>
    <x v="2"/>
    <s v="v=DMARC1; p=none"/>
    <m/>
    <m/>
    <x v="0"/>
    <x v="77"/>
  </r>
  <r>
    <s v="emo.ie"/>
    <s v="minus"/>
    <s v="Fail"/>
    <s v="v=spf1 include:spf.protection.outlook.com include:_spf.mx.cloudflare.net -all"/>
    <s v="yes"/>
    <x v="3"/>
    <s v="v=DMARC1; p=reject; rua=mailto:dmarc@emo.ie"/>
    <m/>
    <m/>
    <x v="18"/>
    <x v="77"/>
  </r>
  <r>
    <s v="cjkengineering.ie"/>
    <s v="minus"/>
    <s v="Fail"/>
    <s v="v=spf1 a mx ip4:185.224.198.57 ip4:217.78.1.157 include:_spf.hetzner.com include:spf.protection.outlook.com include:spfa.cpmails.com -all"/>
    <s v="yes"/>
    <x v="3"/>
    <s v="v=DMARC1; p=reject; pct=100; sp=none; rua=mailto:d9e5b7ac@inbox.ondmarc.com; ruf=mailto:d9e5b7ac@inbox.ondmarc.com; adkim=r; aspf=r; fo=1; rf=afrf; ri=3600"/>
    <m/>
    <m/>
    <x v="0"/>
    <x v="78"/>
  </r>
  <r>
    <s v="hsa.ie"/>
    <s v="tilde"/>
    <s v="Soft Fail"/>
    <s v="v=spf1 a mx ip4:68.232.152.249 ip4:68.232.151.208 include:spf.protection.outlook.com ~all"/>
    <s v="yes"/>
    <x v="2"/>
    <s v="v=DMARC1; p=none; pct=100; rua=mailto:a.m6ewdxy3@sdmarc.net"/>
    <m/>
    <m/>
    <x v="0"/>
    <x v="79"/>
  </r>
  <r>
    <s v="phillipsmedizise.com"/>
    <s v="no"/>
    <s v="Not found"/>
    <m/>
    <m/>
    <x v="0"/>
    <m/>
    <m/>
    <m/>
    <x v="8"/>
    <x v="80"/>
  </r>
  <r>
    <s v="met.ie"/>
    <s v="minus"/>
    <s v="Fail"/>
    <s v="v=spf1 ip4:137.191.237.80/28 ip4:137.191.228.112/28 include:spf.protection.outlook.com -all"/>
    <s v="yes"/>
    <x v="1"/>
    <s v="v=DMARC1; p=quarantine; rua=mailto:itops@met.ie; ruf=mailto:itops@met.ie; fo=1;"/>
    <m/>
    <m/>
    <x v="0"/>
    <x v="81"/>
  </r>
  <r>
    <s v="eurocarparks.ie"/>
    <s v="tilde"/>
    <s v="Soft Fail"/>
    <s v="v=spf1 a:mail.eurocarparks.com include:spf.protection.outlook.com include:spf.exclaimer.net ip4:78.153.209.39 ip4:78.153.212.247 ~all"/>
    <s v="yes"/>
    <x v="1"/>
    <s v="v=DMARC1; p=quarantine; pct=100; rua=mailto:dmarc@eurocarparks.ie; ruf=mailto:dmarc@eurocarparks.ie; fo=1; sp=reject;"/>
    <m/>
    <m/>
    <x v="0"/>
    <x v="82"/>
  </r>
  <r>
    <s v="olearyinternational.com"/>
    <s v="minus"/>
    <s v="Fail"/>
    <s v="v=spf1 include:spf.protection.outlook.com -all"/>
    <s v="yes"/>
    <x v="2"/>
    <s v="v=DMARC1; p=none; fo=1"/>
    <m/>
    <m/>
    <x v="3"/>
    <x v="82"/>
  </r>
  <r>
    <s v="goreycs.ie"/>
    <s v="minus"/>
    <s v="Fail"/>
    <s v="v=spf1 ip4:217.115.115.247 include:relay.mailchannels.net +a +mx +include:spf.protection.outlook.com -all"/>
    <s v="yes"/>
    <x v="0"/>
    <m/>
    <m/>
    <m/>
    <x v="3"/>
    <x v="82"/>
  </r>
  <r>
    <s v="gresham-hotels.com"/>
    <s v="minus"/>
    <s v="Fail"/>
    <s v="v=spf1 a mx include:spf.joopbox.com a:www.gresham-hotels.com a:gresham-hotels.com -all"/>
    <m/>
    <x v="2"/>
    <s v="v=DMARC1; p=none;  fo=1; rua=mailto:mailto:dmarc_rua@emaildefense.proofpoint.com; ruf=mailto:dmarc_ruf@emaildefense.proofpoint.com;"/>
    <m/>
    <m/>
    <x v="0"/>
    <x v="82"/>
  </r>
  <r>
    <s v="kellys.ie"/>
    <s v="minus"/>
    <s v="Fail"/>
    <s v="v=spf1 mx a include:spf.protection.outlook.com -all"/>
    <s v="yes"/>
    <x v="2"/>
    <s v="v=DMARC1; p=none;"/>
    <m/>
    <m/>
    <x v="3"/>
    <x v="82"/>
  </r>
  <r>
    <s v="caraghprecision.ie"/>
    <s v="no"/>
    <s v="Not found"/>
    <m/>
    <m/>
    <x v="0"/>
    <m/>
    <m/>
    <m/>
    <x v="7"/>
    <x v="82"/>
  </r>
  <r>
    <s v="quigleys.ie"/>
    <s v="tilde"/>
    <s v="Soft Fail"/>
    <s v="v=spf1 include:spf0101.titan.email ~all"/>
    <s v="yes"/>
    <x v="2"/>
    <s v="v=DMARC1;  p=none; rua=mailto:8711acf2fe274b7aa4f2e159b505db49@dmarc-reports.cloudflare.net"/>
    <m/>
    <m/>
    <x v="13"/>
    <x v="82"/>
  </r>
  <r>
    <s v="wright.com"/>
    <s v="tilde"/>
    <s v="Soft Fail"/>
    <s v="v=spf1 mx include:spf.messagelabs.com include:amazonses.com include:spf.protection.outlook.com Include:spf.constantcontact.com  ~all"/>
    <s v="yes"/>
    <x v="1"/>
    <s v="v=DMARC1; p=quarantine; pct=100; rua=mailto:o365migrationteam@wright.com"/>
    <m/>
    <m/>
    <x v="1"/>
    <x v="82"/>
  </r>
  <r>
    <s v="trendtechnologies.com"/>
    <s v="tilde"/>
    <s v="Soft Fail"/>
    <s v="v=spf1 ip4:12.22.172.10 include:spf.protection.outlook.com ~all"/>
    <s v="yes"/>
    <x v="0"/>
    <m/>
    <m/>
    <m/>
    <x v="23"/>
    <x v="82"/>
  </r>
  <r>
    <s v="cabracastle.com"/>
    <s v="tilde"/>
    <s v="Soft Fail"/>
    <s v="v=spf1 ip4:159.134.118.171 ip4:193.187.69.111 ip4:193.187.69.112 ip6:2a01:111:f400::/48 include:spf.protection.outlook.com include:ireshotels.com ~all"/>
    <s v="yes"/>
    <x v="2"/>
    <s v="v=DMARC1; p=none;"/>
    <m/>
    <m/>
    <x v="11"/>
    <x v="82"/>
  </r>
  <r>
    <s v="abbvie.com"/>
    <s v="tilde"/>
    <s v="Soft Fail"/>
    <s v="v=spf1 include:_u.abbvie.com._spf.smart.ondmarc.com ~all"/>
    <s v="yes"/>
    <x v="1"/>
    <s v="v=DMARC1; p=quarantine; fo=1; ri=3600; rua=mailto:4a915a0c@inbox.ondmarc.com,mailto:abbvie@rua.dmp.cisco.com; ruf=mailto:4a915a0c@inbox.ondmarc.com,mailto:abbvie@ruf.dmp.cisco.com"/>
    <m/>
    <m/>
    <x v="1"/>
    <x v="82"/>
  </r>
  <r>
    <s v="mcelhinneys.com"/>
    <s v="mis"/>
    <s v="Invalid SPF Syntax"/>
    <s v="google-site-verification=jUNLpMILOS8-zL1LFkUUo2EP9HlLRbtfAHGm1qPAxjcppe-bcedb09a9d1864bdbd21a5ad7ee1aa57dc5e9393v=spf1 include:spf.protection.outlook.com include:mail.zendesk.com include:amazoneses.com -allMS=ms34236425klaviyo-site-verification=S8Dcdyload&quot; &quot;erio=a488b31c5cff061417fed896e7ddaa85facebook-domain-verification=b2pt7po5luk78purb4q9vaoj7g987lgoogle-site-verification=yvlhIHmm_CqdZGxdeSn1OPtCpUzI7LyQ86igaeyjc6o"/>
    <s v="yes"/>
    <x v="2"/>
    <s v="v=DMARC1; p=none;"/>
    <m/>
    <m/>
    <x v="6"/>
    <x v="82"/>
  </r>
  <r>
    <s v="breaffyhouseresort.com"/>
    <s v="minus"/>
    <s v="Fail"/>
    <s v="v=spf1 include:spf.premiersoftware.co.uk include:sendgrid.net include:spf.protection.outlook.com include:netaffinity.net include:authsmtp.com ip4:52.166.124.85 ip4:13.95.238.103 ip4:13.95.235.106 ip4:13.95.233.171 ip4:52.233.191.178 ip4:13.95.236.16 &quot; &quot;ip4:13.95.238.208 ip4:13.95.233.20 -all"/>
    <s v="yes"/>
    <x v="2"/>
    <s v="v=DMARC1; p=none;"/>
    <m/>
    <m/>
    <x v="4"/>
    <x v="82"/>
  </r>
  <r>
    <s v="obriensfoods.ie"/>
    <s v="no"/>
    <s v="Not found"/>
    <m/>
    <m/>
    <x v="0"/>
    <m/>
    <m/>
    <m/>
    <x v="23"/>
    <x v="82"/>
  </r>
  <r>
    <s v="marine.ie"/>
    <s v="minus"/>
    <s v="Fail"/>
    <s v="v=spf1 ip4:3.123.206.219 ip4:3.68.129.51 ip4:193.1.186.252 ip4:193.1.186.229 ip4:34.246.32.25 include:marineinst.onmicrosoft.com&quot; &quot; include:spf.topsec.com include:servers.mcsv.net include:spf.protection.outlook.com -all"/>
    <s v="yes"/>
    <x v="1"/>
    <s v="v=DMARC1; p=quarantine; rua=mailto:administrator@marine.ie; ruf=mailto:administrator@marine.ie"/>
    <m/>
    <m/>
    <x v="7"/>
    <x v="82"/>
  </r>
  <r>
    <s v="nsai.ie"/>
    <s v="minus"/>
    <s v="Fail"/>
    <s v="v=spf1 ip4:137.191.233.72 ip4:74.112.70.47 a:gw000140-eu.fortimail.com a:www.nsainep.ie include:spf.protection.outlook.com -all"/>
    <s v="yes"/>
    <x v="2"/>
    <s v="v=DMARC1; p=none; rua=mailto:sys.admin@nsai.ie; ruf=mailto:sys.admin@nsai.ie;"/>
    <m/>
    <m/>
    <x v="0"/>
    <x v="82"/>
  </r>
  <r>
    <s v="kefron.ie"/>
    <s v="tilde"/>
    <s v="Soft Fail"/>
    <s v="v=spf1 include:_u.kefron.ie._spf.smart.ondmarc.com ~all"/>
    <s v="yes"/>
    <x v="3"/>
    <s v="v=DMARC1; p=reject; pct=100; sp=reject; rua=mailto:7c8e3696@inbox.ondmarc.com; ruf=mailto:7c8e3696@inbox.ondmarc.com; adkim=r; aspf=r; fo=1; rf=afrf; ri=3600"/>
    <m/>
    <m/>
    <x v="0"/>
    <x v="82"/>
  </r>
  <r>
    <s v="mchale.net"/>
    <s v="tilde"/>
    <s v="Soft Fail"/>
    <s v="v=spf1 include:_u.mchale.net._spf.smart.ondmarc.com ~all"/>
    <s v="yes"/>
    <x v="3"/>
    <s v="v=DMARC1; p=reject; pct=100; sp=reject; rua=mailto:f9f2bb7b@inbox.ondmarc.com; ruf=mailto:f9f2bb7b@inbox.ondmarc.com; adkim=s; aspf=r; fo=1; rf=afrf; ri=3600"/>
    <s v="yes"/>
    <s v="https://vmc.digicert.com/79567724-dcc5-4d02-8680-c453d1831358.svg"/>
    <x v="4"/>
    <x v="82"/>
  </r>
  <r>
    <s v="helsinn.com"/>
    <s v="minus"/>
    <s v="Fail"/>
    <s v="v=spf1 mx ip4:24.38.42.242 ip4:188.213.130.170 ip4:195.15.241.241 exists:%{i}.spf.hc1307-17.eu.iphmx.com include:spf.protection.outlook.com include:_spf.ch.xurrent.qa include:_spf.ch.xurrent.com -all"/>
    <s v="yes"/>
    <x v="2"/>
    <s v="v=DMARC1; p=none; rua=mailto:dmarc-aggregate@helsinn.com; ruf=mailto:dmarc-forensic@helsinn.com; fo=1; pct=50; adkim=s; aspf=s"/>
    <m/>
    <m/>
    <x v="0"/>
    <x v="82"/>
  </r>
  <r>
    <s v="eirgen.com"/>
    <s v="tilde"/>
    <s v="Soft Fail"/>
    <s v="v=spf1 include:edgepilot.com ~all"/>
    <s v="yes"/>
    <x v="2"/>
    <s v="v=DMARC1; p=none; rua=mailto:dmarc_agg@vali.email"/>
    <m/>
    <m/>
    <x v="10"/>
    <x v="82"/>
  </r>
  <r>
    <s v="campion.com"/>
    <s v="minus"/>
    <s v="Fail"/>
    <s v="v=spf1 include:de._netblocks.mimecast.com include:spf.protection.outlook.com ip4:136.244.107.65 ip4:40.113.71.36 ip4:77.107.209.136/29 ip4:77.107.237.24/29 ip4:52.169.83.229 ip4:217.163.52.252 ip4:82.141.221.115 ip4:86.44.28.243 include:_spf.elastice&quot; &quot;mail.com include:appliedexch.co.uk  include:turbo-smtp.com -all"/>
    <m/>
    <x v="2"/>
    <s v="v=DMARC1; p=none;"/>
    <m/>
    <m/>
    <x v="18"/>
    <x v="83"/>
  </r>
  <r>
    <s v="tif.ie"/>
    <s v="no"/>
    <s v="Not found"/>
    <m/>
    <m/>
    <x v="0"/>
    <m/>
    <m/>
    <m/>
    <x v="0"/>
    <x v="84"/>
  </r>
  <r>
    <s v="henryjlyons.com"/>
    <s v="minus"/>
    <s v="Fail"/>
    <s v="v=spf1 include:_spf.google.com include:spf.protection.outlook.com -all"/>
    <s v="yes"/>
    <x v="1"/>
    <s v="v=DMARC1; p=quarantine; rua=mailto:dmarc@hjlyons.com; ruf=mailto:dmarc@hjlyons.com; fo=1"/>
    <m/>
    <m/>
    <x v="0"/>
    <x v="84"/>
  </r>
  <r>
    <s v="sumitrustgas.com"/>
    <s v="minus"/>
    <s v="Fail"/>
    <s v="v=spf1 include:spf-005bc801.pphosted.com ip4:54.229.2.165 ip4:52.30.130.201 -all"/>
    <m/>
    <x v="1"/>
    <s v="v=DMARC1; p=quarantine; rua=mailto:postmaster@sumitrustgas.com"/>
    <m/>
    <m/>
    <x v="0"/>
    <x v="84"/>
  </r>
  <r>
    <s v="tii.ie"/>
    <s v="minus"/>
    <s v="Fail"/>
    <s v="v=spf1 a:scanscope.net ip4:137.191.242.6 ip4:137.191.242.7 ip4:51.140.50.9 a:smtp1.scanscope.net a:smtp2.scanscope.net a:smtp2-delivery.scanscope.net include:spf.protection.outlook.com include:spf.scanscope.net -all"/>
    <m/>
    <x v="2"/>
    <s v="v=DMARC1; p=none; rua=mailto:qz5gx8qe@ag.eu.dmarcian.com; ruf=mailto:qz5gx8qe@fr.eu.dmarcian.com;"/>
    <m/>
    <m/>
    <x v="0"/>
    <x v="84"/>
  </r>
  <r>
    <s v="hayfieldmanor.ie"/>
    <s v="minus"/>
    <s v="Fail"/>
    <s v="v=spf1 include:oracleindustry.com include:netaffinity.net include:spf.protection.outlook.com include:spf.mandrillapp.com IP4:212.227.20.69 IP4:159.134.194.146 IP4:87.198.174.211 -all"/>
    <s v="yes"/>
    <x v="2"/>
    <s v="v=DMARC1; p=none; fo=1; rua=mailto:rua+hayfieldmanor.ie@dmarc.barracudanetworks.com; ruf=mailto:ruf+hayfieldmanor.ie@dmarc.barracudanetworks.com"/>
    <m/>
    <m/>
    <x v="1"/>
    <x v="84"/>
  </r>
  <r>
    <s v="theconnacht.ie"/>
    <s v="minus"/>
    <s v="Fail"/>
    <s v="v=spf1 include:spf.protection.outlook.com include:_spf.bookassist.com -all"/>
    <s v="yes"/>
    <x v="2"/>
    <s v="v=DMARC1; p=none"/>
    <m/>
    <m/>
    <x v="7"/>
    <x v="84"/>
  </r>
  <r>
    <s v="strandlimerick.ie"/>
    <s v="minus"/>
    <s v="Fail"/>
    <s v="v=spf1 include:spf.protection.outlook.com Include:_spf.salesforce.comt include:spf.mandrillapp.com -all"/>
    <s v="yes"/>
    <x v="1"/>
    <s v="v=DMARC1; p=quarantine; pct=100; fo=1; rua=mailto:dmarc@strandlimerick.ie; ruf=mailto:dmarc@strandlimerick.ie"/>
    <m/>
    <m/>
    <x v="5"/>
    <x v="84"/>
  </r>
  <r>
    <s v="powerscourthotel.com"/>
    <s v="minus"/>
    <s v="Fail"/>
    <s v="v=spf1 include:netaffinity.net include:marriott.com Include _spf.salesforce.com include:spf.protection.outlook.com include:spf.premiersoftware.co.uk include:spf.mandrillapp.com  ip4:162.130.0.0/16 ip4:185.122.134.242 ip4:213.70.228.0/24 -all"/>
    <s v="yes"/>
    <x v="2"/>
    <s v="v=DMARC1; p=none; rua=mailto:dmarc@powerscourthotel.com"/>
    <m/>
    <m/>
    <x v="24"/>
    <x v="84"/>
  </r>
  <r>
    <s v="burnside.ie"/>
    <s v="minus"/>
    <s v="Fail"/>
    <s v="v=spf1 a:webmail.burnside.ie ip4:86.43.103.206 ip4:31.217.247.30 include:spf.ess.de.barracudanetworks.com a:cleanmail1.deycom.com -all"/>
    <s v="yes"/>
    <x v="2"/>
    <s v="v=dmarc1 p=none"/>
    <m/>
    <m/>
    <x v="25"/>
    <x v="84"/>
  </r>
  <r>
    <s v="pemnet.com"/>
    <s v="minus"/>
    <s v="Fail"/>
    <s v="v=spf1 ip4:40.92.0.0/15 ip4:51.4.72.0/24 ip4:51.5.72.0/24 ip4:51.5.80.0/27 ip4:51.4.80.0/27 ip4:66.102.0.0/20 ip4:74.125.0.0/16 ip4:35.191.0.0/16 ip4:167.89.0.0/17 ip4:54.240.0.0/18 ip4:40.107.0.0/16 ip4:52.100.0.0/14 ip4:104.47.0.0/17 ip4:3.93.157.0/24 i&quot; &quot;p4:63.128.21.0/24 ip4:66.249.80.0/20 ip4:72.14.192.0/18 ip4:108.177.8.0/21 ip4:173.194.0.0/16 ip4:172.217.0.0/19 ip4:130.211.0.0/22 ip4:104.236.121.25 include:_spf0000000.pemnet.com -all"/>
    <m/>
    <x v="2"/>
    <s v="v=DMARC1; p=none; rua=mailto:dcdaab6c62ea556@rep.dmarcanalyzer.com; ruf=mailto:dcdaab6c62ea556@for.dmarcanalyzer.com; fo=1;"/>
    <m/>
    <m/>
    <x v="7"/>
    <x v="84"/>
  </r>
  <r>
    <s v="gallaghersbakery.ie"/>
    <s v="tilde"/>
    <s v="Soft Fail"/>
    <s v="v=spf1 include:eu._netblocks.mimecast.com ~all"/>
    <m/>
    <x v="2"/>
    <s v="v=DMARC1; p=none; rua=mailto:admin@gallaghersbakery.ie; ruf=mailto:admin@gallaghersbakery.ie; fo=1;"/>
    <m/>
    <m/>
    <x v="6"/>
    <x v="84"/>
  </r>
  <r>
    <s v="mdfosb.com"/>
    <s v="minus"/>
    <s v="Fail"/>
    <s v="v=spf1 include:spf.protection.outlook.com include:spf.topsec.com include:customers.clickdimensions.com include:mailgun.org ip4:93.94.118.243 -all"/>
    <s v="yes"/>
    <x v="3"/>
    <s v="v=DMARC1;p=reject;sp=reject;rua=mailto:211a5a2e44@rua.easydmarc.eu;ruf=mailto:211a5a2e44@ruf.easydmarc.eu;fo=1"/>
    <m/>
    <m/>
    <x v="10"/>
    <x v="84"/>
  </r>
  <r>
    <s v="silverhillduck.com"/>
    <s v="minus"/>
    <s v="Fail"/>
    <s v="v=spf1 +a +mx include:relay.mailchannels.net include:spf.protection.outlook.com include:_spf.silverhillduck_com._d.easydmarc.pro -all"/>
    <s v="yes"/>
    <x v="2"/>
    <s v="v=DMARC1; p=none; rua=mailto:admin@silverhillduck.com,mailto:3aa244375d@rua.easydmarc.eu; ruf=mailto:3aa244375d@ruf.easydmarc.eu; fo=1;"/>
    <m/>
    <m/>
    <x v="12"/>
    <x v="84"/>
  </r>
  <r>
    <s v="ohshima.ie"/>
    <s v="minus"/>
    <s v="Fail"/>
    <s v="v=spf1 include:spf.protection.outlook.com include:spf.hornetsecurity.com -all"/>
    <m/>
    <x v="0"/>
    <m/>
    <m/>
    <m/>
    <x v="0"/>
    <x v="84"/>
  </r>
  <r>
    <s v="mergon.com"/>
    <s v="minus"/>
    <s v="Fail"/>
    <s v="v=spf1 include:spf.protection.outlook.com include:sendgrid.net include:emaileuc.freshservice.com include:fdspfus.freshemail.io include:spf.emailsignatures365.com -all"/>
    <s v="yes"/>
    <x v="0"/>
    <m/>
    <m/>
    <m/>
    <x v="23"/>
    <x v="84"/>
  </r>
  <r>
    <s v="ferrycarrighotel.ie"/>
    <s v="minus"/>
    <s v="Fail"/>
    <s v="v=spf1 a include:netaffinity.net include:spf.protection.outlook.com include:spf.mtasv.net ip4:89.101.237.178 ip4:46.245.209.97 ip4:78.153.203.202 ip4:81.17.250.62 -all"/>
    <m/>
    <x v="0"/>
    <m/>
    <m/>
    <m/>
    <x v="3"/>
    <x v="84"/>
  </r>
  <r>
    <s v="glanagua.ie"/>
    <s v="minus"/>
    <s v="Fail"/>
    <s v="v=spf1 include:spf.protection.outlook.com -all"/>
    <m/>
    <x v="0"/>
    <m/>
    <m/>
    <m/>
    <x v="7"/>
    <x v="84"/>
  </r>
  <r>
    <s v="walk.ie"/>
    <s v="minus"/>
    <s v="Fail"/>
    <s v="v=spf1 +ip4:185.43.232.7 +include:spf.protection.outlook.com +include:authsmtp.com -all"/>
    <s v="yes"/>
    <x v="0"/>
    <m/>
    <m/>
    <m/>
    <x v="0"/>
    <x v="84"/>
  </r>
  <r>
    <s v="mslengineering.ie"/>
    <s v="tilde"/>
    <s v="Soft Fail"/>
    <s v="v=spf1 a include:spf.protection.outlook.com ~all"/>
    <s v="yes"/>
    <x v="1"/>
    <s v="v=DMARC1; p=quarantine; fo=1; rua=mailto:dmarc@mslengineering.ie; ruf=mailto:dmarc@mslengineering.ie"/>
    <m/>
    <m/>
    <x v="1"/>
    <x v="84"/>
  </r>
  <r>
    <s v="bwg.ie"/>
    <s v="minus"/>
    <s v="Fail"/>
    <s v="v=spf1 mx a ip4:185.36.185.49 ip4:89.204.240.170 ip4:198.160.61.253 ip4:74.205.73.77 include:spf.protection.outlook.com include:spf.mandrillapp.com include:spf-a.authsmtp.com include:eu-west-1.amazonses.com&quot; &quot;include:spf.odmad.quest-on-demand.com include:spf.eu.odmad.quest-on-demand.com -all"/>
    <s v="yes"/>
    <x v="0"/>
    <m/>
    <m/>
    <m/>
    <x v="0"/>
    <x v="84"/>
  </r>
  <r>
    <s v="johnstownestate.com"/>
    <s v="no"/>
    <s v="Not found"/>
    <m/>
    <m/>
    <x v="0"/>
    <m/>
    <m/>
    <m/>
    <x v="15"/>
    <x v="84"/>
  </r>
  <r>
    <s v="bancrete.com"/>
    <s v="minus"/>
    <s v="Fail"/>
    <s v="v=spf1 include:spf.protection.outlook.com -all"/>
    <m/>
    <x v="0"/>
    <m/>
    <m/>
    <m/>
    <x v="21"/>
    <x v="84"/>
  </r>
  <r>
    <s v="secureall.ie"/>
    <s v="tilde"/>
    <s v="Soft Fail"/>
    <s v="v=spf1 ip4:185.43.232.10 include:spf.webhostingireland.ie ip4:81.17.241.230 +mx +a ~all"/>
    <s v="yes"/>
    <x v="2"/>
    <s v="v=DMARC1; p=none;"/>
    <m/>
    <m/>
    <x v="7"/>
    <x v="85"/>
  </r>
  <r>
    <s v="ltts.ie"/>
    <s v="tilde"/>
    <s v="Soft Fail"/>
    <s v="v=spf1 mx include:_spf.lufthansa.com ~all"/>
    <m/>
    <x v="1"/>
    <s v="v=DMARC1; p=quarantine; fo=1; ri=3600; rua=mailto:lufthansa@rua.agari.com"/>
    <m/>
    <m/>
    <x v="9"/>
    <x v="85"/>
  </r>
  <r>
    <s v="beauchamps.ie"/>
    <s v="minus"/>
    <s v="Fail"/>
    <s v="v=spf1 include:eu._netblocks.mimecast.com include:spf.eu.signature365.net include:spf.zohomail360.eu include:_spf.psm.knowbe4.com ip4:5.61.115.64/28 ip4:212.84.45.11 -all"/>
    <s v="yes"/>
    <x v="3"/>
    <s v="v=DMARC1;p=reject;sp=reject;pct=100;rua=mailto:cc789e6eee@rua.easydmarc.eu;ruf=mailto:cc789e6eee@ruf.easydmarc.eu;ri=86400;fo=1;"/>
    <m/>
    <m/>
    <x v="0"/>
    <x v="86"/>
  </r>
  <r>
    <s v="theauthenticfoodco.com"/>
    <s v="no"/>
    <s v="Not found"/>
    <m/>
    <m/>
    <x v="0"/>
    <m/>
    <m/>
    <m/>
    <x v="2"/>
    <x v="86"/>
  </r>
  <r>
    <s v="openjawtech.com"/>
    <s v="tilde"/>
    <s v="Soft Fail"/>
    <s v="v=spf1 include:spf1.openjawtech.com include:spf2.openjawtech.com include:_spf.dotplex.com ~all"/>
    <s v="yes"/>
    <x v="0"/>
    <m/>
    <m/>
    <m/>
    <x v="0"/>
    <x v="86"/>
  </r>
  <r>
    <s v="abbvie.ie"/>
    <s v="minus"/>
    <s v="Fail"/>
    <s v="v=spf1 include:_u.abbvie.ie._spf.smart.ondmarc.com -all"/>
    <m/>
    <x v="3"/>
    <s v="v=DMARC1; p=reject; fo=1; ri=3600; rua=mailto:4a915a0c@inbox.ondmarc.com,mailto:abbvie@rua.dmp.cisco.com; ruf=mailto:4a915a0c@inbox.ondmarc.com,mailto:abbvie@ruf.dmp.cisco.com"/>
    <m/>
    <m/>
    <x v="8"/>
    <x v="86"/>
  </r>
  <r>
    <s v="burnside-eurocyl.com"/>
    <s v="tilde"/>
    <s v="Soft Fail"/>
    <s v="v=spf1 a:mail.burnside-eurocyl.com include:spf.relay.blacknight.com ~all"/>
    <m/>
    <x v="0"/>
    <m/>
    <m/>
    <m/>
    <x v="25"/>
    <x v="87"/>
  </r>
  <r>
    <s v="danone.com"/>
    <s v="tilde"/>
    <s v="Soft Fail"/>
    <s v="v=spf1 include:%{ir}.%{v}.%{d}.spf.has.pphosted.com ~all"/>
    <s v="yes"/>
    <x v="1"/>
    <s v="v=DMARC1; p=quarantine; sp=reject; fo=1; rua=mailto:dmarc_rua@emaildefense.proofpoint.com; ruf=mailto:dmarc_ruf@emaildefense.proofpoint.com"/>
    <m/>
    <m/>
    <x v="1"/>
    <x v="87"/>
  </r>
  <r>
    <s v="kilkennyshop.com"/>
    <s v="question"/>
    <s v="Neutral"/>
    <s v="V=SPF1 A INCLUDE:SPF.MANDRILLAPP.COM include:amazonses.com ?ALL"/>
    <s v="yes"/>
    <x v="2"/>
    <s v="v=DMARC1;  p=none; rua=mailto:53ce1e28f1eb4e41b9d75c4162b1b49b@dmarc-reports.cloudflare.net"/>
    <m/>
    <m/>
    <x v="14"/>
    <x v="88"/>
  </r>
  <r>
    <s v="msd.ie"/>
    <s v="minus"/>
    <s v="Fail"/>
    <s v="v=spf1 include:spf1.merck.com -all"/>
    <s v="yes"/>
    <x v="3"/>
    <s v="v=DMARC1; p=reject; fo=1; ri=3600; rua=mailto:merck@rua.agari.com; ruf=mailto:merck@ruf.agari.com"/>
    <m/>
    <m/>
    <x v="0"/>
    <x v="89"/>
  </r>
  <r>
    <s v="cregg.ie"/>
    <s v="tilde"/>
    <s v="Soft Fail"/>
    <s v="v=spf1 ip4:209.124.66.26 include:spf.a2hosting.com ip4:91.210.235.23 include:spf.webhostingireland.ie include:spamtitan.tierneys.ie include:spf.protection.outlook.com include:_spf.bullhornmail.com ~all"/>
    <s v="yes"/>
    <x v="2"/>
    <s v="v=DMARC1; p=none;"/>
    <m/>
    <m/>
    <x v="9"/>
    <x v="90"/>
  </r>
  <r>
    <s v="publicjobs.ie"/>
    <s v="minus"/>
    <s v="Fail"/>
    <s v="v=spf1 ip4:137.191.244.231 ip4:137.191.229.38 ip4:137.191.229.42 include:spf.protection.outlook.com -all"/>
    <s v="yes"/>
    <x v="1"/>
    <s v="v=DMARC1; p=quarantine; rua=mailto:dmarcalerts@publicjobs.ie;"/>
    <m/>
    <m/>
    <x v="0"/>
    <x v="90"/>
  </r>
  <r>
    <s v="arachas.ie"/>
    <s v="tilde"/>
    <s v="Soft Fail"/>
    <s v="v=spf1 mx a include:spf.protection.outlook.com include:spf.exclaimer.net include:sendgrid.net include:_spf.samanage.com include:_spf.salesforce.com include:spf.constantcontact.com ip4:209.206.12.35 ip4:209.206.12.81 ip4:185.5.241.121 ~all"/>
    <s v="yes"/>
    <x v="2"/>
    <s v="v=DMARC1; p=none; pct=100; sp=none; rua=mailto:619e290c@inbox.ondmarc.com,mailto:a.yjdguszt@sdmarc.net,mailto:dmarcreports@arachas.ie; ruf=mailto:619e290c@inbox.ondmarc.com; adkim=s; aspf=s; fo=1; rf=afrf; ri=3600"/>
    <m/>
    <m/>
    <x v="0"/>
    <x v="90"/>
  </r>
  <r>
    <s v="chill.ie"/>
    <s v="minus"/>
    <s v="Fail"/>
    <s v="v=spf1 include:spf1.chill.ie include:spf2.chill.ie include:appliedexch.co.uk include:spf.protection.outlook.com include:spf.eu.exclaimer.net -all"/>
    <s v="yes"/>
    <x v="1"/>
    <s v="v=DMARC1; p=quarantine; sp= quarantine; fo=1; rua=mailto:dmarc_rua@emaildefense.proofpoint.com,mailto:dmarc_agg@vali.email; ruf=mailto:dmarc_ruf@emaildefense.proofpoint.com"/>
    <m/>
    <m/>
    <x v="0"/>
    <x v="90"/>
  </r>
  <r>
    <s v="trumphotelcollection.com"/>
    <s v="tilde"/>
    <s v="Soft Fail"/>
    <s v="v=spf1 ip4:69.25.15.0/24 ip4:63.251.151.0/24 ip4:24.120.62.250 include:_spf.google.com mx mx:mx1.cdcservices.com mx:mx2.cdcservices.com mx:mx3.cdcservices.com mx:mx5.cdcservices.com mx:mx6.cdcservices.com a:aceradon.com ~all"/>
    <m/>
    <x v="0"/>
    <m/>
    <m/>
    <m/>
    <x v="9"/>
    <x v="90"/>
  </r>
  <r>
    <s v="wine.ie"/>
    <s v="tilde"/>
    <s v="Soft Fail"/>
    <s v="v=spf1 include:_u.wine.ie._spf.smart.ondmarc.com ~all"/>
    <s v="yes"/>
    <x v="3"/>
    <s v="v=DMARC1; p=reject; pct=100; sp=none; rua=mailto:c2276c5a@inbox.ondmarc.com; ruf=mailto:c2276c5a@inbox.ondmarc.com; adkim=r; aspf=r; fo=1; rf=afrf; ri=3600"/>
    <m/>
    <m/>
    <x v="0"/>
    <x v="90"/>
  </r>
  <r>
    <s v="rbk.ie"/>
    <s v="minus"/>
    <s v="Fail"/>
    <s v="v=spf1 include:spf.messagelabs.com -all"/>
    <m/>
    <x v="1"/>
    <s v="v=DMARC1; p=quarantine; rua=mailto:report-dmarc@rbk.ie; ruf=mailto:forensics-dmarc@rbk.ie; fo=1:s; pct=20; aspf=s"/>
    <m/>
    <m/>
    <x v="23"/>
    <x v="90"/>
  </r>
  <r>
    <s v="cairnhomes.com"/>
    <s v="tilde"/>
    <s v="Soft Fail"/>
    <s v="v=spf1 include:spf.protection.outlook.com a:dispatch-eu.ppe-hosted.com include:spf.mandrillapp.com include:_spf.qualtrics.com mx include:spf.emailsignatures365.com include:spf-inm.eqs-service.com include:_spf.psm.knowbe4.com ~all"/>
    <s v="yes"/>
    <x v="1"/>
    <s v="v=DMARC1; p=quarantine; pct=100; rua=mailto:a.8hyzr404@sdmarc.net,mailto:5b0b635eea3041f096e546fd18c6e1f8@dmarc-reports.cloudflare.net"/>
    <m/>
    <m/>
    <x v="0"/>
    <x v="90"/>
  </r>
  <r>
    <s v="willsbros.com"/>
    <s v="minus"/>
    <s v="Fail"/>
    <s v="v=spf1 mx ip4:77.72.0.126 include:spf.protection.outlook.com include:spf-eu.mailssig.com ip4:52.138.167.182 -all"/>
    <s v="yes"/>
    <x v="3"/>
    <s v="v=DMARC1; p=reject; pct=100; rua=mailto:noreplay@willsbros.com; ruf=mailto:noreplay@willsbros.com; sp=quarantine; fo=1;"/>
    <m/>
    <m/>
    <x v="4"/>
    <x v="90"/>
  </r>
  <r>
    <s v="bulmers.ie"/>
    <s v="minus"/>
    <s v="Fail"/>
    <s v="v=spf1 include:spf.protection.outlook.com include:_spf.createsend.com include:_spf.psm.knowbe4.com -all"/>
    <s v="yes"/>
    <x v="2"/>
    <s v="v=DMARC1; p=none; pct=100; rua=mailto:dmarc_agg@vali.email, mailto:pzgv7ovq@ag.eu.dmarcian.com, mailto:dmarc@bulmers.ie; ruf=mailto:pzgv7ovq@fr.eu.dmarcian.com, mailto:dmarc@bulmers.ie; fo=1"/>
    <m/>
    <m/>
    <x v="13"/>
    <x v="90"/>
  </r>
  <r>
    <s v="mtm-engineering.com"/>
    <s v="minus"/>
    <s v="Fail"/>
    <s v="v=spf1 ip4:157.90.106.253 ip4:144.76.136.218 +a +mx +ip4:88.99.195.46 +ip4:88.99.97.74 +ip4:148.251.122.205 +include:spf.protection.outlook.com +a:dispatch-eu.ppe-hosted.com include:spf-uk.emailsignatures365.com -all"/>
    <s v="yes"/>
    <x v="0"/>
    <m/>
    <m/>
    <m/>
    <x v="12"/>
    <x v="90"/>
  </r>
  <r>
    <s v="ibec.ie"/>
    <s v="minus"/>
    <s v="Fail"/>
    <s v="v=spf1 include:spf.mailanyone.net include:spf.protection.outlook.com include:_spf.eu.messagegears.net -all"/>
    <s v="yes"/>
    <x v="1"/>
    <s v="v=DMARC1; p=quarantine; rua=mailto:dmarc_rua@ibec.ie; ruf=mailto:dmarc_ruf@ibec.ie; fo=1"/>
    <m/>
    <m/>
    <x v="0"/>
    <x v="90"/>
  </r>
  <r>
    <s v="ocsc.ie"/>
    <s v="tilde"/>
    <s v="Soft Fail"/>
    <s v="v=spf1 include:spf.protection.outlook.com include:spf.mtaroutes.com include:mailgun.org ip4:144.2.243.130 ip4:185.212.156.66 ip4:83.70.133.69 ip4:83.70.179.250 ~all"/>
    <s v="yes"/>
    <x v="2"/>
    <s v="v=DMARC1; p=none; pct=100; fo=1; ri=3600; ruf=mailto:itsoftware@ocsc.ie;"/>
    <m/>
    <m/>
    <x v="0"/>
    <x v="90"/>
  </r>
  <r>
    <s v="randridge.com"/>
    <s v="tilde"/>
    <s v="Soft Fail"/>
    <s v="v=spf1 a:chi-web-01.simprocloud.com include:spf.protection.outlook.com ~all"/>
    <m/>
    <x v="0"/>
    <m/>
    <m/>
    <m/>
    <x v="24"/>
    <x v="90"/>
  </r>
  <r>
    <s v="boylesports.com"/>
    <s v="minus"/>
    <s v="Fail"/>
    <s v="v=spf1 ip4:68.219.123.166 ip4:192.254.125.237 ip4:185.50.100.5 include:spf.protection.outlook.com include:mail.zendesk.com -all"/>
    <s v="yes"/>
    <x v="0"/>
    <m/>
    <m/>
    <m/>
    <x v="2"/>
    <x v="90"/>
  </r>
  <r>
    <s v="dppireland.ie"/>
    <s v="minus"/>
    <s v="Fail"/>
    <s v="v=spf1 include:spf.protection.outlook.com -all"/>
    <m/>
    <x v="2"/>
    <s v="v=DMARC1; p=none; rua=mailto:dmarc_agg@vali.email;"/>
    <m/>
    <m/>
    <x v="0"/>
    <x v="90"/>
  </r>
  <r>
    <s v="galwaycity.ie"/>
    <s v="minus"/>
    <s v="Fail"/>
    <s v="v=spf1 include:spf.mailjet.com a mx ptr ip4:137.191.242.66 ip4:137.191.242.71 include:spf.topsec.com include:spf.protection.outlook.com -all"/>
    <s v="yes"/>
    <x v="3"/>
    <s v="v=DMARC1;p=reject;sp=reject;rua=mailto:211a5a2e44@rua.easydmarc.eu;ruf=mailto:211a5a2e44@ruf.easydmarc.eu;fo=1"/>
    <m/>
    <m/>
    <x v="7"/>
    <x v="90"/>
  </r>
  <r>
    <s v="defence.ie"/>
    <s v="tilde"/>
    <s v="Soft Fail"/>
    <s v="v=spf1 mx ip4:137.191.229.119 a:mx.defence.ie include:spfext.itservices.gov.ie ~all"/>
    <m/>
    <x v="2"/>
    <s v="v=DMARC1; p=none; pct=100; rua=mailto:dmarc-rua@defence.ie"/>
    <m/>
    <m/>
    <x v="16"/>
    <x v="90"/>
  </r>
  <r>
    <s v="kilkennycoco.ie"/>
    <s v="minus"/>
    <s v="Fail"/>
    <s v="v=spf1 a mx include:spf.protection.outlook.com include:spf.topsec.com ip4:137.191.231.114 ip4:78.153.223.162 -all"/>
    <s v="yes"/>
    <x v="3"/>
    <s v="v=DMARC1;p=reject;sp=reject;rua=mailto:211a5a2e44@rua.easydmarc.eu;ruf=mailto:211a5a2e44@ruf.easydmarc.eu;fo=1"/>
    <m/>
    <m/>
    <x v="17"/>
    <x v="90"/>
  </r>
  <r>
    <s v="countrycrest.ie"/>
    <s v="minus"/>
    <s v="Fail"/>
    <s v="v=spf1 ip4:35.214.135.201 include:spf.protection.outlook.com include:spf.emailsignatures365.com -all"/>
    <s v="yes"/>
    <x v="2"/>
    <s v="v=DMARC1; p=none; rua=mailto:rua@dmarc.brevo.com"/>
    <m/>
    <m/>
    <x v="0"/>
    <x v="90"/>
  </r>
  <r>
    <s v="monart.ie"/>
    <s v="minus"/>
    <s v="Fail"/>
    <s v="v=spf1 a include:spf.protection.outlook.com include:guestline.net include:roomlynx.net include:netaffinity.net include:spf.premiersoftware.co.uk -all"/>
    <m/>
    <x v="0"/>
    <m/>
    <m/>
    <m/>
    <x v="3"/>
    <x v="90"/>
  </r>
  <r>
    <s v="sheraton.com"/>
    <s v="minus"/>
    <s v="Fail"/>
    <s v="v=spf1 include:spf.marriott.com include:spf.protection.outlook.com ip4:65.221.12.128 ip4:65.221.12.148 ip4:50.31.38.19 ip4:167.89.18.211 -all"/>
    <s v="yes"/>
    <x v="3"/>
    <s v="v=DMARC1; p=reject; pct=100; rua=mailto:ts2wfbhi@ag.dmarcian.com; ruf=mailto:ts2wfbhi@fr.dmarcian.com;"/>
    <m/>
    <m/>
    <x v="23"/>
    <x v="90"/>
  </r>
  <r>
    <s v="ardmac.com"/>
    <s v="tilde"/>
    <s v="Soft Fail"/>
    <s v="v=spf1 mx a ip4:77.75.96.170 ip4:150.70.226.152 include:spf.protection.outlook.com include:in.mx.trendmicro.eu include:spf.hes.trendmicro.com include:servers.mcsv.net ~all"/>
    <s v="yes"/>
    <x v="2"/>
    <s v="v=DMARC1; p=none;"/>
    <m/>
    <m/>
    <x v="0"/>
    <x v="90"/>
  </r>
  <r>
    <s v="sapgroup.com"/>
    <s v="minus"/>
    <s v="Fail"/>
    <s v="v=spf1 include:spf.protection.outlook.com -all"/>
    <m/>
    <x v="0"/>
    <m/>
    <m/>
    <m/>
    <x v="16"/>
    <x v="90"/>
  </r>
  <r>
    <s v="lirchocolates.com"/>
    <s v="minus"/>
    <s v="Fail"/>
    <s v="v=spf1 include:eu._netblocks.mimecast.com include:spf.protection.outlook.com include:spf.messagelabs.com include:spf.newsletter.ie -all"/>
    <m/>
    <x v="3"/>
    <s v="v=DMARC1; p=reject; rua=mailto:3e104c6e42b6578@rep.dmarcanalyzer.com; ruf=mailto:3e104c6e42b6578@for.dmarcanalyzer.com; fo=1;"/>
    <m/>
    <m/>
    <x v="15"/>
    <x v="90"/>
  </r>
  <r>
    <s v="obelisk.com"/>
    <s v="minus"/>
    <s v="Fail"/>
    <s v="v=spf1 ip4:75.2.70.75 ip4:99.83.190.102 ip4:213.122.9.69 include:spf.protection.outlook.com include:spf.exclaimer.net -all"/>
    <s v="yes"/>
    <x v="1"/>
    <s v="v=DMARC1;p=quarantine;sp=quarantine;adkim=r;aspf=r;pct=100;fo=1;rf=afrf;ri=84600;rua=mailto:itmanager@obelisk.com;ruf=mailto:itmanager@obelisk.com"/>
    <m/>
    <m/>
    <x v="11"/>
    <x v="90"/>
  </r>
  <r>
    <s v="openet.com"/>
    <s v="minus"/>
    <s v="Fail"/>
    <s v="v=spf1 ip4:193.43.244.133/28 ip4:69.150.27.64/26 ip4:202.91.135.67 ip4:202.91.135.133 exists:%{i}.spf.hc834-32.eu.iphmx.com include:spf.protection.outlook.com include:aspmx.pardot.com include:_spf.salesforce.com include:spf.blacknight.com -all"/>
    <s v="yes"/>
    <x v="1"/>
    <s v="v=DMARC1; p=quarantine; fo=1; pct=0; ri=3600; rua=mailto:amdocs@rua.dmp.cisco.com; ruf=mailto:amdocs@ruf.dmp.cisco.com"/>
    <m/>
    <m/>
    <x v="0"/>
    <x v="90"/>
  </r>
  <r>
    <s v="corehr.com"/>
    <s v="minus"/>
    <s v="Fail"/>
    <s v="v=spf1 ip4:91.185.174.110 ip4:84.39.239.84 ip4:82.141.238.237 ip4:193.120.143.138 ip4:193.120.143.134 ip4:193.120.143.70 ip4:193.120.142.176 ip4:85.222.138.225 ip4:212.2.176.67 ip4:193.120.252.86 ip4:193.120.176.179 ip4:84.39.238.222&quot; &quot; include:spf.protection.outlook.com include:_spf.salesforce.com include:335435.spf03.hubspotemail.net include:aspmx.pardot.com include:bounce.s10.mc.pd25.com ip4:89.101.11.113 -all"/>
    <s v="yes"/>
    <x v="1"/>
    <s v="v=DMARC1; p=quarantine; rua=mailto:coretechsupport@corehr.com; ruf=mailto:coretechsupport@corehr.com; pct=100; fo=1"/>
    <m/>
    <m/>
    <x v="1"/>
    <x v="90"/>
  </r>
  <r>
    <s v="forwardemphasis.ie"/>
    <s v="minus"/>
    <s v="Fail"/>
    <s v="v=spf1 ip4:190.180.144.232 ip4:91.136.49.203 ip4:82.141.226.122 ip4:77.75.100.130 include:spf.protection.outlook.com include:kallidus-suite.com -all"/>
    <s v="yes"/>
    <x v="2"/>
    <s v="v=DMARC1; p=none; rua=mailto:dmarc@forwardemphasis.ie,mailto:4a4f05f8@mxtoolbox.dmarc-report.com; ruf=mailto:dmarc@forwardemphasis.ie,mailto:4a4f05f8@forensics.dmarc-report.com"/>
    <m/>
    <m/>
    <x v="6"/>
    <x v="90"/>
  </r>
  <r>
    <s v="hidglobal.com"/>
    <s v="minus"/>
    <s v="Fail"/>
    <s v="v=spf1 include:sendgrid.net include:_spf.salesforce.com include:_spf.highradius.com include:spf.protection.outlook.com include:spf.workfront.com include:docebosaas.com include:spf1.hidglobal.com include:em8279.hidglobal.com -all"/>
    <s v="yes"/>
    <x v="3"/>
    <s v="v=DMARC1; p=reject; rua=mailto:c617a603d59c866@rep.dmarcanalyzer.com; ruf=mailto:c617a603d59c866@for.dmarcanalyzer.com; pct=100; fo=1"/>
    <s v="yes"/>
    <s v="https://hidglobal.com/sites/default/files/hid_logo_tiny_ps.svg"/>
    <x v="7"/>
    <x v="90"/>
  </r>
  <r>
    <s v="xerox.com"/>
    <s v="tilde"/>
    <s v="Soft Fail"/>
    <s v="v=spf1 include:_iphmx.xerox.com include:_iphmx2.xerox.com include:spf.protection.outlook.com include:spf.constantcontact.com include:_spf.salesforce.com include:nw026.com include:mail.zendesk.com include:autotask.net &quot; &quot;ip4:141.193.184.64/26 ip4:141.193.185.128/25 ip4:18.208.124.128/25 ip4:141.193.184.128/25 ip4:141.193.185.64/26 ip4:158.247.16.0/20 ip4:3.93.157.0/24 ip4:216.139.64.0/19 ip4:108.179.144.0/20 ip4:54.174.60.0/23 ip4:143.244.80.0/20 ip4:54.174.59.0/24 &quot; &quot;ip4:54.174.63.0/24 ip4:3.210.190.0/24 ip4:141.193.184.32/27 ip4:54.174.52.0/24 ip4:139.180.17.0/24 ip4:141.193.185.32/27 ip4:54.174.57.0/24 ~all"/>
    <s v="yes"/>
    <x v="1"/>
    <s v="v=DMARC1; p=quarantine; sp=none; rua=mailto:Xerox.dmarcreports@xerox.com; ruf=mailto:Xerox.dmarcreports@xerox.com"/>
    <m/>
    <m/>
    <x v="0"/>
    <x v="90"/>
  </r>
  <r>
    <s v="dupont.com"/>
    <s v="tilde"/>
    <s v="Soft Fail"/>
    <s v="v=spf1 include:spf.protection.outlook.com include:spf-001dcd02.pphosted.com include:_spf.salesforce.com include:sendgrid.net a:b.spf.service-now.com a:c.spf.service-now.com a:d.spf.service-now.com ~all"/>
    <s v="yes"/>
    <x v="2"/>
    <s v="v=DMARC1; p=none; fo=1; rua=mailto:dmarc_rua@emaildefense.proofpoint.com; ruf=mailto:dmarc_ruf@emaildefense.proofpoint.com"/>
    <m/>
    <m/>
    <x v="1"/>
    <x v="90"/>
  </r>
  <r>
    <s v="irvingoil.com"/>
    <s v="tilde"/>
    <s v="Soft Fail"/>
    <s v="v=spf1 include:%{ir}.%{v}.%{d}.spf.has.pphosted.com ~all"/>
    <m/>
    <x v="2"/>
    <s v="v=DMARC1; p=none; fo=1; rua=mailto:dmarc_rua@emaildefense.proofpoint.com,mailto:dmarc_aggdata@irvingoil.com;ruf=mailto:dmarc_ruf@emaildefense.proofpoint.com,mailto:dmarc_forensic@irvingoil.com"/>
    <m/>
    <m/>
    <x v="1"/>
    <x v="90"/>
  </r>
  <r>
    <s v="xtratherm.com"/>
    <s v="minus"/>
    <s v="Fail"/>
    <s v="v=spf1 include:spf_a.unilin.com include:spf.mandrillapp.com -all"/>
    <m/>
    <x v="3"/>
    <s v="v=DMARC1; p=reject;"/>
    <m/>
    <m/>
    <x v="15"/>
    <x v="90"/>
  </r>
  <r>
    <s v="cdfoods.com"/>
    <s v="minus"/>
    <s v="Fail"/>
    <s v="v=spf1 ip4:83.71.136.186 ip4:83.71.136.188 ip4:213.133.68.130 ip4:136.144.107.51 include:spf.ess.uk.barracudanetworks.com include:_spf.elasticemail.com include:spf.protection.outlook.com -all"/>
    <s v="yes"/>
    <x v="2"/>
    <s v="v=DMARC1; p=none;"/>
    <m/>
    <m/>
    <x v="20"/>
    <x v="90"/>
  </r>
  <r>
    <s v="ferrero.com"/>
    <s v="minus"/>
    <s v="Fail"/>
    <s v="v=spf1 include:spf.ferrero.com include:_spf.google.com include:spf.protection.outlook.com include:spf-00303601.pphosted.com -all"/>
    <m/>
    <x v="3"/>
    <s v="v=DMARC1; p=reject; aspf=s; adkim=s; rua=mailto:dmarc_rua@emaildefense.proofpoint.com; ruf=mailto:dmarc_ruf@emaildefense.proofpoint.com; fo=1"/>
    <m/>
    <m/>
    <x v="1"/>
    <x v="90"/>
  </r>
  <r>
    <s v="thecocacolacompany.com"/>
    <s v="minus"/>
    <s v="Fail"/>
    <s v="v=spf1 -all"/>
    <m/>
    <x v="3"/>
    <s v="v=DMARC1; p=reject; pct=100; fo=1; rua=mailto:dmarc_rua@emaildefense.proofpoint.com,mailto:dmarcreports@coca-cola.com; ruf=mailto:dmarc_ruf@emaildefense.proofpoint.com,mailto:dmarcreports@coca-cola.com"/>
    <m/>
    <m/>
    <x v="0"/>
    <x v="90"/>
  </r>
  <r>
    <s v="nationalgallery.ie"/>
    <s v="minus"/>
    <s v="Fail"/>
    <s v="v=spf1 include:spf.mandrillapp.com -all"/>
    <m/>
    <x v="0"/>
    <m/>
    <m/>
    <m/>
    <x v="0"/>
    <x v="90"/>
  </r>
  <r>
    <s v="bandoncoop.ie"/>
    <s v="minus"/>
    <s v="Fail"/>
    <s v="v=spf1 include:spf.ess.uk.barracudanetworks.com include:spf.ess.de.barracudanetworks.com include:spf.protection.outlook.com ip4:212.78.228.74 ip4:84.51.253.158 ip4:83.71.249.89 ip4:86.47.57.32 ip4:86.47.49.51 ip4:83.70.176.212 ip4:83.71.154.193 -all"/>
    <s v="yes"/>
    <x v="2"/>
    <s v="v=DMARC1; p=none; fo=1; rua=mailto:rua+bandoncoop.ie@dmarc.barracudanetworks.com; ruf=mailto:ruf+bandoncoop.ie@dmarc.barracudanetworks.com"/>
    <m/>
    <m/>
    <x v="1"/>
    <x v="90"/>
  </r>
  <r>
    <s v="carbery.com"/>
    <s v="minus"/>
    <s v="Fail"/>
    <s v="v=spf1 include:de._netblocks.mimecast.com include:spf.mailanyone.net include:spf.protection.outlook.com include:customers.clickdimensions.com include:spf.tmes.trendmicro.com include:_spf.eu.messagegears.net include:authsmtp.com mx a -all"/>
    <s v="yes"/>
    <x v="2"/>
    <s v="v=DMARC1; p=none; rua=mailto:dmarcreporting@carbery.com;"/>
    <m/>
    <m/>
    <x v="1"/>
    <x v="90"/>
  </r>
  <r>
    <s v="tipperary-coop.ie"/>
    <s v="minus"/>
    <s v="Fail"/>
    <s v="v=spf1 include:spf.protection.outlook.com a:exchange.tipperary-coop.ie include:authsmtp.com -all"/>
    <s v="yes"/>
    <x v="1"/>
    <s v="v=DMARC1;p=quarantine;pct=100;rua=mailto:3aa244375d@rua.easydmarc.eu;ruf=mailto:3aa244375d@ruf.easydmarc.eu;ri=86400;fo=1;"/>
    <m/>
    <m/>
    <x v="13"/>
    <x v="90"/>
  </r>
  <r>
    <s v="intercontinentaldublin.ie"/>
    <s v="tilde"/>
    <s v="Soft Fail"/>
    <s v="v=spf1 a include:spf.blacknight.ie include:netaffinity.net ~all"/>
    <m/>
    <x v="0"/>
    <m/>
    <m/>
    <m/>
    <x v="0"/>
    <x v="90"/>
  </r>
  <r>
    <s v="thegrand.ie"/>
    <s v="tilde"/>
    <s v="Soft Fail"/>
    <s v="v=spf1 include:spf_3a.oracleindustry.com include:microsdc.com include:spf.protection.outlook.com include:spf.ireshotels.com include:authsmtp.com include:netaffinity.net ~all"/>
    <s v="yes"/>
    <x v="2"/>
    <s v="v=DMARC1; p=none; rua=mailto:dmarc@thegrand.ie; ruf=mailto:dmarc@thegrand.ie; fo=1;"/>
    <m/>
    <m/>
    <x v="0"/>
    <x v="90"/>
  </r>
  <r>
    <s v="mooreservices.ie"/>
    <s v="tilde"/>
    <s v="Soft Fail"/>
    <s v="v=spf1 a include:spf.protection.outlook.com ip4:89.100.18.26 ip4:95.45.234.45 ~all"/>
    <s v="yes"/>
    <x v="0"/>
    <m/>
    <m/>
    <m/>
    <x v="0"/>
    <x v="90"/>
  </r>
  <r>
    <s v="gtc.ie"/>
    <s v="minus"/>
    <s v="Fail"/>
    <s v="v=spf1 a include:spf.protection.outlook.com a:spamtitan.zenotec.ie ip4:23.253.183.222 ip4:193.200.155.203 -all"/>
    <s v="yes"/>
    <x v="1"/>
    <s v="v=DMARC1; p=quarantine; pct=100; rua=mailto:dmarc@zenotec.ie; ruf=mailto:dmarc@zenotec.ie; fo=1"/>
    <m/>
    <m/>
    <x v="7"/>
    <x v="90"/>
  </r>
  <r>
    <s v="laoisshoppingcentre.com"/>
    <s v="minus"/>
    <s v="Fail"/>
    <s v="v=spf1 include:spf.protection.outlook.com -all"/>
    <m/>
    <x v="0"/>
    <m/>
    <m/>
    <m/>
    <x v="18"/>
    <x v="90"/>
  </r>
  <r>
    <s v="fsi.ie"/>
    <s v="minus"/>
    <s v="Fail"/>
    <s v="v=spf1 -all"/>
    <s v="yes"/>
    <x v="3"/>
    <s v="v=DMARC1; p=reject; pct=100;"/>
    <m/>
    <m/>
    <x v="0"/>
    <x v="90"/>
  </r>
  <r>
    <s v="bombaypantry.com"/>
    <s v="tilde"/>
    <s v="Soft Fail"/>
    <s v="v=spf1 a:83.70.172.130 include:spf.protection.outlook.com ~all"/>
    <m/>
    <x v="0"/>
    <m/>
    <m/>
    <m/>
    <x v="24"/>
    <x v="90"/>
  </r>
  <r>
    <s v="8west.ie"/>
    <s v="tilde"/>
    <s v="Soft Fail"/>
    <s v="v=spf1 include:%{i}._ip.%{h}._ehlo.%{d}._spf.vali.email  include:spf.protection.outlook.com  include:145696986.spf03.hubspotemail.net ~all"/>
    <s v="yes"/>
    <x v="2"/>
    <s v="v=DMARC1; p=none; rua=mailto:dmarc_agg@vali.email,mailto:dmarcreports@8west.ie; ruf=mailto:dmarcreports@8west.ie; fo=1"/>
    <m/>
    <m/>
    <x v="1"/>
    <x v="90"/>
  </r>
  <r>
    <s v="teamwork.com"/>
    <s v="tilde"/>
    <s v="Soft Fail"/>
    <s v="v=spf1 include:_spf.google.com ip4:167.89.94.240 ip4:167.89.91.48 ip4:167.89.85.224 ip4:198.21.0.156 ip4:167.89.92.142 ip4:167.89.44.57 ip4:167.89.90.81 include:stspg-customer.com include:amazonses.com ~all"/>
    <s v="yes"/>
    <x v="3"/>
    <s v="v=DMARC1; p=reject; pct=100; rua=mailto:re+q1hadbuespe@dmarc.postmarkapp.com; sp=none; aspf=r;"/>
    <s v="yes"/>
    <s v="https://d11p1j7wm7x1vt.cloudfront.net/public/latest/teamwork-short-pill-slate.svg"/>
    <x v="1"/>
    <x v="90"/>
  </r>
  <r>
    <s v="lionbridge.com"/>
    <s v="tilde"/>
    <s v="Soft Fail"/>
    <s v="v=spf1 ip4:65.213.75.20 ip4:185.218.159.15 include:spf.protection.outlook.com include:spfa.lionbridge.com include:mail.zendesk.com include:spfa.cpmails.com ip4:65.213.75.16 ip4:185.218.159.46 ~all"/>
    <s v="yes"/>
    <x v="3"/>
    <s v="v=DMARC1;p=reject;sp=none;pct=100;aspf=r;adkim=s;rua=mailto:dmarcnotify@lionbridge.com;ri=86400"/>
    <m/>
    <m/>
    <x v="0"/>
    <x v="90"/>
  </r>
  <r>
    <s v="sage.ie"/>
    <s v="minus"/>
    <s v="Fail"/>
    <s v="v=spf1 include:spf.protection.outlook.com -all"/>
    <s v="yes"/>
    <x v="2"/>
    <s v="v=DMARC1; p=none; pct=100; fo=1; ri=3600; rua=mailto:sage@rua.agari.com; ruf=mailto:sage@ruf.agari.com"/>
    <m/>
    <m/>
    <x v="0"/>
    <x v="90"/>
  </r>
  <r>
    <s v="inchydoneyisland.com"/>
    <s v="minus"/>
    <s v="Fail"/>
    <s v="v=spf1 a ip4:86.43.114.255 include:spf.elive.net include:guestline.net include:roomlynx.net include:netaffinity.net include:spf.protection.outlook.com -all"/>
    <s v="yes"/>
    <x v="2"/>
    <s v="v=DMARC1; p=none;"/>
    <m/>
    <m/>
    <x v="1"/>
    <x v="90"/>
  </r>
  <r>
    <s v="gcd.ie"/>
    <s v="minus"/>
    <s v="Fail"/>
    <s v="v=spf1 include:spf.protection.outlook.com ip4:83.141.104.144/28 a a:paidi.gcd.ie a:mail.gcd.ie a:www.gcd.ie a:secure.gcd.ie a:finn.gcd.ie ip4:54.228.247.84 ip4:31.193.221.192/26 ip6:2a03:5f00:1000:1111::/64 -all"/>
    <s v="yes"/>
    <x v="1"/>
    <s v="v=DMARC1; p=quarantine; rua=mailto:b1c97e70255c4a52bc6734bb355f3901@dmarc-reports.cloudflare.net,mailto:dmark@griffith.ie; ruf=mailto:dmark@griffith.ie;"/>
    <m/>
    <m/>
    <x v="0"/>
    <x v="90"/>
  </r>
  <r>
    <s v="solas.ie"/>
    <s v="tilde"/>
    <s v="Soft Fail"/>
    <s v="v=spf1 ip4:137.191.239.201 ip4:137.191.239.214 ip4:137.191.239.242 ip4:193.120.143.134 include:spf.topsec.com include:sendgrid.net include:spf.protection.outlook.com include:amazonses.com ~all"/>
    <s v="yes"/>
    <x v="3"/>
    <s v="v=DMARC1;p=reject;sp=reject;rua=mailto:211a5a2e44@rua.easydmarc.eu;ruf=mailto:211a5a2e44@ruf.easydmarc.eu;fo=1;"/>
    <m/>
    <m/>
    <x v="0"/>
    <x v="90"/>
  </r>
  <r>
    <s v="smurfitschool.ie"/>
    <s v="no"/>
    <s v="Not found"/>
    <m/>
    <m/>
    <x v="0"/>
    <m/>
    <m/>
    <m/>
    <x v="0"/>
    <x v="90"/>
  </r>
  <r>
    <s v="limerickcityaes.ie"/>
    <s v="no"/>
    <s v="Not found"/>
    <m/>
    <m/>
    <x v="0"/>
    <m/>
    <m/>
    <m/>
    <x v="5"/>
    <x v="90"/>
  </r>
  <r>
    <s v="st-andrews.ie"/>
    <s v="tilde"/>
    <s v="Soft Fail"/>
    <s v="v=spf1 mx a ip4:89.101.217.194 ip4:87.198.168.26 ip4:87.39.142.5 include:spf.protection.outlook.com include:outboundmail.blackbaud.net ~all"/>
    <s v="yes"/>
    <x v="3"/>
    <s v="v=DMARC1; p=reject; pct=100"/>
    <m/>
    <m/>
    <x v="0"/>
    <x v="90"/>
  </r>
  <r>
    <s v="errigalbay.com"/>
    <s v="minus"/>
    <s v="Fail"/>
    <s v="v=spf1 mx a ip4:86.47.131.117/32 ip4:185.58.18.18/32 ip4:37.60.242.35/32 ip4:86.47.46.252/32 ip4:52.16.90.140/32 ip4:52.17.38.68/32 ip4:54.154.255.178/32 ip4:54.154.255.177/32 ip4:54.154.255.176/32 ip4:54.154.255.186/32 ip4:52.28.165.113/32 ip4:52.57&quot; &quot;.168.188/32 ip4:18.184.214.37/32 ip4:18.184.155.228/32 ip4:3.74.148.8/32 ip4:3.74.148.9/32 ip4:3.74.148.10/32 ip4:3.74.148.11/32 include:spf.protection.outlook.com -all"/>
    <s v="yes"/>
    <x v="3"/>
    <s v="v=DMARC1; p=reject; rua=mailto:fmj2tgfk@ag.dmarcian-eu.com;daniel.ward@errigalbay.com;"/>
    <m/>
    <m/>
    <x v="6"/>
    <x v="90"/>
  </r>
  <r>
    <s v="stauntonfoods.ie"/>
    <s v="minus"/>
    <s v="Fail"/>
    <s v="v=spf1 include:spf.protection.outlook.com include:sendgrid.net -all"/>
    <s v="yes"/>
    <x v="2"/>
    <s v="v=DMARC1; p=none; fo=1; rua=mailto:rua+stauntonfoods.ie@dmarc.barracudanetworks.com; ruf=mailto:ruf+stauntonfoods.ie@dmarc.barracudanetworks.com"/>
    <m/>
    <m/>
    <x v="1"/>
    <x v="90"/>
  </r>
  <r>
    <s v="ribworld.ie"/>
    <s v="minus"/>
    <s v="Fail"/>
    <s v="v=spf1 include:spf.protection.outlook.com -all"/>
    <s v="yes"/>
    <x v="1"/>
    <s v="v=DMARC1; p=quarantine; fo=1; rua=mailto:rua+ribworld.ie@dmarc.barracudanetworks.com; ruf=mailto:ruf+ribworld.ie@dmarc.barracudanetworks.com"/>
    <m/>
    <m/>
    <x v="13"/>
    <x v="90"/>
  </r>
  <r>
    <s v="dunmeats.com"/>
    <s v="no"/>
    <s v="Not found"/>
    <m/>
    <m/>
    <x v="0"/>
    <m/>
    <m/>
    <m/>
    <x v="23"/>
    <x v="90"/>
  </r>
  <r>
    <s v="callanbacon.com"/>
    <s v="minus"/>
    <s v="Fail"/>
    <s v="v=spf1 ip4:212.139.78.102 ip4:212.139.78.106 ip4:217.147.80.155 include:spf.protection.outlook.com include:spf.ess.uk.barracudanetworks.com -all"/>
    <m/>
    <x v="1"/>
    <s v="v=DMARC1; p=quarantine; fo=1; rua=mailto:rua+callanbacon.com@dmarc.barracudanetworks.com; ruf=mailto:ruf+callanbacon.com@dmarc.barracudanetworks.com"/>
    <m/>
    <m/>
    <x v="17"/>
    <x v="90"/>
  </r>
  <r>
    <s v="astrasales.com"/>
    <s v="tilde"/>
    <s v="Soft Fail"/>
    <s v="v=spf1 include:outlook.com ~all"/>
    <m/>
    <x v="0"/>
    <m/>
    <m/>
    <m/>
    <x v="0"/>
    <x v="90"/>
  </r>
  <r>
    <s v="avis.ie"/>
    <s v="minus"/>
    <s v="Fail"/>
    <s v="v=spf1 include:spf.protection.outlook.com include:email.freshdesk.com include:spf.messagelabs.com a:mail.avis.de mx:avis.ie include:avis.de -all"/>
    <s v="yes"/>
    <x v="2"/>
    <s v="v=DMARC1;p=none;pct=100;rua=mailto:it@avisbudget.ie"/>
    <m/>
    <m/>
    <x v="1"/>
    <x v="90"/>
  </r>
  <r>
    <s v="intel.com"/>
    <s v="minus"/>
    <s v="Fail"/>
    <s v="v=spf1 include:_spf.intel.com -all"/>
    <m/>
    <x v="2"/>
    <s v="v=DMARC1;p=none;sp=none;fo=1;rua=mailto:dmarc.notification@intel.com"/>
    <m/>
    <m/>
    <x v="9"/>
    <x v="90"/>
  </r>
  <r>
    <s v="finessemedical.com"/>
    <s v="no"/>
    <s v="Not found"/>
    <m/>
    <m/>
    <x v="0"/>
    <m/>
    <m/>
    <m/>
    <x v="20"/>
    <x v="90"/>
  </r>
  <r>
    <s v="molloys.com"/>
    <s v="no"/>
    <s v="Not found"/>
    <m/>
    <m/>
    <x v="0"/>
    <m/>
    <m/>
    <m/>
    <x v="0"/>
    <x v="90"/>
  </r>
  <r>
    <s v="diy.com"/>
    <s v="minus"/>
    <s v="Fail"/>
    <s v="v=spf1 mx:diy.com include:spf.protection.outlook.com include:amazonses.com -all"/>
    <s v="yes"/>
    <x v="3"/>
    <s v="v=DMARC1; p=reject; rua=mailto:102b7a32a370252@rep.dmarcanalyzer.com; ruf=mailto:102b7a32a370252@for.dmarcanalyzer.com; fo=1;"/>
    <s v="yes"/>
    <s v="https://s7g10.scene7.com/is/content/KingfisherDigital/f7be6e7a9bac2848e974916747f159c7cdcd6c2a"/>
    <x v="0"/>
    <x v="90"/>
  </r>
  <r>
    <s v="lisney.com"/>
    <s v="minus"/>
    <s v="Fail"/>
    <s v="v=spf1 include:spf.protection.outlook.com include:spf.eu.exclaimer.net include:mailgun.org include:servers.mcsv.net -all"/>
    <s v="yes"/>
    <x v="1"/>
    <s v="v=DMARC1; p=quarantine; rua=mailto:rua@dmarc.brevo.com"/>
    <m/>
    <m/>
    <x v="0"/>
    <x v="90"/>
  </r>
  <r>
    <s v="msl.ie"/>
    <s v="minus"/>
    <s v="Fail"/>
    <s v="v=spf1 include:spf.protection.outlook.com include:_spf.keyloop.io include:spf.ssmx.net include:em3324.donedeal.ie ip4:109.200.19.199 ip4:159.253.226.8/29; include:spf.mailanyone.net -all"/>
    <s v="yes"/>
    <x v="0"/>
    <m/>
    <m/>
    <m/>
    <x v="0"/>
    <x v="90"/>
  </r>
  <r>
    <s v="kn-portal.com"/>
    <s v="minus"/>
    <s v="Fail"/>
    <s v="v=spf1 include:_spf.retarus.com -all"/>
    <m/>
    <x v="0"/>
    <m/>
    <m/>
    <m/>
    <x v="0"/>
    <x v="90"/>
  </r>
  <r>
    <s v="shannonairport.ie"/>
    <s v="minus"/>
    <s v="Fail"/>
    <s v="v=spf1 include:spf.protection.outlook.com include:amazonses.com IP4:185.113.232.4 IP4:185.113.232.13 IP4:77.221.160.132 IP4:118.151.216.1 IP4:118.151.218.1 IP4:143.47.149.172 IP4:143.47.149.171 IP4:78.153.201.239 include:spf.newsletter.ie IP4:203.55.21.0/&quot; &quot;24 IP4:103.28.42.0/24 IP4:52.49.235.189 IP4:23.21.109.212 IP4:23.21.109.212 IP4:52.49.201.246 IP4:147.160.167.0/26 -all"/>
    <s v="yes"/>
    <x v="2"/>
    <s v="v=DMARC1;  p=none; rua=mailto:784d213b8d4a44c39ff04f7d2e6d0196@dmarc-reports.cloudflare.net"/>
    <m/>
    <m/>
    <x v="9"/>
    <x v="90"/>
  </r>
  <r>
    <s v="corkairport.com"/>
    <s v="minus"/>
    <s v="Fail"/>
    <s v="V=spf1 include:spf.messagelabs.com include:amazonses.com include:adl.advam.com include:spf.protection.outlook.com -all"/>
    <s v="yes"/>
    <x v="2"/>
    <s v="v=DMARC1; p=none; fo=1; rua=mailto:dmarc_agg@vali.email"/>
    <m/>
    <m/>
    <x v="1"/>
    <x v="90"/>
  </r>
  <r>
    <s v="stchristophers.ie"/>
    <s v="tilde"/>
    <s v="Soft Fail"/>
    <s v="v=spf1 ip4:185.43.232.208 ip4:78.137.164.80 ip4:78.137.164.101 ip4:78.135.164.80 include:spf.protection.outlook.com include:relay.mailchannels.net ~all"/>
    <s v="yes"/>
    <x v="0"/>
    <m/>
    <m/>
    <m/>
    <x v="20"/>
    <x v="90"/>
  </r>
  <r>
    <s v="itb.ie"/>
    <s v="minus"/>
    <s v="Fail"/>
    <s v="v=spf1 include:spf.protection.outlook.com ip4:193.1.36.252 a:newmail.ancheim.ie ip4:34.251.78.133 ip4:193.1.204.67 ip4:193.1.204.177 ip4:193.1.204.68 ip4:193.1.204.178 -all"/>
    <m/>
    <x v="3"/>
    <s v="v=DMARC1; p=reject; rua=mailto:xydjhcdp@ag.eu.dmarcian.com;"/>
    <m/>
    <m/>
    <x v="0"/>
    <x v="90"/>
  </r>
  <r>
    <s v="godolphin.com"/>
    <s v="minus"/>
    <s v="Fail"/>
    <s v="v=spf1 include:77v1bse7ba.powerspf.com -all"/>
    <s v="yes"/>
    <x v="3"/>
    <s v="v=DMARC1; p=reject; rua=mailto:5dupdjzczb@rua.powerdmarc.com; ruf=mailto:5dupdjzczb@ruf.powerdmarc.com; pct=100; fo=1;"/>
    <s v="yes"/>
    <s v="https://app.powerbimi.com/32079/bb3d146a-0e7a-401e-8260-d1ecfc1d6fae.svg"/>
    <x v="16"/>
    <x v="90"/>
  </r>
  <r>
    <s v="clubtravel.ie"/>
    <s v="tilde"/>
    <s v="Soft Fail"/>
    <s v="v=spf1 include:de._netblocks.mimecast.com a:mail.clubtravel.ie a:mail-rs1.clubtravel.ie a:relay.amadeus.net a:umbrellanet.ch a:mail-az1.clubtravel.ie ip4:162.13.67.43 ip4:171.17.133.140 ip4:46.38.183.30 ip4:83.138.154.78 ip4:162.13.66.166 ip4:84.203.208.1&quot; &quot;8 include:spf.protection.outlook.com include:_relay.amadeus.com ~all"/>
    <s v="yes"/>
    <x v="2"/>
    <s v="v=DMARC1; p=none; ruf=mailto:dmarc-ruf@clubtravel.ie; rua=mailto:dmarc-rua@clubtravel.ie;"/>
    <m/>
    <m/>
    <x v="0"/>
    <x v="90"/>
  </r>
  <r>
    <s v="rbc.com"/>
    <s v="minus"/>
    <s v="Fail"/>
    <s v="v=spf1 mx exists:%{i}.spf.hc391-17.ca.iphmx.com exists:%{i}.spf.hc490-56.ca.iphmx.com ip4:142.245.29.128/27 ip4:142.245.61.128/27 include:spf.protection.outlook.com -all"/>
    <s v="yes"/>
    <x v="3"/>
    <s v="v=DMARC1;p=reject;fo=1;rua=mailto:dmarc_rua@emaildefense.proofpoint.com;ruf=mailto:dmarc_ruf@emaildefense.proofpoint.com"/>
    <m/>
    <m/>
    <x v="0"/>
    <x v="90"/>
  </r>
  <r>
    <s v="kingslaundry.com"/>
    <s v="no"/>
    <s v="Not found"/>
    <m/>
    <m/>
    <x v="0"/>
    <m/>
    <m/>
    <m/>
    <x v="0"/>
    <x v="90"/>
  </r>
  <r>
    <s v="celticlinen.ie"/>
    <s v="minus"/>
    <s v="Fail"/>
    <s v="v=spf1 ip4:109.199.120.75 include:spf.protection.outlook.com include:_netblocks.mimecast.com -all include:spf-eu.emailsignatures365.com"/>
    <m/>
    <x v="0"/>
    <m/>
    <m/>
    <m/>
    <x v="3"/>
    <x v="90"/>
  </r>
  <r>
    <s v="premierglobal.com"/>
    <s v="minus"/>
    <s v="Fail"/>
    <s v="v=spf1 include:spf.protection.outlook.com -all"/>
    <m/>
    <x v="0"/>
    <m/>
    <m/>
    <m/>
    <x v="1"/>
    <x v="90"/>
  </r>
  <r>
    <s v="topaz.ie"/>
    <s v="minus"/>
    <s v="Fail"/>
    <s v="v=spf1 include:mail.zendesk.com -all"/>
    <m/>
    <x v="0"/>
    <m/>
    <m/>
    <m/>
    <x v="0"/>
    <x v="90"/>
  </r>
  <r>
    <s v="btireland.com"/>
    <s v="tilde"/>
    <s v="Soft Fail"/>
    <s v="v=spf1 a a:mxbackup.esat.net mx ip4:193.95.153.18 ip4:193.95.153.17 include:spf.protection.outlook.com include:aspmx.pardot.com ~all"/>
    <s v="yes"/>
    <x v="1"/>
    <s v="v=DMARC1; p=quarantine; rua=mailto:systems@btireland.net; ruf=mailto:systems@btireland.net; fo=1;"/>
    <m/>
    <m/>
    <x v="10"/>
    <x v="90"/>
  </r>
  <r>
    <s v="claytonhotelburlingtonroad.com"/>
    <s v="tilde"/>
    <s v="Soft Fail"/>
    <s v="V=SPF1 ~ALL"/>
    <m/>
    <x v="0"/>
    <m/>
    <m/>
    <m/>
    <x v="0"/>
    <x v="90"/>
  </r>
  <r>
    <s v="icts.co.uk"/>
    <s v="minus"/>
    <s v="Fail"/>
    <s v="v=spf1 a:chi-web-01.simprocloud.com include:spf.mailjet.com include:eu.mailgun.org include:spf.protection.outlook.com include:spf.recsrvr.co.uk -all"/>
    <s v="yes"/>
    <x v="2"/>
    <s v="v=DMARC1;p=none;sp=none;pct=100;rua=mailto:66014e0d12fbe@ag.dmarcly.com;ruf=mailto:66014e0d12fbe@ag.dmarcly.com;ri=86400;aspf=r;adkim=r;fo=1;"/>
    <m/>
    <m/>
    <x v="0"/>
    <x v="90"/>
  </r>
  <r>
    <s v="oiccleaning.ie"/>
    <s v="tilde"/>
    <s v="Soft Fail"/>
    <s v="v=spf1 include:spf.protection.outlook.com ~all"/>
    <m/>
    <x v="2"/>
    <s v="v=DMARC1; p=none; rua=mailto:support@perfecttechnology.ie; ruf=mailto:support@perfecttechnology.ie"/>
    <m/>
    <m/>
    <x v="0"/>
    <x v="90"/>
  </r>
  <r>
    <s v="standrews.ie"/>
    <s v="tilde"/>
    <s v="Soft Fail"/>
    <s v="v=spf1 mx a ip4:91.216.236.13 include:_spf.snwlhostedeu.com include:spf.protection.outlook.com ~all"/>
    <m/>
    <x v="0"/>
    <m/>
    <m/>
    <m/>
    <x v="0"/>
    <x v="90"/>
  </r>
  <r>
    <s v="hamilton.ie"/>
    <s v="no"/>
    <s v="Not found"/>
    <m/>
    <m/>
    <x v="0"/>
    <m/>
    <m/>
    <m/>
    <x v="16"/>
    <x v="90"/>
  </r>
  <r>
    <s v="alone.ie"/>
    <s v="tilde"/>
    <s v="Soft Fail"/>
    <s v="v=spf1 a mx include:bmsend.com include:spf.protection.outlook.com include:_spf.salesforce.com ~all"/>
    <s v="yes"/>
    <x v="0"/>
    <m/>
    <m/>
    <m/>
    <x v="0"/>
    <x v="90"/>
  </r>
  <r>
    <s v="srtechnics.com"/>
    <s v="minus"/>
    <s v="Fail"/>
    <s v="v=spf1 ip4:129.35.232.192/27 ip4:89.101.22.18 ip4:89.101.22.19 ip4:212.80.96.0/21 ip4:93.94.65.161 ip4:193.36.36.0/24 &quot; &quot;ip6:2a01:7480:1:100::/64 include:spf.protection.outlook.com include:_spf.rexx-suite.com &quot; &quot;include:spf0.exacttarget.com include:_spf-dc57.sapsf.eu exists:%{i}._spf.mta.salesforce.com -all"/>
    <s v="yes"/>
    <x v="1"/>
    <s v="v=DMARC1; p=quarantine; ri=604800; rua=mailto:securitylog@srtechnics.com"/>
    <m/>
    <m/>
    <x v="1"/>
    <x v="91"/>
  </r>
  <r>
    <s v="rod.ie"/>
    <s v="minus"/>
    <s v="Fail"/>
    <s v="v=spf1 mx include:spf.topsec.com include:spf.protection.outlook.com  -all"/>
    <m/>
    <x v="2"/>
    <s v="v=DMARC1; p=none; rua=mailto:help@rod.ie; ruf=mailto:help@rod.ie; fo=1"/>
    <m/>
    <m/>
    <x v="0"/>
    <x v="92"/>
  </r>
  <r>
    <s v="stjohnofgodhospital.ie"/>
    <s v="tilde"/>
    <s v="Soft Fail"/>
    <s v="v=spf1 a mx ip4:78.153.213.253 ip4:91.210.235.216 include:_spf.blacknight.com ~all"/>
    <s v="yes"/>
    <x v="0"/>
    <m/>
    <m/>
    <m/>
    <x v="0"/>
    <x v="92"/>
  </r>
  <r>
    <s v="rci.com"/>
    <s v="tilde"/>
    <s v="Soft Fail"/>
    <s v="v=spf1 ip4:109.203.119.52 ip4:154.119.231.66 ip4:3.128.60.215 ip4:3.137.124.21 include:spf.clearslide.com include:eversrv.com include:emsd1.com include:spf.protection.outlook.com ~all"/>
    <m/>
    <x v="2"/>
    <s v="v=DMARC1; p=none; fo=1; ri=3600; rua=mailto:dmarcreports@rci.com,mailto:dmarc_agg@vali.email; ruf=mailto:dmarcreports@rci.com; aspf=s; adkim=s"/>
    <m/>
    <m/>
    <x v="1"/>
    <x v="92"/>
  </r>
  <r>
    <s v="ammeon.com"/>
    <s v="minus"/>
    <s v="Fail"/>
    <s v="v=spf1 include:spf.protection.outlook.com include:spf-005cca01.pphosted.com -all"/>
    <s v="yes"/>
    <x v="3"/>
    <s v="v=DMARC1; p=reject; sp=reject; adkim=s; aspf=s; rua=mailto:dmarc_agg@vali.email,mailto:spf@intive.com; ruf=mailto:spf@intive.com; fo=1"/>
    <m/>
    <m/>
    <x v="0"/>
    <x v="93"/>
  </r>
  <r>
    <s v="taoiseach.gov.ie"/>
    <s v="tilde"/>
    <s v="Soft Fail"/>
    <s v="v=spf1 mx ip4:137.191.240.130 ip4:137.191.240.142 ip4:137.191.246.70 ip4:137.191.246.71 ip4:154.52.2.130 include:_spf.fortimailcloud.com include:spf.protection.outlook.com include:spf.newsletter.ie ~all"/>
    <s v="yes"/>
    <x v="2"/>
    <s v="v=DMARC1; p=none; rua=mailto:l9nkyd7g@ag.dmarcian-eu.com; sp=none; ri=86400"/>
    <m/>
    <m/>
    <x v="0"/>
    <x v="94"/>
  </r>
  <r>
    <s v="osi.ie"/>
    <s v="tilde"/>
    <s v="Soft Fail"/>
    <s v="v=spf1 ip4:137.191.226.155/32 ip4:137.191.226.154/32 exists:%{i}.spf.hc2013-12.eu.iphmx.com include:spf.mandrillapp.com include:spf.protection.outlook.com include:res.cisco.com ~all"/>
    <m/>
    <x v="0"/>
    <m/>
    <m/>
    <m/>
    <x v="0"/>
    <x v="94"/>
  </r>
  <r>
    <s v="meadepotato.com"/>
    <s v="minus"/>
    <s v="Fail"/>
    <s v="v=spf1 include:one.zoho.com include:sender.zohobooks.com include:spf.protection.outlook.com include:eu._netblocks.mimecast.com include:spf-eu.emailsignatures365.com -all"/>
    <m/>
    <x v="0"/>
    <m/>
    <m/>
    <m/>
    <x v="15"/>
    <x v="94"/>
  </r>
  <r>
    <s v="kclub.ie"/>
    <s v="tilde"/>
    <s v="Soft Fail"/>
    <s v="v=spf1 include:_spf.kclub_ie._d.easydmarc.pro ~all"/>
    <s v="yes"/>
    <x v="2"/>
    <s v="v=DMARC1;p=none;rua=mailto:2fa9a7572f@rua.easydmarc.eu,mailto:dmarcreports@kclub.ie;ruf=mailto:2fa9a7572f@ruf.easydmarc.eu;fo=1;"/>
    <m/>
    <m/>
    <x v="16"/>
    <x v="94"/>
  </r>
  <r>
    <s v="dilloneustace.ie"/>
    <s v="tilde"/>
    <s v="Soft Fail"/>
    <s v="v=spf1 include:_netblocks.mimecast.com include:031d9391-spf.mta.getcheckrecipient.com ~all"/>
    <s v="yes"/>
    <x v="3"/>
    <s v="v=DMARC1; p=reject; rua=mailto:2ecec302a20f410@rep.dmarcanalyzer.com; ruf=mailto:2ecec302a20f410@for.dmarcanalyzer.com; fo=1;"/>
    <m/>
    <m/>
    <x v="0"/>
    <x v="94"/>
  </r>
  <r>
    <s v="butlerschocolates.com"/>
    <s v="minus"/>
    <s v="Fail"/>
    <s v="v=spf1 include:_spf.kooomo.com include:spf.protection.outlook.com include:spf2.butlerschocolates.com include:spf3.butlerschocolates.com include:spf4.butlerschocolates.com include:spf5.butlerschocolates.com include:spfa.mailendo.com -all"/>
    <s v="yes"/>
    <x v="1"/>
    <s v="v=DMARC1; p=quarantine; rua=mailto:dmarcreport@butlerschocolates.com"/>
    <m/>
    <m/>
    <x v="0"/>
    <x v="94"/>
  </r>
  <r>
    <s v="senacagroup.com"/>
    <s v="no"/>
    <s v="Not found"/>
    <m/>
    <m/>
    <x v="0"/>
    <m/>
    <m/>
    <m/>
    <x v="16"/>
    <x v="94"/>
  </r>
  <r>
    <s v="irish-yogurts.ie"/>
    <s v="mis"/>
    <s v="Invalid SPF Syntax"/>
    <s v="V=spf1 include:_spf_euwest1.prod.hydra.sophos.com"/>
    <s v="yes"/>
    <x v="0"/>
    <m/>
    <m/>
    <m/>
    <x v="1"/>
    <x v="94"/>
  </r>
  <r>
    <s v="lawsociety.ie"/>
    <s v="minus"/>
    <s v="Fail"/>
    <s v="v=spf1  ip4:212.84.45.10/32 ip4:87.198.182.32/28 ip4:212.78.228.5/32 ip4:31.193.222.80/28 ip4:216.220.33.81 ip4:216.220.41.78 ip4:205.201.45.64 a:lawsoc.enovation.ie include:spf.messagelabs.com include:spf.protection.outlook.com include&quot; &quot;:informz.net include:informz.ca include:_spf.createsend.com include:sendgrid.net -all"/>
    <s v="yes"/>
    <x v="3"/>
    <s v="v=DMARC1; p=reject; rua=mailto:186bc1705a884439867643972014f773@dmarc-reports.cloudflare.net; ruf=mailto:186bc1705a884439867643972014f773@dmarc-reports.cloudflare.net; fo=1; pct=100; rf=afrf"/>
    <m/>
    <m/>
    <x v="0"/>
    <x v="95"/>
  </r>
  <r>
    <s v="cornmarket.ie"/>
    <s v="tilde"/>
    <s v="Soft Fail"/>
    <s v="v=spf1 include:%{ir}.%{v}.%{d}.spf.has.pphosted.com ~all"/>
    <s v="yes"/>
    <x v="3"/>
    <s v="v=DMARC1; p=reject; sp=reject; fo=1; rua=mailto:dmarc_rua@emaildefense.proofpoint.com; ruf=mailto:dmarc_ruf@emaildefense.proofpoint.com"/>
    <m/>
    <m/>
    <x v="0"/>
    <x v="95"/>
  </r>
  <r>
    <s v="mosgroup.ie"/>
    <s v="tilde"/>
    <s v="Soft Fail"/>
    <s v="v=spf1 ip4:213.186.47.113 ip4:92.39.184.200 include:spf.protection.outlook.com include:mailgun.org ~all"/>
    <s v="yes"/>
    <x v="2"/>
    <s v="v=DMARC1; p=none; fo=1; rua=mailto:rua+mosgroup.ie@dmarc.barracudanetworks.com; ruf=mailto:ruf+mosgroup.ie@dmarc.barracudanetworks.com"/>
    <m/>
    <m/>
    <x v="1"/>
    <x v="95"/>
  </r>
  <r>
    <s v="merrionhotel.com"/>
    <s v="tilde"/>
    <s v="Soft Fail"/>
    <s v="v=spf1 mx ip4:165.84.219.9 ip4:151.193.18.41 include:spf.newsletter.ie include:spf.nextguest.app include:spf.mandrillapp.com include:spf.protection.outlook.com include:_spf.smtp.com ~all"/>
    <s v="yes"/>
    <x v="2"/>
    <s v="v=DMARC1; p=none; rua=mailto:gdpr_pm@merrionhotel.com"/>
    <m/>
    <m/>
    <x v="0"/>
    <x v="95"/>
  </r>
  <r>
    <s v="donnybrookfair.ie"/>
    <s v="minus"/>
    <s v="Fail"/>
    <s v="v=spf1 ip4:81.94.196.136 ip4:185.65.48.182 include:spf.protection.outlook.com include:spf.musgrave.laposa.ie include:sendgrid.net -all"/>
    <s v="yes"/>
    <x v="2"/>
    <s v="v=DMARC1; p=none;"/>
    <m/>
    <m/>
    <x v="0"/>
    <x v="95"/>
  </r>
  <r>
    <s v="ashlinghotel.ie"/>
    <s v="minus"/>
    <s v="Fail"/>
    <s v="v=spf1 include:spamtitan.tierneys.ie include:spf.protection.outlook.com include:spf.mandrillapp.com include:netaffinity.net ip4:31.216.239.134 -all"/>
    <s v="yes"/>
    <x v="2"/>
    <s v="v=DMARC1; p=none;"/>
    <m/>
    <m/>
    <x v="0"/>
    <x v="96"/>
  </r>
  <r>
    <s v="evershedssutherland.ie"/>
    <s v="minus"/>
    <s v="Fail"/>
    <s v="v=spf1 -all"/>
    <m/>
    <x v="3"/>
    <s v="v=DMARC1; p=reject; pct=100; fo=1; ri=3600; rua=mailto:0ca29987@inbox.ondmarc.com; ruf=mailto:0ca29987@inbox.ondmarc.com;"/>
    <m/>
    <m/>
    <x v="0"/>
    <x v="97"/>
  </r>
  <r>
    <s v="grantengineering.ie"/>
    <s v="tilde"/>
    <s v="Soft Fail"/>
    <s v="v=spf1 include:spf.eu.exclaimer.net include:spf.protection.outlook.com include:zcsend.net include:transmail.net ~all"/>
    <s v="yes"/>
    <x v="1"/>
    <s v="v=DMARC1; p=quarantine; rua=mailto:bce8e568@in.mailhardener.com; ruf=mailto:bce8e568@in.mailhardener.com; fo=1; pct=100; ri=86400"/>
    <m/>
    <m/>
    <x v="21"/>
    <x v="97"/>
  </r>
  <r>
    <s v="teleflex.com"/>
    <s v="tilde"/>
    <s v="Soft Fail"/>
    <s v="v=spf1 ip4:131.233.0.235 ip4:131.233.0.145 include:_spf-amer.onbmc.com include:_spf.salesforce.com include:spf.protection.outlook.com include:us._netblocks.mimecast.com include:amazonses.com include:_spf-dc8.sapsf.com ~all"/>
    <s v="yes"/>
    <x v="1"/>
    <s v="v=DMARC1; p=quarantine; rua=mailto:5e94523a9aab7@ag.dmarcly.com; ruf=mailto:5e94523a9aab7@fo.dmarcly.com; sp=quarantine; pct=0; fo=0;"/>
    <m/>
    <m/>
    <x v="5"/>
    <x v="97"/>
  </r>
  <r>
    <s v="daughtersofcharity.ie"/>
    <s v="minus"/>
    <s v="Fail"/>
    <s v="v=spf1 include:spf.protection.outlook.com -all"/>
    <m/>
    <x v="0"/>
    <m/>
    <m/>
    <m/>
    <x v="0"/>
    <x v="97"/>
  </r>
  <r>
    <s v="ncbi.ie"/>
    <s v="minus"/>
    <s v="Fail"/>
    <s v="v=spf1 include:spf.protection.outlook.com include:_spf.salesforce.com include:servers.mcsv.net ip4:91.210.232.230 include:spf.emailsignatures365.com include:25485294.spf01.hubspotemail.net -all"/>
    <s v="yes"/>
    <x v="1"/>
    <s v="v=DMARC1; p=quarantine; sp=none; rua=mailto:re+8afa1eb7f7d3@inbound.dmarcdigests.com; aspf=r; pct=100"/>
    <m/>
    <m/>
    <x v="0"/>
    <x v="97"/>
  </r>
  <r>
    <s v="llynch.com"/>
    <s v="minus"/>
    <s v="Fail"/>
    <s v="v=spf1 ip4:51.141.9.15 mx a:webmail.llynch.com include:spf.exclaimer.net include:spf.protection.outlook.com -all"/>
    <s v="yes"/>
    <x v="0"/>
    <m/>
    <m/>
    <m/>
    <x v="0"/>
    <x v="97"/>
  </r>
  <r>
    <s v="group4securicor.ie"/>
    <s v="no"/>
    <s v="Not found"/>
    <m/>
    <m/>
    <x v="0"/>
    <m/>
    <m/>
    <m/>
    <x v="1"/>
    <x v="97"/>
  </r>
  <r>
    <s v="sig.ie"/>
    <s v="minus"/>
    <s v="Fail"/>
    <s v="v=spf1 include:spf.protection.outlook.com include:eu._netblocks.mimecast.com include:autotask.net ip4:149.71.163.138 ip4:149.71.163.139 ip4:149.71.163.140 ip4:149.71.163.141 ip4:109.70.210.123 ip4:109.70.210.124 ip4:52.236.150.44 ip4:52.157.225.153 ip4:10&quot; &quot; 4.40.229.156 ip4:34.255.31.235 ip4:54.240.7.37 ip4:52.128.40.0/21 mx -all"/>
    <s v="yes"/>
    <x v="2"/>
    <s v="v=DMARC1; p=none; rua=mailto:21e415078983506@rep.dmarcanalyzer.com; ruf=mailto:21e415078983506@for.dmarcanalyzer.com; fo=1;"/>
    <m/>
    <m/>
    <x v="0"/>
    <x v="97"/>
  </r>
  <r>
    <s v="johnpaul.ie"/>
    <s v="minus"/>
    <s v="Fail"/>
    <s v="v=spf1 include:_u.johnpaul.ie._spf.smart.ondmarc.com -all "/>
    <s v="yes"/>
    <x v="3"/>
    <s v="v=DMARC1; p=reject; pct=100; sp=reject; rua=mailto:628e2d9b@inbox.ondmarc.com; ruf=mailto:628e2d9b@inbox.ondmarc.com; adkim=r; aspf=r; fo=0; rf=afrf; ri=3600"/>
    <m/>
    <m/>
    <x v="0"/>
    <x v="97"/>
  </r>
  <r>
    <s v="csso.gov.ie"/>
    <s v="tilde"/>
    <s v="Soft Fail"/>
    <s v="v=spf1 a:mail.csso.gov.ie ip4:137.191.224.108 ip4:193.178.99.98 ip4:193.178.99.99 ~all"/>
    <m/>
    <x v="0"/>
    <m/>
    <m/>
    <m/>
    <x v="0"/>
    <x v="98"/>
  </r>
  <r>
    <s v="meridianglobalservices.com"/>
    <s v="minus"/>
    <s v="Fail"/>
    <s v="v=spf1 ip4:213.168.247.128/27 ip4:162.13.63.236 mx:meridianp2p.com mx:meridianglobalservices.com include:1717734.spf08.hubspotemail.net include:_spf.atlassian.net include:spf.messagelabs.com -all"/>
    <m/>
    <x v="1"/>
    <s v="v=DMARC1; p=quarantine; rua=mailto:dmarc@meridianglobalservices.com; aspf=s;"/>
    <m/>
    <m/>
    <x v="0"/>
    <x v="99"/>
  </r>
  <r>
    <s v="hmhco.com"/>
    <s v="tilde"/>
    <s v="Soft Fail"/>
    <s v="v=spf1 ip4:209.235.126.1 ip4:209.235.126.2 ip4:209.235.126.7 ip4:209.235.126.8 ip4:209.235.126.9 ip4:209.235.126.10 include:_netblocks.hmhco.com include:_spf.salesforce.com include:us._netblocks.mimecast.com include:6573d6.workshop-spf.net ~all"/>
    <s v="yes"/>
    <x v="0"/>
    <m/>
    <m/>
    <m/>
    <x v="0"/>
    <x v="99"/>
  </r>
  <r>
    <s v="tli.ie"/>
    <s v="minus"/>
    <s v="Fail"/>
    <s v="v=spf1 include:spf.protection.outlook.com -all"/>
    <s v="yes"/>
    <x v="1"/>
    <s v="v=DMARC1; p=quarantine; rua=mailto:dmarc@tli.ie;ruf=mailto:dmarc@tli.ie"/>
    <m/>
    <m/>
    <x v="14"/>
    <x v="99"/>
  </r>
  <r>
    <s v="oxigen.ie"/>
    <s v="tilde"/>
    <s v="Soft Fail"/>
    <s v="v=spf1 include:_spf.mlsend.com ip4:217.115.115.25 ip4:217.115.115.183 include:trustpilotservice.com include:relay.mailchannels.net include:spf.enterprisemailbox.com +a +mx ~all"/>
    <s v="yes"/>
    <x v="3"/>
    <s v="v=DMARC1;p=reject;sp=reject;pct=100;rua=mailto:9a8f0ba1a9@rua.easydmarc.eu;ruf=mailto:9a8f0ba1a9@ruf.easydmarc.eu,mailto:scowley@oxigen.ie;ri=86400;aspf=r;adkim=r;fo=1;"/>
    <m/>
    <m/>
    <x v="0"/>
    <x v="99"/>
  </r>
  <r>
    <s v="walls.ie"/>
    <s v="tilde"/>
    <s v="Soft Fail"/>
    <s v="v=spf1 include:eu._netblocks.mimecast.com ~all"/>
    <m/>
    <x v="0"/>
    <m/>
    <m/>
    <m/>
    <x v="0"/>
    <x v="99"/>
  </r>
  <r>
    <s v="barrys.ie"/>
    <s v="mis"/>
    <s v="Invalid SPF Syntax"/>
    <s v="v=spf1 include:_spf.getresponse.com redirect=_sf2c3m436.sdmarc.net"/>
    <s v="yes"/>
    <x v="3"/>
    <s v="v=DMARC1; p=reject; pct=100; rua=mailto:a.f2c3m436@sdmarc.net"/>
    <m/>
    <m/>
    <x v="1"/>
    <x v="99"/>
  </r>
  <r>
    <s v="gowangroup.ie"/>
    <s v="minus"/>
    <s v="Fail"/>
    <s v="v=spf1 include:spf.hornetsecurity.com include:spf.protection.outlook.com -all"/>
    <s v="yes"/>
    <x v="2"/>
    <s v="v=DMARC1; p=none; rua=mailto:alerts@gowanauto.ie; aspf=s;"/>
    <m/>
    <m/>
    <x v="0"/>
    <x v="99"/>
  </r>
  <r>
    <s v="irishlights.ie"/>
    <s v="minus"/>
    <s v="Fail"/>
    <s v="v=spf1 include:spf.protection.outlook.com a:mail.irishlights.ie a:mail2.irishlights.ie include:spf.topsec.com ip4:46.22.130.48 ip4:81.17.250.120 ip4:213.234.110.133 ip4:165.72.200.104 -all"/>
    <s v="yes"/>
    <x v="1"/>
    <s v="v=DMARC1; p=quarantine; pct=100; rua=mailto:dmarc@irishlights.ie; ruf=mailto:dmarc@irishlights.ie; fo=1"/>
    <m/>
    <m/>
    <x v="0"/>
    <x v="99"/>
  </r>
  <r>
    <s v="corkcollegeofcommerce.ie"/>
    <s v="minus"/>
    <s v="Fail"/>
    <s v="v=spf1 ip4:87.38.8.1/28 ip4:91.123.227.133 include:spf.protection.outlook.com -all"/>
    <s v="yes"/>
    <x v="1"/>
    <s v="v=DMARC1; p=quarantine; pct=100;"/>
    <m/>
    <m/>
    <x v="1"/>
    <x v="99"/>
  </r>
  <r>
    <s v="coddmushrooms.ie"/>
    <s v="minus"/>
    <s v="Fail"/>
    <s v="v=spf1 ip4:78.143.141.126 include:spf.protection.outlook.com a:smtp.ripplecom.net -all"/>
    <m/>
    <x v="0"/>
    <m/>
    <m/>
    <m/>
    <x v="25"/>
    <x v="99"/>
  </r>
  <r>
    <s v="ioh.ie"/>
    <s v="tilde"/>
    <s v="Soft Fail"/>
    <s v="v=spf1 a mx ip4:212.17.32.27 ip4:137.191.249.27 ip4:34.249.86.25 include:spf.protection.outlook.com ~all"/>
    <m/>
    <x v="0"/>
    <m/>
    <m/>
    <m/>
    <x v="0"/>
    <x v="99"/>
  </r>
  <r>
    <s v="dromoland.ie"/>
    <s v="minus"/>
    <s v="Fail"/>
    <s v="v=spf1 include:spamtitan.tierneys.ie include:spf.protection.outlook.com ip4:34.251.246.197/32 ip4:34.254.147.8/32 ip4:168.245.122.106 ip4:50.31.43.115 ip4:167.89.97.89 ip4:168.245.107.93 ip4:168.245.125.123 ip4:168.245.52.34 ip4:168.245.64.103 ip4:167.89.&quot; &quot;0.0/17 ip4:208.117.48.0/20 ip4:50.31.32.0/19 ip4:198.37.144.0/20 ip4:198.21.0.0/21 ip4:192.254.112.0/20 ip4:168.245.0.0/17 ip4:149.72.0.0/16 ip4:159.183.0.0/16 ip4:223.165.113.0/24 ip4:223.165.115.0/24 ip4:223.165.118.0/23 ip4:223.165.120.0/23 include:ora&quot; &quot;cleindustry.com -all"/>
    <s v="yes"/>
    <x v="2"/>
    <s v="v=DMARC1; p=none; sp=none; rua=mailto:dmarc@dromoland.ie"/>
    <m/>
    <m/>
    <x v="9"/>
    <x v="99"/>
  </r>
  <r>
    <s v="mountjuliet.ie"/>
    <s v="minus"/>
    <s v="Fail"/>
    <s v="v=spf1 include:spf.protection.outlook.com include:netaffinity.net  include:mail.marriott.com include:mailhost.int.oracleindustry.com -all"/>
    <s v="yes"/>
    <x v="2"/>
    <s v="v=DMARC1; p=none;"/>
    <m/>
    <m/>
    <x v="17"/>
    <x v="99"/>
  </r>
  <r>
    <s v="standardlife.ie"/>
    <s v="tilde"/>
    <s v="Soft Fail"/>
    <s v="v=spf1 include:aspmx.pardot.com include:eu._netblocks.mimecast.com include:spf.messagelabs.com include:authsmtp.com ~all"/>
    <m/>
    <x v="1"/>
    <s v="v=DMARC1; p=quarantine; fo=1; pct=10; ri=3600; rua=mailto:standard-life@rua.agari.com; ruf=mailto:standard-life@ruf.agari.com"/>
    <m/>
    <m/>
    <x v="0"/>
    <x v="99"/>
  </r>
  <r>
    <s v="virginmediatelevision.ie"/>
    <s v="tilde"/>
    <s v="Soft Fail"/>
    <s v="v=spf1 ip4:193.120.86.135 ip4:193.120.86.133 ip4:83.71.194.199 ip4:79.140.139.0/24 include:spf.liberty.biz include:lgsmtp.spf.upcmail.net include:mx.spf.upcmail.net include:custhelp.com include:nw010.com ~all"/>
    <m/>
    <x v="3"/>
    <s v="v=DMARC1; p=reject; sp=reject; rua=mailto:jn2qdxcl@ag.eu.dmarcadvisor.com; ruf=mailto:jn2qdxcl@fr.eu.dmarcadvisor.com"/>
    <m/>
    <m/>
    <x v="0"/>
    <x v="99"/>
  </r>
  <r>
    <s v="arise-europe.com"/>
    <s v="minus"/>
    <s v="Fail"/>
    <s v="v=spf1 ip4:193.120.127.172 include:spf.protection.outlook.com include:spf.smtp2go.com include:spf.hornetsecurity.com -all"/>
    <s v="yes"/>
    <x v="2"/>
    <s v="v=DMARC1; p=none; fo=1; rua= mailto:dmarc@6w95c0az.uriports.com; ruf= mailto:dmarc@6w95c0az.uriports.com"/>
    <m/>
    <m/>
    <x v="5"/>
    <x v="99"/>
  </r>
  <r>
    <s v="rockwellautomation.com"/>
    <s v="minus"/>
    <s v="Fail"/>
    <s v="v=spf1 include:rockwellautomation.com._nspf.vali.email include:%{i}._ip.%{h}._ehlo.%{d}._spf.vali.email include:_netblocks.eloqua.com include:spf.protection.outlook.com -all"/>
    <s v="yes"/>
    <x v="3"/>
    <s v="v=DMARC1; p=reject; rua=mailto:dmarc_agg@vali.email; ruf=mailto:dmarc@rockwellautomation.com"/>
    <m/>
    <m/>
    <x v="1"/>
    <x v="99"/>
  </r>
  <r>
    <s v="oneills.com"/>
    <s v="tilde"/>
    <s v="Soft Fail"/>
    <s v="v=spf1 ip4:46.37.184.107 ip4:46.37.184.110 ip4:46.37.184.116 ip4:46.37.184.150 ip4:46.37.184.151 include:_netblocks.mimecast.com include:mail.zendesk.com include:icpbounce.com include:_spf.bigcommerce.com ~all"/>
    <m/>
    <x v="2"/>
    <s v="v=DMARC1;  p=none; rua=mailto:bf84b91d8a5c48c591da61de655e4363@dmarc-reports.cloudflare.net"/>
    <m/>
    <m/>
    <x v="0"/>
    <x v="99"/>
  </r>
  <r>
    <s v="drinagh.com"/>
    <s v="minus"/>
    <s v="Fail"/>
    <s v="v=spf1 include:spf1.drinagh.com include:spf2.drinagh.com ip4:84.51.253.158 -all"/>
    <s v="yes"/>
    <x v="2"/>
    <s v="v=DMARC1; p=none; fo=1; rua=mailto:rua+drinagh.com@dmarc.barracudanetworks.com; ruf=mailto:ruf+drinagh.com@dmarc.barracudanetworks.com"/>
    <m/>
    <m/>
    <x v="1"/>
    <x v="99"/>
  </r>
  <r>
    <s v="largofoods.ie"/>
    <s v="minus"/>
    <s v="Fail"/>
    <s v="v=spf1 ip6:fd1b:212c:a5f9::/48 -all"/>
    <m/>
    <x v="0"/>
    <m/>
    <m/>
    <m/>
    <x v="15"/>
    <x v="99"/>
  </r>
  <r>
    <s v="c-a-m.com"/>
    <s v="minus"/>
    <s v="Fail"/>
    <s v="v=spf1 -all"/>
    <s v="yes"/>
    <x v="3"/>
    <s v="v=DMARC1; p=reject; fo=1; rua=mailto:dmarc_rua@emaildefense.proofpoint.com; ruf=mailto:dmarc_ruf@emaildefense.proofpoint.com"/>
    <m/>
    <m/>
    <x v="20"/>
    <x v="99"/>
  </r>
  <r>
    <s v="mowi.com"/>
    <s v="tilde"/>
    <s v="Soft Fail"/>
    <s v="v=spf1 include:%{ir}.%{v}.%{d}.spf.has.pphosted.com ~all"/>
    <s v="yes"/>
    <x v="3"/>
    <s v="v=DMARC1; p=reject; fo=1; rua=mailto:dmarc_rua@emaildefense.proofpoint.com; ruf=mailto:dmarc_ruf@emaildefense.proofpoint.com"/>
    <m/>
    <m/>
    <x v="6"/>
    <x v="99"/>
  </r>
  <r>
    <s v="gleneaglehotel.com"/>
    <s v="minus"/>
    <s v="Fail"/>
    <s v="v=spf1 mx include:guestline.net include:roomlynx.net include:spf.mandrillapp.com include:spf.protection.outlook.com include:authsmtp.com include:_spf.bookassist.com ip4:13.80.180.142 -all"/>
    <s v="yes"/>
    <x v="2"/>
    <s v="v=DMARC1; p=none"/>
    <m/>
    <m/>
    <x v="14"/>
    <x v="99"/>
  </r>
  <r>
    <s v="hertel.com"/>
    <s v="minus"/>
    <s v="Fail"/>
    <s v="v=spf1 include:smtp.luna.nl ip4:80.195.39.75 ip4:203.166.101.173 ip4:91.103.190.48/28 ip4:91.103.191.0/26 include:spf.protection.outlook.com -all"/>
    <s v="yes"/>
    <x v="3"/>
    <s v="v=DMARC1;p=reject;rua=mailto:dmarc_agg@vali.email"/>
    <m/>
    <m/>
    <x v="5"/>
    <x v="99"/>
  </r>
  <r>
    <s v="debenhams.ie"/>
    <s v="no"/>
    <s v="Not found"/>
    <m/>
    <m/>
    <x v="0"/>
    <m/>
    <m/>
    <m/>
    <x v="0"/>
    <x v="99"/>
  </r>
  <r>
    <s v="houseoffraser.co.uk"/>
    <s v="minus"/>
    <s v="Fail"/>
    <s v="v=spf1 ip4:77.86.28.73 ip4:86.17.5.233 ip4:86.17.5.229 ip4:195.11.175.229 ip4:109.176.84.229 include:hof.co.uk include:spf.protection.outlook.com include:email.freshdesk.com -all"/>
    <m/>
    <x v="1"/>
    <s v="v=DMARC1; p=quarantine; rua=mailto:dmarc@frasers.group,mailto:dmarc_agg@dmarc.everest.email; ruf=mailto:forensics@frasers.group; pct=100"/>
    <s v="yes"/>
    <s v="https://bimi-host.250ok.com/740383_houseoffraser_co_uk.svg"/>
    <x v="0"/>
    <x v="99"/>
  </r>
  <r>
    <s v="muiriosa.ie"/>
    <s v="tilde"/>
    <s v="Soft Fail"/>
    <s v="v=spf1 ip4:66.206.3.250 ip4:69.46.21.82 +a +mx +ip4:206.51.235.130 +ip4:185.56.137.57 +ip4:184.173.239.120 +include:spf.topsec.com +include:spf.protection.outlook.com ~all"/>
    <s v="yes"/>
    <x v="2"/>
    <s v="v=DMARC1; p=none; rua=mailto:pcs4akum@ag.eu.dmarcian.com;"/>
    <m/>
    <m/>
    <x v="16"/>
    <x v="99"/>
  </r>
  <r>
    <s v="trendmicro.com"/>
    <s v="minus"/>
    <s v="Fail"/>
    <s v="v=spf1 mx include:_spf-mix.trendmicro.com include:spf-us.tmes.trendmicro.com include:mktomail.com include:spf.mandrillapp.com include:fc1503.cuenote.jp include:spf-euw1.docebopaas.com include:spf.protection.outlook.com -all"/>
    <s v="yes"/>
    <x v="1"/>
    <s v="v=DMARC1; p=quarantine; pct=100; rua=mailto:mad666@dmarcrua.tmes.trendmicro.com;"/>
    <s v="yes"/>
    <s v="https://vmc.digicert.com/dbf878e8-4fc9-4160-98b2-a888744432ee.svg"/>
    <x v="1"/>
    <x v="99"/>
  </r>
  <r>
    <s v="citrix.com"/>
    <s v="tilde"/>
    <s v="Soft Fail"/>
    <s v="v=spf1 include:spf.citrix.com include:spf2.citrix.com include:_spf.google.com include:spf.protection.outlook.com include:spf_c.oraclecloud.com ~all"/>
    <s v="yes"/>
    <x v="3"/>
    <s v="v=DMARC1;p=reject;sp=reject;pct=100;rua=mailto:cvr05wpm@ag.dmarcian.com"/>
    <m/>
    <m/>
    <x v="0"/>
    <x v="99"/>
  </r>
  <r>
    <s v="fineos.com"/>
    <s v="tilde"/>
    <s v="Soft Fail"/>
    <s v="v=spf1 include:pco3hvr0ok.spf.mailauth.ironscales.com ~all"/>
    <m/>
    <x v="2"/>
    <s v="v=DMARC1; p=none; rua=mailto:cp5ngrvul0@rua.mailauth.ironscales.com; ruf=mailto:cp5ngrvul0@ruf.mailauth.ironscales.com; fo=1;"/>
    <m/>
    <m/>
    <x v="0"/>
    <x v="99"/>
  </r>
  <r>
    <s v="guidewire.com"/>
    <s v="mis"/>
    <s v="Invalid SPF Syntax"/>
    <s v="v=spf1 redirect=4h8ltvx9._spf._d.mim.ec"/>
    <s v="yes"/>
    <x v="1"/>
    <s v="v=DMARC1; p=quarantine; rua=mailto:efcc33448d04048@rep.dmarcanalyzer.com; ruf=mailto:efcc33448d04048@for.dmarcanalyzer.com; fo=1;"/>
    <m/>
    <m/>
    <x v="0"/>
    <x v="99"/>
  </r>
  <r>
    <s v="ncirl.ie"/>
    <s v="minus"/>
    <s v="Fail"/>
    <s v="v=spf1 ip4:193.1.209.100 ip4:20.54.73.47 ip4:20.93.10.149 ip4:10.60.26.5 ip4:78.153.205.252 ip4:78.153.203.204 ip4:193.1.245.136 include:spf2.ncirl.ie include:spf.protection.outlook.com include:spf.constantcontact.com include:457020.spf01.hubspotemail.net&quot; &quot; include:_spf.eu.messagegears.net include:spf.blacknight.com include:mail.zendesk.com -all"/>
    <s v="yes"/>
    <x v="2"/>
    <s v="v=DMARC1; p=none;"/>
    <m/>
    <m/>
    <x v="0"/>
    <x v="99"/>
  </r>
  <r>
    <s v="dawnpork.com"/>
    <s v="no"/>
    <s v="Not found"/>
    <m/>
    <m/>
    <x v="0"/>
    <m/>
    <m/>
    <m/>
    <x v="10"/>
    <x v="99"/>
  </r>
  <r>
    <s v="gecas.com"/>
    <s v="no"/>
    <s v="Not found"/>
    <m/>
    <m/>
    <x v="2"/>
    <s v="v=DMARC1; p=none; fo=1; rua=mailto:dmarc_rua@emaildefense.proofpoint.com; ruf=mailto:dmarc_ruf@emaildefense.proofpoint.com"/>
    <m/>
    <m/>
    <x v="9"/>
    <x v="99"/>
  </r>
  <r>
    <s v="europcar.ie"/>
    <s v="minus"/>
    <s v="Fail"/>
    <s v="v=spf1 ip4:35.241.224.202 ip4:200.69.13.211 ip4:78.153.196.52 ip4:23.251.129.185 ip4:77.107.224.190 ip4:77.107.224.134 ip4:66.39.66.3 ip4:216.92.31.3 mx:smtp.carhire.ie include:spf.mandrillapp.com include:spf.protection.outlook.com &quot; &quot;include:mail.zendesk.com include:servers.mcsv.net include:_spf.google.com -all"/>
    <m/>
    <x v="2"/>
    <s v="v=DMARC1; p=none; rua=mailto:dmarcreports@europcar.com; ruf=mailto:dmarcreports@europcar.com; fo=1"/>
    <m/>
    <m/>
    <x v="0"/>
    <x v="99"/>
  </r>
  <r>
    <s v="ncsr.ie"/>
    <s v="minus"/>
    <s v="Fail"/>
    <s v="v=spf1 ip6:fd1b:212c:a5f9::/48 -all"/>
    <m/>
    <x v="0"/>
    <m/>
    <m/>
    <m/>
    <x v="0"/>
    <x v="99"/>
  </r>
  <r>
    <s v="joeduffybmw.ie"/>
    <s v="minus"/>
    <s v="Fail"/>
    <s v="v=spf1 ip4:86.47.92.229 include:spf.protection.outlook.com -all"/>
    <m/>
    <x v="2"/>
    <s v="v=DMARC1; p=none;"/>
    <m/>
    <m/>
    <x v="0"/>
    <x v="99"/>
  </r>
  <r>
    <s v="transdevireland.ie"/>
    <s v="no"/>
    <s v="Not found"/>
    <m/>
    <s v="yes"/>
    <x v="0"/>
    <m/>
    <m/>
    <m/>
    <x v="0"/>
    <x v="99"/>
  </r>
  <r>
    <s v="eurofins.com"/>
    <s v="minus"/>
    <s v="Fail"/>
    <s v="v=spf1 include:spf.eurofins.com -all"/>
    <s v="yes"/>
    <x v="3"/>
    <s v="v=DMARC1; p=reject; sp=none; fo=1; rua=mailto:dmarc_agg@vali.email"/>
    <m/>
    <m/>
    <x v="10"/>
    <x v="99"/>
  </r>
  <r>
    <s v="irco.com"/>
    <s v="tilde"/>
    <s v="Soft Fail"/>
    <s v="v=spf1 include:spf.protection.outlook.com include:mail.zendesk.com include:servers.mcsv.net include:amazonses.com include:_spf.docboss.com include:_spfext1.irco.com include:_spf.act-on.net include:_spf.bullhornmail.com  include:_spf.salesforce.com ~all"/>
    <s v="yes"/>
    <x v="2"/>
    <s v="v=DMARC1; p=none; fo=1:d:s; pct=100; rua=mailto:dmarc.reports@irco.com;ruf=mailto:dmarc.reports@irco.com"/>
    <m/>
    <m/>
    <x v="0"/>
    <x v="99"/>
  </r>
  <r>
    <s v="abbottireland.ie"/>
    <s v="no"/>
    <s v="Not found"/>
    <m/>
    <m/>
    <x v="0"/>
    <m/>
    <m/>
    <m/>
    <x v="6"/>
    <x v="99"/>
  </r>
  <r>
    <s v="academyplazahotel.ie"/>
    <s v="tilde"/>
    <s v="Soft Fail"/>
    <s v="v=spf1 +ip4:66.102.134.64 +include:_spf.bookassist.com +include:oracleindustry.com ~all"/>
    <s v="yes"/>
    <x v="3"/>
    <s v="v=DMARC1; p=reject; sp=none; ri=86400"/>
    <m/>
    <m/>
    <x v="0"/>
    <x v="99"/>
  </r>
  <r>
    <s v="travelportdigital.com"/>
    <s v="no"/>
    <s v="Not found"/>
    <m/>
    <m/>
    <x v="0"/>
    <m/>
    <m/>
    <m/>
    <x v="0"/>
    <x v="99"/>
  </r>
  <r>
    <s v="jjrhatigan.com"/>
    <s v="tilde"/>
    <s v="Soft Fail"/>
    <s v="v=spf1 include:_netblocks.mimecast.com include:spf.protection.outlook.com ip4:52.50.162.44 include:24911332.spf03.hubspotemail.net ~all"/>
    <s v="yes"/>
    <x v="2"/>
    <s v="v=DMARC1; p=none; fo=1; rua=mailto:dmarc@sleepless.ie;ruf=mailto:dmarc@sleepless.ie;pct=100"/>
    <m/>
    <m/>
    <x v="7"/>
    <x v="99"/>
  </r>
  <r>
    <s v="123.ie"/>
    <s v="tilde"/>
    <s v="Soft Fail"/>
    <s v="v=spf1 ip4:167.89.62.175 include:spf.protection.outlook.com include:spf.amris.com include:amazonses.com include:em3294.123.ie include:em529.123.ie ~all"/>
    <s v="yes"/>
    <x v="1"/>
    <s v="v=DMARC1; p=quarantine; pct=100; rua=mailto:fc603e11d5cd880@rep.dmarcanalyzer.com; ruf=mailto:fc603e11d5cd880@rep.dmarcanalyzer.com; fo=1;"/>
    <m/>
    <m/>
    <x v="0"/>
    <x v="100"/>
  </r>
  <r>
    <s v="crawford.cit.ie"/>
    <s v="no"/>
    <s v="Not found"/>
    <m/>
    <m/>
    <x v="0"/>
    <m/>
    <m/>
    <m/>
    <x v="1"/>
    <x v="101"/>
  </r>
  <r>
    <s v="brownbagfilms.com"/>
    <s v="minus"/>
    <s v="Fail"/>
    <s v="v=spf1 include:servers.mcsv.net a:brownbagfilms.com a:smtp.9story.com ip4:89.100.177.193 include:_spf.createsend.com include:spf.protection.outlook.com include:_spf.salesforce.com -all"/>
    <s v="yes"/>
    <x v="2"/>
    <s v="v=DMARC1; p=none;"/>
    <m/>
    <m/>
    <x v="0"/>
    <x v="101"/>
  </r>
  <r>
    <s v="foylefoodgroup.com"/>
    <s v="minus"/>
    <s v="Fail"/>
    <s v="v=spf1 a:mail.foylefoodgroup.com ip4:62.254.244.100 ip4:164.100.1.8 include:spf.protection.outlook.com include:spf-eu.emailsignatures365.com -all"/>
    <s v="yes"/>
    <x v="3"/>
    <s v="v=DMARC1; p=reject; rua=mailto:postmaster1@foylefoodgroup.com; ruf=mailto:postmaster1@foylefoodgroup.com; rf=afrf; sp=reject; fo=0:1:d:s; pct=100; adkim=s; aspf=s"/>
    <m/>
    <m/>
    <x v="6"/>
    <x v="101"/>
  </r>
  <r>
    <s v="orwellhealthcare.ie"/>
    <s v="minus"/>
    <s v="Fail"/>
    <s v="v=spf1 include:spf.protection.outlook.com include:smtp.ortuscloud.com -all"/>
    <s v="yes"/>
    <x v="2"/>
    <s v="v=DMARC1; p=none"/>
    <m/>
    <m/>
    <x v="0"/>
    <x v="101"/>
  </r>
  <r>
    <s v="kearys.ie"/>
    <s v="minus"/>
    <s v="Fail"/>
    <s v="v=spf1 +ip4:217.182.4.131 +include:spf.protection.outlook.com +include:amazonses.com +include:spf.mandrillapp.com +include:_spf.keyloop.io +ip4:89.101.132.201 +ip4:89.101.153.148 +ip4:89.234.93.74 +ip4:40.113.6.252 +ip4:84.203.112.121 -all"/>
    <s v="yes"/>
    <x v="2"/>
    <s v="v=DMARC1;p=none;sp=none;rua=mailto:211a5a2e44@rua.easydmarc.eu;ruf=mailto:211a5a2e44@ruf.easydmarc.eu;fo=1"/>
    <m/>
    <m/>
    <x v="1"/>
    <x v="102"/>
  </r>
  <r>
    <s v="securitasgroup.com"/>
    <s v="minus"/>
    <s v="Fail"/>
    <s v="v=spf1 a:mx101.securitasgroup.com a:mx102.securitasgroup.com a:mx41.securitas.com a:mx42.securitas.com include:spf.protection.outlook.com -all"/>
    <s v="yes"/>
    <x v="3"/>
    <s v="v=DMARC1; p=reject; rua=mailto:dmarc_RUA@securitas.net,mailto:dmarc_agg@vali.email; ruf=mailto:dmarc_RUF@securitas.net; fo=1; adkim=s; aspf=s;"/>
    <m/>
    <m/>
    <x v="0"/>
    <x v="102"/>
  </r>
  <r>
    <s v="kaymedworld.com"/>
    <s v="minus"/>
    <s v="Fail"/>
    <s v="v=spf1  include:spf-lp.leggett.com include:spf-sf.leggett.com include:spfc1.leggett.com include:spf.protection.outlook.com include:spf-0003de01.pphosted.com -all"/>
    <m/>
    <x v="2"/>
    <s v="v=DMARC1; p=none; rua=mailto:dmarc_agg@vali.email;"/>
    <m/>
    <m/>
    <x v="0"/>
    <x v="103"/>
  </r>
  <r>
    <s v="imagine.ie"/>
    <s v="mis"/>
    <s v="Invalid SPF Syntax"/>
    <s v="v=spf1 mx a ip4:62.231.32.43/32 ip4:62.231.32.6/32 ip4:87.232.4.250/32"/>
    <m/>
    <x v="0"/>
    <m/>
    <m/>
    <m/>
    <x v="0"/>
    <x v="104"/>
  </r>
  <r>
    <s v="donnelly.ie"/>
    <s v="minus"/>
    <s v="Fail"/>
    <s v="v=spf1 mx ip4:136.144.137.5 ip4:77.75.97.58 ip4:80.233.49.19 ip4:86.44.90.66 ip4:86.47.115.108 include:spf.protection.outlook.com include:spf1.emailsecurity.app -all"/>
    <m/>
    <x v="0"/>
    <m/>
    <m/>
    <m/>
    <x v="0"/>
    <x v="104"/>
  </r>
  <r>
    <s v="harmac.com"/>
    <s v="mis"/>
    <s v="Invalid SPF Syntax"/>
    <s v="v=spf1 redirect=_su06l25nj.sdmarc.net"/>
    <m/>
    <x v="1"/>
    <s v="v=DMARC1; p=quarantine; pct=100; rua=mailto:a.u06l25nj@sdmarc.net"/>
    <m/>
    <m/>
    <x v="22"/>
    <x v="104"/>
  </r>
  <r>
    <s v="synergysecurity.ie"/>
    <s v="tilde"/>
    <s v="Soft Fail"/>
    <s v="v=spf1 a include:spf.protection.outlook.com ~all"/>
    <m/>
    <x v="0"/>
    <m/>
    <m/>
    <m/>
    <x v="1"/>
    <x v="104"/>
  </r>
  <r>
    <s v="heatmerchants.ie"/>
    <s v="minus"/>
    <s v="Fail"/>
    <s v="v=spf1 include:spf.protection.outlook.com include:spf.uk.odmad.quest-on-demand.com ip4:89.204.241.205 ip4:78.153.196.173 ip4:40.95.0.0/16 include:em8705.heatmerchants.ie -all"/>
    <s v="yes"/>
    <x v="1"/>
    <s v="v=DMARC1; p=quarantine; pct=100; rua=mailto:re+smrvmg53nr2@dmarc.postmarkapp.com"/>
    <m/>
    <m/>
    <x v="23"/>
    <x v="105"/>
  </r>
  <r>
    <s v="sulzer.com"/>
    <s v="minus"/>
    <s v="Fail"/>
    <s v="v=spf1 include:_spf-a.sulzer.com include:_spf-b.sulzer.com include:_spf-c.sulzer.com -all"/>
    <s v="yes"/>
    <x v="3"/>
    <s v="v=DMARC1; p=reject; pct=100; rua=mailto:kldnwik0@ag.eu.dmarcian.com, mailto:DMARC.Reporting@sulzer.com;"/>
    <s v="yes"/>
    <s v="https://go.sulzer.com/icon-sulzer-blue"/>
    <x v="3"/>
    <x v="106"/>
  </r>
  <r>
    <s v="essilor.ie"/>
    <s v="mis"/>
    <s v="Invalid SPF Syntax"/>
    <s v="v=spf1 ip4:193.242.17.196 ip4:10.156.4.11 ip4:20.74.40.218 ip4:20.74.40.219 include:spf.protection.outlook.com redirect=_spf.essilor.com"/>
    <s v="yes"/>
    <x v="1"/>
    <s v="v=DMARC1; p=quarantine; rua=mailto:dmarc-analysts@essilor.com; pct=100"/>
    <m/>
    <m/>
    <x v="9"/>
    <x v="106"/>
  </r>
  <r>
    <s v="danone.ie"/>
    <s v="minus"/>
    <s v="Fail"/>
    <s v="v=spf1 include:%{ir}.%{v}.%{d}.spf.has.pphosted.com -all"/>
    <m/>
    <x v="3"/>
    <s v="v=DMARC1; p=reject; fo=1; rua=mailto:dmarc_rua@emaildefense.proofpoint.com; ruf=mailto:dmarc_ruf@emaildefense.proofpoint.com"/>
    <m/>
    <m/>
    <x v="3"/>
    <x v="106"/>
  </r>
  <r>
    <s v="coaction.ie"/>
    <s v="minus"/>
    <s v="Fail"/>
    <s v="v=spf1 include:spf.protection.outlook.com -all"/>
    <m/>
    <x v="0"/>
    <m/>
    <m/>
    <m/>
    <x v="1"/>
    <x v="106"/>
  </r>
  <r>
    <s v="dst.com"/>
    <s v="minus"/>
    <s v="Fail"/>
    <s v="v=spf1 include:spf.protection.outlook.com -all"/>
    <m/>
    <x v="0"/>
    <m/>
    <m/>
    <m/>
    <x v="0"/>
    <x v="107"/>
  </r>
  <r>
    <s v="wellman-intl.com"/>
    <s v="minus"/>
    <s v="Fail"/>
    <s v="v=spf1  ip4:77.75.97.250/32 ip4:92.111.202.91/32 ip4:37.58.174.195/32 include:spf.protection.outlook.com exists:%{i}.spf.hc815-95.ap.iphmx.com -all"/>
    <m/>
    <x v="0"/>
    <m/>
    <m/>
    <m/>
    <x v="15"/>
    <x v="108"/>
  </r>
  <r>
    <s v="schneider-electric.ie"/>
    <s v="minus"/>
    <s v="Fail"/>
    <s v="v=spf1 include:schneider-electric.ie._nspf.vali.email include:%{i}._ip.%{h}._ehlo.%{d}._spf.vali.email -all"/>
    <m/>
    <x v="3"/>
    <s v="v=DMARC1; p=reject; rua=mailto:dmarc_agg@vali.email"/>
    <m/>
    <m/>
    <x v="7"/>
    <x v="108"/>
  </r>
  <r>
    <s v="ifac.ie"/>
    <s v="minus"/>
    <s v="Fail"/>
    <s v="v=spf1 a:spf.eu.exclaimer.net ip4:87.198.216.6 include:spf.protection.outlook.com include:26643687.spf04.hubspotemail.net include:_spf.psm.knowbe4.com -all"/>
    <s v="yes"/>
    <x v="2"/>
    <s v="v=DMARC1; p=none;"/>
    <m/>
    <m/>
    <x v="0"/>
    <x v="109"/>
  </r>
  <r>
    <s v="frsrecruitment.com"/>
    <s v="minus"/>
    <s v="Fail"/>
    <s v="v=spf1 include:spf.protection.outlook.com include:7784363.spf06.hubspotemail.net -all"/>
    <s v="yes"/>
    <x v="2"/>
    <s v="v=DMARC1; p=none;"/>
    <m/>
    <m/>
    <x v="21"/>
    <x v="109"/>
  </r>
  <r>
    <s v="pmgroup-global.com"/>
    <s v="minus"/>
    <s v="Fail"/>
    <s v="v=spf1 mx:pmgroupglobal-com01i.mail.protection.outlook.com ip4:89.31.174.249 ip4:89.31.174.253 ip4:89.31.175.115 include:spf.protection.outlook.com -all"/>
    <s v="yes"/>
    <x v="3"/>
    <s v="v=DMARC1; p=reject; rua=mailto:dmarc_agg@vali.email; pct=100"/>
    <m/>
    <m/>
    <x v="1"/>
    <x v="109"/>
  </r>
  <r>
    <s v="pobal.ie"/>
    <s v="minus"/>
    <s v="Fail"/>
    <s v="v=spf1 include:spf.protection.outlook.com  include:servers.mcsv.net a:mail.pobal.ie a:mail2.pobal.ie  -all"/>
    <s v="yes"/>
    <x v="3"/>
    <s v="v=DMARC1; p=reject; pct=100; rua=mailto:l51dcoyx@ag.eu.dmarcian.com;"/>
    <m/>
    <m/>
    <x v="0"/>
    <x v="109"/>
  </r>
  <r>
    <s v="garrettmotion.com"/>
    <s v="minus"/>
    <s v="Fail"/>
    <s v="v=spf1 include:%{d}.a8.spf-protect.agari.com exists:%{i}._i.%{d}._d.espf.agari.com -all"/>
    <s v="yes"/>
    <x v="1"/>
    <s v="v=DMARC1; p=quarantine; adkim=r; aspf=r; fo=1; pct=100; rf=afrf; ri=3600; rua=mailto:garrett@rua.agari.com,mailto:DMARC-RUA@garrettmotion.com; ruf=mailto:garrett@ruf.agari.com,mailto:DMARC-RUF@garrettmotion.com"/>
    <m/>
    <m/>
    <x v="10"/>
    <x v="109"/>
  </r>
  <r>
    <s v="jpmorganchase.com"/>
    <s v="minus"/>
    <s v="Fail"/>
    <s v="v=spf1 a:spf.jpmchase.com ip4:207.162.228.0/24 ip4:207.162.229.0/24 ip4:207.162.225.0/24 ip4:196.37.232.50 ip4:159.53.46.0/24 ip4:159.53.36.0/24 ip4:159.53.110.0/24 ip4:170.148.48.0/24 ip4:159.53.78.0/24 -all"/>
    <m/>
    <x v="3"/>
    <s v="v=DMARC1; p=reject; pct=100; rua=mailto:d@rua.agari.com; ruf=mailto:d@ruf.agari.com; fo=1"/>
    <m/>
    <m/>
    <x v="0"/>
    <x v="109"/>
  </r>
  <r>
    <s v="thorntons-recycling.ie"/>
    <s v="tilde"/>
    <s v="Soft Fail"/>
    <s v="v=spf1 ip4:88.99.248.118 include:spf.mailjet.com include:spf.exclaimer.net include:spf.protection.outlook.com include:spf.theemaillaundry.net +include:_spf.thorntons-recycling.ie ~all"/>
    <s v="yes"/>
    <x v="2"/>
    <s v="v=DMARC1; p=none; rua=mailto:itadmin@thorntons-recycling.ie; ruf=mailto:itadmin@thorntons-recycling.ie"/>
    <m/>
    <m/>
    <x v="0"/>
    <x v="109"/>
  </r>
  <r>
    <s v="barnarecycling.com"/>
    <s v="minus"/>
    <s v="Fail"/>
    <s v="v=spf1 include:spf.protection.outlook.com ip4:5.196.21.180 ip4:92.222.170.69 ip4:151.80.60.251 ip4:151.80.60.236 ip4:151.80.60.250 ip4:89.101.155.185 ip4:92.222.78.4 ip4:92.222.78.47 ip4:89.204.253.57 ip6:2001:41d0:52:bff::6b2 -all"/>
    <s v="yes"/>
    <x v="2"/>
    <s v="v=DMARC1; p=none; pct=100; rua=mailto:dmarc@barnarecycling.com"/>
    <m/>
    <m/>
    <x v="7"/>
    <x v="109"/>
  </r>
  <r>
    <s v="ergogroup.ie"/>
    <s v="minus"/>
    <s v="Fail"/>
    <s v="v=spf1 include:spf.protection.outlook.com ip4:89.101.157.129 ip4:89.101.157.157 ip4:89.28.178.26 ip4:89.28.178.25 ip4:89.100.182.218 ip4:89.28.178.81 ip4:89.28.178.82 ip4:79.125.7.9 ip4:149.72.39.215 ip4:149.72.182.166 ip4:20.67.167.80 ip4:93.94.118.106 i&quot; &quot;nclude:_spf.cloudmore.com include:_spf.bullhornmail.com include:emsd1.com -all"/>
    <s v="yes"/>
    <x v="1"/>
    <s v="v=DMARC1;p=quarantine; rua=mailto:IT.Suggestions@ergogroup.ie; ruf=mailto:IT.Suggestions@ergogroup.ie;"/>
    <m/>
    <m/>
    <x v="0"/>
    <x v="109"/>
  </r>
  <r>
    <s v="varietyconnect.com"/>
    <s v="no"/>
    <s v="Not found"/>
    <m/>
    <m/>
    <x v="0"/>
    <m/>
    <m/>
    <m/>
    <x v="0"/>
    <x v="109"/>
  </r>
  <r>
    <s v="shaymurtagh.com"/>
    <s v="minus"/>
    <s v="Fail"/>
    <s v="v=spf1 ip4:178.250.116.30 include:spf.protection.outlook.com -all"/>
    <m/>
    <x v="0"/>
    <m/>
    <m/>
    <m/>
    <x v="23"/>
    <x v="109"/>
  </r>
  <r>
    <s v="corporatecateringservices.ie"/>
    <s v="no"/>
    <s v="Not found"/>
    <m/>
    <m/>
    <x v="0"/>
    <m/>
    <m/>
    <m/>
    <x v="9"/>
    <x v="109"/>
  </r>
  <r>
    <s v="crc.ie"/>
    <s v="minus"/>
    <s v="Fail"/>
    <s v="v=spf1 include:spf.irishdomains.com include:spf.protection.outlook.com include:spf.zendesk.com ip4:83.98.160.225 ip4:77.107.210.71  -all"/>
    <s v="yes"/>
    <x v="3"/>
    <s v="v=DMARC1; p=reject; pct=85; rua=mailto:dmarc@crc.ie; ruf=mailto:dmarc@crc.ie;"/>
    <m/>
    <m/>
    <x v="0"/>
    <x v="109"/>
  </r>
  <r>
    <s v="failteireland.ie"/>
    <s v="minus"/>
    <s v="Fail"/>
    <s v="v=spf1 mx a ip4:137.191.231.4 ip4:137.191.231.37 include:customers.clickdimensions.com include:emaileu.clickdimensions.com include:spf.protection.outlook.com include:_spf.eu.messagegears.net -all"/>
    <s v="yes"/>
    <x v="2"/>
    <s v="v=DMARC1;p=none;pct=100;rua=mailto:rua_dmarc_fi@failteireland.ie;ruf=mailto:rua_dmarc_fi@failteireland.ie;"/>
    <m/>
    <m/>
    <x v="0"/>
    <x v="109"/>
  </r>
  <r>
    <s v="leitrimcoco.ie"/>
    <s v="minus"/>
    <s v="Fail"/>
    <s v="v=spf1 a include:spf.protection.outlook.com include:spf.topsec.com include:7aad1ae4-spf.mta.getcheckrecipient.com ip4:172.30.0.150 ip4:34.253.61.97 ip4:172.30.0.25 ip4:213.143.154.166 -all"/>
    <s v="yes"/>
    <x v="2"/>
    <s v="v=DMARC1;p=none;sp=none;rua=mailto:211a5a2e44@rua.easydmarc.eu;ruf=mailto:211a5a2e44@ruf.easydmarc.eu;fo=1"/>
    <m/>
    <m/>
    <x v="19"/>
    <x v="109"/>
  </r>
  <r>
    <s v="longfordcoco.ie"/>
    <s v="minus"/>
    <s v="Fail"/>
    <s v="v=spf1 include:spf.topsec.com include:spf.protection.outlook.com ip4:137.191.227.114 ip4:213.143.154.166 include:amazonses.com -all"/>
    <s v="yes"/>
    <x v="3"/>
    <s v="v=DMARC1;p=reject;sp=reject;fo=1"/>
    <m/>
    <m/>
    <x v="20"/>
    <x v="109"/>
  </r>
  <r>
    <s v="meath.ie"/>
    <s v="minus"/>
    <s v="Fail"/>
    <s v="v=spf1 include:spf.topsec.com include:sendgrid.net -all"/>
    <m/>
    <x v="3"/>
    <s v="v=DMARC1; p=reject; pct=100; fo=1; ri=3600; rua=mailto:e288ef16@inbox.ondmarc.com; ruf=mailto:e288ef16@inbox.ondmarc.com;"/>
    <m/>
    <m/>
    <x v="15"/>
    <x v="109"/>
  </r>
  <r>
    <s v="samdennigan.ie"/>
    <s v="tilde"/>
    <s v="Soft Fail"/>
    <s v="v=spf1 include:_u.samdennigan.ie._spf.smart.ondmarc.com include:autotask.net ~all"/>
    <s v="yes"/>
    <x v="3"/>
    <s v="v=DMARC1; p=reject; pct=100; fo=1; ri=3600; rua=mailto:1a447143@inbox.ondmarc.com; ruf=mailto:1a447143@inbox.ondmarc.com;"/>
    <m/>
    <m/>
    <x v="0"/>
    <x v="109"/>
  </r>
  <r>
    <s v="rhd.ie"/>
    <s v="tilde"/>
    <s v="Soft Fail"/>
    <s v="v=spf1 a mx include:spf.topsec.com ip4:89.101.122.74 ip4:51.171.241.231 include:spf.protection.outlook.com ~all"/>
    <s v="yes"/>
    <x v="1"/>
    <s v="v=DMARC1; p=quarantine"/>
    <m/>
    <m/>
    <x v="0"/>
    <x v="109"/>
  </r>
  <r>
    <s v="irishferries.com"/>
    <s v="tilde"/>
    <s v="Soft Fail"/>
    <s v="v=spf1 mx include:spf.protection.outlook.com include:iphmx.com ~all"/>
    <s v="yes"/>
    <x v="2"/>
    <s v="v=DMARC1; p=none; rua=mailto:65d5cee830a03@ag.eu.dmarcly.com; ruf=mailto:65d5cee830a03@fo.eu.dmarcly.com; sp=none;"/>
    <m/>
    <m/>
    <x v="0"/>
    <x v="109"/>
  </r>
  <r>
    <s v="dornan.ie"/>
    <s v="minus"/>
    <s v="Fail"/>
    <s v="v=spf1 include:spf.protection.outlook.com include:spf.elive.net ip4:88.208.202.0/24 ip4:91.142.107.250 ip4:84.39.234.230 -all"/>
    <s v="yes"/>
    <x v="1"/>
    <s v="v=DMARC1; p=quarantine; rua=mailto:support@dornangroup.com"/>
    <m/>
    <m/>
    <x v="1"/>
    <x v="109"/>
  </r>
  <r>
    <s v="takeda.ie"/>
    <s v="minus"/>
    <s v="Fail"/>
    <s v="v=spf1 include:spf-00297f01.pphosted.com include:spf.protection.outlook.com -all"/>
    <m/>
    <x v="3"/>
    <s v="v=DMARC1; p=reject; fo=1; rua=mailto:dmarc_rua@emaildefense.proofpoint.com; ruf=mailto:dmarc_ruf@emaildefense.proofpoint.com"/>
    <m/>
    <m/>
    <x v="0"/>
    <x v="109"/>
  </r>
  <r>
    <s v="laganasphaltgroup.com"/>
    <s v="minus"/>
    <s v="Fail"/>
    <s v="v=spf1 ?include:spf.protection.outlook.com include:_netblocks.mimecast.com -all"/>
    <m/>
    <x v="0"/>
    <m/>
    <m/>
    <m/>
    <x v="0"/>
    <x v="109"/>
  </r>
  <r>
    <s v="bruss.de"/>
    <s v="tilde"/>
    <s v="Soft Fail"/>
    <s v="v=spf1 include:antispameurope.com ~all"/>
    <m/>
    <x v="0"/>
    <m/>
    <m/>
    <m/>
    <x v="8"/>
    <x v="109"/>
  </r>
  <r>
    <s v="freshwaysfoodco.ie"/>
    <s v="tilde"/>
    <s v="Soft Fail"/>
    <s v="v=spf1 +a +mx +ip4:109.237.24.70 ~all"/>
    <s v="yes"/>
    <x v="0"/>
    <m/>
    <m/>
    <m/>
    <x v="0"/>
    <x v="109"/>
  </r>
  <r>
    <s v="cleanrooms.ie"/>
    <s v="minus"/>
    <s v="Fail"/>
    <s v="v=spf1 include:spf.protection.outlook.com -all"/>
    <m/>
    <x v="0"/>
    <m/>
    <m/>
    <m/>
    <x v="7"/>
    <x v="109"/>
  </r>
  <r>
    <s v="elavon.com"/>
    <s v="minus"/>
    <s v="Fail"/>
    <s v="v=spf1 include:usbank.com -all"/>
    <s v="yes"/>
    <x v="2"/>
    <s v="v=DMARC1;p=none;rua=mailto:us-bank@rua.agari.com;ruf=mailto:us-bank@ruf.agari.com,mailto:dmarc-3115449949@email-security.zerofox.com;fo=1"/>
    <m/>
    <m/>
    <x v="24"/>
    <x v="109"/>
  </r>
  <r>
    <s v="dhl.ie"/>
    <s v="minus"/>
    <s v="Fail"/>
    <s v="v=spf1 -all"/>
    <m/>
    <x v="3"/>
    <s v="v=DMARC1; p=reject; fo=0; rua=mailto:dmarc-reports@dhl.com;"/>
    <m/>
    <m/>
    <x v="0"/>
    <x v="109"/>
  </r>
  <r>
    <s v="abiireland.ie"/>
    <s v="minus"/>
    <s v="Fail"/>
    <s v="v=spf1 ip4:148.251.151.47 ip4:136.243.37.102 include:mail1.wpengine.com include:spf.protection.outlook.com include:ne16.com include:_spf.distribution.vueliopm.com mx -all"/>
    <s v="yes"/>
    <x v="2"/>
    <s v="v=DMARC1;p=none;pct=5;aspf=r;adkim=r;"/>
    <m/>
    <m/>
    <x v="0"/>
    <x v="109"/>
  </r>
  <r>
    <s v="verizonconnect.com"/>
    <s v="minus"/>
    <s v="Fail"/>
    <s v="v=spf1 include:%{ir}.%{v}.%{d}.spf.has.pphosted.com -all"/>
    <s v="yes"/>
    <x v="3"/>
    <s v="v=DMARC1; p=reject; fo=1; rua=mailto:dmarc_agg@verizonconnect.com; ruf=mailto:dmarc_afrf@verizonconnect.com"/>
    <m/>
    <m/>
    <x v="0"/>
    <x v="109"/>
  </r>
  <r>
    <s v="hiltonfoodgroup.com"/>
    <s v="minus"/>
    <s v="Fail"/>
    <s v="v=spf1 ip4:3.9.178.233 include:hiltonfoods.com -all"/>
    <s v="yes"/>
    <x v="1"/>
    <s v="v=DMARC1;p=quarantine;rua=mailto:dmarc-rua@hiltonfoodgroup.com"/>
    <m/>
    <m/>
    <x v="2"/>
    <x v="109"/>
  </r>
  <r>
    <s v="kare.ie"/>
    <s v="mis"/>
    <s v="Invalid SPF Syntax"/>
    <s v="v=spf1 ip4:83.70.132.114 ip4:83.70.132.115 ip4:83.70.132.116 include:spf.protection.outlook.com"/>
    <s v="yes"/>
    <x v="0"/>
    <m/>
    <m/>
    <m/>
    <x v="16"/>
    <x v="109"/>
  </r>
  <r>
    <s v="soskilkenny.com"/>
    <s v="tilde"/>
    <s v="Soft Fail"/>
    <s v="v=spf1 ip4:184.173.239.120  ip4:93.107.225.247 a mx include:websitewelcome.com include:spf.protection.outlook.com ~all"/>
    <m/>
    <x v="0"/>
    <m/>
    <m/>
    <m/>
    <x v="17"/>
    <x v="109"/>
  </r>
  <r>
    <s v="stcatherines.ie"/>
    <s v="minus"/>
    <s v="Fail"/>
    <s v="v=spf1 include:spf.protection.outlook.com include:spf.ess.de.barracudanetworks.com include:reflexion.net include:spf-eu.emailsignatures365.com  -all"/>
    <s v="yes"/>
    <x v="1"/>
    <s v="v=DMARC1; p=quarantine; rua=mailto:dmarc-reports@stcatherines.ie; ruf=mailto:dmarc-failures@stcatherines.ie; sp=none; aspf=r;"/>
    <m/>
    <m/>
    <x v="24"/>
    <x v="109"/>
  </r>
  <r>
    <s v="kennedysecurity.com"/>
    <s v="tilde"/>
    <s v="Soft Fail"/>
    <s v="v=spf1 a mx ptr include:secureserver.net ~all"/>
    <m/>
    <x v="0"/>
    <m/>
    <m/>
    <m/>
    <x v="16"/>
    <x v="109"/>
  </r>
  <r>
    <s v="greenislefoods.ie"/>
    <s v="minus"/>
    <s v="Fail"/>
    <s v="v=spf1 ip4:85.92.70.50 ip4:85.92.70.3 ip4:85.92.70.4 include:spf.protection.outlook.com include:_spf.salesforce.com ip4:146.101.246.71 ip4:62.252.24.150 ip4:62.252.24.183 ip4:62.252.24.215 ip4:185.190.204.44 -all"/>
    <s v="yes"/>
    <x v="0"/>
    <m/>
    <m/>
    <m/>
    <x v="0"/>
    <x v="109"/>
  </r>
  <r>
    <s v="carrollcuisine.ie"/>
    <s v="minus"/>
    <s v="Fail"/>
    <s v="v=spf1 ip4:212.139.78.102 ip4:212.139.78.106 include:spf.protection.outlook.com include:spf.ess.uk.barracudanetworks.com -all"/>
    <m/>
    <x v="3"/>
    <s v="v=DMARC1; p=reject; fo=1; rua=mailto:rua+carrollcuisine.ie@dmarc.barracudanetworks.com; ruf=mailto:ruf+carrollcuisine.ie@dmarc.barracudanetworks.com"/>
    <m/>
    <m/>
    <x v="21"/>
    <x v="109"/>
  </r>
  <r>
    <s v="stmichaels.ie"/>
    <s v="tilde"/>
    <s v="Soft Fail"/>
    <s v="v=spf1 mx a include:spf.topsec.com include:gmail.com ip4:139.59.178.253 ip4:34.252.150.181 ip4:137.191.237.229 include:spf.uk.exclaimer.net ~all"/>
    <s v="yes"/>
    <x v="2"/>
    <s v="v=DMARC1;p=none;sp=none;rua=mailto:211a5a2e44@rua.easydmarc.eu;ruf=mailto:211a5a2e44@ruf.easydmarc.eu;fo=1"/>
    <m/>
    <m/>
    <x v="0"/>
    <x v="109"/>
  </r>
  <r>
    <s v="milfordcare.ie"/>
    <s v="no"/>
    <s v="Not found"/>
    <m/>
    <m/>
    <x v="0"/>
    <m/>
    <m/>
    <m/>
    <x v="5"/>
    <x v="109"/>
  </r>
  <r>
    <s v="applegreen.ie"/>
    <s v="minus"/>
    <s v="Fail"/>
    <s v="v=spf1 ip4:13.74.158.205 ip4:40.67.254.2 ip4:193.35.58.23 ip4:193.35.58.25 ip4:168.245.121.158 ip4:37.98.232.26 ip4:8.31.233.198 ip4:8.31.233.199 ip4:185.135.165.212 ip4:185.135.165.215 ip4:185.135.165.214 ip4:185.135.165.213 ip4:83.219.47.91 ip4:83.219.4&quot; &quot;7.93 ip4:83.219.47.92 ip4:83.219.47.94 ip4:193.155.1.213 ip4:46.34.83.110 ip4:109.169.8.236 ip4:206.222.191.207 include:spf.protection.outlook.com include:mail.zendesk.com include:spf.sendinblue.com include:authsmtp.com include:compuservelive.co.uk includ&quot; &quot;e:spf-003c6d02.pphosted.com -all"/>
    <s v="yes"/>
    <x v="1"/>
    <s v="v=DMARC1; p=quarantine; rua=mailto:dmarc.notifications@applegreen.ie,mailto:64908743@mxtoolbox.dmarc-report.com; ruf=mailto:dmarc.notifications@applegreen.ie,mailto:64908743@forensics.dmarc-report.com; fo=1; pct=100"/>
    <m/>
    <m/>
    <x v="0"/>
    <x v="109"/>
  </r>
  <r>
    <s v="primark.co.uk"/>
    <s v="tilde"/>
    <s v="Soft Fail"/>
    <s v="v=spf1 ip4:194.165.190.12 ip4:62.128.204.105 ip4:109.169.13.3 ip4:109.169.13.4 ip4:109.169.13.12 ip4:194.216.214.90 ip4:194.216.214.91 ip4:194.216.214.92 ip4:216.244.123.132 ip4:216.244.123.134 ip4:193.120.224.97 ip4:193.120.224.98 ip4:3.9.192.52 ip4:18.1&quot; &quot;30.170.225 mx include:spf.protection.outlook.com ~all"/>
    <s v="yes"/>
    <x v="1"/>
    <s v="v=DMARC1; p=quarantine; rua=mailto:bstnx4lf@ag.dmarcian-eu.com"/>
    <m/>
    <m/>
    <x v="0"/>
    <x v="109"/>
  </r>
  <r>
    <s v="meadowsandbyrne.com"/>
    <s v="tilde"/>
    <s v="Soft Fail"/>
    <s v="v=spf1 ip4:46.21.227.70 include:spf.meadowsprod.hypernode.io include:relay.mailchannels.net include:spf.topsec.com include:spf.protection.outlook.com ~all"/>
    <s v="yes"/>
    <x v="2"/>
    <s v="v=DMARC1;p=none;sp=none;rua=mailto:4b9c19cde23549a196e39aa3b6776916@dmarc-reports.cloudflare.net,mailto:211a5a2e44@rua.easydmarc.eu;ruf=mailto:211a5a2e44@ruf.easydmarc.eu;fo=1"/>
    <m/>
    <m/>
    <x v="1"/>
    <x v="109"/>
  </r>
  <r>
    <s v="stllogistics.ie"/>
    <s v="tilde"/>
    <s v="Soft Fail"/>
    <s v="v=spf1  ip4:91.223.9.32   include:spf.protection.outlook.com include:spf.elive.net  ~all"/>
    <s v="yes"/>
    <x v="2"/>
    <s v="v=DMARC1; p=none; rua=mailto:hostmaster@stllogistics.ie; ruf=mailto:hostmaster@stllogistics.ie; fo=1"/>
    <m/>
    <m/>
    <x v="5"/>
    <x v="109"/>
  </r>
  <r>
    <s v="spd.dcu.ie"/>
    <s v="minus"/>
    <s v="Fail"/>
    <s v="v=spf1 include:_spf.google.com -all"/>
    <m/>
    <x v="3"/>
    <s v="v=DMARC1; p=reject; rua=mailto:xp52vxju@ag.eu.dmarcian.com; ruf=mailto:xp52vxju@fr.eu.dmarcian.com;"/>
    <m/>
    <m/>
    <x v="0"/>
    <x v="109"/>
  </r>
  <r>
    <s v="lcfe.ie"/>
    <s v="minus"/>
    <s v="Fail"/>
    <s v="v=spf1 ip4:173.240.221.0/24 ip4:193.1.31.2/32 ip4:91.210.232.100/32 ip4:195.7.48.162/32 ip4:84.23.8.59/32  a:mail.lcetb.ie -all"/>
    <m/>
    <x v="0"/>
    <m/>
    <m/>
    <m/>
    <x v="5"/>
    <x v="109"/>
  </r>
  <r>
    <s v="coca-colabottlers.com"/>
    <s v="no"/>
    <s v="Not found"/>
    <m/>
    <m/>
    <x v="0"/>
    <m/>
    <m/>
    <m/>
    <x v="0"/>
    <x v="109"/>
  </r>
  <r>
    <s v="celestica.com"/>
    <s v="minus"/>
    <s v="Fail"/>
    <s v="v=spf1 include:spf.boardbooks.com include:_spf.google.com include:_spf.kinaxis.com ip4:32.96.234.104 ip4:32.96.234.119 ip4:149.72.199.202 include:_spf-dc2.successfactors.com include:spf1.celestica.com include:mercurygate.net -all"/>
    <s v="yes"/>
    <x v="3"/>
    <s v="v=DMARC1; p=reject; rua=mailto:igb9wr76@ag.us.dmarcian.com; ruf=mailto:igb9wr76@fr.us.dmarcian.com; fo=1; adkim=s; aspf=s;"/>
    <s v="yes"/>
    <s v="https://www.celestica.com/static/images/logo_celestica_icon.svg"/>
    <x v="7"/>
    <x v="109"/>
  </r>
  <r>
    <s v="xilinx.com"/>
    <s v="minus"/>
    <s v="Fail"/>
    <s v="v=spf1 include:spf.protection.outlook.com include:amazonses.com include:smtpspf.xilinx.com include:oktaspf.xilinx.com include:_spf.salesforce.com -all"/>
    <s v="yes"/>
    <x v="2"/>
    <s v="v=DMARC1; p=none; rua=mailto:dmarc_agg@vali.email"/>
    <m/>
    <m/>
    <x v="0"/>
    <x v="109"/>
  </r>
  <r>
    <s v="sysnetglobal.com"/>
    <s v="tilde"/>
    <s v="Soft Fail"/>
    <s v="v=spf1 ip4:172.105.33.223 ip4:13.235.234.103 ip4:52.199.95.254 ip4:172.105.201.124 include:_spf.google.com include:spf.protection.outlook.com ~all"/>
    <s v="yes"/>
    <x v="2"/>
    <s v="v=DMARC1; p=none; rua=mailto:dmarc@sysnetglobal.com; ruf=mailto:dmarc@sysnetglobal.com"/>
    <m/>
    <m/>
    <x v="0"/>
    <x v="109"/>
  </r>
  <r>
    <s v="milfordcarecentre.ie"/>
    <s v="minus"/>
    <s v="Fail"/>
    <s v="v=spf1 include:spf.protection.outlook.com ip4:137.191.244.34/32 ip4:185.2.67.195/32 ip4:89.100.207.186/32 include:_spf.smtp.com +ip4:91.210.235.23 -all"/>
    <s v="yes"/>
    <x v="2"/>
    <s v="v=DMARC1;p=none; rua=mailto:185b48641cba.a@dmarcinput.com; ruf=mailto:185b48641cba.f@dmarcinput.com; fo=1"/>
    <m/>
    <m/>
    <x v="5"/>
    <x v="109"/>
  </r>
  <r>
    <s v="monaghan.ie"/>
    <s v="minus"/>
    <s v="Fail"/>
    <s v="v=spf1 -all"/>
    <m/>
    <x v="3"/>
    <s v="v=DMARC1;p=reject;rua=mailto:621dc3d1@inbox.ondmarc.com,mailto:211a5a2e44@rua.easydmarc.eu;ruf=mailto:621dc3d1@inbox.ondmarc.com,mailto:211a5a2e44@ruf.easydmarc.eu;ri=3600;fo=1;"/>
    <m/>
    <m/>
    <x v="12"/>
    <x v="109"/>
  </r>
  <r>
    <s v="stpatrickskilkenny.ie"/>
    <s v="minus"/>
    <s v="Fail"/>
    <s v="v=spf1 ip4:93.107.51.173 include:spf.protection.outlook.com -all"/>
    <m/>
    <x v="0"/>
    <m/>
    <m/>
    <m/>
    <x v="17"/>
    <x v="110"/>
  </r>
  <r>
    <s v="europcarfleet.ie"/>
    <s v="minus"/>
    <s v="Fail"/>
    <s v="v=spf1 ip4:23.251.129.185 mx a ip4:77.107.224.190 ip4:77.107.224.134 include:spf.protection.outlook.com include:spf.mandrillapp.com include:aspmx.pardot.com include:_spf.google.com -all"/>
    <s v="yes"/>
    <x v="2"/>
    <s v="v=DMARC1; p=none;  rua=mailto:dmarc-postmaster@carhire.ie"/>
    <m/>
    <m/>
    <x v="0"/>
    <x v="110"/>
  </r>
  <r>
    <s v="goodbody.ie"/>
    <s v="minus"/>
    <s v="Fail"/>
    <s v="v=spf1 include:_netblocks.mimecast.com include:spf.protection.outlook.com ip4:34.245.210.0/24 ip4:217.114.170.20 ip4:20.105.125.139 ip4:168.245.100.242 ip4:166.78.69.134 ip4:166.78.69.156 ip4:166.78.69.90 -all"/>
    <m/>
    <x v="2"/>
    <s v="v=DMARC1; p=none; rua=mailto:dmarc_agg@vali.email,mailto:dmarc-rua@goodbody.ie;ruf=mailto:dmarc-ruf@goodbody.ie;"/>
    <m/>
    <m/>
    <x v="0"/>
    <x v="111"/>
  </r>
  <r>
    <s v="idaireland.com"/>
    <s v="minus"/>
    <s v="Fail"/>
    <s v="v=spf1 a mx ip4:34.240.144.78/32 include:spf.protection.outlook.com include:sendgrid.net -all"/>
    <s v="yes"/>
    <x v="3"/>
    <s v="v=DMARC1; p=reject;"/>
    <m/>
    <m/>
    <x v="0"/>
    <x v="111"/>
  </r>
  <r>
    <s v="rveeh.ie"/>
    <s v="minus"/>
    <s v="Fail"/>
    <s v="v=spf1 include:spf.protection.outlook.com mx a include:eu._netblocks.mimecast.com include:spf.mandrillapp.com -all"/>
    <m/>
    <x v="3"/>
    <s v="v=DMARC1; p=reject; rua=mailto:dmarc@rveeh.ie; ruf=mailto:dmarc@rveeh.ie; fo=1;"/>
    <m/>
    <m/>
    <x v="0"/>
    <x v="111"/>
  </r>
  <r>
    <s v="byrnewallace.com"/>
    <s v="tilde"/>
    <s v="Soft Fail"/>
    <s v="v=spf1 include:_u.byrnewallace.com._spf.smart.ondmarc.com include:spf.protection.outlook.com ~all"/>
    <s v="yes"/>
    <x v="3"/>
    <s v="v=DMARC1; p=reject; pct=100; fo=1; ri=3600; rua=mailto:85897840@inbox.ondmarc.com; ruf=mailto:85897840@inbox.ondmarc.com;"/>
    <m/>
    <m/>
    <x v="0"/>
    <x v="111"/>
  </r>
  <r>
    <s v="waters.com"/>
    <s v="tilde"/>
    <s v="Soft Fail"/>
    <s v="v=spf1 include:%{ir}.%{v}.%{d}.spf.has.pphosted.com include:mktomail.com ~all"/>
    <s v="yes"/>
    <x v="3"/>
    <s v="v=DMARC1; p=reject; fo=1; rua=mailto:dmarc_rua@emaildefense.proofpoint.com; ruf=mailto:dmarc_ruf@emaildefense.proofpoint.com"/>
    <m/>
    <m/>
    <x v="3"/>
    <x v="111"/>
  </r>
  <r>
    <s v="bmd.ie"/>
    <s v="minus"/>
    <s v="Fail"/>
    <s v="v=spf1 ip4:86.43.79.190/32 ip4:84.203.232.122/32 ip4:82.141.243.65/32 include:_spf.psm.knowbe4.com include:spf.protection.outlook.com -all"/>
    <s v="yes"/>
    <x v="1"/>
    <s v="v=DMARC1; p=quarantine"/>
    <m/>
    <m/>
    <x v="1"/>
    <x v="111"/>
  </r>
  <r>
    <s v="cftooling.ie"/>
    <s v="minus"/>
    <s v="Fail"/>
    <s v="v=spf1 +a +mx +ip4:92.51.192.106 +ip4:66.206.3.250 +ip4:23.111.150.205 include:spf.protection.outlook.com -all"/>
    <s v="yes"/>
    <x v="1"/>
    <s v="v=DMARC1; p=quarantine"/>
    <m/>
    <m/>
    <x v="7"/>
    <x v="111"/>
  </r>
  <r>
    <s v="liffeymeats.ie"/>
    <s v="tilde"/>
    <s v="Soft Fail"/>
    <s v="v=spf1 include:_u.liffeymeats.ie._spf.smart.ondmarc.com include:autotask.net ~all"/>
    <m/>
    <x v="3"/>
    <s v="v=DMARC1; p=reject; pct=100; fo=1; ri=3600; rua=mailto:df16d9d3@inbox.ondmarc.com; ruf=mailto:df16d9d3@inbox.ondmarc.com;"/>
    <m/>
    <m/>
    <x v="11"/>
    <x v="111"/>
  </r>
  <r>
    <s v="naturesbest.ie"/>
    <s v="minus"/>
    <s v="Fail"/>
    <s v="v=spf1 include:_spf.fortimailcloud.com -all"/>
    <s v="yes"/>
    <x v="1"/>
    <s v="v=DMARC1; p=quarantine; rua=mailto:dmarc@naturesbest.ie"/>
    <m/>
    <m/>
    <x v="2"/>
    <x v="111"/>
  </r>
  <r>
    <s v="mylan.com"/>
    <s v="tilde"/>
    <s v="Soft Fail"/>
    <s v="v=spf1 include:ae.veevasystems.com include:spf.protection.outlook.com include:_spf.salesforce.com &quot; &quot;ip4:15.236.69.105 ip4:15.237.135.34 ip4:15.237.15.123 ip4:15.237.87.152 ip4:3.11.34.38 ip4:3.208.181.63 ip4:3.214.101.174 &quot; &quot;ip4:3.225.231.107 ip4:3.64.226.212 ip4:3.6.183.60 ip4:3.93.139.220 ip4:35.181.116.59 ip4:35.181.132.64 ip4:35.181.14.41 &quot; &quot;ip4:35.181.15.25 ip4:35.181.2.234 ip4:35.181.39.186 ip4:35.181.71.70 ip4:52.47.57.19 ip4:80.149.217.102 ~all"/>
    <m/>
    <x v="3"/>
    <s v="v=DMARC1; p=reject; fo=1; rua=mailto:Rua.dmarc@viatris.com; ruf=mailto:Ruf.dmarc@viatris.com;"/>
    <m/>
    <m/>
    <x v="7"/>
    <x v="111"/>
  </r>
  <r>
    <s v="quintiles.com"/>
    <s v="tilde"/>
    <s v="Soft Fail"/>
    <s v="v=spf1 include:%{i}._ip.%{h}._ehlo.%{d}._spf.vali.email ~all"/>
    <s v="yes"/>
    <x v="3"/>
    <s v="v=DMARC1; p=reject; rua=mailto:dmarc_agg@vali.email"/>
    <m/>
    <m/>
    <x v="0"/>
    <x v="112"/>
  </r>
  <r>
    <s v="kilsaran.ie"/>
    <s v="minus"/>
    <s v="Fail"/>
    <s v="v=spf1 include:spf.protection.outlook.com include:spf.smtp2go.com include:spf.hornetsecurity.com include:spf.EU.exclaimer.net -all"/>
    <s v="yes"/>
    <x v="1"/>
    <s v="v=DMARC1; p=quarantine; sp=quarantine; fo=1; rua=mailto:dmarc@6w95c0az.uriports.com,mailto:dmarc@kilsaran.ie; ruf=mailto:dmarc@6w95c0az.uriports.com,mailto:dmarc@kilsaran.ie; pct=100;"/>
    <m/>
    <m/>
    <x v="15"/>
    <x v="112"/>
  </r>
  <r>
    <s v="iralco.ie"/>
    <s v="no"/>
    <s v="Not found"/>
    <m/>
    <m/>
    <x v="0"/>
    <m/>
    <m/>
    <m/>
    <x v="23"/>
    <x v="113"/>
  </r>
  <r>
    <s v="cws.ie"/>
    <s v="no"/>
    <s v="Not found"/>
    <m/>
    <m/>
    <x v="0"/>
    <m/>
    <m/>
    <m/>
    <x v="0"/>
    <x v="113"/>
  </r>
  <r>
    <s v="sunbeam.ie"/>
    <s v="minus"/>
    <s v="Fail"/>
    <s v="v=spf1 include:spf.protection.outlook.com ip4:168.245.121.45 ip4:46.22.142.18 ip4:79.170.244.155 ip4:79.170.244.156 ip4:89.185.150.155 a:87-198-187-162.static.ptr.magnet.ie -all"/>
    <s v="yes"/>
    <x v="2"/>
    <s v="v=DMARC1; p=none; rua=mailto:rua@dmarc.brevo.com"/>
    <m/>
    <m/>
    <x v="24"/>
    <x v="114"/>
  </r>
  <r>
    <s v="eirgrid.com"/>
    <s v="tilde"/>
    <s v="Soft Fail"/>
    <s v="v=spf1 include:%{ir}.%{v}.%{d}.spf.has.pphosted.com ~all"/>
    <m/>
    <x v="1"/>
    <s v="v=DMARC1; p=quarantine; fo=1; rua=mailto:dmarc_rua@emaildefense.proofpoint.com; ruf=mailto:dmarc_ruf@emaildefense.proofpoint.com;"/>
    <m/>
    <m/>
    <x v="0"/>
    <x v="115"/>
  </r>
  <r>
    <s v="lisheenmine.ie"/>
    <s v="minus"/>
    <s v="Fail"/>
    <s v="v=spf1 include:spf.protection.outlook.com include:mail1.lisheenmine.ie -all"/>
    <m/>
    <x v="0"/>
    <m/>
    <m/>
    <m/>
    <x v="13"/>
    <x v="115"/>
  </r>
  <r>
    <s v="friendsfirst.ie"/>
    <s v="minus"/>
    <s v="Fail"/>
    <s v="v=spf1 mx a:securemail.friendsfirst.ie include:spf.protection.outlook.com -all"/>
    <s v="yes"/>
    <x v="3"/>
    <s v="v=DMARC1; p=reject; fo=1; rua=mailto:dmarc_rua@emaildefense.proofpoint.com; ruf=mailto:dmarc_ruf@emaildefense.proofpoint.com"/>
    <m/>
    <m/>
    <x v="0"/>
    <x v="115"/>
  </r>
  <r>
    <s v="carlow.ie"/>
    <s v="no"/>
    <s v="Not found"/>
    <m/>
    <m/>
    <x v="2"/>
    <s v="v=DMARC1; p=none; rua=mailto:eoin@carlow.ie"/>
    <m/>
    <m/>
    <x v="25"/>
    <x v="115"/>
  </r>
  <r>
    <s v="finance.gov.ie"/>
    <s v="minus"/>
    <s v="Fail"/>
    <s v="v=spf1 ip4:137.191.249.114 ip4:137.191.246.70 include:spfext.itservices.gov.ie -all"/>
    <s v="yes"/>
    <x v="2"/>
    <s v="v=DMARC1; p=none;"/>
    <m/>
    <m/>
    <x v="0"/>
    <x v="115"/>
  </r>
  <r>
    <s v="stjohnshospital.ie"/>
    <s v="tilde"/>
    <s v="Soft Fail"/>
    <s v="v=spf1 include:spf.protection.outlook.com a:spamtitan.stjohnshospital.ie a:notification.fortinet.net ~all"/>
    <m/>
    <x v="3"/>
    <s v="v=DMARC1;p=reject;sp=reject;rua=mailto:211a5a2e44@rua.easydmarc.eu;ruf=mailto:211a5a2e44@ruf.easydmarc.eu;fo=1"/>
    <m/>
    <m/>
    <x v="5"/>
    <x v="115"/>
  </r>
  <r>
    <s v="slieverussell.ie"/>
    <s v="tilde"/>
    <s v="Soft Fail"/>
    <s v="v=spf1 ip4:89.127.244.218 include:spf.protection.outlook.com ip4:194.168.134.136 include:sendgrid.net include:oracleindustry.com include:iresthotels.com include:authsmtp.com ~all"/>
    <s v="yes"/>
    <x v="2"/>
    <s v="v=DMARC1; p=none;"/>
    <m/>
    <m/>
    <x v="11"/>
    <x v="115"/>
  </r>
  <r>
    <s v="capita.ie"/>
    <s v="tilde"/>
    <s v="Soft Fail"/>
    <s v="v=spf1 include:mailcontrol.com include:spf.protection.outlook.com ~all"/>
    <s v="yes"/>
    <x v="3"/>
    <s v="v=DMARC1; p=reject; aspf=r; adkim=r"/>
    <m/>
    <m/>
    <x v="0"/>
    <x v="115"/>
  </r>
  <r>
    <s v="hsbc.ie"/>
    <s v="minus"/>
    <s v="Fail"/>
    <s v="v=spf1 -all"/>
    <m/>
    <x v="3"/>
    <s v="v=DMARC1; p=reject; fo=1; ri=3600; rua=mailto:dmarc_rua@emaildefense.proofpoint.com; ruf=mailto:dmarc_ruf@emaildefense.proofpoint.com;"/>
    <m/>
    <m/>
    <x v="0"/>
    <x v="115"/>
  </r>
  <r>
    <s v="sjp.co.uk"/>
    <s v="minus"/>
    <s v="Fail"/>
    <s v="v=spf1 include:spf.sjp.co.uk include:spf1.sjp.co.uk include:spf2.sjp.co.uk ip4:185.70.168.20 ip4:148.59.101.16/28 ip4:108.129.7.134 ip4:143.55.144.116 ip4:185.183.30.23 ip4:52.211.172.205 -all"/>
    <s v="yes"/>
    <x v="3"/>
    <s v="v=DMARC1; p=reject; fo=1; rua=mailto:dmarc_rua@emaildefense.proofpoint.com,mailto:d9c52843eaef440@rep.dmarcanalyzer.com; ruf=mailto:dmarc_ruf@emaildefense.proofpoint.com,mailto:d9c52843eaef440@for.dmarcanalyzer.com"/>
    <s v="yes"/>
    <s v="https://vmc.digicert.com/98cbc47f-f655-4442-88ff-90786246db14.svg"/>
    <x v="0"/>
    <x v="115"/>
  </r>
  <r>
    <s v="clearstream.ie"/>
    <s v="no"/>
    <s v="Not found"/>
    <m/>
    <m/>
    <x v="3"/>
    <s v="v=DMARC1; p=reject; rua=mailto:dmarc_agg@vali.email; ruf=mailto:NDYyOTU1@ruf.vali.email; fo=1"/>
    <m/>
    <m/>
    <x v="3"/>
    <x v="115"/>
  </r>
  <r>
    <s v="takeda.com"/>
    <s v="tilde"/>
    <s v="Soft Fail"/>
    <s v="v=spf1 include:spf-00297f01.pphosted.com include:spf.protection.outlook.com ~all"/>
    <s v="yes"/>
    <x v="3"/>
    <s v="v=DMARC1; p=reject; fo=1; rua=mailto:dmarc_rua@emaildefense.proofpoint.com; ruf=mailto:dmarc_ruf@emaildefense.proofpoint.com"/>
    <m/>
    <m/>
    <x v="0"/>
    <x v="115"/>
  </r>
  <r>
    <s v="veolia.ie"/>
    <s v="tilde"/>
    <s v="Soft Fail"/>
    <s v="v=spf1 ip4:213.212.70.213 ip4:62.73.149.6 include:_spf.google.com ~all"/>
    <s v="yes"/>
    <x v="1"/>
    <s v="v=DMARC1; p=quarantine; pct=100; rua=mailto:pfavnw3o@ag.dmarcian.com; ruf=mailto:pfavnw3o@fr.dmarcian.com"/>
    <m/>
    <m/>
    <x v="0"/>
    <x v="115"/>
  </r>
  <r>
    <s v="clearstream.com"/>
    <s v="minus"/>
    <s v="Fail"/>
    <s v="v=spf1 mx ip4:193.29.81.252/32 ip4:193.29.81.251/32 ip4:194.36.229.250/32 ip4:194.36.229.251/32 include:dbgmail.net -all"/>
    <m/>
    <x v="3"/>
    <s v="v=DMARC1;p=reject;ruf=mailto:email.security@clearstream.com;fo=0"/>
    <m/>
    <m/>
    <x v="1"/>
    <x v="115"/>
  </r>
  <r>
    <s v="slaney.com"/>
    <s v="minus"/>
    <s v="Fail"/>
    <s v="v=spf1 mx a include:slaney.com -all"/>
    <m/>
    <x v="0"/>
    <m/>
    <m/>
    <m/>
    <x v="3"/>
    <x v="115"/>
  </r>
  <r>
    <s v="westernbrandgroup.ie"/>
    <s v="no"/>
    <s v="Not found"/>
    <m/>
    <m/>
    <x v="0"/>
    <m/>
    <m/>
    <m/>
    <x v="4"/>
    <x v="115"/>
  </r>
  <r>
    <s v="windhoist.ie"/>
    <s v="no"/>
    <s v="Not found"/>
    <m/>
    <m/>
    <x v="0"/>
    <m/>
    <m/>
    <m/>
    <x v="12"/>
    <x v="115"/>
  </r>
  <r>
    <s v="associatedrewinds.com"/>
    <s v="tilde"/>
    <s v="Soft Fail"/>
    <s v="v=spf1 a mx ip4:217.115.116.22 ip4:217.115.113.36 ip4:217.115.113.73 ip4:217.115.113.24 include:spf.antispamcloud.com ~all"/>
    <s v="yes"/>
    <x v="2"/>
    <s v="v=DMARC1; p=none;"/>
    <m/>
    <m/>
    <x v="0"/>
    <x v="115"/>
  </r>
  <r>
    <s v="cartamundi.com"/>
    <s v="minus"/>
    <s v="Fail"/>
    <s v="v=spf1 ip4:54.75.233.119/32 ip4:52.17.229.211/32 ip4:81.188.106.128/27 ip4:81.188.93.64/27 ip4:84.198.249.0/28 ip4:151.181.49.64/27 include:de._netblocks.mimecast.com include:spf.mandrillapp.com include:servers.mcsv.net include:spf.sendinblue.com include:&quot; &quot;spf.protection.outlook.com include:_spf.salesforce.com -all"/>
    <m/>
    <x v="2"/>
    <s v="v=DMARC1; p=none; sp=reject; rua=mailto:728ec9044bda281@rep.dmarcanalyzer.com, mailto:sbatx4b6@ag.eu.dmarcadvisor.com; ruf=mailto:728ec9044bda281@rep.dmarcanalyzer.com, mailto:sbatx4b6@fr.eu.dmarcadvisor.com;"/>
    <m/>
    <m/>
    <x v="10"/>
    <x v="115"/>
  </r>
  <r>
    <s v="cityjet.com"/>
    <s v="minus"/>
    <s v="Fail"/>
    <s v="v=spf1 include:spf.protection.outlook.com include:msg-out._spf.f24cim.com include:em3997.cascadecloud.co.uk ip4:83.71.134.224/27 ip4:34.241.133.140 ip4:134.213.195.176 ip4:92.254.125.237 ip4:193.110.199.49 -all"/>
    <s v="yes"/>
    <x v="1"/>
    <s v="v=DMARC1; p=quarantine; rua=mailto:dmarc-reports@cityjet.com; ruf=mailto:dmarc-forensics@cityjet.com;ri=86400; adkim=s;aspf=s;fo=1;"/>
    <m/>
    <m/>
    <x v="0"/>
    <x v="115"/>
  </r>
  <r>
    <s v="mic.ul.ie"/>
    <s v="minus"/>
    <s v="Fail"/>
    <s v="v=spf1 ip4:193.1.98.40 include:spf.protection.outlook.com include:eu.zcsend.net ip4:193.1.102.160 ip4:193.1.102.174 ip4:193.1.101.155  ip4:193.1.101.156 -all"/>
    <s v="yes"/>
    <x v="3"/>
    <s v="v=DMARC1; p=reject ;pct=100 ; rua=mailto:ictalerts@mic.ul.ie"/>
    <m/>
    <m/>
    <x v="5"/>
    <x v="115"/>
  </r>
  <r>
    <s v="evros.ie"/>
    <s v="minus"/>
    <s v="Fail"/>
    <s v="v=spf1 mx a ip4:146.0.48.0/21 ip4:185.5.240.0/22 &quot; &quot;ip4:185.217.59.0/24 ip4:74.127.26.11 ip4:52.129.17.4 ip4:168.245.49.92 ip4:167.89.62.239 include:autotask.net include:spf.protection.outlook.com include:_spf-mailon-us-1.spamtitan.com include:_mailoutspf.cygrids.net ip4:91.220.45.0/24 -all"/>
    <s v="yes"/>
    <x v="3"/>
    <s v="v=DMARC1; p=reject; adkim=s; aspf=s; fo=1; rua=mailto:abuse@evros.ie; ruf=mailto:abuse@evros.ie"/>
    <m/>
    <m/>
    <x v="0"/>
    <x v="115"/>
  </r>
  <r>
    <s v="pinewood.ie"/>
    <s v="minus"/>
    <s v="Fail"/>
    <s v="v=spf1 mx a ip4:62.77.190.180 ip4:62.77.190.183 ip4:62.77.190.179 ip4:121.240.38.60 ip4:103.159.41.110 a:mailr2.wockhardt.com -all"/>
    <m/>
    <x v="2"/>
    <s v="v=DMARC1; p=none; rua=mailto:45-44-0821@aquilai.net; ruf=mailto:45-44-0821-f@aquilai.net; fo=1"/>
    <m/>
    <m/>
    <x v="13"/>
    <x v="115"/>
  </r>
  <r>
    <s v="moduslink.com"/>
    <s v="minus"/>
    <s v="Fail"/>
    <s v="v=spf1 ip4:216.245.20.34 ip4:216.245.20.220 ip4:216.245.51.34 ip4:216.245.51.154 include:_spf.salesforce.com include:spf.protection.outlook.com include:38775.spf07.hubspotemail.net -all"/>
    <s v="yes"/>
    <x v="3"/>
    <s v="v=DMARC1; p=reject; rua=mailto:itrua@moduslink.com; ruf=mailto:itruf@moduslink.com; fo=1;"/>
    <m/>
    <m/>
    <x v="16"/>
    <x v="116"/>
  </r>
  <r>
    <s v="jabil.com"/>
    <s v="minus"/>
    <s v="Fail"/>
    <s v="v=spf1 include:aspmx.pardot.com include:spf.protection.outlook.com include:spf.polydyne.com include:servers.mcsv.net include:amazonses.com include:47531300.spf01.hubspotemail.net &quot; &quot;a:b.spf.service-now.com a:c.spf.service-now.com a:d.spf.service-now.com &quot; &quot;ip4:8.14.198.160/31 ip4:8.14.198.235 ip4:8.14.198.237 ip4:65.205.13.181 ip4:5.61.117.80/28 ip4:63.65.31.241 ip4:69.31.5.41 -all"/>
    <s v="yes"/>
    <x v="1"/>
    <s v="v=DMARC1; p=quarantine; rua=mailto:DMARC_reporting@jabil.com; ruf=mailto:DMARC_reporting@jabil.com; pct=100; fo=1:d:s"/>
    <m/>
    <m/>
    <x v="0"/>
    <x v="117"/>
  </r>
  <r>
    <s v="willistowerswatson.com"/>
    <s v="tilde"/>
    <s v="Soft Fail"/>
    <s v="v=spf1 include:%{i}._ip.%{h}._ehlo.%{d}._spf.vali.email ~all"/>
    <s v="yes"/>
    <x v="3"/>
    <s v="v=DMARC1; p=reject; fo=1; rua=mailto:dmarc_agg@vali.email"/>
    <m/>
    <m/>
    <x v="0"/>
    <x v="117"/>
  </r>
  <r>
    <s v="nrh.ie"/>
    <s v="minus"/>
    <s v="Fail"/>
    <s v="v=spf1 ip4:137.191.224.10 ip4:137.191.224.140 ip4:137.191.239.3 include:spf.protection.outlook.com include:spf.topsec.com include:email.freshdesk.com -all"/>
    <s v="yes"/>
    <x v="2"/>
    <s v="v=DMARC1;p=none;sp=reject;rua=mailto:211a5a2e44@rua.easydmarc.eu;ruf=mailto:211a5a2e44@ruf.easydmarc.eu;fo=1"/>
    <m/>
    <m/>
    <x v="0"/>
    <x v="118"/>
  </r>
  <r>
    <s v="ittralee.ie"/>
    <s v="minus"/>
    <s v="Fail"/>
    <s v="v=spf1 ip4:193.120.143.134 ip4:34.250.42.90 ip4:193.1.234.12 ip4:52.215.76.190 ip4:193.1.178.21 include:spf.protection.outlook.com +a +mx -all"/>
    <s v="yes"/>
    <x v="1"/>
    <s v="v=DMARC1; p=quarantine; pct=100; sp=none; rua=mailto:svc_dmarc@mtu.ie"/>
    <m/>
    <m/>
    <x v="14"/>
    <x v="119"/>
  </r>
  <r>
    <s v="dairymaster.com"/>
    <s v="tilde"/>
    <s v="Soft Fail"/>
    <s v="v=spf1 include:spf.protection.outlook.com ip4:185.8.112.72 a:gorlois.blacknight.ie include:_spf.act-on.net include:send.zcsend.eu a mx ~all"/>
    <s v="yes"/>
    <x v="1"/>
    <s v="v=DMARC1; p=quarantine; rua=mailto:dairymaster@eu.cp-dmarc.com; ruf=mailto:dairymaster@eu.cp-dmarc.com; fo=1; pct=100; adkim=r; aspf=r"/>
    <m/>
    <m/>
    <x v="14"/>
    <x v="119"/>
  </r>
  <r>
    <s v="rehab.ie"/>
    <s v="minus"/>
    <s v="Fail"/>
    <s v="v=spf1 include:spf.protection.outlook.com -all"/>
    <s v="yes"/>
    <x v="3"/>
    <s v="v=DMARC1; p=reject; sp=reject; rua=mailto:kh63j5azfi@rua.powerdmarc.com; ruf=mailto:kh63j5azfi@ruf.powerdmarc.com; pct=100; fo=0:1;"/>
    <s v="yes"/>
    <s v="https://app.powerbimi.com/15507/fe8ed087-b525-471f-b4c9-32e50b37dd5d.svg"/>
    <x v="0"/>
    <x v="120"/>
  </r>
  <r>
    <s v="combilift.com"/>
    <s v="tilde"/>
    <s v="Soft Fail"/>
    <s v="v=spf1 include:eu._netblocks.mimecast.com a:parts.combiliftspareparts.com include:spf.protection.outlook.com include:_spf.ricambio.net include:_spf.mailspamprotection.com include:relay.mailchannels.net ip4:77.104.175.79 ip4:192.161.144.0/20 ip4:185.12.80.&quot; &quot;0/22 ip4:188.172.128.0/20 ip4:216.198.0.0/18 ip4:185.56.84.4 ip4:185.56.84.9 ip4:185.56.84.19 ip4:167.89.0.0/17 ip4:208.117.48.0/20 ip4:50.31.32.0/19 ip4:198.37.144.0/20 ip4:198.21.0.0/21 ip4:192.254.112.0/20 ip4:168.245.0.0/17 ip4:149.72.0.0/16 ip4:159.1&quot; &quot;83.0.0/16 ~all"/>
    <s v="yes"/>
    <x v="3"/>
    <s v="v=DMARC1; p=reject; rua=mailto:1dd639777cd8332@rep.dmarcanalyzer.com; ruf=mailto:1dd639777cd8332@for.dmarcanalyzer.com; fo=1;"/>
    <m/>
    <m/>
    <x v="12"/>
    <x v="121"/>
  </r>
  <r>
    <s v="gilead.com"/>
    <s v="minus"/>
    <s v="Fail"/>
    <s v="v=spf1 include:%{ir}.%{v}.%{d}.spf.has.pphosted.com -all"/>
    <s v="yes"/>
    <x v="2"/>
    <s v="v=DMARC1; p=none; pct=100; fo=1; rua=mailto:dmarcreport@gilead.com,mailto:dmarc_rua@emaildefense.proofpoint.com; ruf=mailto:dmarc_ruf@emaildefense.proofpoint.com"/>
    <m/>
    <m/>
    <x v="1"/>
    <x v="121"/>
  </r>
  <r>
    <s v="wisetek.net"/>
    <s v="tilde"/>
    <s v="Soft Fail"/>
    <s v="v=spf1 exists:%{i}.spf.hc889-37.c3s2.iphmx.com include:servers.mcsv.net include:spf.protection.outlook.com ~all"/>
    <s v="yes"/>
    <x v="1"/>
    <s v="v=DMARC1; p=quarantine; rua=mailto:dmarc@wisetek.net; ruf=mailto:dmarc@wisetek.net; fo=1; pct=100"/>
    <m/>
    <m/>
    <x v="1"/>
    <x v="122"/>
  </r>
  <r>
    <s v="rigneydolphin.ie"/>
    <s v="minus"/>
    <s v="Fail"/>
    <s v="v=spf1 include:spf.protection.outlook.com -all"/>
    <m/>
    <x v="0"/>
    <m/>
    <m/>
    <m/>
    <x v="10"/>
    <x v="123"/>
  </r>
  <r>
    <s v="servicesource.com"/>
    <s v="tilde"/>
    <s v="Soft Fail"/>
    <s v="v=spf1 mx ip4:206.126.160.0/19 include:spf.protection.outlook.com include:mktomail.com include:aspmx.pardot.com ~all"/>
    <s v="yes"/>
    <x v="1"/>
    <s v="v=DMARC1; p=quarantine; pct=100; fo=1; rua=mailto:techops-alerts@servicesource.com; ruf=mailto:techops-alerts@servicesource.com; sp=reject; ri=84600"/>
    <m/>
    <m/>
    <x v="0"/>
    <x v="123"/>
  </r>
  <r>
    <s v="db.com"/>
    <s v="tilde"/>
    <s v="Soft Fail"/>
    <s v="v=spf1 ip4:160.83.0.0/16 ~all"/>
    <s v="yes"/>
    <x v="3"/>
    <s v="v=DMARC1; p=reject; sp=reject; adkim=s; fo=1; ri=3600; rua=mailto:dmarc_rua@emaildefense.proofpoint.com; ruf=mailto:dmarc_ruf@emaildefense.proofpoint.com,mailto:dmarc.reports@db.com"/>
    <m/>
    <m/>
    <x v="0"/>
    <x v="123"/>
  </r>
  <r>
    <s v="giraffe.ie"/>
    <s v="minus"/>
    <s v="Fail"/>
    <s v="v=spf1 include:spf.protection.outlook.com -all"/>
    <s v="yes"/>
    <x v="1"/>
    <s v="v=DMARC1; p=quarantine; sp=none; rua=mailto:dmarc_ations@giraffe.ie!10m; ruf=mailto:dmarc_ations@giraffe.ie!10m; rf=afrf; pct=100; ri=86400;"/>
    <m/>
    <m/>
    <x v="0"/>
    <x v="123"/>
  </r>
  <r>
    <s v="emeraldfs.ie"/>
    <s v="minus"/>
    <s v="Fail"/>
    <s v="v=spf1 include:spf.protection.outlook.com -all"/>
    <m/>
    <x v="0"/>
    <m/>
    <m/>
    <m/>
    <x v="0"/>
    <x v="123"/>
  </r>
  <r>
    <s v="kirbygroup.com"/>
    <s v="mis"/>
    <s v="Invalid SPF Syntax"/>
    <s v="v=spf1 redirect=aen1o4d6._spf._d.mim.ec"/>
    <s v="yes"/>
    <x v="3"/>
    <s v="v=DMARC1; p=reject; rua=mailto:3dcde944d360625@rep.dmarcanalyzer.com; ruf=mailto:3dcde944d360625@for.dmarcanalyzer.com; fo=1;"/>
    <s v="yes"/>
    <s v="https://www.kirbygroup.com/wp-content/uploads/K-Logo.svg"/>
    <x v="5"/>
    <x v="123"/>
  </r>
  <r>
    <s v="statestreet.com"/>
    <s v="minus"/>
    <s v="Fail"/>
    <s v="v=spf1 a ip4:192.250.166.0/24 ip4:192.250.80.0/24 ip4:192.250.175.1 ip4:192.250.85.1 ip4:192.250.175.5 ip4:192.250.85.5 include:spf.protection.outlook.com -all"/>
    <m/>
    <x v="1"/>
    <s v="v=DMARC1;&quot; &quot;p=quarantine;&quot; &quot;fo=1;&quot; &quot;ri=3600;&quot; &quot;rua=mailto:state-street@rua.agari.com;&quot; &quot;ruf=mailto:state-street@ruf.agari.com"/>
    <m/>
    <m/>
    <x v="0"/>
    <x v="123"/>
  </r>
  <r>
    <s v="bd.com"/>
    <s v="tilde"/>
    <s v="Soft Fail"/>
    <s v="v=spf1 include:%{i}._ip.%{h}._ehlo.%{d}._spf.vali.email include:mktomail.com ~all"/>
    <s v="yes"/>
    <x v="3"/>
    <s v="v=DMARC1; p=reject; rua=mailto:dmarc_agg@vali.email; ruf=mailto:NDQwNTIy@ruf.vali.email; fo=1"/>
    <m/>
    <m/>
    <x v="0"/>
    <x v="123"/>
  </r>
  <r>
    <s v="westmeathcoco.ie"/>
    <s v="tilde"/>
    <s v="Soft Fail"/>
    <s v="v=spf1 a:dispatch-eu.ppe-hosted.com ip4:213.143.154.166/32 ~all"/>
    <m/>
    <x v="2"/>
    <s v="v=DMARC1;p=none;sp=none;rua=mailto:211a5a2e44@rua.easydmarc.eu;ruf=mailto:211a5a2e44@ruf.easydmarc.eu;fo=1"/>
    <m/>
    <m/>
    <x v="23"/>
    <x v="123"/>
  </r>
  <r>
    <s v="tyndall.ie"/>
    <s v="minus"/>
    <s v="Fail"/>
    <s v="v=spf1 ip4:143.239.64.131 include:spf.protection.outlook.com -all"/>
    <s v="yes"/>
    <x v="1"/>
    <s v="v=DMARC1; p=quarantine;sp=quarantine; rua=mailto:z09tjnba@ag.eu.dmarcian.com, mailto:dmarc@tyndall.ie; ruf=mailto:dmarc@tyndall.ie; fo=1"/>
    <m/>
    <m/>
    <x v="1"/>
    <x v="123"/>
  </r>
  <r>
    <s v="careyglass.com"/>
    <s v="minus"/>
    <s v="Fail"/>
    <s v="v=spf1 ip4:83.70.128.217 ip4:84.203.183.130  include:spf.protection.outlook.com -all"/>
    <s v="yes"/>
    <x v="1"/>
    <s v="v=DMARC1; p=quarantine; pct=100; rua=mailto:re+re3b8klgrkr@dmarc.postmarkapp.com; sp=none; aspf=r;"/>
    <m/>
    <m/>
    <x v="13"/>
    <x v="123"/>
  </r>
  <r>
    <s v="alcon.com"/>
    <s v="mis"/>
    <s v="Invalid SPF Syntax"/>
    <s v="v=spf1 redirect=b0f5qc91._spf._d.mim.ec"/>
    <s v="yes"/>
    <x v="3"/>
    <s v="v=DMARC1; p=reject; rua=mailto:f762a5e1e929449@rep.dmarcanalyzer.com; ruf=mailto:f762a5e1e929449@for.dmarcanalyzer.com; fo=1;"/>
    <m/>
    <m/>
    <x v="1"/>
    <x v="123"/>
  </r>
  <r>
    <s v="citywesthotel.com"/>
    <s v="minus"/>
    <s v="Fail"/>
    <s v="v=spf1 include:spf.protection.outlook.com include:spfa.cpmails.com -all"/>
    <s v="yes"/>
    <x v="3"/>
    <s v="v=DMARC1; p=reject; rua=mailto:citywesthotel@eu.cp-dmarc.com; ruf=mailto:citywesthotel@eu.cp-dmarc.com; fo=1"/>
    <m/>
    <m/>
    <x v="0"/>
    <x v="123"/>
  </r>
  <r>
    <s v="ashfordcastle.com"/>
    <s v="minus"/>
    <s v="Fail"/>
    <s v="v=spf1 ip4:159.134.255.74/32 include:spf_3a.oracleindustry.com include:spf.protection.outlook.com -all"/>
    <s v="yes"/>
    <x v="3"/>
    <s v="v=DMARC1; p=reject"/>
    <m/>
    <m/>
    <x v="4"/>
    <x v="123"/>
  </r>
  <r>
    <s v="castlecourthotel.ie"/>
    <s v="minus"/>
    <s v="Fail"/>
    <s v="v=spf1 a mx include:spf.newsletter.ie include:spf.mandrillapp.com a:mailon.spamtitan.com include:spf.protection.outlook.com include:spf.myhost.ie -all"/>
    <s v="yes"/>
    <x v="2"/>
    <s v="v=DMARC1; p=none;"/>
    <m/>
    <m/>
    <x v="4"/>
    <x v="123"/>
  </r>
  <r>
    <s v="stjosephsfoundation.ie"/>
    <s v="minus"/>
    <s v="Fail"/>
    <s v="v=spf1 a ip4:78.143.180.118 include:spf.protection.outlook.com include:spf.hes.trendmicro.com  -all"/>
    <m/>
    <x v="0"/>
    <m/>
    <m/>
    <m/>
    <x v="1"/>
    <x v="123"/>
  </r>
  <r>
    <s v="abilitywest.ie"/>
    <s v="minus"/>
    <s v="Fail"/>
    <s v="v=spf1 include:spf.protection.outlook.com -all"/>
    <s v="yes"/>
    <x v="1"/>
    <s v="v=DMARC1;p=quarantine;rua=mailto:3aa244375d@rua.easydmarc.eu;ruf=mailto:3aa244375d@ruf.easydmarc.eu;fo=1;"/>
    <m/>
    <m/>
    <x v="7"/>
    <x v="123"/>
  </r>
  <r>
    <s v="barnardos.ie"/>
    <s v="minus"/>
    <s v="Fail"/>
    <s v="v=spf1 a include:spf.protection.outlook.com include:spf.blacknight.ie include:servers.mcsv.net ip4:148.252.8.218 ip4:148.252.8.222 include:_spf.eu.messagegears.net include:authsmtp.com include:authsmtp.co.uk include:authsmtp.net include:spf.zohomail3&quot; &quot;60.eu include:barnardos-ie.mail.protection.outlook.com -all"/>
    <s v="yes"/>
    <x v="2"/>
    <s v="v=DMARC1; p=none;"/>
    <m/>
    <m/>
    <x v="0"/>
    <x v="123"/>
  </r>
  <r>
    <s v="focusireland.ie"/>
    <s v="minus"/>
    <s v="Fail"/>
    <s v="v=spf1 ip4:146.0.48.27 include:spf.protection.outlook.com include:spf.mtasv.net ip4:141.193.32.0/23 ip4:159.135.140.80/29 ip4:159.135.132.128/25 ip4:161.38.204.0/22 ip4:87.253.232.0/21 ip4:185.189.236.0/22 ip4:185.211.120.0/22 ip4:185.250.236.0/22 ip&quot; &quot;4:143.55.236.0/22 ip4:198.244.60.0/22 ip4:204.220.160.0/21 ip4:209.61.151.0/24 ip4:166.78.68.0/22 ip4:198.61.254.0/23 ip4:192.237.158.0/23 ip4:23.253.182.0/23 ip4:104.130.96.0/28 ip4:146.20.113.0/24 ip4:146.20.191.0/24 ip4:159.135.224.0/20 ip4:69.72.&quot; &quot;32.0/20 ip4:104.130.122.0/23 ip4:146.20.112.0/26 ip4:161.38.192.0/20 ip4:143.55.224.0/21 ip4:143.55.232.0/22 ip4:159.112.240.0/20 ip4:198.244.48.0/20 ip4:204.220.168.0/21 ip4:204.220.176.0/20 include:servers.mcsv.net include:customers.clickdimensions&quot; &quot;.com include:_spf.eu.messagegears.net include:spf.mandrillapp.com include:amazonses.com -all"/>
    <s v="yes"/>
    <x v="1"/>
    <s v="v=DMARC1; p=quarantine; sp=reject; adkim=r; aspf=s; fo=1"/>
    <m/>
    <m/>
    <x v="0"/>
    <x v="123"/>
  </r>
  <r>
    <s v="capita.co.uk"/>
    <s v="minus"/>
    <s v="Fail"/>
    <s v="v=spf1 include:spf1.capita.co.uk include:spf2.capita.co.uk include:spf3.capita.co.uk -all"/>
    <s v="yes"/>
    <x v="3"/>
    <s v="v=DMARC1; p=reject; aspf=r; adkim=r"/>
    <m/>
    <m/>
    <x v="0"/>
    <x v="123"/>
  </r>
  <r>
    <s v="newireland.ie"/>
    <s v="tilde"/>
    <s v="Soft Fail"/>
    <s v="v=spf1 include:%{i}._ip.%{h}._ehlo.%{d}._spf.vali.email ~all"/>
    <m/>
    <x v="3"/>
    <s v="v=DMARC1; p=reject; rua=mailto:dmarc_agg@vali.email"/>
    <m/>
    <m/>
    <x v="0"/>
    <x v="123"/>
  </r>
  <r>
    <s v="cheeverstownschool.ie"/>
    <s v="no"/>
    <s v="Not found"/>
    <m/>
    <m/>
    <x v="0"/>
    <m/>
    <m/>
    <m/>
    <x v="0"/>
    <x v="123"/>
  </r>
  <r>
    <s v="kildarechillingco.ie"/>
    <s v="tilde"/>
    <s v="Soft Fail"/>
    <s v="v=spf1 ip4:217.115.113.32 ip4:193.120.46.36 include:spf.protection.outlook.com ~all"/>
    <m/>
    <x v="0"/>
    <m/>
    <m/>
    <m/>
    <x v="16"/>
    <x v="123"/>
  </r>
  <r>
    <s v="dewvalley.com"/>
    <s v="minus"/>
    <s v="Fail"/>
    <s v="v=spf1 include:spf.mailanyone.net include:spf.seg.trustwave.com include:spf.protection.outlook.com -all"/>
    <m/>
    <x v="0"/>
    <m/>
    <m/>
    <m/>
    <x v="13"/>
    <x v="123"/>
  </r>
  <r>
    <s v="highfieldhealthcare.ie"/>
    <s v="minus"/>
    <s v="Fail"/>
    <s v="v=spf1 mx ip4:62.77.176.181/32 ip4:86.43.118.230/32 ip4:5.149.173.102/32 a:mail1.eircom.net a:mail2.highfieldhealthcare.ie include:spf.theemaillaundry.net include:spf.protection.outlook.com include:spf.topsec.com include:spf1.emailsecurity.app -all"/>
    <s v="yes"/>
    <x v="2"/>
    <s v="v=DMARC1; p=none;"/>
    <m/>
    <m/>
    <x v="0"/>
    <x v="123"/>
  </r>
  <r>
    <s v="pettitts.ie"/>
    <s v="minus"/>
    <s v="Fail"/>
    <s v="v=spf1 include:spf.protection.outlook.com include:spf.ess.de.barracudanetworks.com -all"/>
    <m/>
    <x v="0"/>
    <m/>
    <m/>
    <m/>
    <x v="3"/>
    <x v="123"/>
  </r>
  <r>
    <s v="nightline-delivers.com"/>
    <s v="question"/>
    <s v="Neutral"/>
    <s v="v=spf1 include:mailcontrol.com include:spf.protection.outlook.com ?all"/>
    <s v="yes"/>
    <x v="0"/>
    <m/>
    <m/>
    <m/>
    <x v="0"/>
    <x v="123"/>
  </r>
  <r>
    <s v="doyleshippinggroup.com"/>
    <s v="no"/>
    <s v="Not found"/>
    <m/>
    <m/>
    <x v="0"/>
    <m/>
    <m/>
    <m/>
    <x v="0"/>
    <x v="123"/>
  </r>
  <r>
    <s v="stobartair.com"/>
    <s v="no"/>
    <s v="Not found"/>
    <m/>
    <m/>
    <x v="0"/>
    <m/>
    <m/>
    <m/>
    <x v="0"/>
    <x v="123"/>
  </r>
  <r>
    <s v="dbs.ie"/>
    <s v="minus"/>
    <s v="Fail"/>
    <s v="v=spf1 ip4:89.101.121.155 include:_u.dbs.ie._spf.smart.ondmarc.com include:_spf.salesforce.com -all"/>
    <s v="yes"/>
    <x v="2"/>
    <s v="v=DMARC1; p=none; sp=reject; fo=1; pct=100; ri=86400; rua=mailto:edc840a1@inbox.ondmarc.com,mailto:dmarc-reports@dbs.ie,mailto:56bd0390677b448f90363758eedc263f@dmarc-reports.cloudflare.net; ruf=mailto:edc840a1@inbox.ondmarc.com,mailto:dmarc-reports@dbs.ie"/>
    <m/>
    <m/>
    <x v="0"/>
    <x v="123"/>
  </r>
  <r>
    <s v="it-tallaght.ie"/>
    <s v="minus"/>
    <s v="Fail"/>
    <s v="v=spf1 include:spf.protection.outlook.com ip4:52.31.49.108/32 ip4:52.31.29.196/32 ip4:212.78.228.11 include:wpm.flywire.com -all"/>
    <s v="yes"/>
    <x v="3"/>
    <s v="v=DMARC1; p=reject; rua=mailto:xydjhcdp@ag.eu.dmarcian.com;"/>
    <m/>
    <m/>
    <x v="0"/>
    <x v="123"/>
  </r>
  <r>
    <s v="ncad.ie"/>
    <s v="minus"/>
    <s v="Fail"/>
    <s v="v=spf1 mx ip4:193.1.215.0/24 ip4:193.1.216.0/23  include:spf.elluciancloud.com include:mailsecure.net include:_spf.google.com -all"/>
    <s v="yes"/>
    <x v="2"/>
    <s v="v=DMARC1;p=none;"/>
    <m/>
    <m/>
    <x v="0"/>
    <x v="123"/>
  </r>
  <r>
    <s v="ait.ie"/>
    <s v="minus"/>
    <s v="Fail"/>
    <s v="v=spf1 include:spf.protection.outlook.com ip6:2001:770:50:4300::12 a:mail.mindaclient.com -all"/>
    <s v="yes"/>
    <x v="0"/>
    <m/>
    <m/>
    <m/>
    <x v="23"/>
    <x v="123"/>
  </r>
  <r>
    <s v="tipperary-water.ie"/>
    <s v="no"/>
    <s v="Not found"/>
    <m/>
    <m/>
    <x v="0"/>
    <m/>
    <m/>
    <m/>
    <x v="0"/>
    <x v="123"/>
  </r>
  <r>
    <s v="top.ie"/>
    <s v="tilde"/>
    <s v="Soft Fail"/>
    <s v="v=spf1 include:eu._netblocks.mimecast.com include:%{ir}.%{v}.%{d}.spf.has.pphosted.com ~all"/>
    <m/>
    <x v="2"/>
    <s v="v=DMARC1; p=none; fo=1; rua=mailto:dmarc_rua@emaildefense.proofpoint.com; ruf=mailto:dmarc_ruf@emaildefense.proofpoint.com;"/>
    <m/>
    <m/>
    <x v="0"/>
    <x v="123"/>
  </r>
  <r>
    <s v="autolaunch.com"/>
    <s v="no"/>
    <s v="Not found"/>
    <m/>
    <m/>
    <x v="0"/>
    <m/>
    <m/>
    <m/>
    <x v="25"/>
    <x v="123"/>
  </r>
  <r>
    <s v="laois.ie"/>
    <s v="minus"/>
    <s v="Fail"/>
    <s v="v=spf1 -all"/>
    <s v="yes"/>
    <x v="3"/>
    <s v="v=DMARC1; p=reject"/>
    <m/>
    <m/>
    <x v="18"/>
    <x v="123"/>
  </r>
  <r>
    <s v="icsmortgages.ie"/>
    <s v="minus"/>
    <s v="Fail"/>
    <s v="v=spf1 include:spf.protection.outlook.com include:de._netblocks.mimecast.com include:spf-00379401.pphosted.com -all"/>
    <s v="yes"/>
    <x v="0"/>
    <m/>
    <m/>
    <m/>
    <x v="0"/>
    <x v="124"/>
  </r>
  <r>
    <s v="vistamed.net"/>
    <s v="minus"/>
    <s v="Fail"/>
    <s v="v=spf1 include:_spf.salesforce.com include:spf.protection.outlook.com ip4:86.43.120.144 ip4:83.70.207.254 ip4:75.16.150.51 -all"/>
    <s v="yes"/>
    <x v="1"/>
    <s v="v=DMARC1; p=quarantine; fo=1"/>
    <m/>
    <m/>
    <x v="19"/>
    <x v="125"/>
  </r>
  <r>
    <s v="valeofoods.ie"/>
    <s v="minus"/>
    <s v="Fail"/>
    <s v="v=spf1 ip4:84.207.208.2 ip4:193.203.126.0/24 ip4:95.83.231.64/28 ip4:95.83.225.81 ip4:95.83.225.86 ip4:95.83.225.82  a:smtp-out6.electric.net a:smtp-out4.electric.net include:spf.protection.outlook.com include:de._netblocks.mimecast.com include:auths&quot; &quot;mtp.com -all"/>
    <s v="yes"/>
    <x v="3"/>
    <s v="v=DMARC1; p=reject; rua=mailto:655d2a788d66450@rep.dmarcanalyzer.com; ruf=mailto:655d2a788d66450@for.dmarcanalyzer.com; fo=1;"/>
    <m/>
    <m/>
    <x v="0"/>
    <x v="125"/>
  </r>
  <r>
    <s v="zimmerbiomet.com"/>
    <s v="minus"/>
    <s v="Fail"/>
    <s v="v=spf1 ip4:69.160.206.21 ip4:12.40.148.10 ip4:12.215.190.194 ip4:12.235.93.254 ip4:213.95.132.52 ip4:213.155.74.87 ip4:213.155.74.157 ip4:213.155.74.23 ip4:213.155.74.133 ip4:20.119.174.191 ip4:20.230.106.230 ip4:20.114.186.35 ip4:20.119.207.133 include:s&quot; &quot;pf.protection.outlook.com include:spf.mailpro.com -all"/>
    <s v="yes"/>
    <x v="2"/>
    <s v="v=DMARC1; p=none; fo=1; rua=mailto:dmarc_rua@emaildefense.proofpoint.com; ruf=mailto:dmarc_ruf@emaildefense.proofpoint.com"/>
    <m/>
    <m/>
    <x v="9"/>
    <x v="125"/>
  </r>
  <r>
    <s v="cgglobal.com"/>
    <s v="tilde"/>
    <s v="Soft Fail"/>
    <s v="v=spf1 include:zohomail.in mx include:spf.protection.outlook.com ~all"/>
    <s v="yes"/>
    <x v="2"/>
    <s v="v=DMARC1; p=none; rua=mailto:cg.dmarc@cgglobal.com; ruf=mailto:cg.dmarc@cgglobal.com; fo=1; adkim=s; aspf=s; pct=100; sp=quarantine"/>
    <m/>
    <m/>
    <x v="11"/>
    <x v="126"/>
  </r>
  <r>
    <s v="e6.com"/>
    <s v="tilde"/>
    <s v="Soft Fail"/>
    <s v="v=spf1 include:za._netblocks.mimecast.com ip4:69.90.144.18 include:eu._netblocks.mimecast.com include:_spf.createsend.com ~all"/>
    <m/>
    <x v="1"/>
    <s v="v=DMARC1; p=quarantine; fo=1; pct=100; rua=mailto:07011f233254679@rep.dmarcanalyzer.com; ruf=mailto:07011f233254679@for.dmarcanalyzer.com"/>
    <m/>
    <m/>
    <x v="9"/>
    <x v="127"/>
  </r>
  <r>
    <s v="norlandmanagedservices.co.uk"/>
    <s v="tilde"/>
    <s v="Soft Fail"/>
    <s v="v=spf1 mx include:spf.protection.outlook.com ip4:103.37.228.0/24 ip4:159.222.40.0/23 ip4:185.69.116.0/22 ip4:192.34.68.0/24 ip4:192.34.69.0/24 ip4:208.68.245.0/24 ip4:208.68.246.0/24 ip4:208.68.247.0/24 ~all"/>
    <s v="yes"/>
    <x v="2"/>
    <s v="v=DMARC1; p=none; rua=mailto:dmarc_rua@emaildefense.proofpoint.com; ruf=mailto:dmarc_ruf@emaildefense.proofpoint.com;fo=1"/>
    <m/>
    <m/>
    <x v="0"/>
    <x v="127"/>
  </r>
  <r>
    <s v="capitacustomersolutions.ie"/>
    <s v="tilde"/>
    <s v="Soft Fail"/>
    <s v="v=spf1 include:mailcontrol.com include:spf.protection.outlook.com ~all"/>
    <s v="yes"/>
    <x v="3"/>
    <s v="v=DMARC1; p=reject; aspf=r; adkim=r"/>
    <m/>
    <m/>
    <x v="1"/>
    <x v="127"/>
  </r>
  <r>
    <s v="fbd.ie"/>
    <s v="minus"/>
    <s v="Fail"/>
    <s v="v=spf1 mx ip4:193.95.146.199 ip4:193.120.219.3 include:spf.protection.outlook.com -all"/>
    <s v="yes"/>
    <x v="1"/>
    <s v="v=DMARC1; p=quarantine; sp=reject; rua=mailto:dmarcreports@fbd.ie; ruf=mailto:dmarcreports@fbd.ie; rf=afrf; fo=1; pct=100; ri=86400; adkim=s; aspf=s"/>
    <m/>
    <m/>
    <x v="0"/>
    <x v="127"/>
  </r>
  <r>
    <s v="nolantransport.com"/>
    <s v="tilde"/>
    <s v="Soft Fail"/>
    <s v="v=spf1 include:_spf.nolantransport.com ~all"/>
    <m/>
    <x v="2"/>
    <s v="v=DMARC1;p=none;rua=mailto:b0d7a466d4@rua.easydmarc.eu;ruf=mailto:b0d7a466d4@ruf.easydmarc.eu;fo=1;"/>
    <m/>
    <m/>
    <x v="3"/>
    <x v="127"/>
  </r>
  <r>
    <s v="transport.ie"/>
    <s v="tilde"/>
    <s v="Soft Fail"/>
    <s v="v=spf1 ip4:31.193.219.67 include:spfext.itservices.gov.ie include:spf.protection.outlook.com include:newsletter.ie ~all"/>
    <m/>
    <x v="2"/>
    <s v="v=DMARC1; p=none;"/>
    <m/>
    <m/>
    <x v="0"/>
    <x v="127"/>
  </r>
  <r>
    <s v="offaly.ie"/>
    <s v="no"/>
    <s v="Not found"/>
    <m/>
    <m/>
    <x v="0"/>
    <m/>
    <m/>
    <m/>
    <x v="21"/>
    <x v="127"/>
  </r>
  <r>
    <s v="williamfry.com"/>
    <s v="tilde"/>
    <s v="Soft Fail"/>
    <s v="v=spf1 include:_u.williamfry.com._spf.smart.ondmarc.com include:spf.protection.outlook.com ~all"/>
    <s v="yes"/>
    <x v="3"/>
    <s v="v=DMARC1; p=reject; pct=100; sp=reject; rua=mailto:030586eb@inbox.ondmarc.com; ruf=mailto:030586eb@inbox.ondmarc.com; adkim=r; aspf=r; fo=0; rf=afrf; ri=3600"/>
    <s v="yes"/>
    <s v="https://vmc.digicert.com/ddb0f8fb-3ffb-42e8-8c3a-e1709c7e87ea.svg"/>
    <x v="0"/>
    <x v="127"/>
  </r>
  <r>
    <s v="epswater.com"/>
    <s v="tilde"/>
    <s v="Soft Fail"/>
    <s v="v=spf1 include:outlook.com include:spf.sendinblue.com mx ~all"/>
    <s v="yes"/>
    <x v="2"/>
    <s v="v=DMARC1; p=none;"/>
    <m/>
    <m/>
    <x v="1"/>
    <x v="127"/>
  </r>
  <r>
    <s v="bernedsen.ie"/>
    <s v="no"/>
    <s v="Not found"/>
    <m/>
    <m/>
    <x v="0"/>
    <m/>
    <m/>
    <m/>
    <x v="0"/>
    <x v="127"/>
  </r>
  <r>
    <s v="alkermes.com"/>
    <s v="tilde"/>
    <s v="Soft Fail"/>
    <s v="v=spf1 ip4:155.212.24.4 include:spf-00049901.pphosted.com include:%{ir}.%{v}.%{d}.spf.has.pphosted.com include:mailgun.org include:spf.agiloft.com ~all"/>
    <m/>
    <x v="2"/>
    <s v="v=DMARC1; p=none; fo=1; rua=mailto:dmarc_rua@emaildefense.proofpoint.com; ruf=mailto:dmarc_ruf@emaildefense.proofpoint.com"/>
    <m/>
    <m/>
    <x v="23"/>
    <x v="127"/>
  </r>
  <r>
    <s v="cardinalhealth.com"/>
    <s v="tilde"/>
    <s v="Soft Fail"/>
    <s v="v=spf1 exists:%{i}.spf.hc2781-64.iphmx.com include:_spf.salesforce.com include:spf-a.opntxtdns.com include:7698986.spf08.hubspotemail.net include:sendgrid.net include:amazonses.com ip4:12.19.100.11 ip4:208.185.229.41 ip4:208.185.229.42 ip4:208.185.22&quot; &quot;9.43 ip4:208.185.229.44 ip4:208.185.229.45 ip4:72.3.202.3 ip4:198.89.160.32 ip4:198.89.160.35 ip4:199.230.200.199 ip4:199.230.252.114 ~all"/>
    <s v="yes"/>
    <x v="3"/>
    <s v="v=DMARC1; p=reject; rua=mailto:dmarcreports@cardinalhealth.com; ruf=mailto:dmarcreports@cardinalhealth.com"/>
    <s v="yes"/>
    <s v="https://www.cardinalhealth.com/content/dam/corp/email/images/logos/ch-wingspan-4x4.svg"/>
    <x v="21"/>
    <x v="127"/>
  </r>
  <r>
    <s v="moriartygroup.ie"/>
    <s v="minus"/>
    <s v="Fail"/>
    <s v="v=spf1 ip4:93.107.109.74 ip4:89.101.125.14 include:spf.protection.outlook.com include:netaffinity.net include:sendgrid.net -all"/>
    <s v="yes"/>
    <x v="2"/>
    <s v="v=DMARC1; p=none;"/>
    <m/>
    <m/>
    <x v="0"/>
    <x v="127"/>
  </r>
  <r>
    <s v="doyleshipping.ie"/>
    <s v="no"/>
    <s v="Not found"/>
    <m/>
    <m/>
    <x v="0"/>
    <m/>
    <m/>
    <m/>
    <x v="1"/>
    <x v="127"/>
  </r>
  <r>
    <s v="dccae.gov.ie"/>
    <s v="minus"/>
    <s v="Fail"/>
    <s v="v=spf1 ip4:137.191.239.189 ip4:193.1.193.165 ip4:193.178.1.33 ip4:137.191.224.10 ip4:137.191.224.140  include:spfext.itservices.gov.ie -all"/>
    <m/>
    <x v="2"/>
    <s v="v=DMARC1; p=none;"/>
    <m/>
    <m/>
    <x v="0"/>
    <x v="128"/>
  </r>
  <r>
    <s v="originenterprises.com"/>
    <s v="minus"/>
    <s v="Fail"/>
    <s v="v=spf1 include:de._netblocks.mimecast.com include:_u.originenterprises.com._spf.dmarcly.com include:spf.protection.outlook.com -all"/>
    <s v="yes"/>
    <x v="1"/>
    <s v="v=DMARC1; p=quarantine; rua=mailto:5e4f93cf786a8@ag.dmarcly.com; ruf=mailto:5e4f93cf786a8@fo.dmarcly.com; sp=none; fo=0:1:d:s;"/>
    <m/>
    <m/>
    <x v="0"/>
    <x v="129"/>
  </r>
  <r>
    <s v="marriott.ie"/>
    <s v="no"/>
    <s v="Not found"/>
    <m/>
    <m/>
    <x v="0"/>
    <m/>
    <m/>
    <m/>
    <x v="0"/>
    <x v="130"/>
  </r>
  <r>
    <s v="zurich.ie"/>
    <s v="tilde"/>
    <s v="Soft Fail"/>
    <s v="v=spf1 ip4:195.28.240.37 ip4:195.28.240.44 ip4:213.94.214.20 ip4:213.94.214.22 ip4:195.28.226.207 ip4:195.28.226.226 ip4:206.252.39.11 ip4:206.252.42.11 ip4:34.248.130.34 include:cmail1.com include:spf-002e5d02.pphosted.com include:spf-002e5d04.pphosted.c&quot; &quot;om ~all"/>
    <s v="yes"/>
    <x v="3"/>
    <s v="v=DMARC1; p=reject; rua=mailto:dmarc_rua@emaildefense.proofpoint.com; ruf=mailto:dmarc_ruf@emaildefense.proofpoint.com;fo=1"/>
    <m/>
    <m/>
    <x v="0"/>
    <x v="131"/>
  </r>
  <r>
    <s v="radleyeng.com"/>
    <s v="tilde"/>
    <s v="Soft Fail"/>
    <s v="v=spf1 ip4:89.101.38.222 ip4:83.147.156.194 include:spf.protection.outlook.com include:remarkable.com ~all"/>
    <m/>
    <x v="1"/>
    <s v="v=DMARC1; p=quarantine; rua=mailto:a7b45ec2@mxtoolbox.dmarc-report.com; ruf=mailto:a7b45ec2@forensics.dmarc-report.com; fo=1; pct=5"/>
    <m/>
    <m/>
    <x v="10"/>
    <x v="132"/>
  </r>
  <r>
    <s v="aon.ie"/>
    <s v="minus"/>
    <s v="Fail"/>
    <s v="v=spf1 include:spf.mailjet.com include:spf.aon.net include:spf-00196902.pphosted.com -all"/>
    <s v="yes"/>
    <x v="3"/>
    <s v="v=DMARC1; p=reject; fo=1; rua=mailto:dmarc_agg@vali.email; ruf=mailto:NDM1ODAx@ruf.vali.email"/>
    <s v="yes"/>
    <s v="https://vmc.digicert.com/b8896f1b-258f-494d-8b95-684bd31c8bd9.svg"/>
    <x v="0"/>
    <x v="133"/>
  </r>
  <r>
    <s v="wardandburke.com"/>
    <s v="minus"/>
    <s v="Fail"/>
    <s v="v=spf1 include:spf.protection.outlook.com include:spf.eu.exclaimer.net a mx ip4:13.79.6.151 -all"/>
    <s v="yes"/>
    <x v="1"/>
    <s v="v=DMARC1; p=quarantine ; fo=1; rua=mailto:a9gm7n4p@ag.eu.dmarcian.com,mailto:dmarc@wardandburke.com; ruf=mailto:a9gm7n4p@fr.eu.dmarcian.com,mailto:dmarc@wardandburke.com; rf=afrf; pct=30"/>
    <m/>
    <m/>
    <x v="7"/>
    <x v="133"/>
  </r>
  <r>
    <s v="roadbridge.ie"/>
    <s v="tilde"/>
    <s v="Soft Fail"/>
    <s v="v=spf1 ip4:89.204.254.122 ip4:51.141.9.125  include:spf.protection.outlook.com include:spf.smtp2go.com ~all"/>
    <s v="yes"/>
    <x v="3"/>
    <s v="v=DMARC1; p=reject; rua=mailto:dmarc.reporting@roadbridge.ie;ruf=mailto:dmarc.reporting@roadbridge.ie; fo=1;"/>
    <m/>
    <m/>
    <x v="5"/>
    <x v="133"/>
  </r>
  <r>
    <s v="sisk.ie"/>
    <s v="minus"/>
    <s v="Fail"/>
    <s v="v=spf1 ip4:93.94.119.196 ip4:82.198.141.134 ip4:162.247.160.0/21 include:spf.protection.outlook.com include:_spf.axxerion.com -all"/>
    <s v="yes"/>
    <x v="2"/>
    <s v="v=DMARC1; p=none; rua=mailto:DMARCreports@siskgroup.ie; pct=20;"/>
    <m/>
    <m/>
    <x v="0"/>
    <x v="133"/>
  </r>
  <r>
    <s v="designergroup.ie"/>
    <s v="no"/>
    <s v="Not found"/>
    <m/>
    <m/>
    <x v="0"/>
    <m/>
    <m/>
    <m/>
    <x v="0"/>
    <x v="133"/>
  </r>
  <r>
    <s v="esbi.ie"/>
    <s v="tilde"/>
    <s v="Soft Fail"/>
    <s v="v=spf1 mx a: include:spf.protection.outlook.com ~all"/>
    <s v="yes"/>
    <x v="2"/>
    <s v="v=DMARC1; p=none; pct=100; fo=1; ri=3600; rua=mailto:a4714750@inbox.ondmarc.com,mailto:dmarcnotifications@esb.ie; ruf=mailto:a4714750@inbox.ondmarc.com,mailto:dmarcnotifications@esb.ie;"/>
    <m/>
    <m/>
    <x v="0"/>
    <x v="133"/>
  </r>
  <r>
    <s v="zurichlife.ie"/>
    <s v="minus"/>
    <s v="Fail"/>
    <s v="v=spf1 -all"/>
    <m/>
    <x v="3"/>
    <s v="v=DMARC1;p=reject;rua=mailto:dmarc_rua@emaildefense.proofpoint.com;ruf=mailto:dmarc_ruf@emaildefense.proofpoint.com;fo=1"/>
    <m/>
    <m/>
    <x v="0"/>
    <x v="133"/>
  </r>
  <r>
    <s v="cmetb.ie"/>
    <s v="minus"/>
    <s v="Fail"/>
    <s v="v=spf1 ip4:91.216.241.2 include:relay.mailchannels.net include:spf.protection.outlook.com include:spf.dcsnet.ie -all"/>
    <s v="yes"/>
    <x v="3"/>
    <s v="v=DMARC1; p=reject; rua=mailto:dmarcsupport@cmetb.ie"/>
    <m/>
    <m/>
    <x v="11"/>
    <x v="133"/>
  </r>
  <r>
    <s v="health.gov.ie"/>
    <s v="tilde"/>
    <s v="Soft Fail"/>
    <s v="v=spf1 a mx ip4:137.191.247.36 ip4:18.130.212.176 include:spf.protection.outlook.com ~all"/>
    <s v="yes"/>
    <x v="1"/>
    <s v="v=DMARC1; p=quarantine; pct=100; adkim=r; aspf=r; rua=mailto:dmarc_agg@vali.email"/>
    <m/>
    <m/>
    <x v="0"/>
    <x v="133"/>
  </r>
  <r>
    <s v="peamount.ie"/>
    <s v="tilde"/>
    <s v="Soft Fail"/>
    <s v="v=spf1 include:_u.peamount.ie._spf.smart.ondmarc.com ~all"/>
    <m/>
    <x v="3"/>
    <s v="v=DMARC1; p=reject; pct=100; sp=none; rua=mailto:d6325d09@inbox.ondmarc.com; ruf=mailto:d6325d09@inbox.ondmarc.com; adkim=r; aspf=r; fo=1; rf=afrf; ri=3600"/>
    <m/>
    <m/>
    <x v="0"/>
    <x v="133"/>
  </r>
  <r>
    <s v="slron.ie"/>
    <s v="no"/>
    <s v="Not found"/>
    <m/>
    <m/>
    <x v="0"/>
    <m/>
    <m/>
    <m/>
    <x v="0"/>
    <x v="133"/>
  </r>
  <r>
    <s v="starwoodhotels.com"/>
    <s v="tilde"/>
    <s v="Soft Fail"/>
    <s v="v=spf1 include:spf-003bff01.pphosted.com include:spf.protection.outlook.com ip4:65.118.252.64/27 ip4:68.15.235.14 ip4:68.15.235.15 ip4:68.15.235.16 ip4:68.15.235.17 ip4:168.245.57.57 ip4:50.31.38.19 ip4:167.89.18.211 include:mail.zendesk.com include:sendg&quot; &quot;rid.net include:spf.vsrv.host ~all"/>
    <m/>
    <x v="1"/>
    <s v="v=DMARC1; p=quarantine; pct=100; rua=mailto:atp@1hotels.com,mailto:dmarc_rua@emaildefense.proofpoint.com; ruf=mailto:dmarc_ruf@emaildefense.proofpoint.com;fo=1"/>
    <m/>
    <m/>
    <x v="1"/>
    <x v="133"/>
  </r>
  <r>
    <s v="molex.com"/>
    <s v="minus"/>
    <s v="Fail"/>
    <s v="v=spf1 include:%{ir}.%{v}.%{d}.spf.has.pphosted.com include:mktomail.com -all"/>
    <s v="yes"/>
    <x v="3"/>
    <s v="v=DMARC1; p=reject; fo=1; rua=mailto:dmarc_rua@emaildefense.proofpoint.com; ruf=mailto:dmarc_ruf@emaildefense.proofpoint.com"/>
    <m/>
    <m/>
    <x v="9"/>
    <x v="133"/>
  </r>
  <r>
    <s v="pemberton.ie"/>
    <s v="minus"/>
    <s v="Fail"/>
    <s v="v=spf1 include:_u.pemberton.ie._spf.smart.ondmarc.com -all"/>
    <m/>
    <x v="3"/>
    <s v="v=DMARC1; p=reject; pct=100; sp=reject; rua=mailto:3fb658a1@inbox.eu.redsift.cloud; ruf=mailto:3fb658a1@inbox.eu.redsift.cloud; adkim=r; aspf=r; fo=1; rf=afrf; ri=86400"/>
    <m/>
    <m/>
    <x v="0"/>
    <x v="133"/>
  </r>
  <r>
    <s v="leo-pharma.ie"/>
    <s v="minus"/>
    <s v="Fail"/>
    <s v="v=spf1 -all"/>
    <s v="yes"/>
    <x v="3"/>
    <s v="v=DMARC1; p=reject; rua=mailto:6ymgai1o@ag.eu.dmarcadvisor.com;"/>
    <m/>
    <m/>
    <x v="0"/>
    <x v="133"/>
  </r>
  <r>
    <s v="westpharma.com"/>
    <s v="tilde"/>
    <s v="Soft Fail"/>
    <s v="v=spf1 include:spf1.westpharma.com include:_spf.atlassian.net include:spf.protection.outlook.com ip4:32.66.192.11 ip4:32.66.192.12 ip4:32.66.192.13 ip4:32.66.192.14 ip4:32.66.192.15 ~all"/>
    <s v="yes"/>
    <x v="1"/>
    <s v="v=DMARC1; p=quarantine; pct=100; fo=1; rua=mailto:dmarc_agg@vali.email,mailto:Webmaster@westpharma.com; ruf=mailto:Webmaster@westpharma.com;"/>
    <m/>
    <m/>
    <x v="0"/>
    <x v="133"/>
  </r>
  <r>
    <s v="chanellegroup.ie"/>
    <s v="minus"/>
    <s v="Fail"/>
    <s v="v=spf1 a mx include:spf.protection.outlook.com include:spf.mandrillapp.com -all"/>
    <s v="yes"/>
    <x v="1"/>
    <s v="v=DMARC1; p=quarantine; rua=mailto:dmarc@chanellegroup.ie; ruf=mailto:dmarc@chanellegroup.ie; pct=50"/>
    <m/>
    <m/>
    <x v="7"/>
    <x v="133"/>
  </r>
  <r>
    <s v="kerry.com"/>
    <s v="mis"/>
    <s v="Invalid SPF Syntax"/>
    <s v="v=spf1 redirect=4xei67yy._spf._d.mim.ec"/>
    <s v="yes"/>
    <x v="3"/>
    <s v="v=DMARC1; p=reject; rua=mailto:dmarc_rua@emaildefense.proofpoint.com,mailto:6214fcb17775132@rep.dmarcanalyzer.com; ruf=mailto:dmarc_ruf@emaildefense.proofpoint.com,mailto:6214fcb17775132@for.dmarcanalyzer.com; fo=1"/>
    <m/>
    <m/>
    <x v="14"/>
    <x v="133"/>
  </r>
  <r>
    <s v="enterprise-ireland.com"/>
    <s v="minus"/>
    <s v="Fail"/>
    <s v="v=spf1 ip4:137.191.232.68 ip4:91.210.233.143 ip4:159.183.203.109 include:spf.protection.outlook.com include:nw007.com  include:inc.emailr.com include:mktomail.com include:_spf.createsend.com include:spf_c.oraclecloud.com -all"/>
    <s v="yes"/>
    <x v="3"/>
    <s v="v=DMARC1; p=reject; rua=mailto:dmarc_agg@vali.email,mailto:payfhdig@ag.eu.dmarcian.com; ruf=mailto:payfhdig@fr.eu.dmarcian.com; aspf=r;"/>
    <m/>
    <m/>
    <x v="0"/>
    <x v="133"/>
  </r>
  <r>
    <s v="ie.depaulcharity.org"/>
    <s v="no"/>
    <s v="Not found"/>
    <m/>
    <m/>
    <x v="2"/>
    <s v="v=DMARC1; p=none;"/>
    <m/>
    <m/>
    <x v="0"/>
    <x v="133"/>
  </r>
  <r>
    <s v="workday.com"/>
    <s v="tilde"/>
    <s v="Soft Fail"/>
    <s v="v=spf1 include:workday.com._nspf.vali.email include:%{i}._ip.%{h}._ehlo.%{d}._spf.vali.email ~all"/>
    <s v="yes"/>
    <x v="3"/>
    <s v="v=DMARC1; p=reject; rua=mailto:dmarc_agg@vali.email,mailto:aad996bd@mxtoolbox.dmarc-report.com,mailto:dmarc_agg@dmarc.250ok.net"/>
    <s v="yes"/>
    <s v="https://amplify.valimail.com/bimi/workday/7XC05l7wsxC-workday_inc_1202938645.svg"/>
    <x v="0"/>
    <x v="133"/>
  </r>
  <r>
    <s v="independent.ie"/>
    <s v="minus"/>
    <s v="Fail"/>
    <s v="v=spf1 ip4:83.71.187.233 ip4:89.101.141.135 ip4:83.71.187.253 ip4:89.101.157.129 ip4:5.61.115.80/26 include:rlyhosts.be include:spf.protection.outlook.com include:mailgun.org -all"/>
    <s v="yes"/>
    <x v="3"/>
    <s v="v=DMARC1; p=reject; pct=100; fo=1; ri=3600; rua=mailto:13dbc9fb@inbox.ondmarc.com;ruf=mailto:13dbc9fb@inbox.ondmarc.com;"/>
    <s v="yes"/>
    <s v="https://www.independent.ie/editorial/logo/independent.svg"/>
    <x v="0"/>
    <x v="133"/>
  </r>
  <r>
    <s v="lufthansa-technik.com"/>
    <s v="minus"/>
    <s v="Fail"/>
    <s v="v=spf1 mx include:_spf.lufthansa.com -all"/>
    <m/>
    <x v="3"/>
    <s v="v=DMARC1; p=reject; fo=1; ri=3600; rua=mailto:lufthansa@rua.agari.com"/>
    <m/>
    <m/>
    <x v="9"/>
    <x v="133"/>
  </r>
  <r>
    <s v="marymount.ie"/>
    <s v="minus"/>
    <s v="Fail"/>
    <s v="v=spf1 ip4:137.191.231.94 ip4:54.246.195.203 ip4:52.214.137.168 ip4:91.223.9.26 include:spf.ess.de.barracudanetworks.com include:spf.protection.outlook.com include:authsmtp.com -all"/>
    <m/>
    <x v="0"/>
    <m/>
    <m/>
    <m/>
    <x v="1"/>
    <x v="133"/>
  </r>
  <r>
    <s v="elverys.ie"/>
    <s v="minus"/>
    <s v="Fail"/>
    <s v="v=spf1 a mx ip4:185.57.113.74 ip4:82.141.205.1 ip4:62.209.54.82 ip4:62.209.54.83 ip4:62.209.54.84 include:spf.mailanyone.net include:spf.mandrillapp.com include:mail.zendesk.com include:spf.protection.outlook.com include:spf.givex.com -all"/>
    <m/>
    <x v="2"/>
    <s v="v=DMARC1; p=none; rua=mailto:dmarcreports@elverys.ie"/>
    <m/>
    <m/>
    <x v="4"/>
    <x v="133"/>
  </r>
  <r>
    <s v="itsligo.ie"/>
    <s v="minus"/>
    <s v="Fail"/>
    <s v="v=spf1 include:spf.protection.outlook.com include:spf1.itsligo.ie include:spf2.itsligo.ie include:spf3.itsligo.ie include:spf4.itsligo.ie include:spf.mandrillapp.com include:spf.mailjet.com include:servers.mcsv.net include:cyberriskaware.com -all"/>
    <s v="yes"/>
    <x v="2"/>
    <s v="v=DMARC1; p=none; ruf=mailto:dmarc@itsligo.ie; rua=mailto:dmarc@itsligo.ie"/>
    <m/>
    <m/>
    <x v="8"/>
    <x v="133"/>
  </r>
  <r>
    <s v="clarecare.ie"/>
    <s v="tilde"/>
    <s v="Soft Fail"/>
    <s v="v=spf1 a include:spf.blacknight.com include:spf0101.titan.email ~all"/>
    <m/>
    <x v="0"/>
    <m/>
    <m/>
    <m/>
    <x v="9"/>
    <x v="133"/>
  </r>
  <r>
    <s v="siskgroup.ie"/>
    <s v="minus"/>
    <s v="Fail"/>
    <s v="v=spf1 ip4:93.94.119.196 ip4:82.198.141.134 include:spf.protection.outlook.com -all"/>
    <s v="yes"/>
    <x v="2"/>
    <s v="v=DMARC1; p=none; rua=mailto:DMARCreports@siskgroup.ie; pct=20;"/>
    <m/>
    <m/>
    <x v="0"/>
    <x v="133"/>
  </r>
  <r>
    <s v="novartis.com"/>
    <s v="minus"/>
    <s v="Fail"/>
    <s v="v=spf1 include:%{ir}.%{v}.%{d}.spf.has.pphosted.com -all"/>
    <s v="yes"/>
    <x v="3"/>
    <s v="v=DMARC1; p=reject; sp=reject; fo=1; rua=mailto:dmarc_rua@emaildefense.proofpoint.com; ruf=mailto:dmarc_ruf@emaildefense.proofpoint.com"/>
    <m/>
    <m/>
    <x v="1"/>
    <x v="134"/>
  </r>
  <r>
    <s v="pepsico.ie"/>
    <s v="no"/>
    <s v="Not found"/>
    <m/>
    <m/>
    <x v="0"/>
    <m/>
    <m/>
    <m/>
    <x v="1"/>
    <x v="135"/>
  </r>
  <r>
    <s v="cagneycontractcleaning.ie"/>
    <s v="minus"/>
    <s v="Fail"/>
    <s v="v=spf1 a:spf.webtrade.ie include:spf.protection.outlook.com -all"/>
    <m/>
    <x v="0"/>
    <m/>
    <m/>
    <m/>
    <x v="0"/>
    <x v="136"/>
  </r>
  <r>
    <s v="hsbc.com"/>
    <s v="tilde"/>
    <s v="Soft Fail"/>
    <s v="v=spf1 include:spf-00299f02.pphosted.com include:spf1.hsbc.com include:spf2.hsbc.com include:spf3.hsbc.com  include:spf-002f0603.pphosted.com ~all"/>
    <s v="yes"/>
    <x v="3"/>
    <s v="v=DMARC1; p=reject; fo=1; ri=3600; rua=mailto:dmarc_rua@emaildefense.proofpoint.com; ruf=mailto:dmarc_ruf@emaildefense.proofpoint.com"/>
    <m/>
    <m/>
    <x v="0"/>
    <x v="137"/>
  </r>
  <r>
    <s v="mckechnie-cleaning.ie"/>
    <s v="tilde"/>
    <s v="Soft Fail"/>
    <s v="v=spf1 a mx ip4:77.68.91.107 ip4:104.156.181.224 include:spf.protection.outlook.com include:spf.ess.de.barracudanetworks.com ~all"/>
    <s v="yes"/>
    <x v="2"/>
    <s v="v=DMARC1; p=none;"/>
    <m/>
    <m/>
    <x v="1"/>
    <x v="137"/>
  </r>
  <r>
    <s v="sligococo.ie"/>
    <s v="minus"/>
    <s v="Fail"/>
    <s v="v=spf1 ip4:213.143.154.166 include:spf.topsec.com include:spf.protection.outlook.com -all"/>
    <s v="yes"/>
    <x v="3"/>
    <s v="v=DMARC1;p=reject;rua=mailto:211a5a2e44@rua.easydmarc.eu;ruf=mailto:211a5a2e44@ruf.easydmarc.eu;fo=1"/>
    <m/>
    <m/>
    <x v="8"/>
    <x v="137"/>
  </r>
  <r>
    <s v="coombe.ie"/>
    <s v="minus"/>
    <s v="Fail"/>
    <s v="v=spf1 a mx ip4:137.191.232.0/28 include:spf.topsec.com -all"/>
    <m/>
    <x v="3"/>
    <s v="v=DMARC1;p=reject;sp=reject;rua=mailto:211a5a2e44@rua.easydmarc.eu;ruf=mailto:211a5a2e44@ruf.easydmarc.eu;fo=1"/>
    <m/>
    <m/>
    <x v="0"/>
    <x v="137"/>
  </r>
  <r>
    <s v="stpatricks.ie"/>
    <s v="minus"/>
    <s v="Fail"/>
    <s v="v=spf1 include:spf.mailanyone.net include:mailgun.org mx a include:spf.protection.outlook.com -all"/>
    <s v="yes"/>
    <x v="3"/>
    <s v="v=DMARC1;p=reject;rua=mailto:211a5a2e44@rua.easydmarc.eu;ruf=mailto:211a5a2e44@ruf.easydmarc.eu;fo=1"/>
    <m/>
    <m/>
    <x v="0"/>
    <x v="137"/>
  </r>
  <r>
    <s v="sanmina.com"/>
    <s v="minus"/>
    <s v="Fail"/>
    <s v="v=spf1 mx ip4:143.116.250.174 include:_spf.google.com include:us-spf.email.litmos.com include:spf.protection.outlook.com -all"/>
    <s v="yes"/>
    <x v="3"/>
    <s v="v=DMARC1;&quot; &quot;p=reject;&quot; &quot;rua=mailto:dmarc.admin@sanmina.com;&quot; &quot;ruf=mailto:dmarc.admin@sanmina.com;&quot; &quot;sp=none;&quot; &quot;pct=100"/>
    <m/>
    <m/>
    <x v="1"/>
    <x v="137"/>
  </r>
  <r>
    <s v="thermoking.com"/>
    <s v="tilde"/>
    <s v="Soft Fail"/>
    <s v="v=spf1 include:%{ir}.%{v}.%{d}.spf.has.pphosted.com include:_spf.qualtrics.com include:mktomail.com include:spf.mailjet.com ~all"/>
    <s v="yes"/>
    <x v="3"/>
    <s v="v=DMARC1;p=reject;fo=1;rua=mailto:dmarc_rua@emaildefense.proofpoint.com;ruf=mailto:dmarc_ruf@emaildefense.proofpoint.com"/>
    <m/>
    <m/>
    <x v="7"/>
    <x v="137"/>
  </r>
  <r>
    <s v="penseurope.com"/>
    <s v="tilde"/>
    <s v="Soft Fail"/>
    <s v="v=spf1 include:spf.protection.outlook.com include:_netblocks.mimecast.com ~all"/>
    <s v="yes"/>
    <x v="1"/>
    <s v="v=DMARC1; p=quarantine; pct=100; rua=mailto:dmark.reports@pens.com; ruf=mailto:dmark.reports@pens.com; fo=1; sp=none;"/>
    <m/>
    <m/>
    <x v="2"/>
    <x v="137"/>
  </r>
  <r>
    <s v="conduit.ie"/>
    <s v="no"/>
    <s v="Not found"/>
    <m/>
    <m/>
    <x v="0"/>
    <m/>
    <m/>
    <m/>
    <x v="0"/>
    <x v="137"/>
  </r>
  <r>
    <s v="sammccauley.com"/>
    <s v="tilde"/>
    <s v="Soft Fail"/>
    <s v="v=spf1 a mx a:lh50.dnsireland.com ip4:78.137.164.90 ip4:217.182.232.174 ip4:52.208.178.150 ip4:63.33.117.194 ip4:108.128.27.196 ip4:54.73.165.7 ip4:185.201.16.0/22 a:spfips.antispamcloud.com a:release.antispamcloud.com include:spf2.antispamcloud.com ~all"/>
    <s v="yes"/>
    <x v="0"/>
    <m/>
    <m/>
    <m/>
    <x v="3"/>
    <x v="138"/>
  </r>
  <r>
    <s v="corriboil.com"/>
    <s v="minus"/>
    <s v="Fail"/>
    <s v="v=spf1 include:spf.protection.outlook.com include:spf.ess.uk.barracudanetworks.com include:spf.mailjet.com ip4:84.203.183.218 include:amazonses.com include:spf.mandrillapp.com include:spf-eu.emailsignatures365.com -all"/>
    <s v="yes"/>
    <x v="3"/>
    <s v="v=DMARC1; p=reject; fo=1; rua=mailto:rua+corriboil.com@dmarc.barracudanetworks.com; ruf=mailto:ruf+corriboil.com@dmarc.barracudanetworks.com"/>
    <m/>
    <m/>
    <x v="7"/>
    <x v="139"/>
  </r>
  <r>
    <s v="accenture.com"/>
    <s v="minus"/>
    <s v="Fail"/>
    <s v="v=spf1 include:_spfa.exchange.accenture.com include:_spfb.exchange.accenture.com -all"/>
    <s v="yes"/>
    <x v="3"/>
    <s v="v=DMARC1;p=reject;fo=1;aspf=s;rua=mailto:dmarc_rua@emaildefense.proofpoint.com;ruf=mailto:dmarc_ruf@emaildefense.proofpoint.com"/>
    <m/>
    <m/>
    <x v="0"/>
    <x v="140"/>
  </r>
  <r>
    <s v="tcbrokers.com"/>
    <s v="minus"/>
    <s v="Fail"/>
    <s v="v=spf1 -all"/>
    <s v="yes"/>
    <x v="3"/>
    <s v="v=DMARC1; p=reject; fo=1; rua=mailto:dmarc_agg@vali.email"/>
    <m/>
    <m/>
    <x v="0"/>
    <x v="140"/>
  </r>
  <r>
    <s v="irishdistillers.ie"/>
    <s v="tilde"/>
    <s v="Soft Fail"/>
    <s v="v=spf1 include:spf.protection.outlook.com ~all"/>
    <s v="yes"/>
    <x v="2"/>
    <s v="v=DMARC1; p=none; fo=1; rua=mailto:dmarc_rua@pernod-ricard.com; ruf=mailto:dmarc_ruf@pernod-ricard.com"/>
    <m/>
    <m/>
    <x v="0"/>
    <x v="140"/>
  </r>
  <r>
    <s v="cavancoco.ie"/>
    <s v="minus"/>
    <s v="Fail"/>
    <s v="v=spf1 a ip4:93.90.117.1/24 ip4:93.90.115.1/24 ip4:91.199.74.184 include:spf.topsec.com include:spf.blacknight.ie include:spf.protection.outlook.com include:sendersrv.com ip4:213.143.154.166 -all"/>
    <m/>
    <x v="3"/>
    <s v="v=DMARC1;p=reject;sp=reject;rua=mailto:211a5a2e44@rua.easydmarc.eu;ruf=mailto:211a5a2e44@ruf.easydmarc.eu;fo=1"/>
    <m/>
    <m/>
    <x v="11"/>
    <x v="140"/>
  </r>
  <r>
    <s v="mccannfitzgerald.com"/>
    <s v="minus"/>
    <s v="Fail"/>
    <s v="v=spf1 include:%{ir}.%{v}.%{d}.spf.has.pphosted.com -all"/>
    <s v="yes"/>
    <x v="3"/>
    <s v="v=DMARC1; p=reject; fo=1; rua=mailto:dmarc_rua@emaildefense.proofpoint.com; ruf=mailto:dmarc_ruf@emaildefense.proofpoint.com"/>
    <m/>
    <m/>
    <x v="0"/>
    <x v="140"/>
  </r>
  <r>
    <s v="three.ie"/>
    <s v="tilde"/>
    <s v="Soft Fail"/>
    <s v="v=spf1 ip4:62.40.38.69 ip4:18.168.51.200 ip4:18.168.140.58 ip4:148.59.101.16/28 a:ironport.three.ie include:amazonses.com include:spf.protection.outlook.com include:spf.mandrillapp.com include:eu.khoros-mail.com include:_spf.salesforce.com ~all"/>
    <s v="yes"/>
    <x v="2"/>
    <s v="v=DMARC1; p=none; fo=1; rua=mailto:three@rua.netcraft.com; ruf=mailto:three@ruf.netcraft.com"/>
    <m/>
    <m/>
    <x v="0"/>
    <x v="140"/>
  </r>
  <r>
    <s v="dell.com"/>
    <s v="tilde"/>
    <s v="Soft Fail"/>
    <s v="v=spf1 include:%{ir}.%{v}.%{d}.spf.has.pphosted.com ~all"/>
    <s v="yes"/>
    <x v="3"/>
    <s v="v=DMARC1; p=reject; fo=1; rua=mailto:dmarc_rua@emaildefense.proofpoint.com,mailto:dmarc.reports.rua@dell.com; ruf=mailto:dmarc_ruf@emaildefense.proofpoint.com,mailto:dmarc.reports.ruf@dell.com"/>
    <m/>
    <m/>
    <x v="5"/>
    <x v="140"/>
  </r>
  <r>
    <s v="allphar.ie"/>
    <s v="minus"/>
    <s v="Fail"/>
    <s v="v=spf1 include:spf-00779101.pphosted.com include:spf.protection.outlook.com a:mail1.allphar.ie ip4:89.101.228.97 -all"/>
    <m/>
    <x v="0"/>
    <m/>
    <m/>
    <m/>
    <x v="0"/>
    <x v="140"/>
  </r>
  <r>
    <s v="allianz.ie"/>
    <s v="minus"/>
    <s v="Fail"/>
    <s v="v=spf1 mx include:spf.allianz.com ip4:168.114.112.22 ip4:168.114.112.23 ip4:54.229.2.165 ip4:208.73.7.175 include:_spf.salesforce.com include:_spf-dc33.sapsf.eu -all"/>
    <s v="yes"/>
    <x v="3"/>
    <s v="v=DMARC1; p=reject; fo=1; ri=3600; rua=mailto:Rua-allianz@allianz.com; ruf=mailto:Ruf-allianz@allianz.com"/>
    <m/>
    <m/>
    <x v="0"/>
    <x v="140"/>
  </r>
  <r>
    <s v="bnpparibas.ie"/>
    <s v="minus"/>
    <s v="Fail"/>
    <s v="v=spf1 -all"/>
    <m/>
    <x v="3"/>
    <s v="v=DMARC1; p=reject; fo=1; rua=mailto:f1rg2pej@ag.eu.dmarcian.com; ruf=mailto:f1rg2pej@fr.eu.dmarcian.com"/>
    <m/>
    <m/>
    <x v="0"/>
    <x v="140"/>
  </r>
  <r>
    <s v="suireng.ie"/>
    <s v="tilde"/>
    <s v="Soft Fail"/>
    <s v="v=spf1 include:_spf.mlsend.com +include:spf.webhostingireland.ie +include:spf.hornetsecurity.com +include:spf.protection.outlook.com +include:_spf.salesforce.com +ip4:91.210.235.220 +ip4:89.101.149.121 +ip4:172.16.10.10 +ip4:89.101.77.201 +ip4:40.69.24.17&quot; &quot;8 +ip4:20.238.80.39 +ip4:18.168.51.200 +ip4:18.168.140.58 +ip4:148.59.101.16/28  ~all"/>
    <s v="yes"/>
    <x v="3"/>
    <s v="v=DMARC1;p=reject;sp=reject;adkim=r;aspf=r;pct=100;fo=0;rf=afrf;ri=86400"/>
    <m/>
    <m/>
    <x v="10"/>
    <x v="140"/>
  </r>
  <r>
    <s v="synergy365.ie"/>
    <s v="tilde"/>
    <s v="Soft Fail"/>
    <s v="v=spf1 a include:_spf.google.com include:spf.protection.outlook.com include:amazonses.com ~all"/>
    <m/>
    <x v="0"/>
    <m/>
    <m/>
    <m/>
    <x v="0"/>
    <x v="140"/>
  </r>
  <r>
    <s v="icg.ie"/>
    <s v="tilde"/>
    <s v="Soft Fail"/>
    <s v="v=spf1 mx include:spf.protection.outlook.com include:iphmx.com ~all"/>
    <s v="yes"/>
    <x v="2"/>
    <s v="v=DMARC1; p=none; rua=mailto:65d5cee830a03@ag.eu.dmarcly.com; ruf=mailto:65d5cee830a03@fo.eu.dmarcly.com; sp=none;"/>
    <m/>
    <m/>
    <x v="0"/>
    <x v="140"/>
  </r>
  <r>
    <s v="bamcivil.ie"/>
    <s v="tilde"/>
    <s v="Soft Fail"/>
    <s v="v=spf1 include:bamcivil.ie._nspf.vali.email include:%{i}._ip.%{h}._ehlo.%{d}._spf.vali.email ~all"/>
    <m/>
    <x v="3"/>
    <s v="v=DMARC1; p=reject; rua=mailto:dmarc_agg@vali.email"/>
    <m/>
    <m/>
    <x v="16"/>
    <x v="140"/>
  </r>
  <r>
    <s v="candcgroupplc.ie"/>
    <s v="minus"/>
    <s v="Fail"/>
    <s v="v=spf1 include:spf.protection.outlook.com -all"/>
    <s v="yes"/>
    <x v="0"/>
    <m/>
    <m/>
    <m/>
    <x v="0"/>
    <x v="140"/>
  </r>
  <r>
    <s v="harveynorman.ie"/>
    <s v="tilde"/>
    <s v="Soft Fail"/>
    <s v="v=spf1 include:au._netblocks.mimecast.com ~all"/>
    <m/>
    <x v="1"/>
    <s v="v=DMARC1; p=quarantine; pct=100; fo=1; rua=mailto:admrpt@harveynorman.ie; ruf=mailto:admrpt@harveynorman.ie"/>
    <m/>
    <m/>
    <x v="0"/>
    <x v="140"/>
  </r>
  <r>
    <s v="boliden.com"/>
    <s v="minus"/>
    <s v="Fail"/>
    <s v="v=spf1&quot; &quot; mx&quot; &quot; ip4:62.20.82.185&quot; &quot; ip4:62.183.198.32/27&quot; &quot; ip4:212.181.0.10&quot; &quot; ip4:195.67.21.5&quot; &quot; ip4:195.67.21.7&quot; &quot; ip4:195.67.39.75&quot; &quot; ip4:131.207.55.48/29&quot; &quot; ip4:149.72.30.77&quot; &quot; ip4:76.223.128.48&quot; &quot; ip4:76.223.128.49&quot; &quot; ip4:76.223.128.50&quot; &quot; include:spf.nebu.com&quot; &quot; include:spf.protection.outlook.com&quot; &quot; include:spf.mailjet.com&quot; &quot; a:smtp-out1.tucaas.com&quot; &quot; a:smtp-out2.tucaas.com&quot; &quot; a:c.spf.service-now.com&quot; &quot; -all"/>
    <s v="yes"/>
    <x v="1"/>
    <s v="v=DMARC1; p=quarantine; rua=mailto:dmarc_report@boliden.com; ruf=mailto:spoofingtrap@boliden.com; fo=1;"/>
    <m/>
    <m/>
    <x v="15"/>
    <x v="141"/>
  </r>
  <r>
    <s v="ailesbury.com"/>
    <s v="minus"/>
    <s v="Fail"/>
    <s v="v=spf1 include:spf.protection.outlook.com -all"/>
    <s v="yes"/>
    <x v="2"/>
    <s v="v=DMARC1; rua=mailto:83e992e4131d544@rep.dmarcanalyzer.com; p=none; sp=none;"/>
    <m/>
    <m/>
    <x v="0"/>
    <x v="142"/>
  </r>
  <r>
    <s v="nmh.ie"/>
    <s v="minus"/>
    <s v="Fail"/>
    <s v="v=spf1 ip4:137.191.231.131 ip4:54.76.73.176 -all"/>
    <s v="yes"/>
    <x v="2"/>
    <s v="v=DMARC1; p=none; rua=mailto:dmarc@nmh.ie; ruf=mailto:dmarc@nmh.ie; fo=1; adkim=s; aspf=s"/>
    <m/>
    <m/>
    <x v="0"/>
    <x v="143"/>
  </r>
  <r>
    <s v="cleaningcontractors.ie"/>
    <s v="minus"/>
    <s v="Fail"/>
    <s v="v=spf1 include:spf.protection.outlook.com include:spf.ess.de.barracudanetworks.com -all"/>
    <s v="yes"/>
    <x v="0"/>
    <m/>
    <m/>
    <m/>
    <x v="0"/>
    <x v="144"/>
  </r>
  <r>
    <s v="hermitageclinic.ie"/>
    <s v="tilde"/>
    <s v="Soft Fail"/>
    <s v="v=spf1 ip4:172.25.16.175 ip4:172.25.16.176 ip4:89.101.132.10 include:eu._netblocks.mimecast.com include:spf.protection.outlook.com include:spf-00273701.pphosted.com ~all"/>
    <m/>
    <x v="2"/>
    <s v="v=DMARC1; p=none; rua=mailto:za37gjmn@ag.eu.dmarcian.com;"/>
    <m/>
    <m/>
    <x v="0"/>
    <x v="144"/>
  </r>
  <r>
    <s v="algoodbody.ie"/>
    <s v="tilde"/>
    <s v="Soft Fail"/>
    <s v="v=spf1 a ip4:89.100.177.79 ip4:89.100.177.113 include:eu._netblocks.mimecast.com include:_spf.fireeyecloud.com ~all"/>
    <m/>
    <x v="3"/>
    <s v="v=DMARC1; p=reject; rua=mailto:2ac55f7ef3f4033@rep.dmarcanalyzer.com; ruf=mailto:2ac55f7ef3f4033@for.dmarcanalyzer.com; fo=1;"/>
    <m/>
    <m/>
    <x v="0"/>
    <x v="144"/>
  </r>
  <r>
    <s v="roadstone.ie"/>
    <s v="minus"/>
    <s v="Fail"/>
    <s v="v=spf1 include:_spf.crh.com include:spf.mandrillapp.com ip4:208.68.95.163 ip4:46.22.136.190 include:servers.mcsv.net -all"/>
    <s v="yes"/>
    <x v="3"/>
    <s v="v=DMARC1; p=reject; fo=1; rua=mailto:dmarc_rua@emaildefense.proofpoint.com; ruf=mailto:dmarc_ruf@emaildefense.proofpoint.com"/>
    <m/>
    <m/>
    <x v="0"/>
    <x v="144"/>
  </r>
  <r>
    <s v="salesforce.com"/>
    <s v="tilde"/>
    <s v="Soft Fail"/>
    <s v="v=spf1 include:_spf.google.com include:_spf.salesforce.com exists:%{i}._spf.corp.salesforce.com ~all"/>
    <s v="yes"/>
    <x v="3"/>
    <s v="v=DMARC1;p=reject;pct=100;fo=1;ruf=mailto:d@ruf.agari.com,mailto:dmarc_ruf@emaildefense.proofpoint.com;rua=mailto:d@rua.agari.com,mailto:dmarc_rua@emaildefense.proofpoint.com,mailto:dmarc_agg@vali.email"/>
    <s v="yes"/>
    <s v="https://www.salesforce.com/content/dam/web/en_us/www/images/home/bimi-salesforce-logo.svg"/>
    <x v="0"/>
    <x v="144"/>
  </r>
  <r>
    <s v="gmit.ie"/>
    <s v="minus"/>
    <s v="Fail"/>
    <s v="v=spf1 include:spf.protection.outlook.com include:spf1.gmit.ie ip4:92.52.102.162 ip4:34.241.149.181 a:newmail.ancheim.ie a:gwmailfilter.gmit.ie a:sendgrid.unit4cloud.com ip4:168.245.121.45 -all"/>
    <s v="yes"/>
    <x v="2"/>
    <s v="v=DMARC1; p=none; ruf=mailto:dmarc@gmit.ie; rua=mailto:dmarc@gmit.ie"/>
    <m/>
    <m/>
    <x v="7"/>
    <x v="144"/>
  </r>
  <r>
    <s v="arthurcox.com"/>
    <s v="tilde"/>
    <s v="Soft Fail"/>
    <s v="v=spf1 include:_u.arthurcox.com._spf.smart.ondmarc.com ~all"/>
    <s v="yes"/>
    <x v="1"/>
    <s v="v=DMARC1; p=quarantine; pct=100; fo=1; ri=3600; rua=mailto:a4ee46fb@inbox.ondmarc.com; ruf=mailto:a4ee46fb@inbox.ondmarc.com;"/>
    <m/>
    <m/>
    <x v="0"/>
    <x v="145"/>
  </r>
  <r>
    <s v="blarney.com"/>
    <s v="minus"/>
    <s v="Fail"/>
    <s v="v=spf1 include:_spf.granite.ie include:authsmtp.com include:servers.mcsv.net include:spf.topsec.com include:spf.protection.outlook.com ip4:77.107.241.9 -all"/>
    <m/>
    <x v="2"/>
    <s v="v=DMARC1;p=none;sp=none;rua=mailto:211a5a2e44@rua.easydmarc.eu;ruf=mailto:211a5a2e44@ruf.easydmarc.eu;fo=1"/>
    <m/>
    <m/>
    <x v="1"/>
    <x v="145"/>
  </r>
  <r>
    <s v="igb.ie"/>
    <s v="minus"/>
    <s v="Fail"/>
    <s v="v=spf1 ip4:54.246.225.76 ip4:54.246.225.97 ip4:208.73.7.181 include:_senderspf.copernica.com include:spf.protection.outlook.com include:spf.ess.uk.barracudanetworks.com -all"/>
    <s v="yes"/>
    <x v="2"/>
    <s v="v=DMARC1;p=none;pct=100;rua=mailto:dmarc@smtpeter.com"/>
    <m/>
    <m/>
    <x v="5"/>
    <x v="146"/>
  </r>
  <r>
    <s v="kcetb.ie"/>
    <s v="minus"/>
    <s v="Fail"/>
    <s v="#v=spf1 +a +mx -all"/>
    <s v="yes"/>
    <x v="2"/>
    <s v="v=DMARC1; p=none; pct=100; rua=mailto:DMARCReports@kcetb.ie; ruf=mailto:DMARCReports@KCETB.ie"/>
    <m/>
    <m/>
    <x v="17"/>
    <x v="146"/>
  </r>
  <r>
    <s v="blackrock-clinic.com"/>
    <s v="tilde"/>
    <s v="Soft Fail"/>
    <s v="v=spf1 include:servers.mcsv.net include:spf.protection.outlook.com include:spf-00273701.pphosted.com include:spf-eu.emailsignatures365.com ~all"/>
    <m/>
    <x v="2"/>
    <s v="v=DMARC1; p=none; rua=mailto:za37gjmn@ag.eu.dmarcian.com;"/>
    <m/>
    <m/>
    <x v="0"/>
    <x v="146"/>
  </r>
  <r>
    <s v="btireland.ie"/>
    <s v="tilde"/>
    <s v="Soft Fail"/>
    <s v="v=spf1 a:outbound.btireland.ie a:mxbackup.esat.net mx ip4:193.95.153.18 ip4:193.95.153.17 ip4:194.145.128.72 include:cmail1.com ~all"/>
    <m/>
    <x v="0"/>
    <m/>
    <m/>
    <m/>
    <x v="0"/>
    <x v="146"/>
  </r>
  <r>
    <s v="mondelezinternational.ie"/>
    <s v="minus"/>
    <s v="Fail"/>
    <s v="v=spf1 -all"/>
    <m/>
    <x v="3"/>
    <s v="v=DMARC1; p=reject; fo=1; rua=mailto:dmarc_rua@emaildefense.proofpoint.com; ruf=mailto:dmarc_ruf@emaildefense.proofpoint.com"/>
    <m/>
    <m/>
    <x v="0"/>
    <x v="146"/>
  </r>
  <r>
    <s v="rcsi.ie"/>
    <s v="tilde"/>
    <s v="Soft Fail"/>
    <s v="v=spf1 include:_spf2.rcsi.ie include:_spf3.rcsi.ie include:_spf.google.com include:spf.protection.outlook.com include:spf-eu.emailsignatures365.com include:elluciancloud.com ~all"/>
    <s v="yes"/>
    <x v="2"/>
    <s v="v=DMARC1; p=none; rua=mailto:noc@rcsi.ie"/>
    <m/>
    <m/>
    <x v="0"/>
    <x v="146"/>
  </r>
  <r>
    <s v="merckmillipore.com"/>
    <s v="tilde"/>
    <s v="Soft Fail"/>
    <s v="v=spf1 include:spf-005f4802.pphosted.com include:spf.protection.outlook.com ~all"/>
    <m/>
    <x v="2"/>
    <s v="v=DMARC1; p=none; sp=none; fo=1; rua=mailto:dmarc_reports@m.group; ruf=mailto:dmarc_reports@m.group"/>
    <m/>
    <m/>
    <x v="1"/>
    <x v="147"/>
  </r>
  <r>
    <s v="sivuh.ie"/>
    <s v="minus"/>
    <s v="Fail"/>
    <s v="v=spf1 ip4:93.94.119.58 -all"/>
    <m/>
    <x v="0"/>
    <m/>
    <m/>
    <m/>
    <x v="1"/>
    <x v="148"/>
  </r>
  <r>
    <s v="dkit.ie"/>
    <s v="minus"/>
    <s v="Fail"/>
    <s v="v=spf1 mx a ip4:116.203.110.13 ip4:159.69.3.23 ip4:193.120.142.176 ip4:193.120.143.70 ip4:193.120.143.134 ip4:193.120.143.138 ip4:52.31.29.196 ip4:52.213.53.209 ip4:54.229.16.46 a:mailrelay.ancheim.ie mx:lgcsb.ie a:relay.lgcsb.ie a:Exch-Cas-2013.dkit.ie&quot; &quot; include:spf.protection.outlook.com include:amazonses.com include:eu.transmail.net include:_tuf-spf.touchnet.com include:em6920.dkit.ie include:sendgrid.net -all"/>
    <s v="yes"/>
    <x v="1"/>
    <s v="v=DMARC1; p=quarantine; rua=mailto:postmaster@dkit.ie"/>
    <m/>
    <m/>
    <x v="2"/>
    <x v="148"/>
  </r>
  <r>
    <s v="ml.com"/>
    <s v="tilde"/>
    <s v="Soft Fail"/>
    <s v="v=spf1 include:bankofamerica.com ~all"/>
    <m/>
    <x v="3"/>
    <s v="v=DMARC1; p=reject; fo=1; rua=mailto:auth.report_ns@bankofamerica.com; ruf=mailto:bankofamerica@ruf.agari.com"/>
    <s v="yes"/>
    <s v="https://vmc.digicert.com/de3b1533-f5df-4bd8-8123-35bc9a3aa6fd.svg"/>
    <x v="0"/>
    <x v="149"/>
  </r>
  <r>
    <s v="rotunda.ie"/>
    <s v="minus"/>
    <s v="Fail"/>
    <s v="v=spf1 +ip4:137.191.232.39 +ip4:137.191.232.40 +ip4:35.189.100.238 +a:mail.rotunda.ie include:spf.protection.outlook.com +mx -all"/>
    <m/>
    <x v="2"/>
    <s v="v=DMARC1; p=none; fo=1; ri=3600; rua=mailto:803718f3c7f0419789d042a6530eaa18@dmarc-reports.cloudflare.net,mailto:postmaster@rotunda.ie; ruf=mailto:postmaster@rotunda.ie"/>
    <m/>
    <m/>
    <x v="0"/>
    <x v="149"/>
  </r>
  <r>
    <s v="libertyinsurance.ie"/>
    <s v="tilde"/>
    <s v="Soft Fail"/>
    <s v="v=spf1 include:spf.lmig.com ~all"/>
    <s v="yes"/>
    <x v="2"/>
    <s v="v=DMARC1;&quot; &quot;p=none;&quot; &quot;sp=none;&quot; &quot;pct=100;&quot; &quot;ri=3600;"/>
    <m/>
    <m/>
    <x v="11"/>
    <x v="149"/>
  </r>
  <r>
    <s v="eielectronics.com"/>
    <s v="minus"/>
    <s v="Fail"/>
    <s v="v=spf1 include:spf.protection.outlook.com include:spf.mandrillapp.com -all"/>
    <s v="yes"/>
    <x v="3"/>
    <s v="v=DMARC1; p=reject"/>
    <m/>
    <m/>
    <x v="9"/>
    <x v="149"/>
  </r>
  <r>
    <s v="clarecoco.ie"/>
    <s v="minus"/>
    <s v="Fail"/>
    <s v="v=spf1 include:spf.topsec.com include:spf.protection.outlook.com include:_spf.mlsend.com ip4:193.178.30.150 ip4:213.143.154.166 ip4:137.191.234.226 -all"/>
    <s v="yes"/>
    <x v="3"/>
    <s v="v=DMARC1;p=reject;sp=reject;rua=mailto:211a5a2e44@rua.easydmarc.eu;ruf=mailto:211a5a2e44@ruf.easydmarc.eu;fo=1;"/>
    <m/>
    <m/>
    <x v="9"/>
    <x v="149"/>
  </r>
  <r>
    <s v="vmware.com"/>
    <s v="minus"/>
    <s v="Fail"/>
    <s v="v=spf1 include:_spf.vmware.com include:_spop.vmware.com include:mktomail.com include:_spf1.vmware.com include:stspg-customer.com include:spf.protection.outlook.com include:aspmx.pardot.com ip4:103.28.42.0/24 ip4:27.126.146.0/24 ip4:146.88.28.0/24 -all"/>
    <s v="yes"/>
    <x v="2"/>
    <s v="v=DMARC1; p=none; sp=none; adkim=r; aspf=r; rua=mailto:dmarc_agg@vali.email,mailto:dmarc-reports@vmware.com; ruf=mailto:dmarc-reports@vmware.com; fo=1"/>
    <m/>
    <m/>
    <x v="1"/>
    <x v="149"/>
  </r>
  <r>
    <s v="kainos.com"/>
    <s v="mis"/>
    <s v="Invalid SPF Syntax"/>
    <s v="v=spf1 redirect=kainos.com.hosted.spf-report.com"/>
    <s v="yes"/>
    <x v="3"/>
    <s v="v=DMARC1; p=reject; sp=reject; rua=mailto:9aa1d4e2@mxtoolbox.dmarc-report.com; ruf=mailto:9aa1d4e2@forensics.dmarc-report.com,mailto:dmarc@kainos.com; adkim=s; aspf=s; fo=1; pct=100"/>
    <m/>
    <m/>
    <x v="0"/>
    <x v="149"/>
  </r>
  <r>
    <s v="matheson.com"/>
    <s v="tilde"/>
    <s v="Soft Fail"/>
    <s v="v=spf1 include:de._netblocks.mimecast.com include:spf-uk.vx-email.com include:spf.protection.outlook.com ip4:86.47.138.103/32 ~all"/>
    <m/>
    <x v="1"/>
    <s v="v=DMARC1; p=quarantine; rua=mailto:cb5c344d2de4124@rep.dmarcanalyzer.com; ruf=mailto:cb5c344d2de4124@for.dmarcanalyzer.com; fo=1;"/>
    <m/>
    <m/>
    <x v="0"/>
    <x v="149"/>
  </r>
  <r>
    <s v="loetb.ie"/>
    <s v="minus"/>
    <s v="Fail"/>
    <s v="v=spf1 include:spf.dcsnet.ie include:spf.protection.outlook.com include:_spf.granite.ie a:mail1.dcsnet.ie a:mail2.dcsnet.ie -all"/>
    <s v="yes"/>
    <x v="1"/>
    <s v="v=DMARC1; p=quarantine; pct=100; rua=mailto:ict@loetb.ie"/>
    <m/>
    <m/>
    <x v="18"/>
    <x v="150"/>
  </r>
  <r>
    <s v="materprivate.ie"/>
    <s v="minus"/>
    <s v="Fail"/>
    <s v="v=spf1 mx a ip4:109.70.209.92 ip4:74.127.26.11 ip4:109.70.209.90 ip4:91.220.45.49 a:mailvm.materprivate.ie a:filetx.digitalplanet.ie a:mailon.spamtitan.com include:spf.protection.outlook.com&quot; &quot; include:spf.eu1.defend.egress.com include:servers.mcsv.net ip4:91.220.45.40 a:dispatch-eu.ppe-hosted.com -all"/>
    <s v="yes"/>
    <x v="2"/>
    <s v="v=DMARC1;p=none;pct=100;rua=mailto:ec61c46e1d@rua.easydmarc.us;ruf=mailto:ec61c46e1d@ruf.easydmarc.us;fo=1;"/>
    <m/>
    <m/>
    <x v="0"/>
    <x v="150"/>
  </r>
  <r>
    <s v="vhi.ie"/>
    <s v="minus"/>
    <s v="Fail"/>
    <s v="v=spf1 mx ip4:193.104.136.17 ip4:52.210.16.151 include:amazonses.com include:spf.topsec.com include:_spf.salesforce.com include:spf.protection.outlook.com include:_spf.meddbase.com -all"/>
    <s v="yes"/>
    <x v="1"/>
    <s v="v=DMARC1; p=quarantine; rua=mailto:mxreport@vhi.ie; ruf=mailto:mxreport@vhi.ie; fo=1; adkim=s; aspf=s;"/>
    <m/>
    <m/>
    <x v="0"/>
    <x v="150"/>
  </r>
  <r>
    <s v="derrycourt.ie"/>
    <s v="minus"/>
    <s v="Fail"/>
    <s v="v=spf1 ip4:85.91.15.46 ip4:91.210.232.100 ip4:144.2.242.175 include:spf.protection.outlook.com include:_spf.salesforce.com include:spf.topsec.com include:authsmtp.com include:spf-eu.emailsignatures365.com include:spf.mailjet.com include:spf.constantcontac&quot; &quot;t.com -all"/>
    <m/>
    <x v="0"/>
    <m/>
    <m/>
    <m/>
    <x v="0"/>
    <x v="150"/>
  </r>
  <r>
    <s v="bostonscientific.com"/>
    <s v="tilde"/>
    <s v="Soft Fail"/>
    <s v="v=spf1 include:_u.bostonscientific.com._spf.smart.ondmarc.com ~all"/>
    <s v="yes"/>
    <x v="3"/>
    <s v="v=DMARC1; p=reject; pct=100; sp=reject; rua=mailto:595d978f@inbox.ondmarc.com; ruf=mailto:595d978f@inbox.ondmarc.com; adkim=r; aspf=r; fo=1; rf=afrf; ri=3600"/>
    <m/>
    <m/>
    <x v="1"/>
    <x v="150"/>
  </r>
  <r>
    <s v="ntma.ie"/>
    <s v="tilde"/>
    <s v="Soft Fail"/>
    <s v="v=spf1 mx ip4:78.153.205.64/28 ip4:137.191.233.25 ip4:78.153.203.154 ip4:205.138.36.10 ip4:159.135.145.156 ip4:5.61.115.80/28 ip4:198.2.128.0/18 ip4:205.201.128.0/20 ip4:148.105.8.0/21 ip4:13.69.226.128/25 ip4:13.74.106.128/25 include:spf.protection.&quot; &quot;outlook.com exists:%{i}._spf.mta.salesforce.com include:res.cisco.com include:successfactors.eu include:_spf.messagegears.net include:_spf.eu.messagegears.net ~all"/>
    <m/>
    <x v="2"/>
    <s v="v=DMARC1; p=none; rua=mailto:dmarc_reports@ntma.ie; ruf=mailto:dmarc_reports@ntma.ie;"/>
    <m/>
    <m/>
    <x v="0"/>
    <x v="150"/>
  </r>
  <r>
    <s v="bocsi.ie"/>
    <s v="tilde"/>
    <s v="Soft Fail"/>
    <s v="v=spf1 mx a include:spf.protection.outlook.com include:autotask.net ~all"/>
    <s v="yes"/>
    <x v="3"/>
    <s v="v=DMARC1; p=reject; rua=mailto:fbkbpe0u@ag.dmarcian.com; ruf=mailto:fbkbpe0u@fr.dmarcian.com; fo=1;"/>
    <m/>
    <m/>
    <x v="1"/>
    <x v="150"/>
  </r>
  <r>
    <s v="hpe.com"/>
    <s v="tilde"/>
    <s v="Soft Fail"/>
    <s v="v=spf1 include:%{ir}.%{v}.%{d}.spf.has.pphosted.com include:spf-002e3701.pphosted.com include:spf-002e3702.pphosted.com include:_spf.salesforce.com include:308166.spf02.hubspotemail.net  ~all"/>
    <s v="yes"/>
    <x v="3"/>
    <s v="v=DMARC1; p=reject; fo=1; rua=mailto:dmarc_rua@emaildefense.proofpoint.com; ruf=mailto:dmarc_ruf@emaildefense.proofpoint.com"/>
    <m/>
    <m/>
    <x v="7"/>
    <x v="150"/>
  </r>
  <r>
    <s v="sarsecurity.ie"/>
    <s v="no"/>
    <s v="Not found"/>
    <m/>
    <m/>
    <x v="0"/>
    <m/>
    <m/>
    <m/>
    <x v="0"/>
    <x v="150"/>
  </r>
  <r>
    <s v="manguardplus.ie"/>
    <s v="minus"/>
    <s v="Fail"/>
    <s v="v=spf1 ip4:93.107.105.0 ip4:213.233.141.18 ip4:81.173.14.75 ip4:213.79.45.112 include:spf.protection.outlook.com include:spf.exclaimer.net a:mx1.webcore.cloud a:mx2.webcore.cloud include:spf.smtp2go.com  -all"/>
    <m/>
    <x v="0"/>
    <m/>
    <m/>
    <m/>
    <x v="16"/>
    <x v="150"/>
  </r>
  <r>
    <s v="kerry.ie"/>
    <s v="minus"/>
    <s v="Fail"/>
    <s v="v=spf1 ip4:149.72.72.185 ip4:12.40.84.162 ip4:194.69.173.150 ip4:194.69.173.151 include:spf.protection.outlook.com include:de._netblocks.mimecast.com include:_spf.salesforce.com include:mktomail.com include:_spf.spotme.com include:aws.de1.spf.staffbase.co&quot; &quot;m -all"/>
    <s v="yes"/>
    <x v="3"/>
    <s v="v=DMARC1; p=reject; rua=mailto:dmarc_rua@emaildefense.proofpoint.com,mailto:6214fcb17775132@rep.dmarcanalyzer.com; ruf=mailto:dmarc_ruf@emaildefense.proofpoint.com,mailto:6214fcb17775132@for.dmarcanalyzer.com; fo=1"/>
    <m/>
    <m/>
    <x v="24"/>
    <x v="150"/>
  </r>
  <r>
    <s v="aryzta.com"/>
    <s v="tilde"/>
    <s v="Soft Fail"/>
    <s v="v=spf1 exists:%{i}.spf.aryzta.iphmx.com include:spf.messagelabs.com a:b.spf.service-now.com a:c.spf.service-now.com a:d.spf.service-now.com&quot; &quot; ip4:183.181.96.66 ip4:194.218.198.67 ip4:194.55.91.82 ip4:62.216.235.71 ip4:62.216.235.103 include:spf.protection.outlook.com ~all"/>
    <s v="yes"/>
    <x v="3"/>
    <s v="v=DMARC1;p=reject;pct=100;fo=1;rua=mailto:7rajixlj@ag.eu.dmarcian.com;ruf=mailto:7rajixlj@fr.eu.dmarcian.com"/>
    <m/>
    <m/>
    <x v="0"/>
    <x v="150"/>
  </r>
  <r>
    <s v="hertz.com"/>
    <s v="tilde"/>
    <s v="Soft Fail"/>
    <s v="v=spf1 include:%{ir}.%{v}.%{d}.spf.has.pphosted.com ~all"/>
    <s v="yes"/>
    <x v="1"/>
    <s v="v=DMARC1; p=quarantine; fo=1; rua=mailto:dmarc_rua@emaildefense.proofpoint.com,mailto:dmarc_rua@hertz.com; ruf=mailto:dmarc_ruf@emaildefense.proofpoint.com,mailto:dmarc_ruf@hertz.com"/>
    <m/>
    <m/>
    <x v="0"/>
    <x v="150"/>
  </r>
  <r>
    <s v="alps.ie"/>
    <s v="minus"/>
    <s v="Fail"/>
    <s v="v=spf1 include:_spf.salesforce.com include:spf.protection.outlook.com -all"/>
    <s v="yes"/>
    <x v="2"/>
    <s v="v=DMARC1; p=none; rua=mailto:mis@alps.ie; ruf=mailto:mis@alps.ie; fo=1"/>
    <m/>
    <m/>
    <x v="1"/>
    <x v="150"/>
  </r>
  <r>
    <s v="coillte.ie"/>
    <s v="minus"/>
    <s v="Fail"/>
    <s v="v=spf1 include:autotask.net include:spf.protection.outlook.com include:sendgrid.net include:spf.topsec.com include:spf.eu.exclaimer.net ip4:185.5.241.97/27 ip4:146.0.55.97/27 ip4:185.5.241.68/32 ip4:213.168.232.34/32 ip4:213.168.232.38/32 ip4:213.168&quot; &quot;.232.42/32 ip4:213.168.232.46/32 -all"/>
    <s v="yes"/>
    <x v="1"/>
    <s v="v=DMARC1;p=quarantine;sp=quarantine;rua=mailto:211a5a2e44@rua.easydmarc.eu;ruf=mailto:211a5a2e44@ruf.easydmarc.eu;fo=1"/>
    <m/>
    <m/>
    <x v="24"/>
    <x v="150"/>
  </r>
  <r>
    <s v="iconplc.com"/>
    <s v="minus"/>
    <s v="Fail"/>
    <s v="v=spf1 exists:%{i}._i.%{d}._d.espf.agari.com include:%{d}.ee.spf-protect.agari.com -all"/>
    <s v="yes"/>
    <x v="3"/>
    <s v="v=DMARC1; p=reject; fo=1; ri=3600; rua=mailto:icon@rua.agari.com; ruf=mailto:icon@ruf.agari.com"/>
    <m/>
    <m/>
    <x v="0"/>
    <x v="150"/>
  </r>
  <r>
    <s v="wit.ie"/>
    <s v="minus"/>
    <s v="Fail"/>
    <s v="v=spf1 ip4:34.240.68.23 ip4:34.254.2.161 mx include:spf.protection.outlook.com include:spf.mailjet.com include:_spf.google.com -all"/>
    <s v="yes"/>
    <x v="2"/>
    <s v="v=DMARC1;p=none; pct=100;rua=mailto:djt@wit.ie;ruf=mailto:djt@wit.ie"/>
    <m/>
    <m/>
    <x v="10"/>
    <x v="150"/>
  </r>
  <r>
    <s v="manorfarm.ie"/>
    <s v="tilde"/>
    <s v="Soft Fail"/>
    <s v="v=spf1 include:spf.topsec.com include:spf.protection.outlook.com include:spf_ip.fouredge.se ~all"/>
    <s v="yes"/>
    <x v="3"/>
    <s v="v=DMARC1;p=reject;sp=reject;rua=mailto:211a5a2e44@rua.easydmarc.eu;ruf=mailto:211a5a2e44@ruf.easydmarc.eu;fo=1"/>
    <m/>
    <m/>
    <x v="15"/>
    <x v="151"/>
  </r>
  <r>
    <s v="lilly.ie"/>
    <s v="no"/>
    <s v="Not found"/>
    <m/>
    <m/>
    <x v="3"/>
    <s v="v=DMARC1;p=reject;pct=100;rua=mailto:lilly@rua.dmp.cisco.com"/>
    <m/>
    <m/>
    <x v="1"/>
    <x v="151"/>
  </r>
  <r>
    <s v="waterfordcouncil.ie"/>
    <s v="tilde"/>
    <s v="Soft Fail"/>
    <s v="v=spf1 include:spf.anu.net ip4:34.253.61.97 ip4:213.143.154.166 include:spf.topsec.com include:spf.protection.outlook.com  ~all"/>
    <m/>
    <x v="2"/>
    <s v="v=DMARC1;p=none;sp=none;rua=mailto:211a5a2e44@rua.easydmarc.eu;ruf=mailto:211a5a2e44@ruf.easydmarc.eu;fo=1;"/>
    <m/>
    <m/>
    <x v="10"/>
    <x v="152"/>
  </r>
  <r>
    <s v="acuvue.com"/>
    <s v="minus"/>
    <s v="Fail"/>
    <s v="v=spf1 include:%{d}.ce.spf-protect.dmp.cisco.com exists:%{i}._i.%{d}._d.espf.dmp.cisco.com -all"/>
    <m/>
    <x v="3"/>
    <s v="v=DMARC1; p=reject; fo=1; ri=3600; rua=mailto:jnj@rua.dmp.cisco.com,mailto:jnj@rua.agari.com; ruf=mailto:jnj@ruf.dmp.cisco.com,mailto:jnj@ruf.agari.com"/>
    <m/>
    <m/>
    <x v="5"/>
    <x v="152"/>
  </r>
  <r>
    <s v="mylan.ie"/>
    <s v="no"/>
    <s v="Not found"/>
    <m/>
    <m/>
    <x v="0"/>
    <m/>
    <m/>
    <m/>
    <x v="0"/>
    <x v="152"/>
  </r>
  <r>
    <s v="merit.com"/>
    <s v="tilde"/>
    <s v="Soft Fail"/>
    <s v="v=spf1 include:spfa.cpmails.com include:spf-0026ba02.pphosted.com include:mailgun.org ip4:198.161.200.100 ip4:52.162.207.40/29 ip4:52.252.140.200/29 ip4:35.156.0.138 ip4:37.139.12.94 ip4:193.3.183.0/25 mx ~all"/>
    <s v="yes"/>
    <x v="1"/>
    <s v="v=DMARC1; p=quarantine; rua=mailto:dmarc_agg@vali.email"/>
    <m/>
    <m/>
    <x v="7"/>
    <x v="152"/>
  </r>
  <r>
    <s v="cookmedical.com"/>
    <s v="tilde"/>
    <s v="Soft Fail"/>
    <s v="v=spf1 include:%{ir}.%{v}.%{d}.spf.has.pphosted.com ~all"/>
    <m/>
    <x v="3"/>
    <s v="v=DMARC1; p=reject; fo=1; rua=mailto:dmarc_rua@emaildefense.proofpoint.com; ruf=mailto:dmarc_ruf@emaildefense.proofpoint.com"/>
    <m/>
    <m/>
    <x v="5"/>
    <x v="152"/>
  </r>
  <r>
    <s v="liebherr.com"/>
    <s v="minus"/>
    <s v="Fail"/>
    <s v="v=spf1 include:%{ir}.%{v}.%{d}.spf.has.pphosted.com -all"/>
    <s v="yes"/>
    <x v="3"/>
    <s v="v=DMARC1; p=reject; sp=reject; aspf=s; fo=1; rua=mailto:dmarc_rua@emaildefense.proofpoint.com; ruf=mailto:dmarc_ruf@emaildefense.proofpoint.com"/>
    <m/>
    <m/>
    <x v="14"/>
    <x v="152"/>
  </r>
  <r>
    <s v="courtsservices.ie"/>
    <s v="no"/>
    <s v="Not found"/>
    <m/>
    <m/>
    <x v="0"/>
    <m/>
    <m/>
    <m/>
    <x v="0"/>
    <x v="153"/>
  </r>
  <r>
    <s v="pmg.ie"/>
    <s v="tilde"/>
    <s v="Soft Fail"/>
    <s v="v=spf1 a include:spf.blacknight.ie  ~all"/>
    <m/>
    <x v="0"/>
    <m/>
    <m/>
    <m/>
    <x v="0"/>
    <x v="154"/>
  </r>
  <r>
    <s v="linesight.com"/>
    <s v="tilde"/>
    <s v="Soft Fail"/>
    <s v="v=spf1 ip4:89.101.228.112/28 ip4:149.72.127.121 ip4:18.168.51.200 ip4:18.168.140.58 ip4:148.59.101.16/28 ip4:23.21.109.197 ip4:23.21.109.212 ip4:147.160.167.0/26 ip4:137.135.185.191 &quot; &quot;include:spf.protection.outlook.com include:spf.emailsignatures365.com include:spf.zohomail360.eu include:_spf.act-on.net include:spf_c.oraclecloud.com include:mktomail.com exists:%{i}._spf.mta.salesforce.com include:_spf&quot; &quot;.psm.knowbe4.com ~all"/>
    <s v="yes"/>
    <x v="3"/>
    <s v="v=DMARC1; p=reject; rua=mailto:dmarc@linesight.com; ruf=mailto:dmarc@linesight.com; fo=1;"/>
    <m/>
    <m/>
    <x v="0"/>
    <x v="154"/>
  </r>
  <r>
    <s v="analog.com"/>
    <s v="minus"/>
    <s v="Fail"/>
    <s v="v=spf1 ip4:137.71.173.56 ip4:137.71.173.58 include:spf.protection.outlook.com include:spf-00128a01.pphosted.com -all"/>
    <s v="yes"/>
    <x v="1"/>
    <s v="v=DMARC1; p=quarantine; fo=1; rua=mailto:dmarc-analog-com-rua@analog.com; ruf=mailto:dmarc-analog-com-ruf@analog.com"/>
    <m/>
    <m/>
    <x v="5"/>
    <x v="154"/>
  </r>
  <r>
    <s v="ksg.ie"/>
    <s v="mis"/>
    <s v="Invalid SPF Syntax"/>
    <s v="v=spf1 redirect=ksg.ie.spf.hornetdmarc.com"/>
    <s v="yes"/>
    <x v="2"/>
    <s v="v=DMARC1; p=none; pct=100; rua=mailto:a.hx2nw8g9@reports.hornetdmarc.com"/>
    <m/>
    <m/>
    <x v="0"/>
    <x v="154"/>
  </r>
  <r>
    <s v="beaconhospital.ie"/>
    <s v="minus"/>
    <s v="Fail"/>
    <s v="v=spf1 mx a:mail.beaconhospital.ie include:sharepointonline.com ip4:192.124.249.118 ip4:185.224.197.201 -all"/>
    <m/>
    <x v="2"/>
    <s v="v=DMARC1; p=none; fo=1; rua=mailto:dmarc_report@beaconhospital.ie; ruf=mailto:dmarc_report@beaconhospital.ie"/>
    <m/>
    <m/>
    <x v="0"/>
    <x v="154"/>
  </r>
  <r>
    <s v="eason.com"/>
    <s v="minus"/>
    <s v="Fail"/>
    <s v="v=spf1 include:spf.mxhichina.com -all"/>
    <m/>
    <x v="0"/>
    <m/>
    <m/>
    <m/>
    <x v="0"/>
    <x v="154"/>
  </r>
  <r>
    <s v="svph.ie"/>
    <s v="tilde"/>
    <s v="Soft Fail"/>
    <s v="v=spf1 include:spf.topsec.com ip4:137.191.237.224/27 ip4:139.59.178.253 ~all"/>
    <s v="yes"/>
    <x v="3"/>
    <s v="v=DMARC1;p=reject;sp=none;rua=mailto:211a5a2e44@rua.easydmarc.eu;ruf=mailto:211a5a2e44@ruf.easydmarc.eu;fo=1"/>
    <m/>
    <m/>
    <x v="0"/>
    <x v="154"/>
  </r>
  <r>
    <s v="version1.com"/>
    <s v="tilde"/>
    <s v="Soft Fail"/>
    <s v="v=spf1 include:_spf.eu.messagegears.net include:spf.protection.outlook.com include:nw010.com include:_spf.brainier.com a:c.spf.service-now.com  include:spf1.workhuman.com include:amazonses.com include:139674475.spf08.hubspotemail.net ~all"/>
    <s v="yes"/>
    <x v="1"/>
    <s v="v=DMARC1; p=quarantine; rua=mailto:dmarc_agg@vali.email;"/>
    <s v="yes"/>
    <s v="https://s3-eu-west-1.amazonaws.com/crl.version1.com/Version1-logo.svg"/>
    <x v="0"/>
    <x v="154"/>
  </r>
  <r>
    <s v="munsterjoinery.ie"/>
    <s v="tilde"/>
    <s v="Soft Fail"/>
    <s v="v=spf1 ip4:109.106.104.53 include:spf.mailanyone.net ~all"/>
    <s v="yes"/>
    <x v="0"/>
    <m/>
    <m/>
    <m/>
    <x v="1"/>
    <x v="154"/>
  </r>
  <r>
    <s v="dbei.ie"/>
    <s v="no"/>
    <s v="Not found"/>
    <m/>
    <m/>
    <x v="0"/>
    <m/>
    <m/>
    <m/>
    <x v="0"/>
    <x v="154"/>
  </r>
  <r>
    <s v="mercuryeng.com"/>
    <s v="minus"/>
    <s v="Fail"/>
    <s v="v=spf1 include:spf.protection.outlook.com include:_netblocks.mimecast.com include:mail.zendesk.com include:_spf-dc57.sapsf.eu ip4:217.112.146.90 -all"/>
    <s v="yes"/>
    <x v="3"/>
    <s v="v=DMARC1; p=reject; rua=mailto:rua@mercuryeng.com,mailto:2c541c8369bd818@rep.dmarcanalyzer.com; ruf=mailto:ruf@mercuryeng.com,mailto:2c541c8369bd818@for.dmarcanalyzer.com; fo=1;"/>
    <m/>
    <m/>
    <x v="0"/>
    <x v="155"/>
  </r>
  <r>
    <s v="inmplc.com"/>
    <s v="minus"/>
    <s v="Fail"/>
    <s v="v=spf1 include:mailcontrol.com include:spf.protection.outlook.com -all"/>
    <s v="yes"/>
    <x v="2"/>
    <s v="v=DMARC1; p=none; rua=mailto:dmarcreports@independent.ie"/>
    <m/>
    <m/>
    <x v="0"/>
    <x v="156"/>
  </r>
  <r>
    <s v="momentumsupport.eu"/>
    <s v="minus"/>
    <s v="Fail"/>
    <s v="v=spf1 include:spf.protection.outlook.com -all"/>
    <m/>
    <x v="0"/>
    <m/>
    <m/>
    <m/>
    <x v="0"/>
    <x v="157"/>
  </r>
  <r>
    <s v="corkcity.ie"/>
    <s v="tilde"/>
    <s v="Soft Fail"/>
    <s v="v=spf1 include:sendgrid.net include:spf.protection.outlook.com include:_spf.psm.knowbe4.com include:amazonses.com include:spf.mailjet.com include:one.zoho.eu ip4:34.253.61.97 ip4:137.191.227.194 ip4:137.191.227.234 ip4:137.191.237.194 ip4:213.143.154&quot; &quot;.166 ~all"/>
    <s v="yes"/>
    <x v="2"/>
    <s v="v=DMARC1;p=none;sp=none;rua=mailto:211a5a2e44@rua.easydmarc.eu;ruf=mailto:211a5a2e44@ruf.easydmarc.eu;fo=1"/>
    <m/>
    <m/>
    <x v="1"/>
    <x v="157"/>
  </r>
  <r>
    <s v="dlrcoco.ie"/>
    <s v="minus"/>
    <s v="Fail"/>
    <s v="v=spf1 include:eu._netblocks.mimecast.com include:spf.topsec.com include:spf.protection.outlook.com include:spf.mailjet.com ip4:213.143.154.166 ip4:51.254.190.26 ip4:51.254.190.10 ip4:51.254.190.13 ip4:52.17.60.159 ip4:99.81.217.139 &quot; &quot;ip4:142.93.129.113 -all"/>
    <s v="yes"/>
    <x v="3"/>
    <s v="v=DMARC1; p=reject; rua=mailto:45ccfef76185555@rep.dmarcanalyzer.com; ruf=mailto:45ccfef76185555@for.dmarcanalyzer.com; fo=1;"/>
    <m/>
    <m/>
    <x v="0"/>
    <x v="157"/>
  </r>
  <r>
    <s v="muh.ie"/>
    <s v="tilde"/>
    <s v="Soft Fail"/>
    <s v="v=spf1 ip4:137.191.231.178/32 ip4:137.191.231.179/32 include:de._netblocks.mimecast.com include:amazonses.com include:authsmtp.com ~all"/>
    <m/>
    <x v="2"/>
    <s v="v=DMARC1; p=none; rua=mailto:dmarc_reports@muh.ie,mailto:dmarc_agg@vali.email;"/>
    <m/>
    <m/>
    <x v="1"/>
    <x v="157"/>
  </r>
  <r>
    <s v="cuh.ie"/>
    <s v="tilde"/>
    <s v="Soft Fail"/>
    <s v="v=spf1 ip4:137.191.248.195 ip4:137.191.248.196 ip4:193.120.69.8 include:mailcontrol.com include:authsmtp.com include:spf.protection.outlook.com ~all"/>
    <m/>
    <x v="0"/>
    <m/>
    <m/>
    <m/>
    <x v="0"/>
    <x v="157"/>
  </r>
  <r>
    <s v="knnetworkservices.com"/>
    <s v="no"/>
    <s v="Not found"/>
    <m/>
    <m/>
    <x v="0"/>
    <m/>
    <m/>
    <m/>
    <x v="0"/>
    <x v="157"/>
  </r>
  <r>
    <s v="creganna.com"/>
    <s v="tilde"/>
    <s v="Soft Fail"/>
    <s v="v=spf1 ip4:69.46.21.82/32 ip4:198.37.148.199/32 ip4:12.23.76.241/32 include:mxlogic.net include:spf.protection.outlook.com include:sharepointonline.com ~all"/>
    <s v="yes"/>
    <x v="3"/>
    <s v="v=DMARC1; p=reject; rua=mailto:52d1bf7cee2d365@rep.dmarcanalyzer.com; ruf=mailto:52d1bf7cee2d365@for.dmarcanalyzer.com; fo=1;"/>
    <m/>
    <m/>
    <x v="7"/>
    <x v="157"/>
  </r>
  <r>
    <s v="arnotts.ie"/>
    <s v="tilde"/>
    <s v="Soft Fail"/>
    <s v="v=spf1 a ip4:37.110.219.152 ip4:89.101.232.203 include:_spf_3rdparty.arnotts.ie ~all"/>
    <s v="yes"/>
    <x v="1"/>
    <s v="v=DMARC1; p=quarantine; rua=mailto:btsupport@arnotts.ie; ruf=mailto:btsupport@arnotts.ie; fo=1; pct=100"/>
    <m/>
    <m/>
    <x v="0"/>
    <x v="157"/>
  </r>
  <r>
    <s v="pramerica.ie"/>
    <s v="tilde"/>
    <s v="Soft Fail"/>
    <s v="v=spf1 include:spf.prudential.com include:spf.protection.outlook.com ~all"/>
    <s v="yes"/>
    <x v="1"/>
    <s v="v=DMARC1; p=quarantine; rua=mailto:ivrejeuw@ag.c1.dmarcian.com;"/>
    <m/>
    <m/>
    <x v="6"/>
    <x v="157"/>
  </r>
  <r>
    <s v="sap.com"/>
    <s v="mis"/>
    <s v="Invalid SPF Syntax"/>
    <s v="v=spf1 redirect=_spf.sap.com"/>
    <s v="yes"/>
    <x v="3"/>
    <s v="v=DMARC1; p=reject; pct=100; adkim=s; aspf=s; rua=mailto:mailauth-reports@sap.com"/>
    <m/>
    <m/>
    <x v="0"/>
    <x v="157"/>
  </r>
  <r>
    <s v="connollyhospital.ie"/>
    <s v="no"/>
    <s v="Not found"/>
    <m/>
    <m/>
    <x v="0"/>
    <m/>
    <m/>
    <m/>
    <x v="0"/>
    <x v="157"/>
  </r>
  <r>
    <s v="olchc.ie"/>
    <s v="tilde"/>
    <s v="Soft Fail"/>
    <s v="v=spf1 +a +mx +ip4:34.248.16.77 include:spf.webhostingireland.ie include:spf.protection.outlook.com ~all"/>
    <m/>
    <x v="0"/>
    <m/>
    <m/>
    <m/>
    <x v="0"/>
    <x v="157"/>
  </r>
  <r>
    <s v="galway.ie"/>
    <s v="minus"/>
    <s v="Fail"/>
    <s v="v=spf1 ip4:137.191.229.73 ip4:137.191.229.75 include:spf.protection.outlook.com -all"/>
    <m/>
    <x v="0"/>
    <m/>
    <m/>
    <m/>
    <x v="7"/>
    <x v="158"/>
  </r>
  <r>
    <s v="bausch.com"/>
    <s v="tilde"/>
    <s v="Soft Fail"/>
    <s v="v=spf1 mx ip4:161.242.0.0/16 ip4:20.72.141.232 ip4:20.110.18.118 include:spf.protection.outlook.com include:_spf-dc57.sapsf.eu include:_spf.salesforce.com include:docebosaas.com ~all"/>
    <s v="yes"/>
    <x v="2"/>
    <s v="v=DMARC1; p=none; rua=mailto:52jwurap@ag.dmarcian.com;"/>
    <m/>
    <m/>
    <x v="10"/>
    <x v="158"/>
  </r>
  <r>
    <s v="mayo.ie"/>
    <s v="minus"/>
    <s v="Fail"/>
    <s v="v=spf1 include:spf.protection.outlook.com include:_netblocks.mimecast.com include:spf.topsec.com a ip4:137.191.225.163 ip4:89.185.145.185 -all"/>
    <m/>
    <x v="3"/>
    <s v="v=DMARC1;p=reject;rua=mailto:211a5a2e44@rua.easydmarc.eu;ruf=mailto:211a5a2e44@ruf.easydmarc.eu;fo=1"/>
    <m/>
    <m/>
    <x v="4"/>
    <x v="159"/>
  </r>
  <r>
    <s v="cit.ie"/>
    <s v="minus"/>
    <s v="Fail"/>
    <s v="v=spf1 ip4:193.120.143.134 include:spf.protection.outlook.com -all"/>
    <s v="yes"/>
    <x v="2"/>
    <s v="v=DMARC1; p=none; rua=mailto:svc_dmarc@mtu.ie"/>
    <m/>
    <m/>
    <x v="1"/>
    <x v="159"/>
  </r>
  <r>
    <s v="deloitte.ie"/>
    <s v="minus"/>
    <s v="Fail"/>
    <s v="v=spf1 exists:%{i}.spf.deloitteie.c3s2.iphmx.com include:spf2.deloitte.ie include:_spf.createsend.com include:_spf.eu.messagegears.net include:spf.protection.outlook.com -all"/>
    <s v="yes"/>
    <x v="3"/>
    <s v="v=DMARC1; p=reject; sp=none; fo=1; ri=3600; rua=mailto:deloitte-global@rua.dmp.cisco.com; ruf=mailto:deloitte-global@ruf.dmp.cisco.com"/>
    <m/>
    <m/>
    <x v="0"/>
    <x v="160"/>
  </r>
  <r>
    <s v="paddypowerbetfair.com"/>
    <s v="minus"/>
    <s v="Fail"/>
    <s v="v=spf1 include:spf.protection.outlook.com include:nw010.com include:cust-spf.exacttarget.com include:_spf.salesforce.com include:mail.zendesk.com include:de._netblocks.mimecast.com ip4:217.112.150.5 ip4:185.20.95.20 ip4:217.112.150.38 ip4:217.112.150.47 i&quot; &quot;p4:217.112.150.48 ip4:94.236.83.186 ip4:54.195.28.80 ip4:213.187.237.32 ip4:52.213.120.101 ip4:54.76.240.229 ip4:52.49.201.246 include:spf.mandrillapp.com include:_spf.psm.knowbe4.com -all"/>
    <s v="yes"/>
    <x v="3"/>
    <s v="v=DMARC1; p=reject; rua=mailto:dfdb1ef5f58b4ea79a28474e1abf009f@dmarc-reports.cloudflare.net"/>
    <m/>
    <m/>
    <x v="0"/>
    <x v="160"/>
  </r>
  <r>
    <s v="environ.ie"/>
    <s v="minus"/>
    <s v="Fail"/>
    <s v="v=spf1  mx ip4:137.191.226.88/29 ip4:137.191.229.96/28 include:spfext.itservices.gov.ie -all"/>
    <m/>
    <x v="2"/>
    <s v="v=DMARC1; p=none; rua=mailto:dmarc@housing.gov.ie; ruf=mailto:dmarc@housing.gov.ie; fo=0; adkim=r; aspf=r; pct=100; rf=afrf; ri=604800"/>
    <m/>
    <m/>
    <x v="0"/>
    <x v="160"/>
  </r>
  <r>
    <s v="fingal.ie"/>
    <s v="minus"/>
    <s v="Fail"/>
    <s v="v=spf1 mx include:spf.protection.outlook.com ip4:137.191.240.163 ip4:213.143.154.166 include:spf.mailjet.com include:spf.topsec.com -all"/>
    <s v="yes"/>
    <x v="3"/>
    <s v="v=DMARC1; p=reject; rua=mailto:dmarc_agg@vali.email; pct=100; fo=1;"/>
    <m/>
    <m/>
    <x v="0"/>
    <x v="160"/>
  </r>
  <r>
    <s v="kildarecountycouncil.ie"/>
    <s v="tilde"/>
    <s v="Soft Fail"/>
    <s v="v=spf1 mx a include:_spf.livemail.co.uk ~all"/>
    <s v="yes"/>
    <x v="2"/>
    <s v="v=DMARC1; p=none;"/>
    <m/>
    <m/>
    <x v="16"/>
    <x v="160"/>
  </r>
  <r>
    <s v="petermark.ie"/>
    <s v="tilde"/>
    <s v="Soft Fail"/>
    <s v="v=spf1 a ip4:62.190.159.144/28 ip4:62.190.59.144/28 include:spf.protection.outlook.com include:sendgrid.net include:spf.givex.com include:authsmtp.com include:relay.mailchannels.net   ~all"/>
    <s v="yes"/>
    <x v="1"/>
    <s v="v=DMARC1;p=quarantine;rua=mailto:cc789e6eee@rua.easydmarc.eu;ruf=mailto:cc789e6eee@ruf.easydmarc.eu;fo=1;"/>
    <s v="yes"/>
    <s v="https://assets.easydmarc.com/9808008439/bimi-petermark-ie-3bd74e3e.svg"/>
    <x v="0"/>
    <x v="160"/>
  </r>
  <r>
    <s v="crescentshoppingcentre.ie"/>
    <s v="minus"/>
    <s v="Fail"/>
    <s v="v=spf1 ip4:178.63.81.198/32 ip4:144.76.75.138/32 ip4:144.76.75.187/32 ip4:188.40.29.197/32 a mx ptr -all"/>
    <m/>
    <x v="0"/>
    <m/>
    <m/>
    <m/>
    <x v="5"/>
    <x v="160"/>
  </r>
  <r>
    <s v="ul.ie"/>
    <s v="minus"/>
    <s v="Fail"/>
    <s v="v=spf1 ip4:139.60.152.0/22 include:spf.protection.outlook.com include:spf.topdesk.net ip4:195.154.27.41 ip4:149.202.76.209 ip4:193.120.142.176 ip4:193.120.143.134 ip4:193.120.143.138 ip4:193.1.100.0/21 include:spf1.ul.ie -all"/>
    <s v="yes"/>
    <x v="1"/>
    <s v="v=DMARC1; p=quarantine; rua=mailto:dmarc_reporting@ul.ie;"/>
    <m/>
    <m/>
    <x v="5"/>
    <x v="160"/>
  </r>
  <r>
    <s v="lidl.ie"/>
    <s v="minus"/>
    <s v="Fail"/>
    <s v="v=spf1 include:_spfg.mail.schwarz ip4:94.236.83.186 ip4:52.58.140.247 ip4:52.58.125.153 ip4:52.58.101.176 ip4:52.58.71.98 ip4:52.58.208.11 ip4:52.58.208.17 ip4:52.28.33.180 ip4:52.29.33.71 ip4:81.246.117.64/26 ip4:81.246.126.128/25 ip4:91.183.148.64/&quot; &quot;27 ip4:217.111.201.64/28 ip4:212.35.104.128/26 ip4:212.35.104.176/28 ip4:185.145.13.98 -all"/>
    <s v="yes"/>
    <x v="3"/>
    <s v="v=DMARC1;p=reject;adkim=r;aspf=r;rua=mailto:schwarz-dmarc-rua@sasms.mail.schwarz"/>
    <m/>
    <m/>
    <x v="0"/>
    <x v="160"/>
  </r>
  <r>
    <s v="grosvenorservices.com"/>
    <s v="minus"/>
    <s v="Fail"/>
    <s v="v=spf1 include:_u.grosvenorservices.com._spf.smart.ondmarc.com include:sendgrid.net -all"/>
    <s v="yes"/>
    <x v="3"/>
    <s v="v=DMARC1; p=reject; pct=100; fo=1; ri=3600; rua=mailto:216342b8@inbox.ondmarc.com; ruf=mailto:216342b8@inbox.ondmarc.com;"/>
    <m/>
    <m/>
    <x v="0"/>
    <x v="161"/>
  </r>
  <r>
    <s v="vodafone.ie"/>
    <s v="minus"/>
    <s v="Fail"/>
    <s v="v=spf1 include:spf2.vodafone.com ip4:167.89.0.0/17 -all"/>
    <s v="yes"/>
    <x v="3"/>
    <s v="v=DMARC1; p=reject; rua=mailto:adeeb5c538f9684@rep.dmarcanalyzer.com; ruf=mailto:adeeb5c538f9684@for.dmarcanalyzer.com; fo=0"/>
    <m/>
    <m/>
    <x v="0"/>
    <x v="161"/>
  </r>
  <r>
    <s v="united-drug.com"/>
    <s v="minus"/>
    <s v="Fail"/>
    <s v="v=spf1 include:_u.united-drug.com._spf.smart.ondmarc.com -all"/>
    <m/>
    <x v="2"/>
    <s v="v=DMARC1; p=none; pct=100; sp=none; rua=mailto:3fb658a1@inbox.eu.redsift.cloud; ruf=mailto:3fb658a1@inbox.eu.redsift.cloud; adkim=r; aspf=r; fo=1; rf=afrf; ri=86400"/>
    <m/>
    <m/>
    <x v="0"/>
    <x v="161"/>
  </r>
  <r>
    <s v="ericsson.com"/>
    <s v="tilde"/>
    <s v="Soft Fail"/>
    <s v="v=spf1 ip4:193.180.251.71/32 ip4:193.180.251.72/31 ip4:198.24.6.0/25 ip4:192.176.1.74/32 ip4:213.68.11.254/32 ip4&quot; &quot;:109.203.101.205/32 ip4:129.192.139.193/32 ip4:129.192.129.0/24 ip4:130.100.64.168/32 include:spf.protection.outlook.com ~all"/>
    <s v="yes"/>
    <x v="3"/>
    <s v="v=DMARC1; p=reject; fo=1; ri=3600; rua=mailto:ericsson@rua.agari.com; ruf=mailto:ericsson@ruf.agari.com"/>
    <s v="yes"/>
    <s v="https://www.ericsson.com/bimi/ericsson_ab_vmc_2025.svg"/>
    <x v="0"/>
    <x v="161"/>
  </r>
  <r>
    <s v="dell.ie"/>
    <s v="minus"/>
    <s v="Fail"/>
    <s v="v=spf1 ip4:23.253.197.137 -all"/>
    <m/>
    <x v="3"/>
    <s v="v=DMARC1; p=reject; fo=1; rua=mailto:dmarc_rua@emaildefense.proofpoint.com; ruf=mailto:dmarc_ruf@emaildefense.proofpoint.com"/>
    <m/>
    <m/>
    <x v="0"/>
    <x v="162"/>
  </r>
  <r>
    <s v="sodexo.com"/>
    <s v="minus"/>
    <s v="Fail"/>
    <s v="v=spf1 a:smtpgate.sodexo.com include:spf-00009201.pphosted.com include:spf.sodexo.com -all"/>
    <s v="yes"/>
    <x v="3"/>
    <s v="v=DMARC1; p=reject; fo=1; rua=mailto:dmarc_rua@emaildefense.proofpoint.com; ruf=mailto:dmarc_ruf@emaildefense.proofpoint.com"/>
    <m/>
    <m/>
    <x v="0"/>
    <x v="163"/>
  </r>
  <r>
    <s v="sdcc.ie"/>
    <s v="minus"/>
    <s v="Fail"/>
    <s v="v=spf1 mx include:spf.protection.outlook.com ip4:137.191.230.202 -all"/>
    <m/>
    <x v="3"/>
    <s v="v=DMARC1;p=reject;sp=reject;rua=mailto:211a5a2e44@rua.easydmarc.eu;ruf=mailto:211a5a2e44@ruf.easydmarc.eu;fo=1"/>
    <m/>
    <m/>
    <x v="0"/>
    <x v="163"/>
  </r>
  <r>
    <s v="keelings.ie"/>
    <s v="minus"/>
    <s v="Fail"/>
    <s v="v=spf1 ip4: 5.61.115.48/28 include:nw005.com -all"/>
    <m/>
    <x v="2"/>
    <s v="v=DMARC1; p=none; sp=none; rua=mailto:dmarc_report@keelings.ie; ruf=mailto:dmarc_report@keelings.ie; fo=1;"/>
    <m/>
    <m/>
    <x v="0"/>
    <x v="163"/>
  </r>
  <r>
    <s v="fbdgroup.com"/>
    <s v="minus"/>
    <s v="Fail"/>
    <s v="v=spf1 mx ip4:193.95.146.199 ip4:193.120.219.3 include:spf.protection.outlook.com -all"/>
    <s v="yes"/>
    <x v="1"/>
    <s v="v=DMARC1; p=quarantine; sp=reject; rua=mailto:dmarcreports@fbd.ie; ruf=mailto:dmarcreports@fbd.ie; rf=afrf; fo=1; pct=100; ri=86400; adkim=s; aspf=s"/>
    <m/>
    <m/>
    <x v="0"/>
    <x v="164"/>
  </r>
  <r>
    <s v="citi.com"/>
    <s v="mis"/>
    <s v="Invalid SPF Syntax"/>
    <s v="v=spf1 a:1._spf.citigroup.com a:2._spf.citigroup.com a:mailir.citi.com include:spf-00123c01.pphosted.com include:_spf.lwo.locaweb.com.br redirect=ext1._spf.citigroup.com"/>
    <s v="yes"/>
    <x v="3"/>
    <s v="v=DMARC1; p=reject; rua=mailto:dmarc_rua@emaildefense.proofpoint.com,mailto:dmarc.reports.rua@citi.com"/>
    <m/>
    <m/>
    <x v="0"/>
    <x v="165"/>
  </r>
  <r>
    <s v="abtran.com"/>
    <s v="minus"/>
    <s v="Fail"/>
    <s v="v=spf1 ip4:150.70.0.0/16 ip4:91.209.74.0/24 ip4:160.34.64.14/32 ip4:138.1.16.88/32 include:spf.tmes.trendmicro.eu include:spf.protection.outlook.com include:rnmk.com include:authsmtp.com include:amazonses.com -all"/>
    <s v="yes"/>
    <x v="1"/>
    <s v="v=DMARC1; p=quarantine; rua=mailto:dmarc@abtran.com; ruf=mailto:dmarc@abtran.com; fo=1"/>
    <m/>
    <m/>
    <x v="1"/>
    <x v="165"/>
  </r>
  <r>
    <s v="compass-group.ie"/>
    <s v="minus"/>
    <s v="Fail"/>
    <s v="v=spf1 mx include:spf.protection.outlook.com ip4:52.212.227.234 -all"/>
    <s v="yes"/>
    <x v="3"/>
    <s v="v=DMARC1; p=reject; pct=100; rua=mailto:gxq2lm1e@ag.eu.dmarcadvisor.com; ruf=mailto:gxq2lm1e@fr.eu.dmarcadvisor.com; fo=1; ri=60"/>
    <m/>
    <m/>
    <x v="0"/>
    <x v="165"/>
  </r>
  <r>
    <s v="telent.com"/>
    <s v="tilde"/>
    <s v="Soft Fail"/>
    <s v="v=spf1 ip4:51.140.205.44 ip4:104.45.90.69 ip4:82.141.247.90 ip4:80.6.91.150 ip4:203.55.21.31 ip4:213.143.152.2 ip4:20.68.241.51 ip4:51.132.83.216 ip4:51.104.201.83 ip4:20.26.49.116 ip4:51.11.110.125 ip4:51.132.164.243 ip4:20.90.56.1 mx include:spf.prote&quot; &quot;ction.outlook.com include:spf.emailsignatures365.com include:aspmx.pardot.com a:c.spf.service-now.com a:d.spf.service-now.com include:_spf.salesforce.com include:spf_c.oraclecloud.com ~all"/>
    <s v="yes"/>
    <x v="1"/>
    <s v="v=DMARC1;p=quarantine;sp=quarantine;fo=1;rua=mailto:dmarc-rua@telent.com;ruf=mailto:dmarc-ruf@telent.com"/>
    <m/>
    <m/>
    <x v="0"/>
    <x v="165"/>
  </r>
  <r>
    <s v="aib.ie"/>
    <s v="tilde"/>
    <s v="Soft Fail"/>
    <s v="v=spf1 include:aib.ie._nspf.vali.email include:%{i}._ip.%{h}._ehlo.%{d}._spf.vali.email ~all"/>
    <s v="yes"/>
    <x v="3"/>
    <s v="v=DMARC1; p=reject; rua=mailto:dmarc_agg@vali.email"/>
    <m/>
    <m/>
    <x v="0"/>
    <x v="165"/>
  </r>
  <r>
    <s v="dcu.ie"/>
    <s v="tilde"/>
    <s v="Soft Fail"/>
    <s v="v=spf1 include:_spf.google.com ip4:136.206.1.100 ip4:198.187.196.100 ip4:193.120.143.134 include:spf-eu.exlibrisgroup.com include:spf.protection.outlook.com include:mail.zendesk.com ~all"/>
    <s v="yes"/>
    <x v="3"/>
    <s v="v=DMARC1; p=reject; rua=mailto:dmarc@dcu.ie, mailto:xp52vxju@ag.eu.dmarcian.com"/>
    <m/>
    <m/>
    <x v="0"/>
    <x v="165"/>
  </r>
  <r>
    <s v="dudublin.ie"/>
    <s v="no"/>
    <s v="Not found"/>
    <m/>
    <m/>
    <x v="0"/>
    <m/>
    <m/>
    <m/>
    <x v="0"/>
    <x v="165"/>
  </r>
  <r>
    <s v="ilim.com"/>
    <s v="tilde"/>
    <s v="Soft Fail"/>
    <s v="v=spf1 include:%{ir}.%{v}.%{d}.spf.has.pphosted.com ~all"/>
    <m/>
    <x v="3"/>
    <s v="v=DMARC1; p=reject; rua=mailto:dmarc_rua@emaildefense.proofpoint.com; ruf=mailto:dmarc_ruf@emaildefense.proofpoint.com; fo=1;"/>
    <m/>
    <m/>
    <x v="0"/>
    <x v="165"/>
  </r>
  <r>
    <s v="fexco.com"/>
    <s v="tilde"/>
    <s v="Soft Fail"/>
    <s v="v=spf1 include:%{i}._ip.%{h}._ehlo.%{d}._spf.vali.email ~all"/>
    <m/>
    <x v="1"/>
    <s v="v=DMARC1; p=quarantine; rua=mailto:dmarc_agg@vali.email"/>
    <m/>
    <m/>
    <x v="14"/>
    <x v="166"/>
  </r>
  <r>
    <s v="dit.ie"/>
    <s v="minus"/>
    <s v="Fail"/>
    <s v="v=spf1 include:spf1.dit.ie include:spf2.dit.ie include:_spf.google.com include:irdub.iii.com include:a._spf.brightspace.com -all"/>
    <s v="yes"/>
    <x v="3"/>
    <s v="v=DMARC1; p=reject; rua=mailto:xydjhcdp@ag.eu.dmarcian.com;"/>
    <m/>
    <m/>
    <x v="0"/>
    <x v="166"/>
  </r>
  <r>
    <s v="nuigalway.ie"/>
    <s v="minus"/>
    <s v="Fail"/>
    <s v="v=spf1 ip4:95.172.90.143 ip4:95.172.90.156 ip4:206.132.28.57 ip4:92.52.102.162 ip4:206.132.28.20 ip4:140.203.202.74 ip4:140.203.12.209&quot; &quot; include:spf.protection.outlook.com ip4:82.195.135.109 ip4:147.197.215.112 ip4:80.93.26.177 include:listserv.heanet.ie include:spf-eu.exlibrisgroup.com include:mh.blackboard.com&quot; &quot; ip4:193.120.143.70 ip4:193.120.252.86 include:servers.mcsv.net -all"/>
    <s v="yes"/>
    <x v="1"/>
    <s v="v=DMARC1;&quot; &quot;p=quarantine;&quot; &quot;rua=mailto:DMARC@universityofgalway.ie;"/>
    <m/>
    <m/>
    <x v="7"/>
    <x v="167"/>
  </r>
  <r>
    <s v="corkcoco.ie"/>
    <s v="mis"/>
    <s v="Invalid SPF Syntax"/>
    <s v="v=spf1 mx include:spf.protection.outlook.com include:spf.topsec.com include:spf.mailjet.com include:spf.anu.net include:_spf.firmstep.com include:_spf.psm.knowbe4.com include:servers.mcsv.net ip4:137.191.236.2 ip4:193.120.143.138 ip4:213.143.154.166 &quot; &quot;-all"/>
    <s v="yes"/>
    <x v="2"/>
    <s v="v=DMARC1; p=none; pct=100; fo=1; ri=3600; rua=mailto:12c2c213@inbox.ondmarc.com; ruf=mailto:12c2c213@inbox.ondmarc.com;"/>
    <m/>
    <m/>
    <x v="1"/>
    <x v="168"/>
  </r>
  <r>
    <s v="emc.com"/>
    <s v="tilde"/>
    <s v="Soft Fail"/>
    <s v="v=spf1 include:%{ir}.%{v}.%{d}.spf.has.pphosted.com ~all"/>
    <m/>
    <x v="3"/>
    <s v="v=DMARC1; p=reject; fo=1; rua=mailto:dmarc_rua@emaildefense.proofpoint.com,mailto:dmarc.reports.rua@dell.com; ruf=mailto:dmarc_ruf@emaildefense.proofpoint.com,mailto:dmarc.reports.ruf@dell.com"/>
    <m/>
    <m/>
    <x v="1"/>
    <x v="168"/>
  </r>
  <r>
    <s v="musgravegroup.ie"/>
    <s v="no"/>
    <s v="Not found"/>
    <m/>
    <m/>
    <x v="0"/>
    <m/>
    <m/>
    <m/>
    <x v="1"/>
    <x v="168"/>
  </r>
  <r>
    <s v="ornua.com"/>
    <s v="minus"/>
    <s v="Fail"/>
    <s v="v=spf1 ip4:212.2.161.110 ip4:213.137.181&quot; &quot;.78 include:spf.protection.outlook.com i&quot; &quot;nclude:spf.mailjet.com include:spf.messa&quot; &quot;gelabs.com include:sendgrid.net include:&quot; &quot;_spf.mlsend.com -all"/>
    <s v="yes"/>
    <x v="3"/>
    <s v="v=DMARC1; p=reject; pct=100; fo=1; ri=36&quot; &quot;00; rua=mailto:f9d420a7@inbox.eu.redsift&quot; &quot;.cloud; ruf=mailto:f9d420a7@inbox.eu.red&quot; &quot;sift.cloud"/>
    <s v="yes"/>
    <s v="https://bimi.entrust.net/ornu&quot; &quot;a.com/logo.svg"/>
    <x v="0"/>
    <x v="169"/>
  </r>
  <r>
    <s v="amnch.ie"/>
    <s v="minus"/>
    <s v="Fail"/>
    <s v="v=spf1 mx a ip4:137.191.244.4/32 ip4:137.191.241.24/32 ip4:18.185.115.0/25 ip4:18.185.115.128/26 ip4:34.253.238.128/26 ip4:34.253.238.192/26 include:spf.tmes.trendmicro.com include:spf.topsec.com include:spf.cirqahosting.com -all"/>
    <m/>
    <x v="0"/>
    <m/>
    <m/>
    <m/>
    <x v="0"/>
    <x v="170"/>
  </r>
  <r>
    <s v="sodexo.ie"/>
    <s v="no"/>
    <s v="Not found"/>
    <m/>
    <m/>
    <x v="3"/>
    <s v="v=DMARC1; p=reject; fo=1; rua=mailto:dmarc_rua@emaildefense.proofpoint.com; ruf=mailto:dmarc_ruf@emaildefense.proofpoint.com"/>
    <m/>
    <m/>
    <x v="1"/>
    <x v="171"/>
  </r>
  <r>
    <s v="aramark.ie"/>
    <s v="minus"/>
    <s v="Fail"/>
    <s v="v=spf1 exists:%{i}._i.%{d}._d.espf.agari.com include:%{d}.5b.spf-protect.agari.com -all"/>
    <s v="yes"/>
    <x v="3"/>
    <s v="v=DMARC1; p=reject; fo=1; ri=3600; rua=mailto:aramark@rua.agari.com; ruf=mailto:aramark@ruf.agari.com"/>
    <m/>
    <m/>
    <x v="0"/>
    <x v="171"/>
  </r>
  <r>
    <s v="mater.ie"/>
    <s v="minus"/>
    <s v="Fail"/>
    <s v="v=spf1 ip4:84.203.136.181 ip4:84.203.136.182 include:spf.protection.outlook.com -all"/>
    <m/>
    <x v="2"/>
    <s v="v=DMARC1;p=none;sp=none;pct=100;rua=mailto:infosec@mater.ie;ri=86400;aspf=r;adkim=r"/>
    <m/>
    <m/>
    <x v="0"/>
    <x v="171"/>
  </r>
  <r>
    <s v="stvincents.ie"/>
    <s v="no"/>
    <s v="Not found"/>
    <m/>
    <m/>
    <x v="3"/>
    <s v="v=DMARC1; p=reject; rua=mailto:c75762f7@mxtoolbox.dmarc-report.com; ruf=mailto:c75762f7@forensics.dmarc-report.com; fo=1"/>
    <m/>
    <m/>
    <x v="0"/>
    <x v="171"/>
  </r>
  <r>
    <s v="dublinairportauthority.com"/>
    <s v="minus"/>
    <s v="Fail"/>
    <s v="v=spf1 include:spf.protection.outlook.com include:spf.messagelabs.com -all"/>
    <m/>
    <x v="2"/>
    <s v="v=DMARC1; p=none; fo=1; rua=mailto:dmarc_alerts@daa.ie"/>
    <m/>
    <m/>
    <x v="0"/>
    <x v="171"/>
  </r>
  <r>
    <s v="iss.ie"/>
    <s v="minus"/>
    <s v="Fail"/>
    <s v="v=spf1 mx a -all"/>
    <m/>
    <x v="1"/>
    <s v="v=DMARC1; p=quarantine; rua=mailto:0741f6cf@mxtoolbox.dmarc-report.com; ruf=mailto:0741f6cf@forensics.dmarc-report.com; fo=1; pct=80"/>
    <m/>
    <m/>
    <x v="0"/>
    <x v="171"/>
  </r>
  <r>
    <s v="dublinbus.ie"/>
    <s v="minus"/>
    <s v="Fail"/>
    <s v="v=spf1 ip4:194.106.151.242 include:_netblocks.mimecast.com include:spf.protection.outlook.com include:_spf.mlsend.com -all"/>
    <s v="yes"/>
    <x v="3"/>
    <s v="v=DMARC1; p=reject; rua=mailto:1682ed89ae77559@rep.dmarcanalyzer.com; ruf=mailto:1682ed89ae77559@for.dmarcanalyzer.com; fo=1;"/>
    <m/>
    <m/>
    <x v="0"/>
    <x v="172"/>
  </r>
  <r>
    <s v="stjames.ie"/>
    <s v="tilde"/>
    <s v="Soft Fail"/>
    <s v="v=spf1 mx include:spf.tmes.trendmicro.com ~all"/>
    <m/>
    <x v="0"/>
    <m/>
    <m/>
    <m/>
    <x v="0"/>
    <x v="173"/>
  </r>
  <r>
    <s v="cuh.hse.ie"/>
    <s v="no"/>
    <s v="Not found"/>
    <m/>
    <m/>
    <x v="0"/>
    <m/>
    <m/>
    <m/>
    <x v="1"/>
    <x v="174"/>
  </r>
  <r>
    <s v="apple.com"/>
    <s v="tilde"/>
    <s v="Soft Fail"/>
    <s v="v=spf1 include:_spf.apple.com include:_spf-txn.apple.com ~all"/>
    <s v="yes"/>
    <x v="1"/>
    <s v="v=DMARC1; p=quarantine; sp=reject; rua=mailto:d@rua.agari.com; ruf=mailto:d@ruf.agari.com;"/>
    <s v="yes"/>
    <s v="https://www.apple.com/bimi/v2/apple.svg"/>
    <x v="1"/>
    <x v="174"/>
  </r>
  <r>
    <s v="dundrum.ie"/>
    <s v="tilde"/>
    <s v="Soft Fail"/>
    <s v="v=spf1 include:_spf.google.com include:cmail1.com ip4:207.126.144.0/20 ip4:185.132.183.149 ip4:185.183.30.200 include:spf.protection.outlook.com include:asp-spf1.yardi.com include:asp-spf2.yardi.com include:spf.tmes.trendmicro.com include:spf.UK.exclaimer&quot; &quot;.net ~all"/>
    <s v="yes"/>
    <x v="1"/>
    <s v="v=DMARC1; p=quarantine; rua=mailto:dundrumire@dmarcrua.tmes.trendmicro.eu; pct=50"/>
    <m/>
    <m/>
    <x v="0"/>
    <x v="175"/>
  </r>
  <r>
    <s v="ryanair.com"/>
    <s v="tilde"/>
    <s v="Soft Fail"/>
    <s v="v=spf1 include:ryanair.com._nspf.vali.email include:%{i}._ip.%{h}._ehlo.%{d}._spf.vali.email include:_netblocks.mimecast.com include:_spf-dc57.sapsf.eu ~all"/>
    <m/>
    <x v="3"/>
    <s v="v=DMARC1; p=reject; rua=mailto:dmarc_agg@vali.email"/>
    <s v="yes"/>
    <s v="https://amplify.valimail.com/bimi/ryanair/JgDx5m5g7Bx-ryanair_dac_1323452655.svg"/>
    <x v="0"/>
    <x v="176"/>
  </r>
  <r>
    <s v="garda.ie"/>
    <s v="minus"/>
    <s v="Fail"/>
    <s v="v=spf1 mx ip4:137.191.224.102 ip4:137.191.224.122 ip4:137.191.224.89 ip4:137.191.225.35 ip4:137.191.225.37 ip4:169.254.231.133 ip4:169.254.39.133 ip4:193.178.100.71 include:spf.protection.outlook.com -all"/>
    <m/>
    <x v="0"/>
    <m/>
    <m/>
    <m/>
    <x v="0"/>
    <x v="177"/>
  </r>
  <r>
    <s v="bankofireland.com"/>
    <s v="tilde"/>
    <s v="Soft Fail"/>
    <s v="v=spf1 include:%{i}._ip.%{h}._ehlo.%{d}._spf.vali.email ~all"/>
    <m/>
    <x v="3"/>
    <s v="v=DMARC1; p=reject; rua=mailto:dmarc_agg@vali.email"/>
    <m/>
    <m/>
    <x v="0"/>
    <x v="178"/>
  </r>
  <r>
    <s v="greencore.com"/>
    <s v="minus"/>
    <s v="Fail"/>
    <s v="v=spf1 include:%{ir}.%{v}.%{d}.spf.has.pphosted.com -all"/>
    <s v="yes"/>
    <x v="3"/>
    <s v="v=DMARC1; p=reject; fo=1; rua=mailto:dmarc_rua@emaildefense.proofpoint.com; ruf=mailto:dmarc_ruf@emaildefense.proofpoint.com"/>
    <m/>
    <m/>
    <x v="0"/>
    <x v="179"/>
  </r>
  <r>
    <s v="snclavalin.com"/>
    <s v="minus"/>
    <s v="Fail"/>
    <s v="v=spf1 ip4:66.252.152.206 ip4:66.252.152.227 ip4:142.242.2.248 ip4:142.242.2.91 ip4:51.140.185.73 ip4:51.145.26.67 ip4:51.140.29.80 ip4:142.242.7.15 ip4:142.242.7.16 include:spf-0028ed01.pphosted.com include:spf.power365.quest.com&quot; &quot; include:spf.protection.outlook.com ip4:18.168.51.200 ip4:18.168.140.58 include:spf-001bd701.pphosted.com include:spf-001bd702.pphosted.com include:spf-001bd703.pphosted.com ip4:204.93.133.100 -all"/>
    <s v="yes"/>
    <x v="2"/>
    <s v="v=DMARC1; p=none; fo=1; rua=mailto:snc_dmarc_rua@snclgroup.com,mailto:dmarc_rua@emaildefense.proofpoint.com; ruf=mailto:snc_dmarc_ruf@snclgroup.com,mailto:dmarc_ruf@emaildefense.proofpoint.com"/>
    <m/>
    <m/>
    <x v="13"/>
    <x v="180"/>
  </r>
  <r>
    <m/>
    <m/>
    <m/>
    <m/>
    <m/>
    <x v="5"/>
    <m/>
    <m/>
    <m/>
    <x v="26"/>
    <x v="1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5">
  <r>
    <s v="ormsby-rhodes.ie"/>
    <s v="minus"/>
    <x v="0"/>
    <s v="v=spf1 ip4:185.2.5.95 include:spf.protection.outlook.com -all"/>
    <m/>
    <x v="0"/>
    <m/>
    <m/>
    <m/>
    <x v="0"/>
    <x v="0"/>
    <x v="0"/>
  </r>
  <r>
    <s v="cluid.ie"/>
    <s v="tilde"/>
    <x v="1"/>
    <s v="v=spf1 ip4:5.149.235.189 ip4:95.83.236.19 ip4:95.83.236.20 ip4:89.100.126.130 ip4:212.17.32.37 ip4:52.164.121.112 ip4:13.69.249.254 a:cluidserver.pointblank.ie include:spf.protection.outlook.com include:spf.eu.exclaimer.net include:_spf.psm.knowbe4.c&quot; &quot;om ip4:23.21.109.197 ip4:23.21.109.212 ip4:52.49.201.246 ip4:52.49.201.246 ip4:147.160.167.0/26 ~all"/>
    <s v="yes"/>
    <x v="1"/>
    <s v="v=DMARC1; p=quarantine; pct=100; rua=mailto:dmarc_agg@vali.email; ruf=mailto:jmongan@cluid.ie; fo=1"/>
    <m/>
    <m/>
    <x v="0"/>
    <x v="0"/>
    <x v="0"/>
  </r>
  <r>
    <s v="coru.ie"/>
    <s v="tilde"/>
    <x v="1"/>
    <s v="v=spf1 mx ip4:137.191.239.45 include:spf.protection.outlook.com a:mail1.coru.ie a:partnerspf.rmmservice.com ~all"/>
    <m/>
    <x v="2"/>
    <s v="v=DMARC1; p=none;"/>
    <m/>
    <m/>
    <x v="0"/>
    <x v="0"/>
    <x v="0"/>
  </r>
  <r>
    <s v="nmbi.ie"/>
    <s v="minus"/>
    <x v="0"/>
    <s v="v=spf1 mx a ip4:5.61.115.48/28 include:nw005.com include:spf.protection.outlook.com include:spf.sendinblue.com include:spf.mailjet.com include:mailgun.org -all"/>
    <s v="yes"/>
    <x v="1"/>
    <s v="v=DMARC1; p=quarantine; sp=none; rua=mailto:dmarc@nmbi.ie!10m,mailto:dmarc@nmbi.ie; ruf=mailto:dmarc@nmbi.ie!10m; rf=afrf; pct=100; ri=86400;"/>
    <m/>
    <m/>
    <x v="0"/>
    <x v="0"/>
    <x v="0"/>
  </r>
  <r>
    <s v="ifa.ie"/>
    <s v="tilde"/>
    <x v="1"/>
    <s v="v=spf1 mx ip4:81.17.244.62 ip4:78.137.160.212 include:spf.mandrillapp.com include:spf.protection.outlook.com ~all"/>
    <s v="yes"/>
    <x v="2"/>
    <s v="v=DMARC1; p=none;"/>
    <m/>
    <m/>
    <x v="0"/>
    <x v="0"/>
    <x v="0"/>
  </r>
  <r>
    <s v="mtas.ie"/>
    <s v="minus"/>
    <x v="0"/>
    <s v="v=spf1 include:spf.protection.outlook.com -all"/>
    <m/>
    <x v="0"/>
    <m/>
    <m/>
    <m/>
    <x v="1"/>
    <x v="0"/>
    <x v="0"/>
  </r>
  <r>
    <s v="irishjobs.ie"/>
    <s v="minus"/>
    <x v="0"/>
    <s v="v=spf1 include:stepstone.com include:mcxplatform.de a:dc3.bigmachines.com ip4:18.196.229.239 ip4:3.121.95.49 ip4:208.73.7.175 include:_spf.salesforce.com -all"/>
    <m/>
    <x v="2"/>
    <s v="v=DMARC1; p=none; rua=mailto:e3805f1a6f24587@rep.dmarcanalyzer.com; ruf=mailto:e3805f1a6f24587@for.dmarcanalyzer.com; fo=1"/>
    <m/>
    <m/>
    <x v="0"/>
    <x v="0"/>
    <x v="0"/>
  </r>
  <r>
    <s v="priorityplacements.ie"/>
    <s v="minus"/>
    <x v="0"/>
    <s v="v=spf1 include:spf.protection.outlook.com include:eu.mailgun.org -all"/>
    <m/>
    <x v="0"/>
    <m/>
    <m/>
    <m/>
    <x v="0"/>
    <x v="0"/>
    <x v="0"/>
  </r>
  <r>
    <s v="servisource.ie"/>
    <s v="tilde"/>
    <x v="1"/>
    <s v="v=spf1 include:spf.protection.outlook.com include:sendgrid.net ip4:212.54.130.143 include:servers.mcsv.net include:_spf.salesforce.com include:_spf.123formbuilder.com include:_spf.arlo.co ~all"/>
    <s v="yes"/>
    <x v="2"/>
    <s v="v=DMARC1; p=none; rua=mailto:dmarc_agg@vali.email"/>
    <m/>
    <m/>
    <x v="2"/>
    <x v="0"/>
    <x v="0"/>
  </r>
  <r>
    <s v="wrightcover.ie"/>
    <s v="minus"/>
    <x v="0"/>
    <s v="v=spf1 include:_netblocks.mimecast.com ip4:77.107.241.132 a:mailanyone.net a:remote.wrightcover.ie include:spf.protection.outlook.com include:spf.mailjet.com -all"/>
    <s v="yes"/>
    <x v="2"/>
    <s v="v=DMARC1; p=none; rua=mailto:dmarc_agg@vali.email; ruf=mailto:dmarc.forensics@wrightcover.ie; sp=none; fo=1"/>
    <m/>
    <m/>
    <x v="3"/>
    <x v="0"/>
    <x v="0"/>
  </r>
  <r>
    <s v="fotawildlife.ie"/>
    <s v="minus"/>
    <x v="0"/>
    <s v="v=spf1 mx a include:spf.protection.outlook.com include:spf.antispamcloud.com include:spf.ess.de.barracudanetworks.com -all"/>
    <s v="yes"/>
    <x v="2"/>
    <s v="v=DMARC1; p=none; rua=mailto:rua@dmarc.brevo.com"/>
    <m/>
    <m/>
    <x v="1"/>
    <x v="0"/>
    <x v="0"/>
  </r>
  <r>
    <s v="fltc.ie"/>
    <s v="tilde"/>
    <x v="1"/>
    <s v="v=spf1 a mx ip4:89.101.237.110 ip4:213.94.221.65 ip4:205.201.133.57 ip4:213.94.221.67 ip4:52.178.140.205 ip4:31.193.1.160 ip4:31.193.1.161 include:servers.mcsv.net include:spf.protection.outlook.com  ~all"/>
    <s v="yes"/>
    <x v="1"/>
    <s v="v=DMARC1; p=quarantine;"/>
    <m/>
    <m/>
    <x v="0"/>
    <x v="0"/>
    <x v="0"/>
  </r>
  <r>
    <s v="hyc.ie"/>
    <s v="minus"/>
    <x v="0"/>
    <s v="v=spf1 include:spf.protection.outlook.com include:servers.mcsv.net include:e2ma.net ip4:95.83.247.217 -all"/>
    <s v="yes"/>
    <x v="2"/>
    <s v="v=DMARC1; p=none; rua=mailto:gary@hyc.ie;"/>
    <m/>
    <m/>
    <x v="0"/>
    <x v="0"/>
    <x v="0"/>
  </r>
  <r>
    <s v="luttrellstowncastleresort.com"/>
    <s v="no"/>
    <x v="2"/>
    <m/>
    <m/>
    <x v="0"/>
    <m/>
    <m/>
    <m/>
    <x v="0"/>
    <x v="0"/>
    <x v="0"/>
  </r>
  <r>
    <s v="claremorristennisclub.com"/>
    <s v="minus"/>
    <x v="0"/>
    <s v="v=spf1 -all"/>
    <m/>
    <x v="0"/>
    <m/>
    <m/>
    <m/>
    <x v="4"/>
    <x v="0"/>
    <x v="0"/>
  </r>
  <r>
    <s v="fmi.ie"/>
    <s v="minus"/>
    <x v="0"/>
    <s v="v=spf1 include:spf.protection.outlook.com a:spf.psi-fusion.com -all"/>
    <s v="yes"/>
    <x v="3"/>
    <s v="v=DMARC1; p=reject; pct=100; adkim=s; aspf=s; sp=reject; fo=1; rf=afrf; ri=86400; rua=mailto:dmarc@fmi.ie; ruf=mailto:dmarc@fmi.ie;"/>
    <m/>
    <m/>
    <x v="0"/>
    <x v="0"/>
    <x v="0"/>
  </r>
  <r>
    <s v="jwt.com"/>
    <s v="tilde"/>
    <x v="1"/>
    <s v="v=spf1 ip4:204.10.135.8 ip4:137.117.86.137 include:spfx.jwt.com include:spf.protection.outlook.com include:amazonses.com include:_spf.emailcampaigns.net include:servers.mcsv.net ~all"/>
    <s v="yes"/>
    <x v="3"/>
    <s v="v=DMARC1; p=reject; pct=100; fo=1; adkim=r; aspf=r; rua=mailto:dmarc_rua@emaildefense.proofpoint.com,mailto:dmarmsgs@jwt.com; ruf=mailto:dmarc_ruf@emaildefense.proofpoint.com"/>
    <m/>
    <m/>
    <x v="0"/>
    <x v="0"/>
    <x v="0"/>
  </r>
  <r>
    <s v="pkf.ie"/>
    <s v="minus"/>
    <x v="0"/>
    <s v="v=spf1 include:spf.protection.outlook.com include:eu.zeptomail.net include:45303191.spf08.hubspotemail.net include:spf.exclaimer.net include:spf.smtp2go.com include:spf.turbo-smtp.com include:spf.clikitmedia.com include:usermail.zohocreator.eu include:eu.&quot; &quot;zcsend.net -all"/>
    <m/>
    <x v="0"/>
    <m/>
    <m/>
    <m/>
    <x v="0"/>
    <x v="0"/>
    <x v="0"/>
  </r>
  <r>
    <s v="theflyingenterprise.com"/>
    <s v="minus"/>
    <x v="0"/>
    <s v="v=spf1 include:spf.protection.outlook.com -all"/>
    <m/>
    <x v="0"/>
    <m/>
    <m/>
    <m/>
    <x v="1"/>
    <x v="0"/>
    <x v="0"/>
  </r>
  <r>
    <s v="brazenhead.com"/>
    <s v="minus"/>
    <x v="0"/>
    <s v="v=spf1 include:spf.protection.outlook.com -all"/>
    <s v="yes"/>
    <x v="0"/>
    <m/>
    <m/>
    <m/>
    <x v="0"/>
    <x v="0"/>
    <x v="0"/>
  </r>
  <r>
    <s v="halfwayhousedublin.com"/>
    <s v="minus"/>
    <x v="0"/>
    <s v="v=spf1 include:spf.protection.outlook.com -all"/>
    <m/>
    <x v="0"/>
    <m/>
    <m/>
    <m/>
    <x v="0"/>
    <x v="0"/>
    <x v="0"/>
  </r>
  <r>
    <s v="oneillspubdublin.com"/>
    <s v="tilde"/>
    <x v="1"/>
    <s v="v=spf1 a include:spf.blacknight.ie  ~all"/>
    <m/>
    <x v="0"/>
    <m/>
    <m/>
    <m/>
    <x v="0"/>
    <x v="0"/>
    <x v="0"/>
  </r>
  <r>
    <s v="bobbybyrnes.ie"/>
    <s v="minus"/>
    <x v="0"/>
    <s v="v=spf1 include:spf.protection.outlook.com  -all"/>
    <m/>
    <x v="0"/>
    <m/>
    <m/>
    <m/>
    <x v="5"/>
    <x v="0"/>
    <x v="0"/>
  </r>
  <r>
    <s v="brubakers.ie"/>
    <s v="no"/>
    <x v="2"/>
    <m/>
    <m/>
    <x v="0"/>
    <m/>
    <m/>
    <m/>
    <x v="2"/>
    <x v="0"/>
    <x v="0"/>
  </r>
  <r>
    <s v="barsquare.ie"/>
    <s v="no"/>
    <x v="2"/>
    <m/>
    <m/>
    <x v="0"/>
    <m/>
    <m/>
    <m/>
    <x v="4"/>
    <x v="0"/>
    <x v="0"/>
  </r>
  <r>
    <s v="carzone.ie"/>
    <s v="minus"/>
    <x v="0"/>
    <s v="v=spf1 include:spf.protection.outlook.com include:eu._netblocks.mimecast.com include:_spf.salesforce.com ip4:185.43.125.61 -all"/>
    <m/>
    <x v="3"/>
    <s v="v=DMARC1; p=reject; fo=1; rua=mailto:dmarc_agg@auth.returnpath.net; ruf=mailto:dmarc_afrf@auth.returnpath.net"/>
    <m/>
    <m/>
    <x v="0"/>
    <x v="0"/>
    <x v="0"/>
  </r>
  <r>
    <s v="edco.ie"/>
    <s v="minus"/>
    <x v="0"/>
    <s v="v=spf1 include:spf.edco.ie -all"/>
    <s v="yes"/>
    <x v="3"/>
    <s v="v=DMARC1; p=reject; rua=mailto:d2457e076b15997@rep.dmarcanalyzer.com; ruf=mailto:d2457e076b15997@for.dmarcanalyzer.com; fo=1;"/>
    <m/>
    <m/>
    <x v="0"/>
    <x v="0"/>
    <x v="0"/>
  </r>
  <r>
    <s v="mooneyboats.ie"/>
    <s v="minus"/>
    <x v="0"/>
    <s v="v=spf1 a:dispatch-eu.ppe-hosted.com include:spf.protection.outlook.com include:amazonses.com -all include:mailgun.org ~all"/>
    <s v="yes"/>
    <x v="3"/>
    <s v="v=DMARC1; p=reject; sp=reject; adkim=s; aspf=s; fo=1; pct=50; rua=mailto:dmarcreports@mooneyboats.ie; ruf=mailto:dmarcreports@mooneyboats.ie"/>
    <m/>
    <m/>
    <x v="6"/>
    <x v="0"/>
    <x v="0"/>
  </r>
  <r>
    <s v="globalshares.com"/>
    <s v="tilde"/>
    <x v="1"/>
    <s v="v=spf1 include:spf.protection.outlook.com include:email.chargebee.com include:_spf.createsend.com include:_spf.salesforce.com ~all"/>
    <s v="yes"/>
    <x v="3"/>
    <s v="v=DMARC1; p=reject; sp=reject; fo=1; ri=3600; rua=mailto:sec_dmarc@globalshares.com; ruf=mailto:sec_dmarc@globalshares.com"/>
    <m/>
    <m/>
    <x v="1"/>
    <x v="0"/>
    <x v="0"/>
  </r>
  <r>
    <s v="qpark.ie"/>
    <s v="no"/>
    <x v="2"/>
    <m/>
    <m/>
    <x v="0"/>
    <m/>
    <m/>
    <m/>
    <x v="0"/>
    <x v="0"/>
    <x v="0"/>
  </r>
  <r>
    <s v="rpcredit.ie"/>
    <s v="minus"/>
    <x v="0"/>
    <s v="v=spf1 include:spf.protection.outlook.com -all"/>
    <m/>
    <x v="0"/>
    <m/>
    <m/>
    <m/>
    <x v="0"/>
    <x v="0"/>
    <x v="0"/>
  </r>
  <r>
    <s v="marygearychildcare.ie"/>
    <s v="minus"/>
    <x v="0"/>
    <s v="v=spf1 include:spf.protection.outlook.com include:wpdatacenter.com -all"/>
    <m/>
    <x v="0"/>
    <m/>
    <m/>
    <m/>
    <x v="1"/>
    <x v="0"/>
    <x v="0"/>
  </r>
  <r>
    <s v="walshwaste.com"/>
    <s v="minus"/>
    <x v="0"/>
    <s v="v=spf1 include:spf.protection.outlook.com include:spf.topsec.com include:shops.shopify.com include:_spf.elasticemail.com ip4:3.251.232.128 ip4:13.38.202.32 ip4:83.70.177.131 -all"/>
    <s v="yes"/>
    <x v="1"/>
    <s v="v=DMARC1; p=quarantine; pct=100; rua=mailto:dmarc@zenotec.ie; ruf=mailto:dmarc@zenotec.ie; fo=1"/>
    <m/>
    <m/>
    <x v="7"/>
    <x v="0"/>
    <x v="0"/>
  </r>
  <r>
    <s v="stericyclegxpsystems.com"/>
    <s v="no"/>
    <x v="2"/>
    <m/>
    <m/>
    <x v="0"/>
    <m/>
    <m/>
    <m/>
    <x v="1"/>
    <x v="0"/>
    <x v="0"/>
  </r>
  <r>
    <s v="cumnor.ie"/>
    <s v="minus"/>
    <x v="0"/>
    <s v="v=spf1 ip4:93.95.81.142 include:spf.protection.outlook.com -all"/>
    <s v="yes"/>
    <x v="0"/>
    <m/>
    <m/>
    <m/>
    <x v="1"/>
    <x v="0"/>
    <x v="0"/>
  </r>
  <r>
    <s v="mcgintyoshea.ie"/>
    <s v="tilde"/>
    <x v="1"/>
    <s v="v=spf1 ip4:93.95.85.34 include:spf.protection.outlook.com ~all"/>
    <s v="yes"/>
    <x v="2"/>
    <s v="v=DMARC1; p=none; rua=mailto:dmarcreports@mcgintyoshea.ie;"/>
    <m/>
    <m/>
    <x v="1"/>
    <x v="0"/>
    <x v="0"/>
  </r>
  <r>
    <s v="csea.ie"/>
    <s v="tilde"/>
    <x v="1"/>
    <s v="v=spf1 a mx ip4:89.101.148.249/29 include:csea.ie include:spf.protection.outlook.com include:spf.eu.exclaimer.net include:spf.messagelabs.com ~all"/>
    <s v="yes"/>
    <x v="2"/>
    <s v="v=DMARC1; p=none; rua=mailto:postmaster@csea.ie; ruf=mailto:postmaster@csea.ie; fo=1"/>
    <m/>
    <m/>
    <x v="0"/>
    <x v="0"/>
    <x v="0"/>
  </r>
  <r>
    <s v="garlandconsultancy.com"/>
    <s v="minus"/>
    <x v="0"/>
    <s v="v=spf1 include:spf.protection.outlook.com include:arctechpro.com include:_spf.createsend.com -all"/>
    <m/>
    <x v="2"/>
    <s v="v=DMARC1; p=none; rua=mailto:info@garlandconsultancy.com"/>
    <m/>
    <m/>
    <x v="0"/>
    <x v="0"/>
    <x v="0"/>
  </r>
  <r>
    <s v="colas.ie"/>
    <s v="minus"/>
    <x v="0"/>
    <s v="v=spf1 include:spf1.speig.fr include:spf2.speig.fr include:spf3.speig.fr include:spf4.speig.fr -all"/>
    <m/>
    <x v="0"/>
    <m/>
    <m/>
    <m/>
    <x v="7"/>
    <x v="0"/>
    <x v="0"/>
  </r>
  <r>
    <s v="jodireland.com"/>
    <s v="tilde"/>
    <x v="1"/>
    <s v="v=spf1 include:_spf.google.com include:_8bebbd256f3eaddbc783e2d96955ced6.spf.dnssmarthost.net ~all"/>
    <s v="yes"/>
    <x v="2"/>
    <s v="v=DMARC1; p=none;"/>
    <m/>
    <m/>
    <x v="8"/>
    <x v="0"/>
    <x v="0"/>
  </r>
  <r>
    <s v="keatingconstruction.ie"/>
    <s v="tilde"/>
    <x v="1"/>
    <s v="v=spf1 ip4:185.43.232.206 include:spf.antispamcloud.com ip4:78.137.164.82 a mx ~all"/>
    <s v="yes"/>
    <x v="0"/>
    <m/>
    <m/>
    <m/>
    <x v="9"/>
    <x v="0"/>
    <x v="0"/>
  </r>
  <r>
    <s v="bannon.ie"/>
    <s v="tilde"/>
    <x v="1"/>
    <s v="v=spf1 include:_netblocks.mimecast.com include:cmail1.com include:_spf.createsend.com include:asp-spf1.yardi.com include:asp-spf2.yardi.com ~all"/>
    <m/>
    <x v="2"/>
    <s v="v=DMARC1; p=none; rua=mailto:7e410ab55013444@rep.dmarcanalyzer.com; ruf=mailto:7e410ab55013444@for.dmarcanalyzer.com; fo=1;"/>
    <m/>
    <m/>
    <x v="0"/>
    <x v="0"/>
    <x v="0"/>
  </r>
  <r>
    <s v="colliers.com"/>
    <s v="tilde"/>
    <x v="1"/>
    <s v="v=spf1 include:%{ir}.%{v}.%{d}.spf.has.pphosted.com ~all"/>
    <s v="yes"/>
    <x v="3"/>
    <s v="v=DMARC1; p=reject; fo=1; rua=mailto:dmarc_rua@emaildefense.proofpoint.com; ruf=mailto:dmarc_ruf@emaildefense.proofpoint.com;"/>
    <m/>
    <m/>
    <x v="0"/>
    <x v="0"/>
    <x v="0"/>
  </r>
  <r>
    <s v="conneelybuilders.ie"/>
    <s v="minus"/>
    <x v="0"/>
    <s v="v=spf1 include:spf.protection.outlook.com -all"/>
    <m/>
    <x v="0"/>
    <m/>
    <m/>
    <m/>
    <x v="7"/>
    <x v="0"/>
    <x v="0"/>
  </r>
  <r>
    <s v="gaietyschool.com"/>
    <s v="tilde"/>
    <x v="1"/>
    <s v="v=spf1 +a +mx +a:it36.siteground.eu  include:gaietyschool.com.spf.auto.dnssmarthost.net ~all"/>
    <s v="yes"/>
    <x v="2"/>
    <s v="v=DMARC1; p=none; aspf=r; adkim=r;"/>
    <m/>
    <m/>
    <x v="0"/>
    <x v="0"/>
    <x v="0"/>
  </r>
  <r>
    <s v="afilias.info"/>
    <s v="tilde"/>
    <x v="1"/>
    <s v="v=spf1 include:pw7or2j8w4.powerspf.com ~all"/>
    <s v="yes"/>
    <x v="2"/>
    <s v="v=DMARC1; p=none; rua=mailto:mb6wv3ayfl@rua.powerdmarc.com; ruf=mailto:mb6wv3ayfl@ruf.powerdmarc.com; fo=1;"/>
    <m/>
    <m/>
    <x v="0"/>
    <x v="0"/>
    <x v="0"/>
  </r>
  <r>
    <s v="magnetnetworks.com"/>
    <s v="tilde"/>
    <x v="1"/>
    <s v="v=spf1 ip4:82.33.246.106/32 ip4:85.91.0.0/21 ip4:212.17.32.0/26 ip4:34.249.234.126/32 include:spf.protection.outlook.com include:salesforce.com include:et._spf.pardot.com ~all"/>
    <m/>
    <x v="0"/>
    <m/>
    <m/>
    <m/>
    <x v="0"/>
    <x v="0"/>
    <x v="0"/>
  </r>
  <r>
    <s v="mtld.mobi"/>
    <s v="no"/>
    <x v="2"/>
    <m/>
    <m/>
    <x v="0"/>
    <m/>
    <m/>
    <m/>
    <x v="0"/>
    <x v="0"/>
    <x v="0"/>
  </r>
  <r>
    <s v="websense.com"/>
    <s v="tilde"/>
    <x v="1"/>
    <s v="v=spf1 ip4:204.15.64.0/21 ip4:204.14.232.0/21 ip4:202.129.242.0/25 ip4:195.244.16.20/32 ip4:195.244.16.42/32 include:mailcontrol.com &quot; &quot; include:cust-spf.exacttarget.com include:spf.braintreegateway.com include:_bhcc.websense.com include:mktomail.com include:_spf.vsn.voltage.com include:_spf.salesforce.com ~all"/>
    <s v="yes"/>
    <x v="1"/>
    <s v="v=DMARC1;p=quarantine;pct=100;rua=mailto:dmarc-reports@websense.com;ruf=mailto:dmarc-failures@websense.com"/>
    <m/>
    <m/>
    <x v="0"/>
    <x v="0"/>
    <x v="0"/>
  </r>
  <r>
    <s v="sonru.com"/>
    <s v="no"/>
    <x v="2"/>
    <m/>
    <m/>
    <x v="0"/>
    <m/>
    <m/>
    <m/>
    <x v="3"/>
    <x v="0"/>
    <x v="0"/>
  </r>
  <r>
    <s v="tonykirwanplanthire.ie"/>
    <s v="minus"/>
    <x v="0"/>
    <s v="v=spf1 include:spf.protection.outlook.com include:spf1.emailsecurity.app -all"/>
    <s v="yes"/>
    <x v="2"/>
    <s v="v=DMARC1;p=none;sp=none;adkim=r;aspf=r;pct=100;fo=0;rf=afrf;ri=86400"/>
    <m/>
    <m/>
    <x v="10"/>
    <x v="0"/>
    <x v="0"/>
  </r>
  <r>
    <s v="parkwest.ie"/>
    <s v="minus"/>
    <x v="0"/>
    <s v="v=spf1 ip4:194.37.255.0/24 ip4:91.198.224.0/24  include:spf.protection.outlook.com include:outbound-smtp14.blacknight.com include:spf.topsec.com -all"/>
    <s v="yes"/>
    <x v="0"/>
    <m/>
    <m/>
    <m/>
    <x v="0"/>
    <x v="0"/>
    <x v="0"/>
  </r>
  <r>
    <s v="stauntons.ie"/>
    <s v="tilde"/>
    <x v="1"/>
    <s v="v=spf1 a mx a:vms1.getonline.ie ~all"/>
    <m/>
    <x v="2"/>
    <s v="v=DMARC1; p=none"/>
    <m/>
    <m/>
    <x v="4"/>
    <x v="0"/>
    <x v="0"/>
  </r>
  <r>
    <s v="smcc.ie"/>
    <s v="minus"/>
    <x v="0"/>
    <s v="v=spf1 include:mail.zendesk.com include:em4453.smcc.ie include:em8797.smcc.ie include:_spf.psm.knowbe4.com include:spf.protection.outlook.com include:spf.exclaimer.net include:spf-00779101.pphosted.com -all"/>
    <s v="yes"/>
    <x v="1"/>
    <s v="v=DMARC1; p=quarantine"/>
    <m/>
    <m/>
    <x v="3"/>
    <x v="0"/>
    <x v="0"/>
  </r>
  <r>
    <s v="donohoedrinks.com"/>
    <s v="minus"/>
    <x v="0"/>
    <s v="v=spf1  ip4:83.71.203.1 ip4:195.7.41.97  include:spf.protection.outlook.com -all"/>
    <s v="yes"/>
    <x v="1"/>
    <s v="v=DMARC1; p=quarantine; rua=mailto:it@donohoedrinks.com; sp=quarantine; aspf=r;"/>
    <m/>
    <m/>
    <x v="10"/>
    <x v="0"/>
    <x v="0"/>
  </r>
  <r>
    <s v="naturgy.ie"/>
    <s v="no"/>
    <x v="2"/>
    <m/>
    <m/>
    <x v="0"/>
    <m/>
    <m/>
    <m/>
    <x v="0"/>
    <x v="0"/>
    <x v="0"/>
  </r>
  <r>
    <s v="wfl.ie"/>
    <s v="minus"/>
    <x v="0"/>
    <s v="v=spf1 ip4:159.235.227.193 include:spf.protection.outlook.com -all"/>
    <s v="yes"/>
    <x v="3"/>
    <s v="v=DMARC1; p=reject; sp=none; fo=1; pct=100;"/>
    <m/>
    <m/>
    <x v="0"/>
    <x v="0"/>
    <x v="0"/>
  </r>
  <r>
    <s v="ctsgroup.ie"/>
    <s v="tilde"/>
    <x v="1"/>
    <s v="v=spf1 a:mail.ctsgroup.ie ip4:86.43.73.9 ip4:93.107.121.35 ip4:89.106.141.206 include:spf.topsec.com include:spf.protection.outlook.com include:spf1.emailsecurity.app ~all"/>
    <m/>
    <x v="1"/>
    <s v="v=DMARC1; p=quarantine; rua=mailto:5ca671dd@mxtoolbox.DMARC-report.com,mailto:5ca671dd@mxtoolbox.dmarc-report.com; ruf=mailto:5ca671dd@forensics.DMARC-report.com,mailto:5ca671dd@forensics.dmarc-report.com; fo=1"/>
    <m/>
    <m/>
    <x v="10"/>
    <x v="0"/>
    <x v="0"/>
  </r>
  <r>
    <s v="pqe.ie"/>
    <s v="minus"/>
    <x v="0"/>
    <s v="v=spf1 include:spf.protection.outlook.com -all"/>
    <m/>
    <x v="1"/>
    <s v="v=DMARC1; p=quarantine "/>
    <m/>
    <m/>
    <x v="11"/>
    <x v="0"/>
    <x v="0"/>
  </r>
  <r>
    <s v="fehilytimoney.ie"/>
    <s v="no"/>
    <x v="2"/>
    <m/>
    <m/>
    <x v="0"/>
    <m/>
    <m/>
    <m/>
    <x v="1"/>
    <x v="0"/>
    <x v="0"/>
  </r>
  <r>
    <s v="ocsireland.com"/>
    <s v="tilde"/>
    <x v="1"/>
    <s v="v=spf1 include:spf.protection.outlook.com include:_spf.salesforce.com ~all"/>
    <s v="yes"/>
    <x v="1"/>
    <s v="v=DMARC1; p=quarantine; pct=100; rua=mailto:cee87cbe@in.mailhardener.com"/>
    <m/>
    <m/>
    <x v="1"/>
    <x v="0"/>
    <x v="0"/>
  </r>
  <r>
    <s v="bmce.ie"/>
    <s v="tilde"/>
    <x v="1"/>
    <s v="v=spf1 ip4:89.101.125.242 include:spf.protection.outlook.com include:spf.mtaroutes.com ip4:78.153.218.39 ip6:2a01:a8:dc3:323:0:0:0:228 ~all"/>
    <m/>
    <x v="2"/>
    <s v="v=DMARC1; p=none; pct=100; fo=1; ri=3600; ruf=mailto:admin@bmce.ie;"/>
    <m/>
    <m/>
    <x v="0"/>
    <x v="0"/>
    <x v="0"/>
  </r>
  <r>
    <s v="instantupright.com"/>
    <s v="tilde"/>
    <x v="1"/>
    <s v="v=spf1 ip4:89.33.236.40 ip4:217.156.86.170 +a +mx +ip4:157.90.207.158 +ip4:148.251.17.126 +ip4:89.46.6.12 +ip4:31.14.12.93 +ip4:188.34.132.206 +include:spf.protection.outlook.com ~all"/>
    <s v="yes"/>
    <x v="2"/>
    <s v="v=DMARC1; p=none; rua=mailto:rua@dmarc.brevo.com"/>
    <m/>
    <m/>
    <x v="0"/>
    <x v="0"/>
    <x v="0"/>
  </r>
  <r>
    <s v="wme.ie"/>
    <s v="minus"/>
    <x v="0"/>
    <s v="v=spf1 ip4:88.81.127.118 a:spamtitan.aniar.ie include:spf.protection.outlook.com -all"/>
    <m/>
    <x v="0"/>
    <m/>
    <m/>
    <m/>
    <x v="4"/>
    <x v="0"/>
    <x v="0"/>
  </r>
  <r>
    <s v="mds-int.net"/>
    <s v="no"/>
    <x v="2"/>
    <m/>
    <m/>
    <x v="0"/>
    <m/>
    <m/>
    <m/>
    <x v="12"/>
    <x v="0"/>
    <x v="0"/>
  </r>
  <r>
    <s v="sepam.com"/>
    <s v="minus"/>
    <x v="0"/>
    <s v="v=spf1 include:spf.protection.outlook.com include:_spf.bullhornmail.com -all"/>
    <s v="yes"/>
    <x v="2"/>
    <s v="v=DMARC1;p=none;pct=100;rua=mailto:itadmin@sepam.com;ruf=mailto:itadmin@sepam.com;ri=86400;aspf=r;adkim=r;fo=1"/>
    <m/>
    <m/>
    <x v="13"/>
    <x v="0"/>
    <x v="0"/>
  </r>
  <r>
    <s v="tullowoil.com"/>
    <s v="minus"/>
    <x v="0"/>
    <s v="v=spf1 ip4:146.177.56.171 include:spf.protection.outlook.com include:_spf.psm.knowbe4.com a:b.spf.service-now.com a:c.spf.service-now.com a:d.spf.service-now.com -all"/>
    <s v="yes"/>
    <x v="3"/>
    <s v="v=DMARC1; p=reject; rua=mailto:l5cepqur@ag.eu.dmarcadvisor.com; ruf=mailto:dmarcforensics@tullowoil.com;"/>
    <m/>
    <m/>
    <x v="0"/>
    <x v="0"/>
    <x v="0"/>
  </r>
  <r>
    <s v="astonswealth.ie"/>
    <s v="no"/>
    <x v="2"/>
    <m/>
    <m/>
    <x v="0"/>
    <m/>
    <m/>
    <m/>
    <x v="0"/>
    <x v="0"/>
    <x v="0"/>
  </r>
  <r>
    <s v="duffandphelps.com"/>
    <s v="minus"/>
    <x v="0"/>
    <s v="v=spf1 ip4:148.163.138.138 ip4:148.163.134.147 include:usb._netblocks.mimecast.com include:sharepointonline.com include:mail.zendesk.com -all"/>
    <m/>
    <x v="3"/>
    <s v="v=DMARC1; p=reject; fo=1; rua=mailto:61d8746384f3986@rep.dmarcanalyzer.com; ruf=mailto:61d8746384f3986@for.dmarcanalyzer.com"/>
    <m/>
    <m/>
    <x v="0"/>
    <x v="0"/>
    <x v="0"/>
  </r>
  <r>
    <s v="firstderivatives.com"/>
    <s v="tilde"/>
    <x v="1"/>
    <s v="v=spf1 ip4:80.169.143.229 ip4:203.169.11.2 ip4:208.100.16.170 ip4:70.42.76.5 ip4:147.154.189.0/24 include:spf.protection.outlook.com include:aspmx.pardot.com include:_spf.google.com include:spf_c.oraclecloud.com ~all"/>
    <s v="yes"/>
    <x v="2"/>
    <s v="v=DMARC1; p=none; pct=100; fo=1; ri=3600; rua=mailto:8d431987@inbox.ondmarc.com; ruf=mailto:8d431987@inbox.ondmarc.com; "/>
    <m/>
    <m/>
    <x v="0"/>
    <x v="0"/>
    <x v="0"/>
  </r>
  <r>
    <s v="genevatrading.com"/>
    <s v="minus"/>
    <x v="0"/>
    <s v="v=spf1 include:spf.protection.outlook.com include:spf-002ca501.pphosted.com ip4:38.32.97.155/32 ip4:184.105.249.139/32 -all"/>
    <s v="yes"/>
    <x v="3"/>
    <s v="v=DMARC1;p=reject;pct=100;rua=mailto:6d73ab12dd@rua.easydmarc.us;ruf=mailto:6d73ab12dd@ruf.easydmarc.us;ri=86400;fo=1;"/>
    <m/>
    <m/>
    <x v="0"/>
    <x v="0"/>
    <x v="0"/>
  </r>
  <r>
    <s v="oranmorelodgehotel.ie"/>
    <s v="tilde"/>
    <x v="1"/>
    <s v="v=spf1 ip4:185.43.232.196 ip4:78.137.164.92 ip4:78.137.164.122 +a +mx +include:relay.mailchannels.net ~all"/>
    <s v="yes"/>
    <x v="0"/>
    <m/>
    <m/>
    <m/>
    <x v="7"/>
    <x v="0"/>
    <x v="0"/>
  </r>
  <r>
    <s v="aquadome.ie"/>
    <s v="tilde"/>
    <x v="1"/>
    <s v="v=spf1 +a +mx include:aquadome.ie.spf.auto.dnssmarthost.net ~all"/>
    <s v="yes"/>
    <x v="2"/>
    <s v="v=DMARC1; p=none; aspf=r; adkim=r;"/>
    <m/>
    <m/>
    <x v="14"/>
    <x v="0"/>
    <x v="0"/>
  </r>
  <r>
    <s v="auraleisure.ie"/>
    <s v="tilde"/>
    <x v="1"/>
    <s v="v=spf1 include:spf.reg365.net include:_spf.elasticemail.com ~all"/>
    <m/>
    <x v="2"/>
    <s v="v=DMARC1;p=none;"/>
    <m/>
    <m/>
    <x v="15"/>
    <x v="0"/>
    <x v="0"/>
  </r>
  <r>
    <s v="whitford.ie"/>
    <s v="minus"/>
    <x v="0"/>
    <s v="v=spf1 ip4:190.180.144.248 ip4:91.136.49.205 ip4:86.41.245.112 include:spf.protection.outlook.com include:netaffinity.net -all"/>
    <s v="yes"/>
    <x v="0"/>
    <m/>
    <m/>
    <m/>
    <x v="3"/>
    <x v="0"/>
    <x v="0"/>
  </r>
  <r>
    <s v="connectgroup.ie"/>
    <s v="tilde"/>
    <x v="1"/>
    <s v="v=spf1 ip4:190.180.145.98 ip4:190.180.145.25 a mx include:relay.mailchannels.net ~all"/>
    <s v="yes"/>
    <x v="1"/>
    <s v="v=DMARC1;p=quarantine;pct=100"/>
    <m/>
    <m/>
    <x v="0"/>
    <x v="0"/>
    <x v="0"/>
  </r>
  <r>
    <s v="alltrans.ie"/>
    <s v="minus"/>
    <x v="0"/>
    <s v="v=spf1 ip4:185.108.130.131 +a +mx +ip4:78.31.104.234 include:8338112.spf03.hubspotemail.net include:spf.protection.outlook.com include:spf.eu.signature365.net -all"/>
    <s v="yes"/>
    <x v="2"/>
    <s v="v=DMARC1; p=none; fo=1; rua=mailto:rua+alltrans.ie@dmarc.barracudanetworks.com; ruf=mailto:ruf+alltrans.ie@dmarc.barracudanetworks.com"/>
    <m/>
    <m/>
    <x v="0"/>
    <x v="0"/>
    <x v="0"/>
  </r>
  <r>
    <s v="harbourinternationalfreight.com"/>
    <s v="no"/>
    <x v="2"/>
    <m/>
    <m/>
    <x v="0"/>
    <m/>
    <m/>
    <m/>
    <x v="0"/>
    <x v="0"/>
    <x v="0"/>
  </r>
  <r>
    <s v="superiorexpress.ie"/>
    <s v="minus"/>
    <x v="0"/>
    <s v="v=spf1 ip4:46.4.83.175 ip4:162.144.32.188 ip4:139.162.201.221 ip4:77.104.129.94 ip4:86.47.96.190 include:spf.protection.outlook.com -all"/>
    <s v="yes"/>
    <x v="4"/>
    <s v="v=DMARC1; p= quarantine; sp=none; fo=1; pct=100;"/>
    <m/>
    <m/>
    <x v="0"/>
    <x v="0"/>
    <x v="0"/>
  </r>
  <r>
    <s v="cosgravetransport.com"/>
    <s v="minus"/>
    <x v="0"/>
    <s v="v=spf1 a mx include:spf.elive.net include:spf.protection.outlook.com -all"/>
    <s v="yes"/>
    <x v="2"/>
    <s v="v=DMARC1; p=none; rua=mailto:support@paqit.com;"/>
    <m/>
    <m/>
    <x v="5"/>
    <x v="0"/>
    <x v="0"/>
  </r>
  <r>
    <s v="cmdltd.ie"/>
    <s v="minus"/>
    <x v="0"/>
    <s v="v=spf1 include:spf.protection.outlook.com include:spf1.cmdltd.metakeeper.com include:_spf.elasticemail.com -all"/>
    <m/>
    <x v="2"/>
    <s v="v=DMARC1;p=none;"/>
    <m/>
    <m/>
    <x v="4"/>
    <x v="0"/>
    <x v="0"/>
  </r>
  <r>
    <s v="wrightsofmarino.com"/>
    <s v="minus"/>
    <x v="0"/>
    <s v="v=spf1 include:spf.protection.outlook.com -all"/>
    <m/>
    <x v="0"/>
    <m/>
    <m/>
    <m/>
    <x v="0"/>
    <x v="0"/>
    <x v="0"/>
  </r>
  <r>
    <s v="cuhcpc.ie"/>
    <s v="tilde"/>
    <x v="1"/>
    <s v="v=spf1 include:spf.hornetsecurity.com ip4:82.141.252.58 ~all"/>
    <m/>
    <x v="0"/>
    <m/>
    <m/>
    <m/>
    <x v="1"/>
    <x v="0"/>
    <x v="0"/>
  </r>
  <r>
    <s v="corkfertilitycentre.com"/>
    <s v="minus"/>
    <x v="0"/>
    <s v="v=spf1 +a +mx  include:spf.protection.outlook.com ip4:89.101.214.6 ip4:89.100.116.153 -all"/>
    <s v="yes"/>
    <x v="0"/>
    <m/>
    <m/>
    <m/>
    <x v="1"/>
    <x v="0"/>
    <x v="0"/>
  </r>
  <r>
    <s v="stjamesprivateclinic.com"/>
    <s v="no"/>
    <x v="2"/>
    <m/>
    <m/>
    <x v="0"/>
    <m/>
    <m/>
    <m/>
    <x v="0"/>
    <x v="0"/>
    <x v="0"/>
  </r>
  <r>
    <s v="aiseiri.ie"/>
    <s v="tilde"/>
    <x v="1"/>
    <s v="v=spf1 include:spf.protection.outlook.com include:spf.ess.de.barracudanetworks.com ~all"/>
    <s v="yes"/>
    <x v="1"/>
    <s v="v=DMARC1; p=quarantine; rua=mailto:dmarc-reports@aiseiri.ie; ruf=mailto:dmarc-failures@aiseiri.ie; sp=none; aspf=r;"/>
    <m/>
    <m/>
    <x v="13"/>
    <x v="0"/>
    <x v="0"/>
  </r>
  <r>
    <s v="thekeoghpractice.ie"/>
    <s v="no"/>
    <x v="2"/>
    <m/>
    <m/>
    <x v="0"/>
    <m/>
    <m/>
    <m/>
    <x v="10"/>
    <x v="0"/>
    <x v="0"/>
  </r>
  <r>
    <s v="partnershipcork.ie"/>
    <s v="tilde"/>
    <x v="1"/>
    <s v="v=spf1 mx a ip4:194.125.128.221 ip4:77.107.206.59 include:_spf.snwlhostedeu.com include:spf.protection.outlook.com ~all"/>
    <m/>
    <x v="0"/>
    <m/>
    <m/>
    <m/>
    <x v="1"/>
    <x v="0"/>
    <x v="0"/>
  </r>
  <r>
    <s v="dldc.org"/>
    <s v="minus"/>
    <x v="0"/>
    <s v="v=spf1 include:spf.protection.outlook.com -all"/>
    <m/>
    <x v="0"/>
    <m/>
    <m/>
    <m/>
    <x v="6"/>
    <x v="0"/>
    <x v="0"/>
  </r>
  <r>
    <s v="dbei.gov.ie"/>
    <s v="minus"/>
    <x v="0"/>
    <s v="v=spf1 -all"/>
    <m/>
    <x v="3"/>
    <s v="v=DMARC1; p=reject; pct=100; fo=1; ri=3600; rua=mailto:bfa65a29@inbox.ondmarc.com; ruf=mailto:bfa65a29@inbox.ondmarc.com;"/>
    <m/>
    <m/>
    <x v="0"/>
    <x v="0"/>
    <x v="0"/>
  </r>
  <r>
    <s v="doras.org"/>
    <s v="tilde"/>
    <x v="1"/>
    <s v="v=spf1 a mx include:_spf.mlsend.com include:spf.protection.outlook.com ~all"/>
    <s v="yes"/>
    <x v="1"/>
    <s v="v=DMARC1; p=quarantine; sp=quarantine"/>
    <m/>
    <m/>
    <x v="5"/>
    <x v="0"/>
    <x v="0"/>
  </r>
  <r>
    <s v="southmayo.com"/>
    <s v="minus"/>
    <x v="0"/>
    <s v="v=spf1 include:spf.protection.outlook.com -all"/>
    <m/>
    <x v="0"/>
    <m/>
    <m/>
    <m/>
    <x v="4"/>
    <x v="0"/>
    <x v="0"/>
  </r>
  <r>
    <s v="breifnecollege.ie"/>
    <s v="minus"/>
    <x v="0"/>
    <s v="v=spf1 include:spf.protection.outlook.com include:spf.dcsnet.ie -all"/>
    <s v="yes"/>
    <x v="3"/>
    <s v="v=DMARC1; p=reject; rua=mailto:dmarcsupport@breifnecollege.ie"/>
    <m/>
    <m/>
    <x v="11"/>
    <x v="0"/>
    <x v="0"/>
  </r>
  <r>
    <s v="loretocavan.ie"/>
    <s v="minus"/>
    <x v="0"/>
    <s v="v=spf1 include:spf.protection.outlook.com include:loretocavan.ie.spf.auto.dnssmarthost.net -all"/>
    <s v="yes"/>
    <x v="2"/>
    <s v="v=DMARC1; p=none; aspf=r; adkim=r;"/>
    <m/>
    <m/>
    <x v="11"/>
    <x v="0"/>
    <x v="0"/>
  </r>
  <r>
    <s v="ashton.ie"/>
    <s v="minus"/>
    <x v="0"/>
    <s v="v=spf1 include:spf.protection.outlook.com include:spf.brevo.com -all"/>
    <m/>
    <x v="2"/>
    <s v="v=DMARC1; p=none; rua=mailto:rua@dmarc.brevo.com"/>
    <m/>
    <m/>
    <x v="1"/>
    <x v="0"/>
    <x v="0"/>
  </r>
  <r>
    <s v="bishopstowncs.ie"/>
    <s v="tilde"/>
    <x v="1"/>
    <s v="v=spf1 include:spf.reg365.net ~all"/>
    <m/>
    <x v="0"/>
    <m/>
    <m/>
    <m/>
    <x v="1"/>
    <x v="0"/>
    <x v="0"/>
  </r>
  <r>
    <s v="boherbuecs.com"/>
    <s v="minus"/>
    <x v="0"/>
    <s v="v=spf1 include:spf.protection.outlook.com -all"/>
    <m/>
    <x v="0"/>
    <m/>
    <m/>
    <m/>
    <x v="1"/>
    <x v="0"/>
    <x v="0"/>
  </r>
  <r>
    <s v="colaisteanphiarsaigh.ie"/>
    <s v="no"/>
    <x v="2"/>
    <m/>
    <m/>
    <x v="0"/>
    <m/>
    <m/>
    <m/>
    <x v="1"/>
    <x v="0"/>
    <x v="0"/>
  </r>
  <r>
    <s v="colaistetreasa.com"/>
    <s v="tilde"/>
    <x v="1"/>
    <s v="v=spf1 include:_spf.mail.hostinger.com ~all"/>
    <m/>
    <x v="0"/>
    <m/>
    <m/>
    <m/>
    <x v="1"/>
    <x v="0"/>
    <x v="0"/>
  </r>
  <r>
    <s v="loretofermoy.ie"/>
    <s v="minus"/>
    <x v="0"/>
    <s v="v=spf1 include:spf.protection.outlook.com -all"/>
    <m/>
    <x v="0"/>
    <m/>
    <m/>
    <m/>
    <x v="1"/>
    <x v="0"/>
    <x v="0"/>
  </r>
  <r>
    <s v="northpres.ie"/>
    <s v="no"/>
    <x v="2"/>
    <m/>
    <m/>
    <x v="0"/>
    <m/>
    <m/>
    <m/>
    <x v="1"/>
    <x v="0"/>
    <x v="0"/>
  </r>
  <r>
    <s v="deelecollege.ie"/>
    <s v="tilde"/>
    <x v="1"/>
    <s v="v=spf1 ip4:190.180.145.98 ip4:190.180.145.89 ip4:91.136.49.195 +a +mx +ip4:207.55.255.4 ~all"/>
    <s v="yes"/>
    <x v="0"/>
    <m/>
    <m/>
    <m/>
    <x v="6"/>
    <x v="0"/>
    <x v="0"/>
  </r>
  <r>
    <s v="ardscoilrisdublin.ie"/>
    <s v="tilde"/>
    <x v="1"/>
    <s v="v=spf1 a include:spf.blacknight.ie  ~all"/>
    <m/>
    <x v="0"/>
    <m/>
    <m/>
    <m/>
    <x v="0"/>
    <x v="0"/>
    <x v="0"/>
  </r>
  <r>
    <s v="assumptionwalkinstown.ie"/>
    <s v="no"/>
    <x v="2"/>
    <m/>
    <m/>
    <x v="0"/>
    <m/>
    <m/>
    <m/>
    <x v="0"/>
    <x v="0"/>
    <x v="0"/>
  </r>
  <r>
    <s v="blakestowncs.ie"/>
    <s v="tilde"/>
    <x v="1"/>
    <s v="v=spf1 include:_spf.google.com include:spf.protection.outlook.com include:servers.mcsv.net include:teamworkdesk.com ~all"/>
    <s v="yes"/>
    <x v="0"/>
    <m/>
    <m/>
    <m/>
    <x v="0"/>
    <x v="0"/>
    <x v="0"/>
  </r>
  <r>
    <s v="cbcmonkstown.ie"/>
    <s v="tilde"/>
    <x v="1"/>
    <s v="v=spf1 include:_spf.google.com ~all"/>
    <m/>
    <x v="0"/>
    <m/>
    <m/>
    <m/>
    <x v="0"/>
    <x v="0"/>
    <x v="0"/>
  </r>
  <r>
    <s v="clonkeencollege.ie"/>
    <s v="minus"/>
    <x v="0"/>
    <s v="v=spf1 +a +mx +ip4:185.224.198.57 +ip4:217.78.1.157 +include:spf.protection.outlook.com -all"/>
    <s v="yes"/>
    <x v="0"/>
    <m/>
    <m/>
    <m/>
    <x v="0"/>
    <x v="0"/>
    <x v="0"/>
  </r>
  <r>
    <s v="colaisteeanna.ie"/>
    <s v="minus"/>
    <x v="0"/>
    <s v="v=spf1 mx ip4:89.101.164.123 include:spf.protection.outlook.com -all"/>
    <s v="yes"/>
    <x v="0"/>
    <m/>
    <m/>
    <m/>
    <x v="0"/>
    <x v="0"/>
    <x v="0"/>
  </r>
  <r>
    <s v="holyfaithclontarf.com"/>
    <s v="minus"/>
    <x v="0"/>
    <s v="v=spf1 include:spf.protection.outlook.com -all"/>
    <m/>
    <x v="0"/>
    <m/>
    <m/>
    <m/>
    <x v="0"/>
    <x v="0"/>
    <x v="0"/>
  </r>
  <r>
    <s v="loretohighschool.com"/>
    <s v="mis"/>
    <x v="3"/>
    <s v="v=spf1 ip4:78.153.209.30 include:spf.protection.outlook.com include:spf.blacknight.ie -alll"/>
    <s v="yes"/>
    <x v="1"/>
    <s v="v=DMARC1;p=quarantine;sp=none;adkim=r;aspf=r;pct=100;rf=afrf;ri=86400"/>
    <m/>
    <m/>
    <x v="0"/>
    <x v="0"/>
    <x v="0"/>
  </r>
  <r>
    <s v="mountsackville.ie"/>
    <s v="tilde"/>
    <x v="1"/>
    <s v="v=spf1 +a +mx +ip4:78.31.107.104 +include:relay.mailchannels.net +ip4:109.200.26.186 +include:spf.protection.outlook.com exists:%{i}._spf.inkyphishfence.com ~all"/>
    <m/>
    <x v="0"/>
    <m/>
    <m/>
    <m/>
    <x v="0"/>
    <x v="0"/>
    <x v="0"/>
  </r>
  <r>
    <s v="oatlands.ie"/>
    <s v="no"/>
    <x v="2"/>
    <m/>
    <m/>
    <x v="0"/>
    <m/>
    <m/>
    <m/>
    <x v="0"/>
    <x v="0"/>
    <x v="0"/>
  </r>
  <r>
    <s v="stcolumbas.ie"/>
    <s v="tilde"/>
    <x v="1"/>
    <s v="v=spf1 a mx ip4:185.224.198.155 ip4:185.224.198.249 ip4:87.42.190.134 include:_spf.google.com include:_spf.createsend.com ~all"/>
    <s v="yes"/>
    <x v="2"/>
    <s v="v=DMARC1;p=none;sp=none;adkim=r;aspf=r;pct=100;fo=0;rf=afrf;ri=86400"/>
    <m/>
    <m/>
    <x v="0"/>
    <x v="0"/>
    <x v="0"/>
  </r>
  <r>
    <s v="stfintanshs.ie"/>
    <s v="no"/>
    <x v="2"/>
    <m/>
    <m/>
    <x v="0"/>
    <m/>
    <m/>
    <m/>
    <x v="0"/>
    <x v="0"/>
    <x v="0"/>
  </r>
  <r>
    <s v="stjosephsrush.ie"/>
    <s v="tilde"/>
    <x v="1"/>
    <s v="v=spf1 a mx ptr ip4:46.244.12.15 include:spf.protection.outlook.com ~all"/>
    <m/>
    <x v="0"/>
    <m/>
    <m/>
    <m/>
    <x v="0"/>
    <x v="0"/>
    <x v="0"/>
  </r>
  <r>
    <s v="stkevinscollege.com"/>
    <s v="tilde"/>
    <x v="1"/>
    <s v="v=spf1 a mx include:spf.blacknight.ie include:spf.protection.outlook.com ~all"/>
    <m/>
    <x v="0"/>
    <m/>
    <m/>
    <m/>
    <x v="0"/>
    <x v="0"/>
    <x v="0"/>
  </r>
  <r>
    <s v="stkevinscc.ie"/>
    <s v="minus"/>
    <x v="0"/>
    <s v="v=spf1 include:spf.protection.outlook.com include:spf.dcsnet.ie  -all"/>
    <s v="yes"/>
    <x v="0"/>
    <m/>
    <m/>
    <m/>
    <x v="0"/>
    <x v="0"/>
    <x v="0"/>
  </r>
  <r>
    <s v="stpaulscollege.ie"/>
    <s v="minus"/>
    <x v="0"/>
    <s v="v=spf1 a include:spf.blacknight.com include:spf.protection.outlook.com -all"/>
    <m/>
    <x v="0"/>
    <m/>
    <m/>
    <m/>
    <x v="0"/>
    <x v="0"/>
    <x v="0"/>
  </r>
  <r>
    <s v="straphaelas.ie"/>
    <s v="minus"/>
    <x v="0"/>
    <s v="v=spf1 87.42.112.137/24 include:spf.protection.outlook.com -all"/>
    <s v="yes"/>
    <x v="1"/>
    <s v="v=DMARC1; p=quarantine; sp=reject;"/>
    <m/>
    <m/>
    <x v="0"/>
    <x v="0"/>
    <x v="0"/>
  </r>
  <r>
    <s v="teresian.ie"/>
    <s v="tilde"/>
    <x v="1"/>
    <s v="v=spf1 include:spf.protection.outlook.com mx:schoolmail.aladdin.ie ~all"/>
    <m/>
    <x v="0"/>
    <m/>
    <m/>
    <m/>
    <x v="0"/>
    <x v="0"/>
    <x v="0"/>
  </r>
  <r>
    <s v="colaisteiognaid.ie"/>
    <s v="tilde"/>
    <x v="1"/>
    <s v="v=spf1 +ip4:66.206.3.250  ip4:23.111.150.226 ip4:185.62.37.155 +a +mx +ip4:54.36.17.64 include:spf.protection.outlook.com +include:colaisteiognaid.ie ~all"/>
    <m/>
    <x v="0"/>
    <m/>
    <m/>
    <m/>
    <x v="7"/>
    <x v="0"/>
    <x v="0"/>
  </r>
  <r>
    <s v="taylorshill.ie"/>
    <s v="no"/>
    <x v="2"/>
    <m/>
    <m/>
    <x v="0"/>
    <m/>
    <m/>
    <m/>
    <x v="7"/>
    <x v="0"/>
    <x v="0"/>
  </r>
  <r>
    <s v="colaistenasceilge.ie"/>
    <s v="minus"/>
    <x v="0"/>
    <s v="v=spf1 include:spf.protection.outlook.com -all"/>
    <m/>
    <x v="0"/>
    <m/>
    <m/>
    <m/>
    <x v="14"/>
    <x v="0"/>
    <x v="0"/>
  </r>
  <r>
    <s v="prestralee.ie"/>
    <s v="minus"/>
    <x v="0"/>
    <s v="v=spf1 include:spf.protection.outlook.com include:prestralee.ie.spf.auto.dnssmarthost.net -all"/>
    <s v="yes"/>
    <x v="2"/>
    <s v="v=DMARC1; p=none; aspf=r; adkim=r;"/>
    <m/>
    <m/>
    <x v="14"/>
    <x v="0"/>
    <x v="0"/>
  </r>
  <r>
    <s v="ardscoilrathangan.ie"/>
    <s v="no"/>
    <x v="2"/>
    <m/>
    <m/>
    <x v="0"/>
    <m/>
    <m/>
    <m/>
    <x v="16"/>
    <x v="0"/>
    <x v="0"/>
  </r>
  <r>
    <s v="athycollege.ie"/>
    <s v="no"/>
    <x v="2"/>
    <m/>
    <m/>
    <x v="0"/>
    <m/>
    <m/>
    <m/>
    <x v="16"/>
    <x v="0"/>
    <x v="0"/>
  </r>
  <r>
    <s v="stmaryscollegenaas.ie"/>
    <s v="no"/>
    <x v="2"/>
    <m/>
    <m/>
    <x v="0"/>
    <m/>
    <m/>
    <m/>
    <x v="16"/>
    <x v="0"/>
    <x v="0"/>
  </r>
  <r>
    <s v="cbskilkenny.ie"/>
    <s v="tilde"/>
    <x v="1"/>
    <s v="v=spf1 a include:_spf.google.com include:spf.blacknight.com ~all"/>
    <m/>
    <x v="0"/>
    <m/>
    <m/>
    <m/>
    <x v="17"/>
    <x v="0"/>
    <x v="0"/>
  </r>
  <r>
    <s v="heywood.ie"/>
    <s v="minus"/>
    <x v="0"/>
    <s v="v=spf1 include:spf.protection.outlook.com -all"/>
    <m/>
    <x v="0"/>
    <m/>
    <m/>
    <m/>
    <x v="18"/>
    <x v="0"/>
    <x v="0"/>
  </r>
  <r>
    <s v="portlaoisecollege.ie"/>
    <s v="tilde"/>
    <x v="1"/>
    <s v="v=spf1 include:_spf.google.com ~all"/>
    <m/>
    <x v="1"/>
    <s v="v=DMARC1; p=quarantine; pct=100; rua=mailto:ict@loetb.ie"/>
    <m/>
    <m/>
    <x v="18"/>
    <x v="0"/>
    <x v="0"/>
  </r>
  <r>
    <s v="carrickcs.ie"/>
    <s v="minus"/>
    <x v="0"/>
    <s v="v=spf1 include:spf.protection.outlook.com -all"/>
    <m/>
    <x v="1"/>
    <s v="v=DMARC1; p=quarantine; adkim=r; aspf=r; rua=mailto:dmarc_rua@onsecureserver.net;"/>
    <m/>
    <m/>
    <x v="19"/>
    <x v="0"/>
    <x v="0"/>
  </r>
  <r>
    <s v="cbssextonstreet.ie"/>
    <s v="tilde"/>
    <x v="1"/>
    <s v="v=spf1 include:_spf.google.com ~all"/>
    <s v="yes"/>
    <x v="2"/>
    <s v="v=DMARC1; p=none; rua=dmarc-reports@cbssextonstreet.ie"/>
    <m/>
    <m/>
    <x v="5"/>
    <x v="0"/>
    <x v="0"/>
  </r>
  <r>
    <s v="colaistenanonagle.ie"/>
    <s v="tilde"/>
    <x v="1"/>
    <s v="v=spf1 +a +mx +a:mail.colaistenanonagle.ie  ip4:78.47.221.220 ip4:88.208.193.106 ip4:83.138.8.86 include:spf.protection.outlook.com ~all"/>
    <s v="yes"/>
    <x v="0"/>
    <m/>
    <m/>
    <m/>
    <x v="5"/>
    <x v="0"/>
    <x v="0"/>
  </r>
  <r>
    <s v="hazelc.ie"/>
    <s v="no"/>
    <x v="2"/>
    <m/>
    <m/>
    <x v="0"/>
    <m/>
    <m/>
    <m/>
    <x v="5"/>
    <x v="0"/>
    <x v="0"/>
  </r>
  <r>
    <s v="moynecs.ie"/>
    <s v="minus"/>
    <x v="0"/>
    <s v="v=spf1 ip4:185.43.232.189 +mx +a +ip4:78.137.164.99 +include:spf.antispamcloud.com -all"/>
    <s v="yes"/>
    <x v="0"/>
    <m/>
    <m/>
    <m/>
    <x v="20"/>
    <x v="0"/>
    <x v="0"/>
  </r>
  <r>
    <s v="dgs.ie"/>
    <s v="minus"/>
    <x v="0"/>
    <s v="v=spf1 +a +ip4:87.232.32.223 +ip4:91.216.241.100 +include:relay.mailchannels.net +include:spf.protection.outlook.com -all"/>
    <m/>
    <x v="2"/>
    <s v="v=DMARC1;  p=none; rua=mailto:f2a8355cebbb4e10ba0a19190fc8aa17@dmarc-reports.cloudflare.net"/>
    <m/>
    <m/>
    <x v="2"/>
    <x v="0"/>
    <x v="0"/>
  </r>
  <r>
    <s v="ballyhauniscs.ie"/>
    <s v="minus"/>
    <x v="0"/>
    <s v="v=spf1 include:spf.protection.outlook.com -all"/>
    <m/>
    <x v="0"/>
    <m/>
    <m/>
    <m/>
    <x v="4"/>
    <x v="0"/>
    <x v="0"/>
  </r>
  <r>
    <s v="davittcollege.com"/>
    <s v="minus"/>
    <x v="0"/>
    <s v="v=spf1 include:spf.protection.outlook.com include:spf.topsec.com -all"/>
    <m/>
    <x v="3"/>
    <s v="v=DMARC1;p=reject;sp=reject;rua=mailto:211a5a2e44@rua.easydmarc.eu;ruf=mailto:211a5a2e44@ruf.easydmarc.eu;fo=1"/>
    <m/>
    <m/>
    <x v="4"/>
    <x v="0"/>
    <x v="0"/>
  </r>
  <r>
    <s v="gortnorabbey.ie"/>
    <s v="tilde"/>
    <x v="1"/>
    <s v="v=spf1 +a +mx +ip4:91.210.235.155 include:spf.webhostingireland.ie ~all"/>
    <s v="yes"/>
    <x v="0"/>
    <m/>
    <m/>
    <m/>
    <x v="4"/>
    <x v="0"/>
    <x v="0"/>
  </r>
  <r>
    <s v="beaufortcollege.ie"/>
    <s v="no"/>
    <x v="2"/>
    <m/>
    <m/>
    <x v="0"/>
    <m/>
    <m/>
    <m/>
    <x v="15"/>
    <x v="0"/>
    <x v="0"/>
  </r>
  <r>
    <s v="loretonavan.ie"/>
    <s v="tilde"/>
    <x v="1"/>
    <s v="v=spf1 include:_spf.google.com ~all"/>
    <s v="yes"/>
    <x v="0"/>
    <m/>
    <m/>
    <m/>
    <x v="15"/>
    <x v="0"/>
    <x v="0"/>
  </r>
  <r>
    <s v="invercollege.ie"/>
    <s v="minus"/>
    <x v="0"/>
    <s v="v=spf1 include:spf.protection.outlook.com include:spf.dcsnet.ie -all"/>
    <s v="yes"/>
    <x v="3"/>
    <s v="v=DMARC1; p=reject; rua=mailto:dmarcsupport@invercollege.ie"/>
    <m/>
    <m/>
    <x v="12"/>
    <x v="0"/>
    <x v="0"/>
  </r>
  <r>
    <s v="bccns.ie"/>
    <s v="minus"/>
    <x v="0"/>
    <s v="v=spf1 include:spf.protection.outlook.com -all"/>
    <s v="yes"/>
    <x v="1"/>
    <s v="v=DMARC1; p=quarantine; pct=100; rua=mailto:ict@loetb.ie"/>
    <m/>
    <m/>
    <x v="21"/>
    <x v="0"/>
    <x v="0"/>
  </r>
  <r>
    <s v="colaistechoilmtullamore.ie"/>
    <s v="minus"/>
    <x v="0"/>
    <s v="v=spf1 include:spf.protection.outlook.com -all"/>
    <m/>
    <x v="0"/>
    <m/>
    <m/>
    <m/>
    <x v="21"/>
    <x v="0"/>
    <x v="0"/>
  </r>
  <r>
    <s v="killinaschool.ie"/>
    <s v="no"/>
    <x v="2"/>
    <m/>
    <m/>
    <x v="0"/>
    <m/>
    <m/>
    <m/>
    <x v="21"/>
    <x v="0"/>
    <x v="0"/>
  </r>
  <r>
    <s v="colaistechiarainathlone.ie"/>
    <s v="tilde"/>
    <x v="1"/>
    <s v="v=spf1 include:_spf.google.com ~all"/>
    <m/>
    <x v="2"/>
    <s v="v=DMARC1; p=none;"/>
    <m/>
    <m/>
    <x v="22"/>
    <x v="0"/>
    <x v="0"/>
  </r>
  <r>
    <s v="rosconvent.ie"/>
    <s v="tilde"/>
    <x v="1"/>
    <s v="v=spf1 a include:spf.blacknight.ie ~all"/>
    <m/>
    <x v="0"/>
    <m/>
    <m/>
    <m/>
    <x v="22"/>
    <x v="0"/>
    <x v="0"/>
  </r>
  <r>
    <s v="cbshighschoolclonmel.ie"/>
    <s v="no"/>
    <x v="2"/>
    <m/>
    <m/>
    <x v="0"/>
    <m/>
    <m/>
    <m/>
    <x v="13"/>
    <x v="0"/>
    <x v="0"/>
  </r>
  <r>
    <s v="cbsthurles.ie"/>
    <s v="minus"/>
    <x v="0"/>
    <s v="v=spf1 include:spf.protection.outlook.com include:authsmtp.com -all"/>
    <m/>
    <x v="0"/>
    <m/>
    <m/>
    <m/>
    <x v="13"/>
    <x v="0"/>
    <x v="0"/>
  </r>
  <r>
    <s v="ourladystemplemore.ie"/>
    <s v="minus"/>
    <x v="0"/>
    <s v="v=spf1 ip4:185.43.232.17 include:spf.webhostingireland.ie +ip4:81.17.241.121 +include:spf.protection.outlook.com -all"/>
    <s v="yes"/>
    <x v="0"/>
    <m/>
    <m/>
    <m/>
    <x v="13"/>
    <x v="0"/>
    <x v="0"/>
  </r>
  <r>
    <s v="stdeclans.com"/>
    <s v="no"/>
    <x v="2"/>
    <m/>
    <m/>
    <x v="0"/>
    <m/>
    <m/>
    <m/>
    <x v="10"/>
    <x v="0"/>
    <x v="0"/>
  </r>
  <r>
    <s v="mullingarcc.ie"/>
    <s v="no"/>
    <x v="2"/>
    <m/>
    <m/>
    <x v="0"/>
    <m/>
    <m/>
    <m/>
    <x v="23"/>
    <x v="0"/>
    <x v="0"/>
  </r>
  <r>
    <s v="ramsgrangecommunityschool.ie"/>
    <s v="no"/>
    <x v="2"/>
    <m/>
    <m/>
    <x v="0"/>
    <m/>
    <m/>
    <m/>
    <x v="3"/>
    <x v="0"/>
    <x v="0"/>
  </r>
  <r>
    <s v="dominicanwicklow.net"/>
    <s v="tilde"/>
    <x v="1"/>
    <s v="v=spf1 a include:spf.blacknight.ie  ~all"/>
    <m/>
    <x v="0"/>
    <m/>
    <m/>
    <m/>
    <x v="24"/>
    <x v="0"/>
    <x v="0"/>
  </r>
  <r>
    <s v="glenartcollege.ie"/>
    <s v="no"/>
    <x v="2"/>
    <m/>
    <m/>
    <x v="0"/>
    <m/>
    <m/>
    <m/>
    <x v="24"/>
    <x v="0"/>
    <x v="0"/>
  </r>
  <r>
    <s v="presbray.com"/>
    <s v="no"/>
    <x v="2"/>
    <m/>
    <m/>
    <x v="0"/>
    <m/>
    <m/>
    <m/>
    <x v="24"/>
    <x v="0"/>
    <x v="0"/>
  </r>
  <r>
    <s v="richardsonsfoods.ie"/>
    <s v="tilde"/>
    <x v="1"/>
    <s v="v=spf1 +a +mx +ip4:91.210.235.75 include:spf.webhostingireland.ie ~all"/>
    <s v="yes"/>
    <x v="0"/>
    <m/>
    <m/>
    <m/>
    <x v="5"/>
    <x v="0"/>
    <x v="0"/>
  </r>
  <r>
    <s v="rathsallagh.com"/>
    <s v="tilde"/>
    <x v="1"/>
    <s v="v=spf1 include:_spf.google.com include:netaffinity.net include:authsmtp.com include:guestline.net include:roomlynx.net ~all"/>
    <s v="yes"/>
    <x v="2"/>
    <s v="v=DMARC1; p=none; pct=100; fo=1"/>
    <m/>
    <m/>
    <x v="24"/>
    <x v="0"/>
    <x v="0"/>
  </r>
  <r>
    <s v="stedmundsburyhosp.com"/>
    <s v="no"/>
    <x v="2"/>
    <m/>
    <m/>
    <x v="0"/>
    <m/>
    <m/>
    <m/>
    <x v="0"/>
    <x v="0"/>
    <x v="0"/>
  </r>
  <r>
    <s v="bailiehotel.com"/>
    <s v="minus"/>
    <x v="0"/>
    <s v="v=spf1 include:spf.protection.outlook.com -all"/>
    <m/>
    <x v="0"/>
    <m/>
    <m/>
    <m/>
    <x v="11"/>
    <x v="0"/>
    <x v="0"/>
  </r>
  <r>
    <s v="castlehotel.ie"/>
    <s v="minus"/>
    <x v="0"/>
    <s v="v=spf1 include:spf.protection.outlook.com include:_spf.bookassist.com include:guestline.net include:roomlynx.net -all"/>
    <m/>
    <x v="0"/>
    <m/>
    <m/>
    <m/>
    <x v="1"/>
    <x v="0"/>
    <x v="0"/>
  </r>
  <r>
    <s v="castlemartyrresort.ie"/>
    <s v="tilde"/>
    <x v="1"/>
    <s v="v=spf1 ip4:93.95.81.66 ip4:20.26.217.83 include:spf.protection.outlook.com include:spf.synxis.com include:email2.guestfolio.net include:spf.guestjoy.com include:sendgrid.net ~all"/>
    <s v="yes"/>
    <x v="2"/>
    <s v="v=DMARC1; p=none; fo=1;"/>
    <m/>
    <m/>
    <x v="1"/>
    <x v="0"/>
    <x v="0"/>
  </r>
  <r>
    <s v="commodorehotel.ie"/>
    <s v="minus"/>
    <x v="0"/>
    <s v="v=spf1 include:spf.protection.outlook.com include:netaffinity.net -all"/>
    <m/>
    <x v="0"/>
    <m/>
    <m/>
    <m/>
    <x v="1"/>
    <x v="0"/>
    <x v="0"/>
  </r>
  <r>
    <s v="themontenottehotel.com"/>
    <s v="minus"/>
    <x v="0"/>
    <s v="v=spf1 ip4:86.47.248.161 include:spf.protection.outlook.com include:_spf.bookassist.com a:mail.mindaclient.com -all"/>
    <s v="yes"/>
    <x v="0"/>
    <m/>
    <m/>
    <m/>
    <x v="1"/>
    <x v="0"/>
    <x v="0"/>
  </r>
  <r>
    <s v="tridenthotel.com"/>
    <s v="minus"/>
    <x v="0"/>
    <s v="v=spf1 include:eu._netblocks.mimecast.com include:spf.protection.outlook.com include:spf.messagelabs.com -all"/>
    <m/>
    <x v="0"/>
    <m/>
    <m/>
    <m/>
    <x v="1"/>
    <x v="0"/>
    <x v="0"/>
  </r>
  <r>
    <s v="ballyliffinlodge.com"/>
    <s v="minus"/>
    <x v="0"/>
    <s v="v=spf1 include:spf.protection.outlook.com -all"/>
    <m/>
    <x v="0"/>
    <m/>
    <m/>
    <m/>
    <x v="6"/>
    <x v="0"/>
    <x v="0"/>
  </r>
  <r>
    <s v="clanreehotel.com"/>
    <s v="tilde"/>
    <x v="1"/>
    <s v="v=spf1 include:_spf.google.com include:netaffinity.net ~all"/>
    <m/>
    <x v="2"/>
    <s v="v=DMARC1; p=none; pct=100; fo=1"/>
    <m/>
    <m/>
    <x v="6"/>
    <x v="0"/>
    <x v="0"/>
  </r>
  <r>
    <s v="abbeyhoteldonegal.com"/>
    <s v="minus"/>
    <x v="0"/>
    <s v="v=spf1 include:spf.protection.outlook.com -all"/>
    <m/>
    <x v="0"/>
    <m/>
    <m/>
    <m/>
    <x v="6"/>
    <x v="0"/>
    <x v="0"/>
  </r>
  <r>
    <s v="millparkhotel.com"/>
    <s v="minus"/>
    <x v="0"/>
    <s v="v=spf1 include:spf.protection.outlook.com include:netaffinity.net -all"/>
    <m/>
    <x v="0"/>
    <m/>
    <m/>
    <m/>
    <x v="6"/>
    <x v="0"/>
    <x v="0"/>
  </r>
  <r>
    <s v="carlsonrezidor.com"/>
    <s v="no"/>
    <x v="2"/>
    <m/>
    <m/>
    <x v="0"/>
    <m/>
    <m/>
    <m/>
    <x v="0"/>
    <x v="0"/>
    <x v="0"/>
  </r>
  <r>
    <s v="dheaddresscitywest.com"/>
    <s v="no"/>
    <x v="2"/>
    <m/>
    <m/>
    <x v="0"/>
    <m/>
    <m/>
    <m/>
    <x v="0"/>
    <x v="0"/>
    <x v="0"/>
  </r>
  <r>
    <s v="fitzsimonshotel.com"/>
    <s v="no"/>
    <x v="2"/>
    <m/>
    <m/>
    <x v="0"/>
    <m/>
    <m/>
    <m/>
    <x v="0"/>
    <x v="0"/>
    <x v="0"/>
  </r>
  <r>
    <s v="jackson-court.ie"/>
    <s v="minus"/>
    <x v="0"/>
    <s v="v=spf1 include:spf.protection.outlook.com -all"/>
    <m/>
    <x v="0"/>
    <m/>
    <m/>
    <m/>
    <x v="0"/>
    <x v="0"/>
    <x v="0"/>
  </r>
  <r>
    <s v="lucanspahotel.ie"/>
    <s v="minus"/>
    <x v="0"/>
    <s v="v=spf1 mx a ip4:89.101.198.6 include:spf.protection.outlook.com include:netaffinity.net -all"/>
    <m/>
    <x v="2"/>
    <s v="v=DMARC1; p=none; pct=100; fo=1"/>
    <m/>
    <m/>
    <x v="0"/>
    <x v="0"/>
    <x v="0"/>
  </r>
  <r>
    <s v="mercantilehotel.ie"/>
    <s v="minus"/>
    <x v="0"/>
    <s v="v=spf1 include:lpqt0po9p3.powerspf.com include:netaffinity.net -all"/>
    <s v="yes"/>
    <x v="3"/>
    <s v="v=DMARC1; p=reject; rua=mailto:beefr04q77@rua.powerdmarc.com; ruf=mailto:beefr04q77@ruf.powerdmarc.com; pct=100; fo=0:1:d:s;"/>
    <m/>
    <m/>
    <x v="0"/>
    <x v="0"/>
    <x v="0"/>
  </r>
  <r>
    <s v="metrohoteldublin.com"/>
    <s v="tilde"/>
    <x v="1"/>
    <s v="v=spf1 include:spf.protection.outlook.com include:netaffinity.net include:sendgrid.net  ~all"/>
    <s v="yes"/>
    <x v="1"/>
    <s v="v=DMARC1; p=quarantine; pct=100; fo=1"/>
    <m/>
    <m/>
    <x v="0"/>
    <x v="0"/>
    <x v="0"/>
  </r>
  <r>
    <s v="premgroup.com"/>
    <s v="minus"/>
    <x v="0"/>
    <s v="v=spf1 include:spf.flexmail.eu include:spf.protection.outlook.com include:servers.mcsv.net include:spf.exclaimer.net include:_spf.salesforce.com ip4:69.164.84.0/24 ip4:65.79.172.0/27 ip4:216.245.190.192/27 ip4:129.152.34.0/28 ip4:160.34.200.0/28 ip4:129.1&quot; &quot;52.162.176/28 ip4:160.34.216.0/28 ip4:160.34.38.32/27 ip4:130.35.1.1/32 ip4:138.1.127.97/32 ip4:147.154.118.178/32 ip4:147.154.9.86/32 ip4:138.1.52.50/32 ip4:147.154.25.123/32 ip4:147.154.153.87/32 ip4:138.1.67.161/32 ip4:138.1.65.17/32 ip4:147.154.96.78/&quot; &quot;32 ip4:147.154.103.202/32 ip4:147.154.110.197/32 ip4:192.29.151.17/32 ip4:192.29.149.57/32 ip4:192.29.210.71/32 ip4:192.29.208.181/32 ip4:192.29.201.11/32 ip4:192.29.194.52/32 ip4:147.154.229.183/32 ip4:147.154.224.142/32 ip4:147.154.236.253/32 ip4:128.17&quot; &quot;7.144.7/32 ip4:128.177.144.190/31 ip4:128.177.154.7/32 ip4:128.177.154.190/31 ip4:65.216.181.5/32 ip4:65.221.28.5/32 ip4:213.70.228.37/30 ip4:194.14.5.235/32 ip4:195.122.184.14/32 -all"/>
    <s v="yes"/>
    <x v="3"/>
    <s v="v=DMARC1; p=reject; rua=mailto:coreilly@premgroup.com; ruf=mailto:coreilly@premgroup.com; sp=reject; aspf=s; ri=86400"/>
    <m/>
    <m/>
    <x v="0"/>
    <x v="0"/>
    <x v="0"/>
  </r>
  <r>
    <s v="whitesandshotel.ie"/>
    <s v="tilde"/>
    <x v="1"/>
    <s v="v=spf1 include:_spf.google.com include:guestline.net include:roomlynx.net ~all"/>
    <m/>
    <x v="0"/>
    <m/>
    <m/>
    <m/>
    <x v="0"/>
    <x v="0"/>
    <x v="0"/>
  </r>
  <r>
    <s v="abbeyglen.ie"/>
    <s v="minus"/>
    <x v="0"/>
    <s v="v=spf1 a:mail.anu.net a:spamtitan.anu.net a:ams2-c7-1.anuhosting.net include:_spf.google.com include:spf.sendingservice.net -all"/>
    <m/>
    <x v="2"/>
    <s v="v=DMARC1; p=none;"/>
    <m/>
    <m/>
    <x v="7"/>
    <x v="0"/>
    <x v="0"/>
  </r>
  <r>
    <s v="ballynahinch-castle.com"/>
    <s v="tilde"/>
    <x v="1"/>
    <s v="v=spf1 include:outlook.com ~all"/>
    <s v="yes"/>
    <x v="2"/>
    <s v="v=DMARC1; p=none;"/>
    <m/>
    <m/>
    <x v="7"/>
    <x v="0"/>
    <x v="0"/>
  </r>
  <r>
    <s v="clybaunhotel.ie"/>
    <s v="minus"/>
    <x v="0"/>
    <s v="v=spf1 a mx include:spf.irishdomains.com include:netaffinity.net include:spf.protection.outlook.com include:sendgrid.net -all"/>
    <m/>
    <x v="2"/>
    <s v="v=DMARC1; p=none;"/>
    <m/>
    <m/>
    <x v="7"/>
    <x v="0"/>
    <x v="0"/>
  </r>
  <r>
    <s v="glenlo.com"/>
    <s v="no"/>
    <x v="2"/>
    <m/>
    <m/>
    <x v="0"/>
    <m/>
    <m/>
    <m/>
    <x v="7"/>
    <x v="0"/>
    <x v="0"/>
  </r>
  <r>
    <s v="imperialhotelgalway.ie"/>
    <s v="minus"/>
    <x v="0"/>
    <s v="v=spf1 a:spf.webtrade.ie mx include:netaffinity.net include:guestline.net include:roomlynx.net include:spf.protection.outlook.com -all"/>
    <m/>
    <x v="0"/>
    <m/>
    <m/>
    <m/>
    <x v="7"/>
    <x v="0"/>
    <x v="0"/>
  </r>
  <r>
    <s v="maldronhotelsandyroadgalway.com"/>
    <s v="no"/>
    <x v="2"/>
    <m/>
    <m/>
    <x v="0"/>
    <m/>
    <m/>
    <m/>
    <x v="7"/>
    <x v="0"/>
    <x v="0"/>
  </r>
  <r>
    <s v="renvyle.com"/>
    <s v="tilde"/>
    <x v="1"/>
    <s v="v=spf1 include:_spf.google.com include:_spf.bookassist.com ~all"/>
    <m/>
    <x v="0"/>
    <m/>
    <m/>
    <m/>
    <x v="7"/>
    <x v="0"/>
    <x v="0"/>
  </r>
  <r>
    <s v="thehousehotel.ie"/>
    <s v="minus"/>
    <x v="0"/>
    <s v="v=spf1 include:spamtitan.tierneys.ie include:spf.reg365.net include:spf.mandrillapp.com include:spf.protection.outlook.com -all"/>
    <s v="yes"/>
    <x v="0"/>
    <m/>
    <m/>
    <m/>
    <x v="7"/>
    <x v="0"/>
    <x v="0"/>
  </r>
  <r>
    <s v="ladygregoryhotel.ie"/>
    <s v="minus"/>
    <x v="0"/>
    <s v="v=spf1 include:spf.protection.outlook.com -all"/>
    <m/>
    <x v="0"/>
    <m/>
    <m/>
    <m/>
    <x v="7"/>
    <x v="0"/>
    <x v="0"/>
  </r>
  <r>
    <s v="westwoodhousehotel.com"/>
    <s v="no"/>
    <x v="2"/>
    <m/>
    <m/>
    <x v="0"/>
    <m/>
    <m/>
    <m/>
    <x v="7"/>
    <x v="0"/>
    <x v="0"/>
  </r>
  <r>
    <s v="ardnasidhe.com"/>
    <s v="minus"/>
    <x v="0"/>
    <s v="v=spf1 include:spf.protection.outlook.com -all"/>
    <s v="yes"/>
    <x v="2"/>
    <s v="v=DMARC1; p=none; sp=none; aspf=s; fo=1;rua=mailto:dmarc_rua@emaildefense.proofpoint.com; ruf=mailto:dmarc_ruf@emaildefense.proofpoint.com"/>
    <m/>
    <m/>
    <x v="14"/>
    <x v="0"/>
    <x v="0"/>
  </r>
  <r>
    <s v="parkkenmare.com"/>
    <s v="minus"/>
    <x v="0"/>
    <s v="v=spf1 include:guestline.net include:roomlynx.net include:spf.synxis.com include:spf.protection.outlook.com include:spf.mtasv.net include:secureserver.net -all"/>
    <s v="yes"/>
    <x v="2"/>
    <s v="v=DMARC1; p=none; rua=mailto:08e2ee1be1bb410d89b1cb364fcfa891@dmarc-reports.cloudflare.net,mailto:dmarkreporting@parkkenmare.com"/>
    <m/>
    <m/>
    <x v="14"/>
    <x v="0"/>
    <x v="0"/>
  </r>
  <r>
    <s v="grandhoteltralee.com"/>
    <s v="minus"/>
    <x v="0"/>
    <s v="v=spf1 include:spf.protection.outlook.com -all"/>
    <s v="yes"/>
    <x v="2"/>
    <s v="v=DMARC1; p=none;"/>
    <m/>
    <m/>
    <x v="14"/>
    <x v="0"/>
    <x v="0"/>
  </r>
  <r>
    <s v="ospreyhotel.ie"/>
    <s v="no"/>
    <x v="2"/>
    <m/>
    <s v="yes"/>
    <x v="2"/>
    <s v="v=DMARC1; p=none; rua=mailto:dmarc_agg@vali.email"/>
    <m/>
    <m/>
    <x v="16"/>
    <x v="0"/>
    <x v="0"/>
  </r>
  <r>
    <s v="rivercourthotel.com"/>
    <s v="tilde"/>
    <x v="1"/>
    <s v="v=spf1 a ip4:40.95.65.65 include:spf.protection.outlook.com include:netaffinity.net include:email2.guestfolio.net ~all"/>
    <m/>
    <x v="1"/>
    <s v="v=DMARC1; p=quarantine; pct=100; fo=1"/>
    <m/>
    <m/>
    <x v="17"/>
    <x v="0"/>
    <x v="0"/>
  </r>
  <r>
    <s v="kilkennyhibernianhotel.com"/>
    <s v="minus"/>
    <x v="0"/>
    <s v="v=spf1 mx include:netaffinity.net include:_spf.wire.threatspike.com include:spf.protection.outlook.com a:mail.mindaclient.com -all"/>
    <s v="yes"/>
    <x v="2"/>
    <s v="v=DMARC1; p=none;"/>
    <m/>
    <m/>
    <x v="17"/>
    <x v="0"/>
    <x v="0"/>
  </r>
  <r>
    <s v="loughrynn.ie"/>
    <s v="minus"/>
    <x v="0"/>
    <s v="v=spf1 include:spf.protection.outlook.com include:authsmtp.com include:sendgrid.net include:mailgun.org include:spf.topsec.com -all"/>
    <m/>
    <x v="0"/>
    <m/>
    <m/>
    <m/>
    <x v="19"/>
    <x v="0"/>
    <x v="0"/>
  </r>
  <r>
    <s v="absolutehotel.com"/>
    <s v="minus"/>
    <x v="0"/>
    <s v="v=spf1 include:spf.protection.outlook.com include:oracleindustry.com include:spf_3a.oracleindustry.com include:*.oracleindustry.com -all"/>
    <m/>
    <x v="0"/>
    <m/>
    <m/>
    <m/>
    <x v="5"/>
    <x v="0"/>
    <x v="0"/>
  </r>
  <r>
    <s v="greenhillsgroup.com"/>
    <s v="minus"/>
    <x v="0"/>
    <s v="v=spf1 mx a include:netaffinity.net include:spf.protection.outlook.com -all"/>
    <m/>
    <x v="0"/>
    <m/>
    <m/>
    <m/>
    <x v="5"/>
    <x v="0"/>
    <x v="0"/>
  </r>
  <r>
    <s v="limerickcityhotel.ie"/>
    <s v="tilde"/>
    <x v="1"/>
    <s v="v=spf1 include:spf.protection.outlook.com a mx include:netaffinity.net +ip4:66.206.3.250 +ip4:23.111.150.226 ~all"/>
    <m/>
    <x v="0"/>
    <m/>
    <m/>
    <m/>
    <x v="5"/>
    <x v="0"/>
    <x v="0"/>
  </r>
  <r>
    <s v="devoninnhotel.ie"/>
    <s v="minus"/>
    <x v="0"/>
    <s v="v=spf1 include:spf.protection.outlook.com -all"/>
    <m/>
    <x v="0"/>
    <m/>
    <m/>
    <m/>
    <x v="5"/>
    <x v="0"/>
    <x v="0"/>
  </r>
  <r>
    <s v="savoylimerick.com"/>
    <s v="minus"/>
    <x v="0"/>
    <s v="v=spf1 include:spf.protection.outlook.com ip4:84.116.36.16 include:spf.exclaimer.net include:netaffinity.net include:guestline.net include:spf.resdiary.com -all"/>
    <s v="yes"/>
    <x v="1"/>
    <s v="v=DMARC1; p=quarantine; rua=mailto:altaf@savoylimerick.com; ruf=mailto:altaf@savoylimerick.com; sp=none;"/>
    <m/>
    <m/>
    <x v="5"/>
    <x v="0"/>
    <x v="0"/>
  </r>
  <r>
    <s v="boynevalleyhotel.ie"/>
    <s v="minus"/>
    <x v="0"/>
    <s v="v=spf1 include:spf.protection.outlook.com include:_spf.bookassist.com -all"/>
    <m/>
    <x v="0"/>
    <m/>
    <m/>
    <m/>
    <x v="2"/>
    <x v="0"/>
    <x v="0"/>
  </r>
  <r>
    <s v="broadhavenbay.com"/>
    <s v="tilde"/>
    <x v="1"/>
    <s v="v=spf1 include:_spf.google.com include:spf.protection.outlook.com include:netaffinity.net ~all"/>
    <s v="yes"/>
    <x v="1"/>
    <s v="v=DMARC1; p=quarantine; fo=1; rua=mailto:dmarc_reports@broadhavenbay.com; ruf=mailto:dmarc_reports@broadhavenbay.com"/>
    <m/>
    <m/>
    <x v="4"/>
    <x v="0"/>
    <x v="0"/>
  </r>
  <r>
    <s v="theellisonhotel.ie"/>
    <s v="tilde"/>
    <x v="1"/>
    <s v="v=spf1 include:spf.protection.outlook.com include:netaffinity.net ~all"/>
    <m/>
    <x v="2"/>
    <s v="v=DMARC1; p=none;"/>
    <m/>
    <m/>
    <x v="4"/>
    <x v="0"/>
    <x v="0"/>
  </r>
  <r>
    <s v="westportplazahotel.ie"/>
    <s v="minus"/>
    <x v="0"/>
    <s v="v=spf1 include:spf.newsletter.ie include:spf.mandrillapp.com include:spf.protection.outlook.com -all"/>
    <s v="yes"/>
    <x v="2"/>
    <s v="v=DMARC1; p=none;"/>
    <m/>
    <m/>
    <x v="4"/>
    <x v="0"/>
    <x v="0"/>
  </r>
  <r>
    <s v="theglencarnhotel.ie"/>
    <s v="minus"/>
    <x v="0"/>
    <s v="v=spf1 include:spf.protection.outlook.com -all"/>
    <m/>
    <x v="0"/>
    <m/>
    <m/>
    <m/>
    <x v="12"/>
    <x v="0"/>
    <x v="0"/>
  </r>
  <r>
    <s v="pierheadhotel.ie"/>
    <s v="tilde"/>
    <x v="1"/>
    <s v="v=spf1 a include:spf.blacknight.ie  ~all"/>
    <m/>
    <x v="0"/>
    <m/>
    <m/>
    <m/>
    <x v="8"/>
    <x v="0"/>
    <x v="0"/>
  </r>
  <r>
    <s v="theglasshouse.ie"/>
    <s v="question"/>
    <x v="4"/>
    <s v="v=spf1 include:spf.protection.outlook.com include:servers.mcsv.net include:netaffinity.net ?all"/>
    <m/>
    <x v="0"/>
    <m/>
    <m/>
    <m/>
    <x v="8"/>
    <x v="0"/>
    <x v="0"/>
  </r>
  <r>
    <s v="cahirhousehotel.ie"/>
    <s v="minus"/>
    <x v="0"/>
    <s v="v=spf1 include:spf.protection.outlook.com include:_spf.bookassist.com -all"/>
    <m/>
    <x v="0"/>
    <m/>
    <m/>
    <m/>
    <x v="13"/>
    <x v="0"/>
    <x v="0"/>
  </r>
  <r>
    <s v="carraighotel.com"/>
    <s v="minus"/>
    <x v="0"/>
    <s v="v=spf1 include:spf.protection.outlook.com -all"/>
    <s v="yes"/>
    <x v="2"/>
    <s v="v=DMARC1; p=none; rua=mailto:noel@solveit.ie; ruf=mailto:noel@solveit.ie; fo=1"/>
    <m/>
    <m/>
    <x v="13"/>
    <x v="0"/>
    <x v="0"/>
  </r>
  <r>
    <s v="dooleys-hotel.ie"/>
    <s v="minus"/>
    <x v="0"/>
    <s v="v=spf1 include:spf.protection.outlook.com include:netaffinity.net -all"/>
    <m/>
    <x v="2"/>
    <s v="v=DMARC1; p=none"/>
    <m/>
    <m/>
    <x v="10"/>
    <x v="0"/>
    <x v="0"/>
  </r>
  <r>
    <s v="fitzwiltonhotel.ie"/>
    <s v="tilde"/>
    <x v="1"/>
    <s v="v=spf1 include:spf.protection.outlook.com include:netaffinity.net ip4:95.83.230.162 include:spf.newsletter.ie include:spf.blacknight.com include:mail.smtp2go.com ~all"/>
    <s v="yes"/>
    <x v="2"/>
    <s v="v=DMARC1; p=none; rua=mailto:dmarc@lantech.uriports.com; ruf=mailto:dmarc@lantech.uriports.com; fo=1:d:s"/>
    <m/>
    <m/>
    <x v="10"/>
    <x v="0"/>
    <x v="0"/>
  </r>
  <r>
    <s v="goldcoastgolfresort.com"/>
    <s v="minus"/>
    <x v="0"/>
    <s v="v=spf1 include:spf.protection.outlook.com  +a +mx -all"/>
    <m/>
    <x v="0"/>
    <m/>
    <m/>
    <m/>
    <x v="10"/>
    <x v="0"/>
    <x v="0"/>
  </r>
  <r>
    <s v="osheas-hotel.com"/>
    <s v="minus"/>
    <x v="0"/>
    <s v="v=spf1 +a +mx +a:stgmail.dmacmedia.ie -all"/>
    <m/>
    <x v="4"/>
    <s v="v=DMARC1"/>
    <m/>
    <m/>
    <x v="10"/>
    <x v="0"/>
    <x v="0"/>
  </r>
  <r>
    <s v="majestic-hotel.ie"/>
    <s v="tilde"/>
    <x v="1"/>
    <s v="v=spf1 a mx ip4:84.51.238.228/25 ip4:84.51.238.227/25 include:netaffinity.net ip4:78.153.205.192/27 ~all"/>
    <m/>
    <x v="2"/>
    <s v="v=DMARC1; p=none"/>
    <m/>
    <m/>
    <x v="10"/>
    <x v="0"/>
    <x v="0"/>
  </r>
  <r>
    <s v="shamrocklodgehotel.ie"/>
    <s v="minus"/>
    <x v="0"/>
    <s v="v=spf1 include:spf.protection.outlook.com include:spf.reg365.net -all"/>
    <s v="yes"/>
    <x v="0"/>
    <m/>
    <m/>
    <m/>
    <x v="23"/>
    <x v="0"/>
    <x v="0"/>
  </r>
  <r>
    <s v="hotelcurracloe.com"/>
    <s v="tilde"/>
    <x v="1"/>
    <s v="v=spf1 include:_spf.protonmail.ch ~all"/>
    <s v="yes"/>
    <x v="2"/>
    <s v="v=DMARC1; p=none; rua=mailto:dmarc_agg@vali.email"/>
    <m/>
    <m/>
    <x v="3"/>
    <x v="0"/>
    <x v="0"/>
  </r>
  <r>
    <s v="seafieldhotel.com"/>
    <s v="tilde"/>
    <x v="1"/>
    <s v="v=spf1 mx a:mail.seafieldhotel.com include:mailanyone.net ip6:2001:978:2a01:0:6:0:1089:1092 include:spf.protection.outlook.com include:netaffinity.net include:authsmtp.com include:sendgrid.net ~all"/>
    <s v="yes"/>
    <x v="2"/>
    <s v="v=DMARC1; p=none;"/>
    <m/>
    <m/>
    <x v="3"/>
    <x v="0"/>
    <x v="0"/>
  </r>
  <r>
    <s v="esplanadehotel.ie"/>
    <s v="minus"/>
    <x v="0"/>
    <s v="v=spf1 include:spf.protection.outlook.com -all"/>
    <m/>
    <x v="0"/>
    <m/>
    <m/>
    <m/>
    <x v="24"/>
    <x v="0"/>
    <x v="0"/>
  </r>
  <r>
    <s v="grandhotel.ie"/>
    <s v="minus"/>
    <x v="0"/>
    <s v="v=spf1 include:spf.protection.outlook.com include:authsmtp.com -all"/>
    <m/>
    <x v="0"/>
    <m/>
    <m/>
    <m/>
    <x v="24"/>
    <x v="0"/>
    <x v="0"/>
  </r>
  <r>
    <s v="whoward.eu"/>
    <s v="minus"/>
    <x v="0"/>
    <s v="v=spf1 a include:spf.protection.outlook.com -all"/>
    <s v="yes"/>
    <x v="2"/>
    <s v="v=DMARC1; p=none; rua=mailto:dmarc_agg@vali.email"/>
    <m/>
    <m/>
    <x v="16"/>
    <x v="0"/>
    <x v="0"/>
  </r>
  <r>
    <s v="ckt.ie"/>
    <s v="minus"/>
    <x v="0"/>
    <s v="v=spf1 a include:spf.protection.outlook.com a:servers.mcsv.net a:mail.ckt.ie -all"/>
    <s v="yes"/>
    <x v="1"/>
    <s v="v=DMARC1; p=quarantine;"/>
    <m/>
    <m/>
    <x v="1"/>
    <x v="0"/>
    <x v="0"/>
  </r>
  <r>
    <s v="kennedys-law.com"/>
    <s v="minus"/>
    <x v="0"/>
    <s v="v=spf1 include:eu._netblocks.mimecast.com include:spf-uk.vx-email.com include:docebosaas.com a:b.spf.service-now.com a:c.spf.service-now.com a:d.spf.service-now.com -all"/>
    <m/>
    <x v="3"/>
    <s v="v=DMARC1; p=reject; rua=mailto:d51658bb6f81247@rep.dmarcanalyzer.com; ruf=mailto:d51658bb6f81247@for.dmarcanalyzer.com; fo=1;"/>
    <m/>
    <m/>
    <x v="0"/>
    <x v="0"/>
    <x v="0"/>
  </r>
  <r>
    <s v="tipperarylibraries.ie"/>
    <s v="no"/>
    <x v="2"/>
    <m/>
    <m/>
    <x v="0"/>
    <m/>
    <m/>
    <m/>
    <x v="13"/>
    <x v="0"/>
    <x v="0"/>
  </r>
  <r>
    <s v="harvestfinancial.ie"/>
    <s v="tilde"/>
    <x v="1"/>
    <s v="v=spf1 include:%{ir}.%{v}.%{d}.spf.has.pphosted.com ~all"/>
    <m/>
    <x v="3"/>
    <s v="v=DMARC1; p=reject; rua=mailto:dmarc_rua@emaildefense.proofpoint.com; ruf=mailto:dmarc_ruf@emaildefense.proofpoint.com; fo=1;"/>
    <m/>
    <m/>
    <x v="0"/>
    <x v="0"/>
    <x v="0"/>
  </r>
  <r>
    <s v="intesasanpaololife.ie"/>
    <s v="minus"/>
    <x v="0"/>
    <s v="v=spf1 include:spf.intesasanpaolo.com include:spf.protection.outlook.com -all"/>
    <s v="yes"/>
    <x v="1"/>
    <s v="v=DMARC1; p=quarantine; fo=1; pct=100; ri=3600; rua=mailto:intesa-sanpaolo@rua.dmp.cisco.com; ruf=mailto:intesa-sanpaolo@ruf.dmp.cisco.com"/>
    <m/>
    <m/>
    <x v="0"/>
    <x v="0"/>
    <x v="0"/>
  </r>
  <r>
    <s v="odonovaneng.ie"/>
    <s v="minus"/>
    <x v="0"/>
    <s v="v=spf1 include:spf.protection.outlook.com include:spf.mailspamprotection.com include:odonovaneng.ie.spf.auto.dnssmarthost.net -all"/>
    <s v="yes"/>
    <x v="2"/>
    <s v="v=DMARC1; p=none; aspf=r; adkim=r;"/>
    <m/>
    <m/>
    <x v="1"/>
    <x v="0"/>
    <x v="0"/>
  </r>
  <r>
    <s v="cartow.ie"/>
    <s v="tilde"/>
    <x v="1"/>
    <s v="v=spf1 include:spf.reg365.net ~all"/>
    <m/>
    <x v="0"/>
    <m/>
    <m/>
    <m/>
    <x v="0"/>
    <x v="0"/>
    <x v="0"/>
  </r>
  <r>
    <s v="odrem.ie"/>
    <s v="mis"/>
    <x v="3"/>
    <s v="v=spf1 ip4:217.115.115.25 +mx +a +a:spf.webtrade.ie include:spf.protection.outlook.com include:relay.mailchannels.net include:asp-spf1.yardi.com  include:eu.transmail.net include:spf.zoho.eu include:spf.ess.de.barracudanetworks.com ~allinclude:user.zohobo&quot; &quot;okings.eu"/>
    <s v="yes"/>
    <x v="2"/>
    <s v="v=DMARC1; p=none; rua=mailto:it-monitor@odpm.ie"/>
    <m/>
    <m/>
    <x v="0"/>
    <x v="0"/>
    <x v="0"/>
  </r>
  <r>
    <s v="theiveaghtrust.ie"/>
    <s v="minus"/>
    <x v="0"/>
    <s v="v=spf1 include:spf1.emailsecurity.app include:spf.protection.outlook.com -all"/>
    <s v="yes"/>
    <x v="1"/>
    <s v="v=DMARC1; p=quarantine; pct=50"/>
    <m/>
    <m/>
    <x v="0"/>
    <x v="0"/>
    <x v="0"/>
  </r>
  <r>
    <s v="cellars.ie"/>
    <s v="no"/>
    <x v="2"/>
    <m/>
    <m/>
    <x v="0"/>
    <m/>
    <m/>
    <m/>
    <x v="0"/>
    <x v="0"/>
    <x v="0"/>
  </r>
  <r>
    <s v="gibneysteel.com"/>
    <s v="minus"/>
    <x v="0"/>
    <s v="v=spf1 include:spf.protection.outlook.com -all"/>
    <m/>
    <x v="0"/>
    <m/>
    <m/>
    <m/>
    <x v="15"/>
    <x v="0"/>
    <x v="0"/>
  </r>
  <r>
    <s v="seerys.ie"/>
    <s v="minus"/>
    <x v="0"/>
    <s v="v=spf1 ip4:194.165.184.231 include:spf.topsec.com include:spf.protection.outlook.com include:spf.ess.barracudanetworks.com include:spf.ess.de.barracudanetworks.com -all"/>
    <s v="yes"/>
    <x v="1"/>
    <s v="v=DMARC1; p=quarantine; rua=mailto:dmarc-reports@seerys.ie; ruf=mailto:dmarc-failures@seerys.ie; sp=none; aspf=r;"/>
    <m/>
    <m/>
    <x v="25"/>
    <x v="0"/>
    <x v="0"/>
  </r>
  <r>
    <s v="dinkinsbakery.com"/>
    <s v="tilde"/>
    <x v="1"/>
    <s v="v=spf1 a include:spf.blacknight.ie include:spf.protection.outlook.com include:mailgun.org ~all"/>
    <s v="yes"/>
    <x v="0"/>
    <m/>
    <m/>
    <m/>
    <x v="12"/>
    <x v="0"/>
    <x v="0"/>
  </r>
  <r>
    <s v="cresthaven.ie"/>
    <s v="minus"/>
    <x v="0"/>
    <s v="v=spf1 +a +mx +ip4:78.153.200.194 +include:spf.protection.outlook.com -all"/>
    <m/>
    <x v="0"/>
    <m/>
    <m/>
    <m/>
    <x v="10"/>
    <x v="0"/>
    <x v="0"/>
  </r>
  <r>
    <s v="duconconcrete.com"/>
    <s v="minus"/>
    <x v="0"/>
    <s v="v=spf1 include:spf.protection.outlook.com -all"/>
    <m/>
    <x v="0"/>
    <m/>
    <m/>
    <m/>
    <x v="1"/>
    <x v="0"/>
    <x v="0"/>
  </r>
  <r>
    <s v="cementaid.ie"/>
    <s v="minus"/>
    <x v="0"/>
    <s v="v=spf1 include:spf.protection.outlook.com -all"/>
    <m/>
    <x v="0"/>
    <m/>
    <m/>
    <m/>
    <x v="0"/>
    <x v="0"/>
    <x v="0"/>
  </r>
  <r>
    <s v="accuris-networks.com"/>
    <s v="no"/>
    <x v="2"/>
    <m/>
    <m/>
    <x v="0"/>
    <m/>
    <m/>
    <m/>
    <x v="0"/>
    <x v="0"/>
    <x v="0"/>
  </r>
  <r>
    <s v="callpageboy.ie"/>
    <s v="minus"/>
    <x v="0"/>
    <s v="v=spf1 a mx ip4:83.70.177.138 ip4:82.141.228.162 ip4:5.149.169.209 ip4:83.71.171.193 ip4:83.174.183.150 include:spf.protection.outlook.com include:amazonses.com -all"/>
    <m/>
    <x v="0"/>
    <m/>
    <m/>
    <m/>
    <x v="0"/>
    <x v="0"/>
    <x v="0"/>
  </r>
  <r>
    <s v="convergint.com"/>
    <s v="minus"/>
    <x v="0"/>
    <s v="v=spf1 include:spf.protection.outlook.com include:spf1.convergint.com include:spf2.convergint.com -all"/>
    <s v="yes"/>
    <x v="3"/>
    <s v="v=DMARC1; p=reject; rua=mailto:zmxenhn4@ag.dmarcian.com; ruf=mailto:zmxenhn4@fr.dmarcian.com; pct=100;"/>
    <m/>
    <m/>
    <x v="0"/>
    <x v="0"/>
    <x v="0"/>
  </r>
  <r>
    <s v="traka.ie"/>
    <s v="minus"/>
    <x v="0"/>
    <s v="v=spf1 -all"/>
    <s v="yes"/>
    <x v="3"/>
    <s v="v=DMARC1; p=reject; rua=mailto:c617a603d59c866@rep.dmarcanalyzer.com; ruf=mailto:c617a603d59c866@for.dmarcanalyzer.com; pct=100; fo=1"/>
    <m/>
    <m/>
    <x v="2"/>
    <x v="0"/>
    <x v="0"/>
  </r>
  <r>
    <s v="tunstallemergencyresponse.ie"/>
    <s v="tilde"/>
    <x v="1"/>
    <s v="v=spf1 +a +mx +a:ukm36.siteground.biz  include:tunstallemergencyresponse.ie.spf.auto.dnssmarthost.net ~all"/>
    <s v="yes"/>
    <x v="2"/>
    <s v="v=DMARC1; p=none; aspf=r; adkim=r;"/>
    <m/>
    <m/>
    <x v="3"/>
    <x v="0"/>
    <x v="0"/>
  </r>
  <r>
    <s v="shepherdsecurity.ie"/>
    <s v="no"/>
    <x v="2"/>
    <m/>
    <m/>
    <x v="0"/>
    <m/>
    <m/>
    <m/>
    <x v="24"/>
    <x v="0"/>
    <x v="0"/>
  </r>
  <r>
    <s v="calnan.ie"/>
    <s v="minus"/>
    <x v="0"/>
    <s v="v=spf1 ip4:91.216.241.2 include:relay.mailchannels.net +a +mx +ip4:217.199.187.190 +include:spf.protection.outlook.com +include:sendgrid.net -all"/>
    <s v="yes"/>
    <x v="0"/>
    <m/>
    <m/>
    <m/>
    <x v="1"/>
    <x v="0"/>
    <x v="0"/>
  </r>
  <r>
    <s v="doorfix.ie"/>
    <s v="minus"/>
    <x v="0"/>
    <s v="v=spf1 include:_spf_customer.mailwall.com -all"/>
    <m/>
    <x v="0"/>
    <m/>
    <m/>
    <m/>
    <x v="0"/>
    <x v="0"/>
    <x v="0"/>
  </r>
  <r>
    <s v="elfc.com"/>
    <s v="minus"/>
    <x v="0"/>
    <s v="v=spf1 ip4:87.120.240.162/32 ip4:87.120.240.163/32 ip4:87.120.240.166/32 ip4:31.193.216.246/32 ip4:83.70.146.193/32 include:spf.protection.outlook.com include:spf.mandrillapp.com include:servers.mcsv.net include:_netblocks.mimecast.com -all"/>
    <s v="yes"/>
    <x v="3"/>
    <s v="v=DMARC1; p=reject; rua=mailto:dmarc.reports@elfc.com"/>
    <m/>
    <m/>
    <x v="9"/>
    <x v="0"/>
    <x v="0"/>
  </r>
  <r>
    <s v="icsltd.ie"/>
    <s v="minus"/>
    <x v="0"/>
    <s v="v=spf1 ip4:93.107.164.183 include:spf.protection.outlook.com -all"/>
    <s v="yes"/>
    <x v="0"/>
    <m/>
    <m/>
    <m/>
    <x v="1"/>
    <x v="0"/>
    <x v="0"/>
  </r>
  <r>
    <s v="prophotonix.com"/>
    <s v="tilde"/>
    <x v="1"/>
    <s v="v=spf1 include:spf.protection.outlook.com include:aspmx.pardot.com include:spf.emailsignatures365.com  include:spfa.cpmails.com ip4:212.147.129.75 ip4:216.17.79.152 ~all"/>
    <s v="yes"/>
    <x v="2"/>
    <s v="v=DMARC1; p=none; pct=100; rua=mailto:re+dnrazz1xeh4@dmarc.postmarkapp.com; sp=none; aspf=r;"/>
    <m/>
    <m/>
    <x v="1"/>
    <x v="0"/>
    <x v="0"/>
  </r>
  <r>
    <s v="te.com"/>
    <s v="mis"/>
    <x v="3"/>
    <s v="v=spf1 redirect=48i79tr9._spf._d.mim.ec"/>
    <s v="yes"/>
    <x v="3"/>
    <s v="v=DMARC1; p=reject; rua=mailto:52d1bf7cee2d365@rep.dmarcanalyzer.com; ruf=mailto:52d1bf7cee2d365@for.dmarcanalyzer.com; fo=1;"/>
    <m/>
    <m/>
    <x v="7"/>
    <x v="0"/>
    <x v="0"/>
  </r>
  <r>
    <s v="hccl.ie"/>
    <s v="minus"/>
    <x v="0"/>
    <s v="v=spf1 include:spf.protection.outlook.com -all"/>
    <m/>
    <x v="2"/>
    <s v="v=DMARC1; p=none;"/>
    <m/>
    <m/>
    <x v="13"/>
    <x v="0"/>
    <x v="0"/>
  </r>
  <r>
    <s v="tipperaryglass.ie"/>
    <s v="minus"/>
    <x v="0"/>
    <s v="v=spf1 +a +ip4:35.214.80.219 include:_spf.mailspamprotection.com +ip4:83.70.176.96 +ip4:86.43.86.55 include:spf.protection.outlook.com include:authsmtp.com -all"/>
    <m/>
    <x v="0"/>
    <m/>
    <m/>
    <m/>
    <x v="13"/>
    <x v="0"/>
    <x v="0"/>
  </r>
  <r>
    <s v="quiptech.com"/>
    <s v="minus"/>
    <x v="0"/>
    <s v="v=spf1 include:spf.protection.outlook.com include:_spf_cd.spamtitan.com include:4602553.spf10.hubspotemail.net include:5837445.spf02.hubspotemail.net mx a ip4:62.77.187.217 ip4:173.236.35.52 include:spf.mandrillapp.com include:spf-westeu.emailsignatures36&quot; &quot;5.com include:spf-eu.emailsignatures365.com -all"/>
    <s v="yes"/>
    <x v="3"/>
    <s v="v=DMARC1; p=reject; rua=mailto:dmarc@quiptech.com; aspf=r;"/>
    <m/>
    <m/>
    <x v="7"/>
    <x v="0"/>
    <x v="0"/>
  </r>
  <r>
    <s v="paganini.ie"/>
    <s v="minus"/>
    <x v="0"/>
    <s v="v=spf1 include:spf.protection.outlook.com include:spf.graphedia.ie -all"/>
    <m/>
    <x v="0"/>
    <m/>
    <m/>
    <m/>
    <x v="3"/>
    <x v="0"/>
    <x v="0"/>
  </r>
  <r>
    <s v="camfil.ie"/>
    <s v="tilde"/>
    <x v="1"/>
    <s v="v=spf1 ip4:192.176.163.12/32 ip4:192.176.163.254/32 ip4:203.106.234.247/32 ip4:173.251.20.104/32 ip4:64.238.211.94/32 include:spf.protection.outlook.com include:customers.clickdimensions.com include:_spf.staysecuregroup.com ~all"/>
    <m/>
    <x v="2"/>
    <s v="v=DMARC1; p=none; rua=mailto:vqnx7ch8@ag.eu.dmarcadvisor.com;"/>
    <m/>
    <m/>
    <x v="0"/>
    <x v="0"/>
    <x v="0"/>
  </r>
  <r>
    <s v="fitzgeraldkitchens.com"/>
    <s v="tilde"/>
    <x v="1"/>
    <s v="v=spf1 +a +mx +ip4:217.115.115.31 +include:relay.mailchannels.net +ip4:35.214.120.112 +include:_spf.mailspamprotection.com ~all"/>
    <s v="yes"/>
    <x v="2"/>
    <s v="v=DMARC1; p=none;"/>
    <m/>
    <m/>
    <x v="24"/>
    <x v="0"/>
    <x v="0"/>
  </r>
  <r>
    <s v="brandwellgroup.com"/>
    <s v="no"/>
    <x v="2"/>
    <m/>
    <m/>
    <x v="0"/>
    <m/>
    <m/>
    <m/>
    <x v="0"/>
    <x v="0"/>
    <x v="0"/>
  </r>
  <r>
    <s v="broderickbros.ie"/>
    <s v="minus"/>
    <x v="0"/>
    <s v="v=spf1 include:spfa.mailendo.com include:spf.protection.outlook.com ip4:23.102.16.255 ip4:23.101.63.165 -all"/>
    <s v="yes"/>
    <x v="3"/>
    <s v="v=DMARC1; p=reject; rua=mailto:dmarc@broderickbros.ie;"/>
    <m/>
    <m/>
    <x v="0"/>
    <x v="0"/>
    <x v="0"/>
  </r>
  <r>
    <s v="westgrovehotel.com"/>
    <s v="minus"/>
    <x v="0"/>
    <s v="v=spf1 include:spf.protection.outlook.com include:netaffinity.net include:authsmtp.com -all"/>
    <m/>
    <x v="0"/>
    <m/>
    <m/>
    <m/>
    <x v="16"/>
    <x v="0"/>
    <x v="0"/>
  </r>
  <r>
    <s v="mchc.ie"/>
    <s v="minus"/>
    <x v="0"/>
    <s v="v=spf1 ip4:89.101.65.130 include:spf.protection.outlook.com -all"/>
    <m/>
    <x v="0"/>
    <m/>
    <m/>
    <m/>
    <x v="0"/>
    <x v="0"/>
    <x v="0"/>
  </r>
  <r>
    <s v="kilkennylimestone.com"/>
    <s v="minus"/>
    <x v="0"/>
    <s v="v=spf1 ip4:194.78.7.52/32 ip4:194.78.12.34/32 include:spf.protection.outlook.com include:spfrerouting.xink.io include:spf.de-1.a.mimecastprotect.com -all"/>
    <s v="yes"/>
    <x v="3"/>
    <s v="v=DMARC1;p=reject;rua=mailto:dmarc@kilkennylimestone.com;ruf=mailto:dmarc.ruf@kilkennylimestone.com;fo=1;"/>
    <m/>
    <m/>
    <x v="17"/>
    <x v="0"/>
    <x v="0"/>
  </r>
  <r>
    <s v="keaneymedical.com"/>
    <s v="minus"/>
    <x v="0"/>
    <s v="v=spf1 ip4:213.190.156.39 ip4:89.100.203.146 ip4:217.115.118.160 include:spf.hornetsecurity.com include:spf.protection.outlook.com -all"/>
    <s v="yes"/>
    <x v="3"/>
    <s v="v=DMARC1; p=reject; sp=reject; adkim=s; aspf=s; pct=100;"/>
    <m/>
    <m/>
    <x v="0"/>
    <x v="0"/>
    <x v="0"/>
  </r>
  <r>
    <s v="asgard.ie"/>
    <s v="minus"/>
    <x v="0"/>
    <s v="v=spf1 include:spf.protection.outlook.com -all"/>
    <s v="yes"/>
    <x v="1"/>
    <s v="v=DMARC1; p=quarantine; rua=mailto:dmarc_agg@vali.email;"/>
    <m/>
    <m/>
    <x v="17"/>
    <x v="0"/>
    <x v="0"/>
  </r>
  <r>
    <s v="oxygen-care.com"/>
    <s v="minus"/>
    <x v="0"/>
    <s v="v=spf1 include:spf.protection.outlook.com -all"/>
    <m/>
    <x v="2"/>
    <s v="v=DMARC1; p=none; rua=mailto:rua@dmarc.brevo.com"/>
    <m/>
    <m/>
    <x v="24"/>
    <x v="0"/>
    <x v="0"/>
  </r>
  <r>
    <s v="foxbros.ie"/>
    <s v="minus"/>
    <x v="0"/>
    <s v="v=spf1 a include:spf.protection.outlook.com include:spf.graphedia.ie -all"/>
    <m/>
    <x v="0"/>
    <m/>
    <m/>
    <m/>
    <x v="3"/>
    <x v="0"/>
    <x v="0"/>
  </r>
  <r>
    <s v="cross-group.org"/>
    <s v="minus"/>
    <x v="0"/>
    <s v="v=spf1 a mx include:spf.protection.outlook.com include:_spf.salesforce.com ip4:142.93.35.76 ip4:62.232.136.170 ip4:93.94.112.230 a:mail.cross-refrig.ie include:spf.hornetsecurity.com -all"/>
    <s v="yes"/>
    <x v="1"/>
    <s v="v=DMARC1; p=quarantine; pct=100; rua=mailto:postmaster@cross-group.org;"/>
    <m/>
    <m/>
    <x v="1"/>
    <x v="0"/>
    <x v="0"/>
  </r>
  <r>
    <s v="edpac.com"/>
    <s v="minus"/>
    <x v="0"/>
    <s v="v=spf1 a include:spf.protection.outlook.com -all"/>
    <s v="yes"/>
    <x v="2"/>
    <s v="v=DMARC1; p=none; pct=100; rua=mailto:re+d0vu7qmb5cn@dmarc.postmarkapp.com; ruf=mailto:dmarc.reports@munters.com; fo=1;"/>
    <m/>
    <m/>
    <x v="1"/>
    <x v="0"/>
    <x v="0"/>
  </r>
  <r>
    <s v="cec.ie"/>
    <s v="minus"/>
    <x v="0"/>
    <s v="v=spf1 include:spf.protection.outlook.com include:_spf_cd.spamtitan.com include:mail.zendesk.com include:spf.mandrillapp.com mx a ip4:62.77.187.217 ip4:77.235.50.232 ip4:173.236.35.50 -all"/>
    <s v="yes"/>
    <x v="1"/>
    <s v="v=DMARC1; p=quarantine; rua=mailto:dmarc@cec.ie; aspf=s;"/>
    <m/>
    <m/>
    <x v="7"/>
    <x v="0"/>
    <x v="0"/>
  </r>
  <r>
    <s v="storefit.com"/>
    <s v="minus"/>
    <x v="0"/>
    <s v="v=spf1 include:spf.protection.outlook.com -all"/>
    <m/>
    <x v="0"/>
    <m/>
    <m/>
    <m/>
    <x v="1"/>
    <x v="0"/>
    <x v="0"/>
  </r>
  <r>
    <s v="bizquip.ie"/>
    <s v="mis"/>
    <x v="3"/>
    <s v="v=spf1 a:exchange.bizquip.ie ip4:45.145.103.81 ip4:185.216.77.180  ip4:193.120.173.194 ip4:178.17.36.18 include:sendgrid.net include:spf.protection.outlook.com include:icm-software.co.uk include:spf.constantcontact.com include:spf.eu.exclaimer.net ~a&quot; &quot;ll"/>
    <s v="yes"/>
    <x v="1"/>
    <s v="v=DMARC1; p=quarantine; aspf=s;"/>
    <m/>
    <m/>
    <x v="0"/>
    <x v="0"/>
    <x v="0"/>
  </r>
  <r>
    <s v="twl.ie"/>
    <s v="minus"/>
    <x v="0"/>
    <s v="v=spf1 ip4:217.115.124.157 include:spf.protection.outlook.com -all"/>
    <m/>
    <x v="0"/>
    <m/>
    <m/>
    <m/>
    <x v="0"/>
    <x v="0"/>
    <x v="0"/>
  </r>
  <r>
    <s v="fogartyconcrete.ie"/>
    <s v="minus"/>
    <x v="0"/>
    <s v="v=spf1 include:spf.protection.outlook.com -all"/>
    <m/>
    <x v="2"/>
    <s v="v=DMARC1; p=none; rua=mailto:rua@dmarc.brevo.com"/>
    <m/>
    <m/>
    <x v="13"/>
    <x v="0"/>
    <x v="0"/>
  </r>
  <r>
    <s v="furlongflooring.com"/>
    <s v="minus"/>
    <x v="0"/>
    <s v="v=spf1 include:amazonses.com include:eu._netblocks.mimecast.com include:spf.protection.outlook.com include:spf.razorblue.net.uk ip4:205.201.128.0/20 ip4:198.2.128.0/18 ip4:148.105.0.0/16 -all"/>
    <s v="yes"/>
    <x v="2"/>
    <s v="v=DMARC1; p=none; rua=mailto:dmarc@furlongflooring.com; ruf=mailto:dmarc@furlongflooring.com; fo=1"/>
    <m/>
    <m/>
    <x v="0"/>
    <x v="0"/>
    <x v="0"/>
  </r>
  <r>
    <s v="essexfordjoinery.com"/>
    <s v="minus"/>
    <x v="0"/>
    <s v="v=spf1 include:spf.protection.outlook.com include:essexfordjoinery.com.spf.auto.dnssmarthost.net -all"/>
    <s v="yes"/>
    <x v="2"/>
    <s v="v=DMARC1; p=none; aspf=r; adkim=r;"/>
    <m/>
    <m/>
    <x v="12"/>
    <x v="0"/>
    <x v="0"/>
  </r>
  <r>
    <s v="reynaers.ie"/>
    <s v="minus"/>
    <x v="0"/>
    <s v="v=spf1 -all"/>
    <m/>
    <x v="3"/>
    <s v="v=DMARC1; p=reject; rua=mailto:dmarc_agg@vali.email;"/>
    <m/>
    <m/>
    <x v="3"/>
    <x v="0"/>
    <x v="0"/>
  </r>
  <r>
    <s v="senatorwindows.ie"/>
    <s v="minus"/>
    <x v="0"/>
    <s v="v=spf1 ip4:185.178.69.243 ip4:185.178.69.25 ip4:82.141.230.229 ip4:185.2.66.183 include:spf.protection.outlook.com a:www.senatorwindows.ie include:spf.graphedia.ie -all"/>
    <s v="yes"/>
    <x v="1"/>
    <s v="v=DMARC1; p=quarantine; rua=mailto:9ffqjarb@ag.eu.dmarcian.com; ruf=mailto:9ffqjarb@fr.eu.dmarcian.com; fo=1; aspf=r; adkim=r"/>
    <m/>
    <m/>
    <x v="3"/>
    <x v="0"/>
    <x v="0"/>
  </r>
  <r>
    <s v="caterway.ie"/>
    <s v="tilde"/>
    <x v="1"/>
    <s v="v=spf1 a:159.253.225.83 include:_spf.google.com ~all"/>
    <s v="yes"/>
    <x v="2"/>
    <s v="v=DMARC1; p=none; rua=mailto:dmarc@istsystems.uriports.com; ruf=mailto:dmarc@istsystems.uriports.com; fo=1:d:s"/>
    <m/>
    <m/>
    <x v="0"/>
    <x v="0"/>
    <x v="0"/>
  </r>
  <r>
    <s v="foodcentral.eu"/>
    <s v="minus"/>
    <x v="0"/>
    <s v="v=spf1 mx ip4:77.75.97.180 ip4:52.212.46.127/32 include:spf.protection.outlook.com include:spf.uk.exclaimer.net -all"/>
    <s v="yes"/>
    <x v="3"/>
    <s v="v=DMARC1; p=reject; adkim=s; aspf=s; rua=mailto:9vcyy61emh@rua.powerdmarc.com; ruf=mailto:9vcyy61emh@ruf.powerdmarc.com; pct=100; fo=1;"/>
    <m/>
    <m/>
    <x v="0"/>
    <x v="0"/>
    <x v="0"/>
  </r>
  <r>
    <s v="vidaliving.com"/>
    <s v="minus"/>
    <x v="0"/>
    <s v="v=spf1 include:spf.protection.outlook.com include:mailsenders.netsuite.com include:_spf.elasticemail.com include:spf1.emailsecurity.app include:spf.stackmail.com include:_spf.eu.sparkpostmail.com -all"/>
    <s v="yes"/>
    <x v="2"/>
    <s v="v=DMARC1; p=none; rua=mailto:administrator@vidaliving.com; ruf=mailto:administrator@vidaliving.com; fo=0:1:d:s"/>
    <m/>
    <m/>
    <x v="2"/>
    <x v="0"/>
    <x v="0"/>
  </r>
  <r>
    <s v="photo-me.com"/>
    <s v="tilde"/>
    <x v="1"/>
    <s v="v=spf1 mx  a:mail-server.kis.fr a:mx-corporate.photo-me.eu a:quarantaine.photomaton.fr include:_spf.google.com  include:spf.mandrillapp.com  ip4:213.131.182.34 include:msgfocus.com ~all include:spf.dixa.io ~all"/>
    <m/>
    <x v="2"/>
    <s v="v=DMARC1; p=none; rua=mailto:rua@dmarc.brevo.com"/>
    <m/>
    <m/>
    <x v="0"/>
    <x v="0"/>
    <x v="0"/>
  </r>
  <r>
    <s v="campionpumps.com"/>
    <s v="no"/>
    <x v="2"/>
    <m/>
    <m/>
    <x v="0"/>
    <m/>
    <m/>
    <m/>
    <x v="0"/>
    <x v="0"/>
    <x v="0"/>
  </r>
  <r>
    <s v="campion.ie"/>
    <s v="question"/>
    <x v="4"/>
    <s v="v=spf1 include:sendersrv.com ?all"/>
    <s v="yes"/>
    <x v="0"/>
    <m/>
    <m/>
    <m/>
    <x v="13"/>
    <x v="0"/>
    <x v="0"/>
  </r>
  <r>
    <s v="lennox.ie"/>
    <s v="minus"/>
    <x v="0"/>
    <s v="v=spf1 include:spf.protection.outlook.com -all"/>
    <s v="yes"/>
    <x v="2"/>
    <s v="v=DMARC1; p=none;"/>
    <m/>
    <m/>
    <x v="0"/>
    <x v="0"/>
    <x v="0"/>
  </r>
  <r>
    <s v="accuscience.ie"/>
    <s v="tilde"/>
    <x v="1"/>
    <s v="v=spf1 include:spf.protection.outlook.com ~all"/>
    <s v="yes"/>
    <x v="2"/>
    <s v="v=DMARC1;  p=none; rua=mailto:0ad500f8a93e4e008abfbaecb8565685@dmarc-reports.cloudflare.net"/>
    <m/>
    <m/>
    <x v="16"/>
    <x v="0"/>
    <x v="0"/>
  </r>
  <r>
    <s v="marcobeveragesystems.com"/>
    <s v="tilde"/>
    <x v="1"/>
    <s v="v=spf1 include:%{i}._ip.%{h}._ehlo.%{d}._spf.vali.email ~all"/>
    <s v="yes"/>
    <x v="3"/>
    <s v="v=DMARC1; p=reject; sp=reject; rua=mailto:dmarc_agg@vali.email,mailto:211a5a2e44@rua.easydmarc.eu; ruf=mailto:211a5a2e44@ruf.easydmarc.eu; fo=1"/>
    <m/>
    <m/>
    <x v="0"/>
    <x v="0"/>
    <x v="0"/>
  </r>
  <r>
    <s v="cavanbox.ie"/>
    <s v="no"/>
    <x v="2"/>
    <m/>
    <m/>
    <x v="0"/>
    <m/>
    <m/>
    <m/>
    <x v="11"/>
    <x v="0"/>
    <x v="0"/>
  </r>
  <r>
    <s v="euroflex.ie"/>
    <s v="tilde"/>
    <x v="1"/>
    <s v="v=spf1 ip4:185.43.232.11 include:spf.webhostingireland.ie mx include:spf.protection.outlook.com ip4:81.17.241.214 ~all"/>
    <s v="yes"/>
    <x v="3"/>
    <s v="v=DMARC1;p=reject;rua=mailto:1472b967b4@rua.easydmarc.us;ruf=mailto:1472b967b4@ruf.easydmarc.us;fo=1"/>
    <m/>
    <m/>
    <x v="6"/>
    <x v="0"/>
    <x v="0"/>
  </r>
  <r>
    <s v="canon.ie"/>
    <s v="minus"/>
    <x v="0"/>
    <s v="v=spf1 include:canon-emea.com -all"/>
    <s v="yes"/>
    <x v="3"/>
    <s v="v=DMARC1; p=reject; rua=mailto:1559aaadaeb7147@rep.dmarcanalyzer.com; ruf=mailto:1559aaadaeb7147@for.dmarcanalyzer.com; fo=1;"/>
    <m/>
    <m/>
    <x v="0"/>
    <x v="0"/>
    <x v="0"/>
  </r>
  <r>
    <s v="fos.ie"/>
    <s v="minus"/>
    <x v="0"/>
    <s v="v=spf1 include:spf.protection.outlook.com a mx ip4:193.8.241.218 include:servers.icm-marketingportal.com -all"/>
    <m/>
    <x v="2"/>
    <s v="v=DMARC1; p=none;"/>
    <m/>
    <m/>
    <x v="23"/>
    <x v="0"/>
    <x v="0"/>
  </r>
  <r>
    <s v="abbott.com"/>
    <s v="tilde"/>
    <x v="1"/>
    <s v="v=spf1 include:%{ir}.%{v}.%{d}.spf.has.pphosted.com ~all"/>
    <s v="yes"/>
    <x v="3"/>
    <s v="v=DMARC1; p=reject; fo=1; rua=mailto:dmarc_rua@emaildefense.proofpoint.com; ruf=mailto:dmarc_ruf@emaildefense.proofpoint.com"/>
    <m/>
    <m/>
    <x v="0"/>
    <x v="0"/>
    <x v="0"/>
  </r>
  <r>
    <s v="ricesteele.com"/>
    <s v="minus"/>
    <x v="0"/>
    <s v="v=spf1 a -all"/>
    <m/>
    <x v="0"/>
    <m/>
    <m/>
    <m/>
    <x v="0"/>
    <x v="0"/>
    <x v="0"/>
  </r>
  <r>
    <s v="rms.ie"/>
    <s v="minus"/>
    <x v="0"/>
    <s v="v=spf1 include:spf1.speig.fr include:spf2.speig.fr include:spf3.speig.fr include:spf4.speig.fr -all"/>
    <m/>
    <x v="0"/>
    <m/>
    <m/>
    <m/>
    <x v="16"/>
    <x v="0"/>
    <x v="0"/>
  </r>
  <r>
    <s v="embankment.ie"/>
    <s v="question"/>
    <x v="4"/>
    <s v="v=spf1 include:spf.protection.outlook.com ?all"/>
    <m/>
    <x v="0"/>
    <m/>
    <m/>
    <m/>
    <x v="24"/>
    <x v="0"/>
    <x v="0"/>
  </r>
  <r>
    <s v="unitedcaps.com"/>
    <s v="minus"/>
    <x v="0"/>
    <s v="v=spf1 include:spf.protection.outlook.com include:unitedcaps.onmicrosoft.com include:protection.outlook.com  include:spf.eu.exclaimer.net ip4:217.31.73.243 -all"/>
    <s v="yes"/>
    <x v="2"/>
    <s v="v=DMARC1;p=none;pct=100;rua=mailto:IT-EmailSecurity-3f56e5c0b5874d1a95f95f2fdc627d72@unitedcaps.zoom.us;ruf=mailto:IT-EmailSecurity-3f56e5c0b5874d1a95f95f2fdc627d72@unitedcaps.zoom.us"/>
    <m/>
    <m/>
    <x v="24"/>
    <x v="0"/>
    <x v="0"/>
  </r>
  <r>
    <s v="begleys.ie"/>
    <s v="tilde"/>
    <x v="1"/>
    <s v="v=spf1 mx include:cmail1.com include:spf.protection.outlook.com include:spf.emailsignatures365.com ~all"/>
    <m/>
    <x v="0"/>
    <m/>
    <m/>
    <m/>
    <x v="0"/>
    <x v="0"/>
    <x v="0"/>
  </r>
  <r>
    <s v="wholefoodswholesale.ie"/>
    <s v="no"/>
    <x v="2"/>
    <m/>
    <m/>
    <x v="0"/>
    <m/>
    <m/>
    <m/>
    <x v="0"/>
    <x v="0"/>
    <x v="0"/>
  </r>
  <r>
    <s v="wrightsofhowth.com"/>
    <s v="minus"/>
    <x v="0"/>
    <s v="v=spf1 include:spf.protection.outlook.com -all"/>
    <s v="yes"/>
    <x v="2"/>
    <s v="v=DMARC1; p=none;"/>
    <m/>
    <m/>
    <x v="0"/>
    <x v="0"/>
    <x v="0"/>
  </r>
  <r>
    <s v="4aceswholesale.ie"/>
    <s v="no"/>
    <x v="2"/>
    <m/>
    <m/>
    <x v="0"/>
    <m/>
    <m/>
    <m/>
    <x v="18"/>
    <x v="0"/>
    <x v="0"/>
  </r>
  <r>
    <s v="greenfieldfoods.ie"/>
    <s v="minus"/>
    <x v="0"/>
    <s v="v=spf1 ip4:80.249.246.174 include:spf.protection.outlook.com include:spf.topsec.com -all"/>
    <m/>
    <x v="0"/>
    <m/>
    <m/>
    <m/>
    <x v="12"/>
    <x v="0"/>
    <x v="0"/>
  </r>
  <r>
    <s v="pettreats.ie"/>
    <s v="tilde"/>
    <x v="1"/>
    <s v="v=spf1 include:spf.protection.outlook.com mx +a include:relay.mailchannels.net ~all"/>
    <m/>
    <x v="0"/>
    <m/>
    <m/>
    <m/>
    <x v="23"/>
    <x v="0"/>
    <x v="0"/>
  </r>
  <r>
    <s v="mcdonogh.ie"/>
    <s v="minus"/>
    <x v="0"/>
    <s v="v=spf1 ip4:86.43.85.128 include:spf.protection.outlook.com ip4:212.78.228.74 -all"/>
    <s v="yes"/>
    <x v="0"/>
    <m/>
    <m/>
    <m/>
    <x v="7"/>
    <x v="0"/>
    <x v="0"/>
  </r>
  <r>
    <s v="flemingmedical.ie"/>
    <s v="minus"/>
    <x v="0"/>
    <s v="v=spf1 include:mailgun.org include:spf.messagelabs.com include:servers.mcsv.net include:sendgrid.net include:spf.protection.outlook.com include:spf.elive.net -all"/>
    <s v="yes"/>
    <x v="1"/>
    <s v="v=DMARC1; p=quarantine; fo=1; pct=100; rua=mailto:dmarc@flemingmedical.ie; ruf=mailto:dmarc@flemingmedical.ie;"/>
    <m/>
    <m/>
    <x v="5"/>
    <x v="0"/>
    <x v="0"/>
  </r>
  <r>
    <s v="irema.com"/>
    <s v="tilde"/>
    <x v="1"/>
    <s v="v=spf1 a include:spf.blacknight.ie  ~all"/>
    <m/>
    <x v="2"/>
    <s v="v=DMARC1; p=none"/>
    <m/>
    <m/>
    <x v="5"/>
    <x v="0"/>
    <x v="0"/>
  </r>
  <r>
    <s v="gallagherbros.ie"/>
    <s v="minus"/>
    <x v="0"/>
    <s v="v=spf1 include:spf.protection.outlook.com -all"/>
    <m/>
    <x v="0"/>
    <m/>
    <m/>
    <m/>
    <x v="6"/>
    <x v="0"/>
    <x v="0"/>
  </r>
  <r>
    <s v="arignafuels.ie"/>
    <s v="minus"/>
    <x v="0"/>
    <s v="v=spf1 ip4:95.45.250.217 include:spf.protection.outlook.com -all"/>
    <m/>
    <x v="2"/>
    <s v="v=DMARC1;p=none;"/>
    <m/>
    <m/>
    <x v="22"/>
    <x v="0"/>
    <x v="0"/>
  </r>
  <r>
    <s v="thehelix.ie"/>
    <s v="tilde"/>
    <x v="1"/>
    <s v="v=spf1 a include:spf.blacknight.ie ~all"/>
    <m/>
    <x v="0"/>
    <m/>
    <m/>
    <m/>
    <x v="0"/>
    <x v="0"/>
    <x v="0"/>
  </r>
  <r>
    <s v="aillweecave.ie"/>
    <s v="minus"/>
    <x v="0"/>
    <s v="v=spf1 ip4:78.137.164.79 ip4:91.102.80.14 include:spf.protection.outlook.com -all"/>
    <m/>
    <x v="2"/>
    <s v="v=DMARC1; p=none;"/>
    <m/>
    <m/>
    <x v="9"/>
    <x v="0"/>
    <x v="0"/>
  </r>
  <r>
    <s v="blarneycastle.ie"/>
    <s v="minus"/>
    <x v="0"/>
    <s v="v=spf1 include:spf.protection.outlook.com -all"/>
    <s v="yes"/>
    <x v="0"/>
    <m/>
    <m/>
    <m/>
    <x v="1"/>
    <x v="0"/>
    <x v="0"/>
  </r>
  <r>
    <s v="awac.com"/>
    <s v="tilde"/>
    <x v="1"/>
    <s v="v=spf1 include:spf-00186d01.pphosted.com  include:_spf.salesforce.com include:spf.protection.outlook.com include:_spf.mitracloud.com include:_spf.highradius.com include:pr.highradius.com include:e2ma.net a:c.spf.service-now.com ~all"/>
    <m/>
    <x v="3"/>
    <s v="v=DMARC1; p=reject; fo=1; rua=mailto:dmarc_rua@emaildefense.proofpoint.com; ruf=mailto:dmarc_ruf@emaildefense.proofpoint.com"/>
    <m/>
    <m/>
    <x v="0"/>
    <x v="0"/>
    <x v="0"/>
  </r>
  <r>
    <s v="axiscapital.com"/>
    <s v="minus"/>
    <x v="0"/>
    <s v="v=spf1 exists:%{i}._i.%{d}._d.espf.agari-dns.net include:%{d}.f1.spf-protect.agari-dns.net -all"/>
    <s v="yes"/>
    <x v="3"/>
    <s v="v=DMARC1; p=reject; fo=1; ri=3600; rua=mailto:axis-capital@rua.agari.com; ruf=mailto:axis-capital@ruf.agari.com"/>
    <m/>
    <m/>
    <x v="0"/>
    <x v="0"/>
    <x v="0"/>
  </r>
  <r>
    <s v="renre.com"/>
    <s v="minus"/>
    <x v="0"/>
    <s v="v=spf1 include:eu._netblocks.mimecast.com include:spf.protection.outlook.com include:servers.mcsv.net a:dispatch-us.ppe-hosted.com a:dispatch-eu.ppe-hosted.com ip4:63.71.13.0/24 ip4:63.71.14.0/24 ip4:63.71.15.0/24 &quot; &quot;ip4:67.231.152.0/24 ip4:67.231.153.0/24 ip4:67.231.154.0/24 ip4:67.231.155.0/24 ip4:67.231.156.0/24 ip4:67.231.144.0/24 ip4:67.231.145.0/24 ip4:67.231.146.0/24 ip4:67.231.147.0/24 ip4:67.231.148.0/24 &quot; &quot;ip4:67.231.149.0/24  ip4:148.163.128.0/19 ip4:91.209.104.0/24 ip4:91.207.212.0/24 ip4:91.207.213.0/24 ip4:62.209.50.0/24 ip4:62.209.51.0/24 ip4:185.132.180.0/24 ip4:185.132.181.0/24 ip4:185.132.182.0/24 &quot; &quot;ip4:185.132.183.0/24 ip4:185.183.28.0/22 ip4:164.109.28.253/32 ip4:164.109.107.24/32 ip4:54.173.107.179/32 ip4:52.6.190.130/32 ip4:54.172.129.181/32 ip4:164.109.107.24/32 &quot; &quot;ip4:199.30.236.0/24 ip4:91.209.6.0/24 ip4:199.30.236.0/22 ip4:207.195.176.0/20 ip4:68.232.140.79 ip4:68.232.140.57 ip4:68.232.135.234 ip4:68.232.135.235 &quot; &quot;ip4:199.255.192.0/22 ip4:199.127.232.0/22 ip4:54.240.0.0/18 ip4:69.169.224.0/20 ip4:23.249.208.0/20 ip4:23.251.224.0/19 ip4:76.223.176.0/20 ip4:54.240.64.0/19 ip4:54.240.96.0/19 ip4:52.82.172.0/22 ip4:76.223.128.0/19 -all"/>
    <m/>
    <x v="3"/>
    <s v="v=DMARC1; p=reject; rua=mailto:dce820792adf497@rep.dmarcanalyzer.com; ruf=mailto:dce820792adf497@for.dmarcanalyzer.com; aspf=s; fo=1;"/>
    <m/>
    <m/>
    <x v="0"/>
    <x v="0"/>
    <x v="0"/>
  </r>
  <r>
    <s v="aimcashandcarry.ie"/>
    <s v="no"/>
    <x v="2"/>
    <m/>
    <m/>
    <x v="0"/>
    <m/>
    <m/>
    <m/>
    <x v="0"/>
    <x v="0"/>
    <x v="0"/>
  </r>
  <r>
    <s v="traditionalcheese.ie"/>
    <s v="minus"/>
    <x v="0"/>
    <s v="v=spf1 include:spf.protection.outlook.com -all"/>
    <s v="yes"/>
    <x v="0"/>
    <m/>
    <m/>
    <m/>
    <x v="0"/>
    <x v="0"/>
    <x v="0"/>
  </r>
  <r>
    <s v="glenisk.com"/>
    <s v="tilde"/>
    <x v="1"/>
    <s v="v=spf1 ip4:83.138.8.118 include:relay.mailchannels.net include:spf.protection.outlook.com ~all"/>
    <s v="yes"/>
    <x v="2"/>
    <s v="v=DMARC1; p=none;"/>
    <m/>
    <m/>
    <x v="21"/>
    <x v="0"/>
    <x v="0"/>
  </r>
  <r>
    <s v="caseyconcrete.ie"/>
    <s v="minus"/>
    <x v="0"/>
    <s v="v=spf1 include:spf.protection.outlook.com include:scanscope.net -all"/>
    <m/>
    <x v="0"/>
    <m/>
    <m/>
    <m/>
    <x v="3"/>
    <x v="0"/>
    <x v="0"/>
  </r>
  <r>
    <s v="leisureworldcork.com"/>
    <s v="tilde"/>
    <x v="1"/>
    <s v="v=spf1 include:legendware.co.uk include:spf.mandrillapp.com include:_spf.google.com ~all"/>
    <s v="yes"/>
    <x v="1"/>
    <s v="v=DMARC1;p=quarantine;pct=100;rua=mailto:60aa190da5@rua.easydmarc.eu;ruf=mailto:60aa190da5@ruf.easydmarc.eu;fo=1; sp=quarantine; adkim=s; aspf=s"/>
    <m/>
    <m/>
    <x v="1"/>
    <x v="0"/>
    <x v="0"/>
  </r>
  <r>
    <s v="arena7.ie"/>
    <s v="tilde"/>
    <x v="1"/>
    <s v="v=spf1 include:emailsrvr.com ~all"/>
    <s v="yes"/>
    <x v="2"/>
    <s v="v=DMARC1; p=none;"/>
    <m/>
    <m/>
    <x v="6"/>
    <x v="0"/>
    <x v="0"/>
  </r>
  <r>
    <s v="cherryorchardequinecentre.ie"/>
    <s v="no"/>
    <x v="2"/>
    <m/>
    <m/>
    <x v="0"/>
    <m/>
    <m/>
    <m/>
    <x v="0"/>
    <x v="0"/>
    <x v="0"/>
  </r>
  <r>
    <s v="curragh.ie"/>
    <s v="minus"/>
    <x v="0"/>
    <s v="v=spf1 exists:%{i}.spf.acme.iphmx.com ip4:137.191.244.169 ip4:139.138.61.113 ip4:139.138.61.197 ip4:139.138.36.15 ip4:139.138.36.238 include:spf.protection.outlook.com include:spf2.tibus.net -all"/>
    <m/>
    <x v="0"/>
    <m/>
    <m/>
    <m/>
    <x v="16"/>
    <x v="0"/>
    <x v="0"/>
  </r>
  <r>
    <s v="mccreerycleaning.ie"/>
    <s v="tilde"/>
    <x v="1"/>
    <s v="v=spf1 ip4:185.43.232.194 ip4:78.137.164.94 +a +mx +ip4:78.137.164.229 include:spf.protection.outlook.com ~all"/>
    <s v="yes"/>
    <x v="0"/>
    <m/>
    <m/>
    <m/>
    <x v="17"/>
    <x v="0"/>
    <x v="0"/>
  </r>
  <r>
    <s v="celticrosshotel.com"/>
    <s v="minus"/>
    <x v="0"/>
    <s v="v=spf1 include:spf.protection.outlook.com include:netaffinity.net -all"/>
    <m/>
    <x v="0"/>
    <m/>
    <m/>
    <m/>
    <x v="1"/>
    <x v="0"/>
    <x v="0"/>
  </r>
  <r>
    <s v="allinghamarmshotel.ie"/>
    <s v="minus"/>
    <x v="0"/>
    <s v="v=spf1 include:spf.protection.outlook.com -all"/>
    <m/>
    <x v="0"/>
    <m/>
    <m/>
    <m/>
    <x v="6"/>
    <x v="0"/>
    <x v="0"/>
  </r>
  <r>
    <s v="theclarence.ie"/>
    <s v="minus"/>
    <x v="0"/>
    <s v="v=spf1 include:spf.protection.outlook.com include:spf.eu.exclaimer.net include:oracleindustry.com include:microsdc.com mx a -all"/>
    <s v="yes"/>
    <x v="2"/>
    <s v="v=DMARC1; p=none;"/>
    <m/>
    <m/>
    <x v="0"/>
    <x v="0"/>
    <x v="0"/>
  </r>
  <r>
    <s v="southcourthotel.com"/>
    <s v="minus"/>
    <x v="0"/>
    <s v="v=spf1 include:spamtitan.tierneys.ie include:spf.protection.outlook.com -all"/>
    <m/>
    <x v="0"/>
    <m/>
    <m/>
    <m/>
    <x v="5"/>
    <x v="0"/>
    <x v="0"/>
  </r>
  <r>
    <s v="goreyshoppingcentre.ie"/>
    <s v="no"/>
    <x v="2"/>
    <m/>
    <m/>
    <x v="0"/>
    <m/>
    <m/>
    <m/>
    <x v="3"/>
    <x v="0"/>
    <x v="0"/>
  </r>
  <r>
    <s v="alliance-francaise.ie"/>
    <s v="tilde"/>
    <x v="1"/>
    <s v="v=spf1 include:spf.protection.outlook.com include:servers.mcsv.net ip4:194.46.205.161 ~all"/>
    <s v="yes"/>
    <x v="2"/>
    <s v="v=DMARC1; p=none; rua=mailto:postmaster@alliance-francaise.ie; ruf=mailto:postmaster@alliance-francaise.ie"/>
    <m/>
    <m/>
    <x v="0"/>
    <x v="0"/>
    <x v="0"/>
  </r>
  <r>
    <s v="atlaslanguageschool.com"/>
    <s v="no"/>
    <x v="2"/>
    <m/>
    <s v="yes"/>
    <x v="2"/>
    <s v="v=DMARC1;  p=none; rua=mailto:ad5ef38d5c0c4fc5af4c8570e8920e40@dmarc-reports.cloudflare.net"/>
    <m/>
    <m/>
    <x v="0"/>
    <x v="0"/>
    <x v="0"/>
  </r>
  <r>
    <s v="sandfordlanguages.ie"/>
    <s v="tilde"/>
    <x v="1"/>
    <s v="v=spf1 ip4:95.216.111.60 ip6:2a01:4f9:2b:4a9::698:f4da ip4:95.216.8.51 ip6:2a01:4f9:2a:84c::2 ip4:139.59.169.192 ip6:2a03:b0c0:1:d0::c13:b001 +include:_spf.google.com ~all"/>
    <s v="yes"/>
    <x v="3"/>
    <s v="v=DMARC1; p=reject; rua=mailto:83e992e4131d544@rep.dmarcanalyzer.com; ruf=mailto:83e992e4131d544@for.dmarcanalyzer.com; sp=none; fo=1;"/>
    <m/>
    <m/>
    <x v="0"/>
    <x v="0"/>
    <x v="0"/>
  </r>
  <r>
    <s v="dmwap.ie"/>
    <s v="no"/>
    <x v="2"/>
    <m/>
    <m/>
    <x v="0"/>
    <m/>
    <m/>
    <m/>
    <x v="0"/>
    <x v="0"/>
    <x v="0"/>
  </r>
  <r>
    <s v="innalabs.com"/>
    <s v="minus"/>
    <x v="0"/>
    <s v="v=spf1 ip4:31.216.232.154 ip4:213.133.70.74 include:spf.protection.outlook.com -all"/>
    <s v="yes"/>
    <x v="1"/>
    <s v="v=DMARC1;p=quarantine;rua=mailto:dmarc_agg@vali.email;ruf=mailto:dmarc_agg@vali.email;pct=100;fo=0:1;rf=afrf;ri=86400;sp=none"/>
    <m/>
    <m/>
    <x v="0"/>
    <x v="0"/>
    <x v="0"/>
  </r>
  <r>
    <s v="1cu.ie"/>
    <s v="minus"/>
    <x v="0"/>
    <s v="v=spf1 mx a:mail.1cu.ie a:mail.fscu.ie include:_spf.sonicsecuremail.eu include:spf.protection.outlook.com include:_spf.snwlhostedeu.com include:spf.mailjet.com include:spf.cuonline.well-it.com ip4:89.101.232.18 ip4:80.233.127.247 ip4:173.240.221.13 -all"/>
    <s v="yes"/>
    <x v="2"/>
    <s v="v=DMARC1; p=none; rua=mailto:dmarc@1cu.ie,mailto:rua@dmarc.brevo.com; ruf=mailto:dmarc@1cu.ie; fo=1"/>
    <m/>
    <m/>
    <x v="1"/>
    <x v="0"/>
    <x v="0"/>
  </r>
  <r>
    <s v="creditunionplus.ie"/>
    <s v="minus"/>
    <x v="0"/>
    <s v="v=spf1 include:spf.protection.outlook.com include:spf.mtasv.net include:spf.cuonline.well-it.com include:spf.mailjet.com include:spf.eu.exclaimer.net include:spf.newsletter.ie -all"/>
    <s v="yes"/>
    <x v="2"/>
    <s v="v=DMARC1; p=none; rua=mailto:it-team@creditunionplus.ie; ruf=mailto:it-team@creditunionplus.ie; fo=1; adkim=r; aspf=r; rf=afrf; sp=none"/>
    <m/>
    <m/>
    <x v="15"/>
    <x v="0"/>
    <x v="0"/>
  </r>
  <r>
    <s v="alturacu.ie"/>
    <s v="minus"/>
    <x v="0"/>
    <s v="v=spf1 include:myfreshworks.com include:spf.protection.outlook.com include:spf.mandrillapp.com include:amazonses.com include:spf.newsletter.ie -all"/>
    <s v="yes"/>
    <x v="2"/>
    <s v="v=DMARC1; p=none; rua=mailto:5c7388fcbd82.a@dmarcinput.com; ruf=mailto:5c7388fcbd82.f@dmarcinput.com; fo=1"/>
    <m/>
    <m/>
    <x v="3"/>
    <x v="0"/>
    <x v="0"/>
  </r>
  <r>
    <s v="wexfordcreditunion.ie"/>
    <s v="minus"/>
    <x v="0"/>
    <s v="v=spf1 mx ip4:86.43.68.83 ip4:45.94.72.67 ip4:86.41.245.186 include:_spf.sonicsecuremail.com include:_spf.sonicsecuremail.eu include:_spf.snwlhostedeu.com include:spf.protection.outlook.com include:spf.cuonline.well-it.com include:spf.mailjet.com -all"/>
    <m/>
    <x v="2"/>
    <s v="v=DMARC1;  p=none; rua=mailto:3ad1ce5667054cc1802444f27c22f884@dmarc-reports.cloudflare.net"/>
    <m/>
    <m/>
    <x v="3"/>
    <x v="0"/>
    <x v="0"/>
  </r>
  <r>
    <s v="ie.oliver.agency"/>
    <s v="no"/>
    <x v="2"/>
    <m/>
    <m/>
    <x v="0"/>
    <m/>
    <m/>
    <m/>
    <x v="0"/>
    <x v="0"/>
    <x v="0"/>
  </r>
  <r>
    <s v="pdvisual.ie"/>
    <s v="minus"/>
    <x v="0"/>
    <s v="v=spf1 include:spf.protection.outlook.com -all"/>
    <m/>
    <x v="0"/>
    <m/>
    <m/>
    <m/>
    <x v="0"/>
    <x v="0"/>
    <x v="0"/>
  </r>
  <r>
    <s v="playprint.com"/>
    <s v="no"/>
    <x v="2"/>
    <m/>
    <m/>
    <x v="0"/>
    <m/>
    <m/>
    <m/>
    <x v="0"/>
    <x v="0"/>
    <x v="0"/>
  </r>
  <r>
    <s v="enernoc.com"/>
    <s v="minus"/>
    <x v="0"/>
    <s v="v=spf1 include:spf.protection.outlook.com -all"/>
    <s v="yes"/>
    <x v="3"/>
    <s v="v=DMARC1; p=reject; fo=1; rua=mailto:dmarc_rua@emaildefense.proofpoint.com; ruf=mailto:dmarc_ruf@emaildefense.proofpoint.com"/>
    <m/>
    <m/>
    <x v="0"/>
    <x v="0"/>
    <x v="0"/>
  </r>
  <r>
    <s v="fireseal.ie"/>
    <s v="minus"/>
    <x v="0"/>
    <s v="v=spf1 include:spf.protection.outlook.com include:spf.smtp2go.com -all"/>
    <s v="yes"/>
    <x v="1"/>
    <s v="v=DMARC1; p=quarantine; fo=1; rua=mailto:dmarc@fireseal.ie; ruf=mailto:dmarc@fireseal.ie;"/>
    <m/>
    <m/>
    <x v="0"/>
    <x v="0"/>
    <x v="0"/>
  </r>
  <r>
    <s v="sanofi-aventis.com"/>
    <s v="tilde"/>
    <x v="1"/>
    <s v="v=spf1 include:spf-a.sanofi.com include:spf-c.sanofi.com include:spf.protection.outlook.com include:de._netblocks.mimecast.com include:us._netblocks.mimecast.com ~all"/>
    <s v="yes"/>
    <x v="1"/>
    <s v="v=DMARC1; p=quarantine; rua=mailto:093b247be21b620@rep.dmarcanalyzer.com; ruf=mailto:093b247be21b620@for.dmarcanalyzer.com; fo=1;"/>
    <m/>
    <m/>
    <x v="0"/>
    <x v="0"/>
    <x v="0"/>
  </r>
  <r>
    <s v="ie.pattersonpumps.com"/>
    <s v="tilde"/>
    <x v="1"/>
    <s v="v=spf1 include:spf.protection.outlook.com ~all"/>
    <s v="yes"/>
    <x v="0"/>
    <m/>
    <m/>
    <m/>
    <x v="23"/>
    <x v="0"/>
    <x v="0"/>
  </r>
  <r>
    <s v="writechltd.com"/>
    <s v="minus"/>
    <x v="0"/>
    <s v="v=spf1 include:spf.protection.outlook.com -all"/>
    <m/>
    <x v="0"/>
    <m/>
    <m/>
    <m/>
    <x v="23"/>
    <x v="0"/>
    <x v="0"/>
  </r>
  <r>
    <s v="crowleycarbon.com"/>
    <s v="tilde"/>
    <x v="1"/>
    <s v="v=spf1 include:spf.mtasv.net include:_spf.google.com include:mail.zendesk.com  include:6472707.spf07.hubspotemail.net include:amazonses.com  include:spf_c.oracle.com include:spf_a.oracle.com  ~all"/>
    <s v="yes"/>
    <x v="2"/>
    <s v="v=DMARC1; rua=mailto:dmarc-reports@crowleycarbon.com; p=none; sp=none; adkim=r ; aspf=r"/>
    <m/>
    <m/>
    <x v="24"/>
    <x v="0"/>
    <x v="0"/>
  </r>
  <r>
    <s v="verde.ie"/>
    <s v="minus"/>
    <x v="0"/>
    <s v="v=spf1 include:spf.protection.outlook.com -all"/>
    <s v="yes"/>
    <x v="2"/>
    <s v="v=DMARC1; p=none; aspf=r; adkim=r;"/>
    <m/>
    <m/>
    <x v="24"/>
    <x v="0"/>
    <x v="0"/>
  </r>
  <r>
    <s v="3m.com"/>
    <s v="minus"/>
    <x v="0"/>
    <s v="v=spf1 include:%{ir}.%{v}.%{d}.spf.has.pphosted.com -all"/>
    <s v="yes"/>
    <x v="1"/>
    <s v="v=DMARC1; p=quarantine; fo=1; rua=mailto:dmarc_rua@emaildefense.proofpoint.com; ruf=mailto:dmarc_ruf@emaildefense.proofpoint.com;"/>
    <m/>
    <m/>
    <x v="0"/>
    <x v="0"/>
    <x v="0"/>
  </r>
  <r>
    <s v="11890.ie"/>
    <s v="minus"/>
    <x v="0"/>
    <s v="v=spf1 include:spf.protection.outlook.com -all"/>
    <m/>
    <x v="0"/>
    <m/>
    <m/>
    <m/>
    <x v="0"/>
    <x v="0"/>
    <x v="0"/>
  </r>
  <r>
    <s v="gmss.ie"/>
    <s v="tilde"/>
    <x v="1"/>
    <s v="v=spf1 include:spf.protection.outlook.com include:_spf.elasticemail.com ~all"/>
    <m/>
    <x v="2"/>
    <s v="v=DMARC1; p=none;"/>
    <m/>
    <m/>
    <x v="0"/>
    <x v="0"/>
    <x v="0"/>
  </r>
  <r>
    <s v="pitneybowes.ie"/>
    <s v="no"/>
    <x v="2"/>
    <m/>
    <m/>
    <x v="0"/>
    <m/>
    <m/>
    <m/>
    <x v="0"/>
    <x v="0"/>
    <x v="0"/>
  </r>
  <r>
    <s v="spicers.ie"/>
    <s v="minus"/>
    <x v="0"/>
    <s v="v=spf1 ip4:194.151.190.162 ip4:130.117.253.164 include:eu._netblocks.mimecast.com include:emsd1.com -all"/>
    <m/>
    <x v="3"/>
    <s v="v=DMARC1; p=reject; pct=100; rua=mailto:xw1m59yr@ag.us.dmarcian.com;"/>
    <m/>
    <m/>
    <x v="0"/>
    <x v="0"/>
    <x v="0"/>
  </r>
  <r>
    <s v="theofficecentre.ie"/>
    <s v="tilde"/>
    <x v="1"/>
    <s v="v=spf1 a include:spf.blacknight.ie ~all"/>
    <m/>
    <x v="0"/>
    <m/>
    <m/>
    <m/>
    <x v="18"/>
    <x v="0"/>
    <x v="0"/>
  </r>
  <r>
    <s v="westgatefoundation.ie"/>
    <s v="tilde"/>
    <x v="1"/>
    <s v="v=spf1 ip4:185.199.220.81 include:_spf.google.com include:relay.k.io ~all"/>
    <m/>
    <x v="0"/>
    <m/>
    <m/>
    <m/>
    <x v="1"/>
    <x v="0"/>
    <x v="0"/>
  </r>
  <r>
    <s v="castlehomecare.ie"/>
    <s v="no"/>
    <x v="2"/>
    <m/>
    <m/>
    <x v="0"/>
    <m/>
    <m/>
    <m/>
    <x v="0"/>
    <x v="0"/>
    <x v="0"/>
  </r>
  <r>
    <s v="exchangehouse.ie"/>
    <s v="no"/>
    <x v="2"/>
    <m/>
    <m/>
    <x v="0"/>
    <m/>
    <m/>
    <m/>
    <x v="0"/>
    <x v="0"/>
    <x v="0"/>
  </r>
  <r>
    <s v="lycs.ie"/>
    <s v="minus"/>
    <x v="0"/>
    <s v="v=spf1 include:spf.protection.outlook.com -all"/>
    <s v="yes"/>
    <x v="2"/>
    <s v="v=DMARC1; p=none; rua=mailto:dmarc_agg@vali.email"/>
    <m/>
    <m/>
    <x v="0"/>
    <x v="0"/>
    <x v="0"/>
  </r>
  <r>
    <s v="macrobuilding.ie"/>
    <s v="mis"/>
    <x v="3"/>
    <s v="v=spf1 a mx include:spf.irishdomains.com"/>
    <m/>
    <x v="0"/>
    <m/>
    <m/>
    <m/>
    <x v="0"/>
    <x v="0"/>
    <x v="0"/>
  </r>
  <r>
    <s v="oxfamireland.org"/>
    <s v="mis"/>
    <x v="3"/>
    <s v="&quot;v=spf1 mx a     include:spf.protection.outlook.com  include:spf.mandrillapp.com include:sendgrid.net include:_spf.eu.messagegears.net include:customer.clickdimensions.com"/>
    <s v="yes"/>
    <x v="2"/>
    <s v="v=DMARC1; p=none; rua=mailto:rua@dmarc.brevo.com"/>
    <m/>
    <m/>
    <x v="0"/>
    <x v="0"/>
    <x v="0"/>
  </r>
  <r>
    <s v="ancosan.ie"/>
    <s v="minus"/>
    <x v="0"/>
    <s v="v=spf1 include:sendgrid.net include:spf.protection.outlook.com include:spf.zoho.eu include:eu.transmail.net include:servers.mcsv.net -all"/>
    <s v="yes"/>
    <x v="0"/>
    <m/>
    <m/>
    <m/>
    <x v="0"/>
    <x v="0"/>
    <x v="0"/>
  </r>
  <r>
    <s v="inspirewellbeing.ie"/>
    <s v="minus"/>
    <x v="0"/>
    <s v="v=spf1 include:spf.protection.outlook.com -all"/>
    <m/>
    <x v="0"/>
    <m/>
    <m/>
    <m/>
    <x v="15"/>
    <x v="0"/>
    <x v="0"/>
  </r>
  <r>
    <s v="daon.com"/>
    <s v="tilde"/>
    <x v="1"/>
    <s v="v=spf1 ip4:77.75.100.150 ip4:110.145.205.30 include:spf.protection.outlook.com include:8526146.spf03.hubspotemail.net include:sendgrid.net include:relay.mailchannels.net include:_spf.salesforce.com ~all"/>
    <s v="yes"/>
    <x v="3"/>
    <s v="v=DMARC1;p=reject;rua=mailto:dmarc-aggregate@daon.com;ruf=mailto:dmarc-forensics@daon.com;"/>
    <m/>
    <m/>
    <x v="0"/>
    <x v="0"/>
    <x v="0"/>
  </r>
  <r>
    <s v="ellucian.com"/>
    <s v="mis"/>
    <x v="3"/>
    <s v="v=spf1 redirect=b2z771vc._spf._d.mim.ec"/>
    <s v="yes"/>
    <x v="3"/>
    <s v="v=DMARC1; p=reject; sp=none; rua=mailto:176efc8c0f93656@rep.dmarcanalyzer.com; ruf=mailto:176efc8c0f93656@for.dmarcanalyzer.com; fo=1;"/>
    <m/>
    <m/>
    <x v="0"/>
    <x v="0"/>
    <x v="0"/>
  </r>
  <r>
    <s v="labgroup.com"/>
    <s v="minus"/>
    <x v="0"/>
    <s v="v=spf1 mx ip4:185.202.251.0/27 ip4:92.42.179.103 include:labgroup.net include:servers.mcsv.net include:_spf.salesforce.com -all"/>
    <s v="yes"/>
    <x v="1"/>
    <s v="v=DMARC1; p=quarantine; pct=100; ruf=mailto:dmarc@labgroup.com; rua=mailto:dmarc@labgroup.com; adkim=r; aspf=r"/>
    <m/>
    <m/>
    <x v="0"/>
    <x v="0"/>
    <x v="0"/>
  </r>
  <r>
    <s v="oracle.com"/>
    <s v="tilde"/>
    <x v="1"/>
    <s v="v=spf1 include:spf_s.oracle.com include:spf_r.oracle.com include:spf_c.oraclecloud.com include:spf_x.oracle.com include:spf_z.oracle.com include:stspg-customer.com ~all"/>
    <s v="yes"/>
    <x v="3"/>
    <s v="v=DMARC1;p=reject;rua=mailto:dmarc_rua@emaildefense.proofpoint.com;ruf=mailto:dmarc_ruf@emaildefense.proofpoint.com;fo=1"/>
    <m/>
    <m/>
    <x v="7"/>
    <x v="0"/>
    <x v="0"/>
  </r>
  <r>
    <s v="waterfordtechnologies.com"/>
    <s v="minus"/>
    <x v="0"/>
    <s v="v=spf1 include:zoho.com include:zcsend.net include:spf.protection.outlook.com ip4:78.153.205.203 -all"/>
    <s v="yes"/>
    <x v="1"/>
    <s v="v=DMARC1; p=quarantine; rua=mailto:dmarcrua@waterfordtechnologies.com; ruf=mailto:dmarcruf@waterfordtechnologies.com"/>
    <m/>
    <m/>
    <x v="10"/>
    <x v="0"/>
    <x v="0"/>
  </r>
  <r>
    <s v="carlowprecast.com"/>
    <s v="no"/>
    <x v="2"/>
    <m/>
    <m/>
    <x v="0"/>
    <m/>
    <m/>
    <m/>
    <x v="25"/>
    <x v="0"/>
    <x v="0"/>
  </r>
  <r>
    <s v="danmorrissey.com"/>
    <s v="no"/>
    <x v="2"/>
    <m/>
    <m/>
    <x v="0"/>
    <m/>
    <m/>
    <m/>
    <x v="25"/>
    <x v="0"/>
    <x v="0"/>
  </r>
  <r>
    <s v="priorityconstruction.ie"/>
    <s v="minus"/>
    <x v="0"/>
    <s v="v=spf1 include:spf.protection.outlook.com -all"/>
    <m/>
    <x v="0"/>
    <m/>
    <m/>
    <m/>
    <x v="0"/>
    <x v="0"/>
    <x v="0"/>
  </r>
  <r>
    <s v="drumderryagg.ie"/>
    <s v="mis"/>
    <x v="3"/>
    <s v="&quot;v=spf1 +a +mx +include:spf.myhost.ie ~all&quot;"/>
    <s v="yes"/>
    <x v="0"/>
    <m/>
    <m/>
    <m/>
    <x v="3"/>
    <x v="0"/>
    <x v="0"/>
  </r>
  <r>
    <s v="stamptransport.ie"/>
    <s v="tilde"/>
    <x v="1"/>
    <s v="v=spf1 include:spf.reg365.net include:reflexion.net ~all"/>
    <s v="yes"/>
    <x v="0"/>
    <m/>
    <m/>
    <m/>
    <x v="3"/>
    <x v="0"/>
    <x v="0"/>
  </r>
  <r>
    <s v="cd-group.ie"/>
    <s v="tilde"/>
    <x v="1"/>
    <s v="v=spf1 mx a ip4:81.149.208.176/32 ip4:90.155.123.227/32 a:stan.tibus.net include:tibus.net a:dispatch-eu.ppe-hosted.com include:eu._netblocks.mimecast.com ~all"/>
    <m/>
    <x v="0"/>
    <m/>
    <m/>
    <m/>
    <x v="0"/>
    <x v="0"/>
    <x v="0"/>
  </r>
  <r>
    <s v="greaneyglass.com"/>
    <s v="tilde"/>
    <x v="1"/>
    <s v="v=spf1 +a +ip4:93.107.177.181 +ip4:85.119.248.0/22 +ip4:66.206.3.250 include:spf.protection.outlook.com include:spf.ess.de.barracudanetworks.com ~all"/>
    <s v="yes"/>
    <x v="0"/>
    <m/>
    <m/>
    <m/>
    <x v="7"/>
    <x v="0"/>
    <x v="0"/>
  </r>
  <r>
    <s v="ipf.ie"/>
    <s v="minus"/>
    <x v="0"/>
    <s v="v=spf1 ip4:192.0.78.208 ip4:192.0.78.137 ip4:86.47.44.47 include:spf.protection.outlook.com include:_spf.automattic.com a:server1.bis-platform.com -all"/>
    <s v="yes"/>
    <x v="1"/>
    <s v="v=DMARC1;p=quarantine;sp=reject;pct=100"/>
    <m/>
    <m/>
    <x v="0"/>
    <x v="0"/>
    <x v="0"/>
  </r>
  <r>
    <s v="clarionconsulting.com"/>
    <s v="minus"/>
    <x v="0"/>
    <s v="v=spf1 include:spf.protection.outlook.com -all"/>
    <m/>
    <x v="0"/>
    <m/>
    <m/>
    <m/>
    <x v="0"/>
    <x v="0"/>
    <x v="0"/>
  </r>
  <r>
    <s v="planetpayment.com"/>
    <s v="minus"/>
    <x v="0"/>
    <s v="v=spf1 a mx ip4:185.82.241.36 ip4:77.75.78.0/23 ip4:77.75.76.0/23 ip4:52.215.69.98 ip4:35.176.183.125 ip4:208.78.47.0/24 ip4:208.78.44.0/24 ip4:208.78.45.0/24 ip4:208.78.46.0/24 ip6:2a02:598::/32 include:spf.eu.exclaimer.net include:spf.protection.outlook&quot; &quot;.com include:_spf.salesforce.com include:sendgrid.net include:stspg-customer.com -all"/>
    <s v="yes"/>
    <x v="2"/>
    <s v="v=DMARC1; p=none; fo=1; rua=mailto:dmarc_agg@planetpayment.com;ruf=mailto:dmarc_afrf@planetpayment.com"/>
    <m/>
    <m/>
    <x v="7"/>
    <x v="0"/>
    <x v="0"/>
  </r>
  <r>
    <s v="ashdowncontrolsgroup.com"/>
    <s v="minus"/>
    <x v="0"/>
    <s v="v=spf1 ip4:31.193.221.178 include:spf.protection.outlook.com Include:spf.topsec.com -all"/>
    <s v="yes"/>
    <x v="2"/>
    <s v="v=DMARC1; p=none;"/>
    <m/>
    <m/>
    <x v="0"/>
    <x v="0"/>
    <x v="0"/>
  </r>
  <r>
    <s v="thedx.ie"/>
    <s v="tilde"/>
    <x v="1"/>
    <s v="v=spf1 include:_netblocks.mimecast.com ~all"/>
    <m/>
    <x v="3"/>
    <s v="v=DMARC1; p=reject; rua=mailto:156cdf5e0adb438@rep.dmarcanalyzer.com; ruf=mailto:156cdf5e0adb438@for.dmarcanalyzer.com; fo=1;"/>
    <m/>
    <m/>
    <x v="0"/>
    <x v="0"/>
    <x v="0"/>
  </r>
  <r>
    <s v="dalc.ie"/>
    <s v="tilde"/>
    <x v="1"/>
    <s v="v=spf1 +a +mx +ip4:77.235.57.23    +ip4:176.126.168.90 ~all"/>
    <s v="yes"/>
    <x v="1"/>
    <s v="v=DMARC1; p=quarantine; rua=mailto:admin2@dalc.ie; pct=100; ri=345600; adkim=s; aspf=s"/>
    <m/>
    <m/>
    <x v="0"/>
    <x v="0"/>
    <x v="0"/>
  </r>
  <r>
    <s v="hpcglobal.ie"/>
    <s v="tilde"/>
    <x v="1"/>
    <s v="v=spf1 include:servers.mcsv.net  include:_netblocks.mimecast.com ~all"/>
    <m/>
    <x v="0"/>
    <m/>
    <m/>
    <m/>
    <x v="0"/>
    <x v="0"/>
    <x v="0"/>
  </r>
  <r>
    <s v="instituteofeducation.ie"/>
    <s v="minus"/>
    <x v="0"/>
    <s v="v=spf1 ip4:139.59.183.158 ip4:144.126.228.116 include:_spf.google.com include:spf.protection.outlook.com include:_spf.psm.knowbe4.com include:spf1.formassembly.com -all "/>
    <s v="yes"/>
    <x v="2"/>
    <s v="v=DMARC1;p=none;sp=none;pct=100;adkim=r;aspf=r;rua=mailto:italerts@instituteofeducation.ie;ruf=mailto:italerts@instituteofeducation.ie;ri=86400;fo=1"/>
    <m/>
    <m/>
    <x v="0"/>
    <x v="0"/>
    <x v="0"/>
  </r>
  <r>
    <s v="millwardbrown.com"/>
    <s v="tilde"/>
    <x v="1"/>
    <s v="v=spf1 include:spf.protection.outlook.com include:_spf.grpitsrv.com include:aspmx.pardot.com include:servers.mcsv.net ip4:202.92.101.238 ip4:103.22.209.0/24 ~all"/>
    <s v="yes"/>
    <x v="3"/>
    <s v="v=DMARC1; p=reject;sp=reject; rua=mailto:dmarc_agg@vali.email"/>
    <m/>
    <m/>
    <x v="0"/>
    <x v="0"/>
    <x v="0"/>
  </r>
  <r>
    <s v="olivesafety.ie"/>
    <s v="tilde"/>
    <x v="1"/>
    <s v="v=spf1 include:_spf.google.com include:amazonses.com ~all"/>
    <s v="yes"/>
    <x v="2"/>
    <s v="v=DMARC1; p=none;"/>
    <m/>
    <m/>
    <x v="0"/>
    <x v="0"/>
    <x v="0"/>
  </r>
  <r>
    <s v="skillsoft.com"/>
    <s v="minus"/>
    <x v="0"/>
    <s v="v=spf1 ip4:65.121.228.0/24 ip4:67.132.9.0/24 ip4:62.180.27.27 ip4:185.92.37.57 ip4:52.170.185.240/29 ip4:50.31.156.96/27 ip4:104.245.209.192/26 ip4:170.52.45.1 ip4:208.117.49.186 ip4:192.190.135.11 ip4:192.190.135.12 include:_spf.qualtrics.com&quot; &quot; include:spf.protection.outlook.com include:spfva.skillsoft.com include:spfmessagelabs.skillsoft.com include:emsd1.com -all"/>
    <s v="yes"/>
    <x v="1"/>
    <s v="v=DMARC1; p=quarantine; pct=100; rua=mailto:dmarc@skillsoft.com"/>
    <m/>
    <m/>
    <x v="0"/>
    <x v="0"/>
    <x v="0"/>
  </r>
  <r>
    <s v="weecare.ie"/>
    <s v="tilde"/>
    <x v="1"/>
    <s v="v=spf1 ip4:185.43.232.221 ip4:78.137.164.67 +a +mx +ip4:78.137.164.121 +ip4:80.76.197.188/32 +ip4:78.137.164.72 +include:spf.antispamcloud.com +include:spf-ip.tdrnetworks.com ~all"/>
    <s v="yes"/>
    <x v="2"/>
    <s v="v=DMARC1; p=none;"/>
    <m/>
    <m/>
    <x v="0"/>
    <x v="0"/>
    <x v="0"/>
  </r>
  <r>
    <s v="scoiltriest.ie"/>
    <s v="minus"/>
    <x v="0"/>
    <s v="v=spf1 include:spf.protection.outlook.com -all"/>
    <s v="yes"/>
    <x v="0"/>
    <m/>
    <m/>
    <m/>
    <x v="1"/>
    <x v="0"/>
    <x v="0"/>
  </r>
  <r>
    <s v="stcolumbasgns.ie"/>
    <s v="tilde"/>
    <x v="1"/>
    <s v="v=spf1 ip4:185.199.220.55 a mx ip4:77.72.4.74 include:relay.k.io ~all"/>
    <s v="yes"/>
    <x v="0"/>
    <m/>
    <m/>
    <m/>
    <x v="1"/>
    <x v="0"/>
    <x v="0"/>
  </r>
  <r>
    <s v="holyfamilysns.ie"/>
    <s v="no"/>
    <x v="2"/>
    <m/>
    <m/>
    <x v="2"/>
    <s v="\009 v=DMARC1; p=none;"/>
    <m/>
    <m/>
    <x v="0"/>
    <x v="0"/>
    <x v="0"/>
  </r>
  <r>
    <s v="ladyswellns.ie"/>
    <s v="no"/>
    <x v="2"/>
    <m/>
    <m/>
    <x v="0"/>
    <m/>
    <m/>
    <m/>
    <x v="0"/>
    <x v="0"/>
    <x v="0"/>
  </r>
  <r>
    <s v="stfiachrasjns.com"/>
    <s v="tilde"/>
    <x v="1"/>
    <s v="v=spf1 include:spf.reg365.net ~all"/>
    <m/>
    <x v="0"/>
    <m/>
    <m/>
    <m/>
    <x v="0"/>
    <x v="0"/>
    <x v="0"/>
  </r>
  <r>
    <s v="stlukesns.ie"/>
    <s v="tilde"/>
    <x v="1"/>
    <s v="v=spf1 +a +mx +ip4:217.115.115.247 include:relay.mailchannels.net ~all"/>
    <s v="yes"/>
    <x v="0"/>
    <m/>
    <m/>
    <m/>
    <x v="0"/>
    <x v="0"/>
    <x v="0"/>
  </r>
  <r>
    <s v="stmarksjs.ie"/>
    <s v="tilde"/>
    <x v="1"/>
    <s v="v=spf1 include:_spf.google.com ~all"/>
    <s v="yes"/>
    <x v="2"/>
    <s v="v=DMARC1; p=none;"/>
    <m/>
    <m/>
    <x v="0"/>
    <x v="0"/>
    <x v="0"/>
  </r>
  <r>
    <s v="stthomas.ie"/>
    <s v="no"/>
    <x v="2"/>
    <m/>
    <s v="yes"/>
    <x v="2"/>
    <s v="v=DMARC1; p=none;"/>
    <m/>
    <m/>
    <x v="0"/>
    <x v="0"/>
    <x v="0"/>
  </r>
  <r>
    <s v="junior.renmoreschool.com"/>
    <s v="tilde"/>
    <x v="1"/>
    <s v="v=spf1 ip4:162.55.130.111 include:_spf.svrsh.com ip4:91.210.235.20 include:spf.webhostingireland.ie +a +mx ~all"/>
    <s v="yes"/>
    <x v="0"/>
    <m/>
    <m/>
    <m/>
    <x v="7"/>
    <x v="0"/>
    <x v="0"/>
  </r>
  <r>
    <s v="scoileointrali.com"/>
    <s v="minus"/>
    <x v="0"/>
    <s v="v=spf1 include:spf.protection.outlook.com -all"/>
    <m/>
    <x v="0"/>
    <m/>
    <m/>
    <m/>
    <x v="14"/>
    <x v="0"/>
    <x v="0"/>
  </r>
  <r>
    <s v="kilcullenns.org"/>
    <s v="no"/>
    <x v="2"/>
    <m/>
    <m/>
    <x v="0"/>
    <m/>
    <m/>
    <m/>
    <x v="16"/>
    <x v="0"/>
    <x v="0"/>
  </r>
  <r>
    <s v="monaleenns.ie"/>
    <s v="no"/>
    <x v="2"/>
    <m/>
    <s v="yes"/>
    <x v="0"/>
    <m/>
    <m/>
    <m/>
    <x v="5"/>
    <x v="0"/>
    <x v="0"/>
  </r>
  <r>
    <s v="stvincentslisnagry.com"/>
    <s v="minus"/>
    <x v="0"/>
    <s v="v=spf1 include:spf.protection.outlook.com -all"/>
    <m/>
    <x v="0"/>
    <m/>
    <m/>
    <m/>
    <x v="5"/>
    <x v="0"/>
    <x v="0"/>
  </r>
  <r>
    <s v="sjns.ie"/>
    <s v="tilde"/>
    <x v="1"/>
    <s v="v=spf1 a include:spf.blacknight.ie ~all"/>
    <s v="yes"/>
    <x v="0"/>
    <m/>
    <m/>
    <m/>
    <x v="2"/>
    <x v="0"/>
    <x v="0"/>
  </r>
  <r>
    <s v="ststephensns.ie"/>
    <s v="tilde"/>
    <x v="1"/>
    <s v="v=spf1 include:_spf.google.com ~all"/>
    <m/>
    <x v="0"/>
    <m/>
    <m/>
    <m/>
    <x v="15"/>
    <x v="0"/>
    <x v="0"/>
  </r>
  <r>
    <s v="stlaurences.ie"/>
    <s v="no"/>
    <x v="2"/>
    <m/>
    <m/>
    <x v="0"/>
    <m/>
    <m/>
    <m/>
    <x v="24"/>
    <x v="0"/>
    <x v="0"/>
  </r>
  <r>
    <s v="meathchronicle.ie"/>
    <s v="minus"/>
    <x v="0"/>
    <s v="v=spf1 include:spf.protection.outlook.com -all"/>
    <m/>
    <x v="2"/>
    <s v="v=DMARC1; p=none;"/>
    <m/>
    <m/>
    <x v="15"/>
    <x v="0"/>
    <x v="0"/>
  </r>
  <r>
    <s v="norfishltd.com"/>
    <s v="minus"/>
    <x v="0"/>
    <s v="v=spf1 include:spf.protection.outlook.com a include:spf.blacknight.ie -all"/>
    <m/>
    <x v="0"/>
    <m/>
    <m/>
    <m/>
    <x v="6"/>
    <x v="0"/>
    <x v="0"/>
  </r>
  <r>
    <s v="morgansfinefish.com"/>
    <s v="tilde"/>
    <x v="1"/>
    <s v="v=spf1 include:spf.protection.outlook.com +ip4:78.153.200.26 ~all"/>
    <m/>
    <x v="0"/>
    <m/>
    <m/>
    <m/>
    <x v="2"/>
    <x v="0"/>
    <x v="0"/>
  </r>
  <r>
    <s v="ballonmeats.ie"/>
    <s v="tilde"/>
    <x v="1"/>
    <s v="v=spf1 a:dispatch-eu.ppe-hosted.com ~all"/>
    <s v="yes"/>
    <x v="0"/>
    <m/>
    <m/>
    <m/>
    <x v="25"/>
    <x v="0"/>
    <x v="0"/>
  </r>
  <r>
    <s v="glenaine.ie"/>
    <s v="minus"/>
    <x v="0"/>
    <s v="v=spf1 ip4:89.125.255.132 ip4:185.138.113.156 include:spf.protection.outlook.com -all"/>
    <s v="yes"/>
    <x v="2"/>
    <s v="v=DMARC1; p=none; fo=1; rua=mailto:rua+glenaine.ie@dmarc.barracudanetworks.com; ruf=mailto:ruf+glenaine.ie@dmarc.barracudanetworks.com"/>
    <m/>
    <m/>
    <x v="5"/>
    <x v="0"/>
    <x v="0"/>
  </r>
  <r>
    <s v="cpmire.com"/>
    <s v="minus"/>
    <x v="0"/>
    <s v="v=spf1 include:_spf.oneomnicom.com include:c7be9a0cp2ur.24-kwueeaw.gbr112.bnc.salesforce.com -all"/>
    <s v="yes"/>
    <x v="3"/>
    <s v="v=DMARC1; p=reject; rua=mailto:rc7yjbis@ag.us.dmarcian.com;"/>
    <m/>
    <m/>
    <x v="0"/>
    <x v="0"/>
    <x v="0"/>
  </r>
  <r>
    <s v="epislon.com"/>
    <s v="no"/>
    <x v="2"/>
    <m/>
    <m/>
    <x v="0"/>
    <m/>
    <m/>
    <m/>
    <x v="0"/>
    <x v="0"/>
    <x v="0"/>
  </r>
  <r>
    <s v="netaffinity.com"/>
    <s v="minus"/>
    <x v="0"/>
    <s v="v=spf1 include:spf.mandrillapp.com include:spf.protection.outlook.com include:stspg-customer.com include:servers.mcsv.net include:6755466.spf06.hubspotemail.net include:netaffinity.net -all"/>
    <s v="yes"/>
    <x v="2"/>
    <s v="v=DMARC1;p=none;sp=none;pct=100;fo=1;rua=mailto:dmarc_reports@netaffinity.com;ruf=mailto:dmarc_reports@netaffinity.com"/>
    <m/>
    <m/>
    <x v="0"/>
    <x v="0"/>
    <x v="0"/>
  </r>
  <r>
    <s v="bdflood.com"/>
    <s v="minus"/>
    <x v="0"/>
    <s v="v=spf1 include:spf.protection.outlook.com -all"/>
    <m/>
    <x v="0"/>
    <m/>
    <m/>
    <m/>
    <x v="15"/>
    <x v="0"/>
    <x v="0"/>
  </r>
  <r>
    <s v="96fm.ie"/>
    <s v="tilde"/>
    <x v="1"/>
    <s v="v=spf1 include:_spf.google.com include:spf-00596a01.pphosted.com include:spf-00596a01.pphosted.com ~all"/>
    <s v="yes"/>
    <x v="3"/>
    <s v="v=DMARC1; p=reject; fo=1; rua=mailto:dmarc_rua@emaildefense.proofpoint.com; ruf=mailto:dmarc_ruf@emaildefense.proofpoint.com"/>
    <m/>
    <m/>
    <x v="1"/>
    <x v="0"/>
    <x v="0"/>
  </r>
  <r>
    <s v="lmfm.ie"/>
    <s v="minus"/>
    <x v="0"/>
    <s v="v=spf1 include:spf.protection.outlook.com include:_spf.google.com include:spf-00596a01.pphosted.com include:spf2.tibus.net -all"/>
    <m/>
    <x v="3"/>
    <s v="v=DMARC1; p=reject; fo=1; rua=mailto:dmarc_rua@emaildefense.proofpoint.com; ruf=mailto:dmarc_ruf@emaildefense.proofpoint.com"/>
    <m/>
    <m/>
    <x v="2"/>
    <x v="0"/>
    <x v="0"/>
  </r>
  <r>
    <s v="lafferty.ie"/>
    <s v="minus"/>
    <x v="0"/>
    <s v="v=spf1 ip4:38.84.192.41 ip4:206.71.173.245 include:spf.protection.outlook.com include:spf.emailsignatures365.com include:us._netblocks.mimecast.com include:servers.mcsv.net include:edgepilot.com include:appriver.com  include:spf.exclaimer.net -all"/>
    <s v="yes"/>
    <x v="2"/>
    <s v="v=DMARC1; p=none; sp=none; ri=86400"/>
    <m/>
    <m/>
    <x v="0"/>
    <x v="0"/>
    <x v="0"/>
  </r>
  <r>
    <s v="fsm.ie"/>
    <s v="tilde"/>
    <x v="1"/>
    <s v="v=spf1 ip4:66.147.236.60 ip4:66.147.230.105 include:spf.protection.outlook.com +a +mx +ip4:66.147.237.67 +ip4:159.253.133.76 +ip4:5.10.78.75 ~all"/>
    <m/>
    <x v="0"/>
    <m/>
    <m/>
    <m/>
    <x v="15"/>
    <x v="0"/>
    <x v="0"/>
  </r>
  <r>
    <s v="oman.ie"/>
    <s v="minus"/>
    <x v="0"/>
    <s v="v=spf1 include:spf.protection.outlook.com -all"/>
    <s v="yes"/>
    <x v="1"/>
    <s v="v=DMARC1; p=quarantine; adkim=s; aspf=s"/>
    <m/>
    <m/>
    <x v="16"/>
    <x v="0"/>
    <x v="0"/>
  </r>
  <r>
    <s v="cabmotors.com"/>
    <s v="no"/>
    <x v="2"/>
    <m/>
    <m/>
    <x v="0"/>
    <m/>
    <m/>
    <m/>
    <x v="1"/>
    <x v="0"/>
    <x v="0"/>
  </r>
  <r>
    <s v="lydon.eu"/>
    <s v="tilde"/>
    <x v="1"/>
    <s v="v=spf1 include:outlook.com ~all"/>
    <m/>
    <x v="0"/>
    <m/>
    <m/>
    <m/>
    <x v="4"/>
    <x v="0"/>
    <x v="0"/>
  </r>
  <r>
    <s v="navanhireanddiy.ie"/>
    <s v="tilde"/>
    <x v="1"/>
    <s v="v=spf1 +a +mx +ip4:35.214.20.116 include:_spf.mailspamprotection.com ~all"/>
    <s v="yes"/>
    <x v="0"/>
    <m/>
    <m/>
    <m/>
    <x v="15"/>
    <x v="0"/>
    <x v="0"/>
  </r>
  <r>
    <s v="arkphire.com"/>
    <s v="minus"/>
    <x v="0"/>
    <s v="v=spf1 include:spf.protection.outlook.com include:spf.newsletter.ie include:sendgrid.net include:spf.exclaimer.net a:b.spf.service-now.com a:c.spf.service-now.com&quot; &quot; a:d.spf.service-now.com ip4:89.101.10.97/28 ip4:89.101.25.177/29 ip4:82.141.240.128/26 ip4:82.141.241.224/27 -all"/>
    <s v="yes"/>
    <x v="2"/>
    <s v="v=DMARC1; p=none; rua=mailto:e3dcfdf78abc146@rep.dmarcanalyzer.com,mailto:dmarc@arkphire.com; ruf=mailto:e3dcfdf78abc146@for.dmarcanalyzer.com,mailto:dmarc@arkphire.com; fo=1; pct=100"/>
    <m/>
    <m/>
    <x v="0"/>
    <x v="0"/>
    <x v="0"/>
  </r>
  <r>
    <s v="berendsen.ie"/>
    <s v="minus"/>
    <x v="0"/>
    <s v="v=spf1 ip4:77.107.237.83 ip4:52.232.61.92 include:spf.protection.outlook.com -all"/>
    <m/>
    <x v="0"/>
    <m/>
    <m/>
    <m/>
    <x v="1"/>
    <x v="0"/>
    <x v="0"/>
  </r>
  <r>
    <s v="avivastadium.ie"/>
    <s v="minus"/>
    <x v="0"/>
    <s v="v=spf1 include:spf.protection.outlook.com include:spf.hornetsecurity.com include:_spf.psm.knowbe4.com include:spf-4.inkyphishfence.com -all"/>
    <s v="yes"/>
    <x v="3"/>
    <s v="v=DMARC1; p=reject; rua=mailto:avivaadmin@avivastadium.ie,mailto:dmarc_rua@emaildefense.proofpoint.com; ruf=mailto:avivaadmin@avivastadium.ie,mailto:dmarc_ruf@emaildefense.proofpoint.com; sp=reject; ri=3600; rf=afrf; adkim=r; aspf=r; fo=1;"/>
    <m/>
    <m/>
    <x v="0"/>
    <x v="0"/>
    <x v="0"/>
  </r>
  <r>
    <s v="ogradycranehire.ie"/>
    <s v="minus"/>
    <x v="0"/>
    <s v="v=spf1 include:spf.protection.outlook.com -all"/>
    <m/>
    <x v="0"/>
    <m/>
    <m/>
    <m/>
    <x v="21"/>
    <x v="0"/>
    <x v="0"/>
  </r>
  <r>
    <s v="logicalis.com"/>
    <s v="minus"/>
    <x v="0"/>
    <s v="v=spf1 include:_spf.salesforce.com include:spf.protection.outlook.com include:amazonses.com include:4794662.spf10.hubspotemail.net -all"/>
    <s v="yes"/>
    <x v="3"/>
    <s v="v=DMARC1; p=reject; pct=100; rua=mailto:yydei0ub@ag.eu.dmarcian.com,mailto:dmarcreports@uk.logicalis.com; ruf=mailto:yydei0ub@fr.eu.dmarcian.com,mailto:dmarcreports@uk.logicalis.com; fo=1; "/>
    <m/>
    <m/>
    <x v="0"/>
    <x v="0"/>
    <x v="0"/>
  </r>
  <r>
    <s v="irishliftservices.ie"/>
    <s v="tilde"/>
    <x v="1"/>
    <s v="v=spf1 include:_spf.irishliftservices_ie._d.easydmarc.pro ~all"/>
    <s v="yes"/>
    <x v="1"/>
    <s v="v=DMARC1;p=quarantine;pct=100;rua=mailto:3938f110be@rua.easydmarc.eu;ruf=mailto:3938f110be@ruf.easydmarc.eu;fo=1;"/>
    <m/>
    <m/>
    <x v="0"/>
    <x v="0"/>
    <x v="0"/>
  </r>
  <r>
    <s v="arris.com"/>
    <s v="minus"/>
    <x v="0"/>
    <s v="v=spf1 exists:%{i}.spf.commscope.iphmx.com ip4:198.135.207.215 ip4:198.135.207.230 ip4:198.135.207.129 ip4:216.234.147.109 ip4:216.234.147.12 ip4:216.234.147.37 ip4:216.234.147.17 ip4:216.234.144.41 ip4:198.90.68.141 ip4:198.90.68.142 ip4:198.90.68.143&quot; &quot; include:et._spf.pardot.com include:mktomail.com include:spf.protection.outlook.com -all"/>
    <s v="yes"/>
    <x v="2"/>
    <s v="v=DMARC1; p=none; rua=mailto:ryafobpc@ag.us.dmarcian.com;"/>
    <m/>
    <m/>
    <x v="1"/>
    <x v="0"/>
    <x v="0"/>
  </r>
  <r>
    <s v="nicb.ie"/>
    <s v="minus"/>
    <x v="0"/>
    <s v="v=spf1 ip6:fd1b:212c:a5f9::/48 -all"/>
    <m/>
    <x v="0"/>
    <m/>
    <m/>
    <m/>
    <x v="0"/>
    <x v="0"/>
    <x v="0"/>
  </r>
  <r>
    <s v="novartis.ie"/>
    <s v="no"/>
    <x v="2"/>
    <m/>
    <m/>
    <x v="3"/>
    <s v="v=DMARC1; p=reject; fo=1; rua=mailto:dmarc_rua@emaildefense.proofpoint.com; ruf=mailto:dmarc_ruf@emaildefense.proofpoint.com"/>
    <m/>
    <m/>
    <x v="0"/>
    <x v="0"/>
    <x v="0"/>
  </r>
  <r>
    <s v="teachaltra.ie"/>
    <s v="minus"/>
    <x v="0"/>
    <s v="v=spf1 include:spf.protection.outlook.com -all"/>
    <m/>
    <x v="0"/>
    <m/>
    <m/>
    <m/>
    <x v="1"/>
    <x v="0"/>
    <x v="0"/>
  </r>
  <r>
    <s v="brindleymanor.net"/>
    <s v="no"/>
    <x v="2"/>
    <m/>
    <m/>
    <x v="0"/>
    <m/>
    <m/>
    <m/>
    <x v="6"/>
    <x v="0"/>
    <x v="0"/>
  </r>
  <r>
    <s v="beechtree.ie"/>
    <s v="minus"/>
    <x v="0"/>
    <s v="v=spf1 include:spf.protection.outlook.com -all"/>
    <m/>
    <x v="0"/>
    <m/>
    <m/>
    <m/>
    <x v="0"/>
    <x v="0"/>
    <x v="0"/>
  </r>
  <r>
    <s v="harveyhealthcare.ie"/>
    <s v="minus"/>
    <x v="0"/>
    <s v="v=spf1 include:spf.protection.outlook.com mx a -all"/>
    <s v="yes"/>
    <x v="2"/>
    <s v="v=DMARC1; p=none;"/>
    <m/>
    <m/>
    <x v="0"/>
    <x v="0"/>
    <x v="0"/>
  </r>
  <r>
    <s v="hazelhallnursinghome.ie"/>
    <s v="minus"/>
    <x v="0"/>
    <s v="v=spf1 include:spf.protection.outlook.com -all"/>
    <s v="yes"/>
    <x v="0"/>
    <m/>
    <m/>
    <m/>
    <x v="16"/>
    <x v="0"/>
    <x v="0"/>
  </r>
  <r>
    <s v="lougherrilnursinghome.ie"/>
    <s v="tilde"/>
    <x v="1"/>
    <s v="v=spf1 +a +mx +ip4:109.237.24.70 ~all"/>
    <s v="yes"/>
    <x v="0"/>
    <m/>
    <m/>
    <m/>
    <x v="19"/>
    <x v="0"/>
    <x v="0"/>
  </r>
  <r>
    <s v="drumbearnursinghome.ie"/>
    <s v="no"/>
    <x v="2"/>
    <m/>
    <m/>
    <x v="0"/>
    <m/>
    <m/>
    <m/>
    <x v="12"/>
    <x v="0"/>
    <x v="0"/>
  </r>
  <r>
    <s v="ferbanenursinghome.ie"/>
    <s v="minus"/>
    <x v="0"/>
    <s v="v=spf1 include:spf.protection.outlook.com -all"/>
    <m/>
    <x v="0"/>
    <m/>
    <m/>
    <m/>
    <x v="21"/>
    <x v="0"/>
    <x v="0"/>
  </r>
  <r>
    <s v="drumderrig.com"/>
    <s v="plus"/>
    <x v="5"/>
    <s v="v=spf1 +a +mx +all"/>
    <m/>
    <x v="0"/>
    <m/>
    <m/>
    <m/>
    <x v="22"/>
    <x v="0"/>
    <x v="0"/>
  </r>
  <r>
    <s v="silverstreamhealthcare.com"/>
    <s v="tilde"/>
    <x v="1"/>
    <s v="v=spf1 +a +mx +include:spf.myhost.ie ~all"/>
    <m/>
    <x v="0"/>
    <m/>
    <m/>
    <m/>
    <x v="13"/>
    <x v="0"/>
    <x v="0"/>
  </r>
  <r>
    <s v="shannaghbay.ie"/>
    <s v="minus"/>
    <x v="0"/>
    <s v="v=spf1 mx a include:spf.avova.ie -all"/>
    <m/>
    <x v="0"/>
    <m/>
    <m/>
    <m/>
    <x v="24"/>
    <x v="0"/>
    <x v="0"/>
  </r>
  <r>
    <s v="abbeylandsnursinghome.com"/>
    <s v="tilde"/>
    <x v="1"/>
    <s v="v=spf1 +a +mx +a:web2.iseek.host ip4:78.153.205.192/27 ~all"/>
    <m/>
    <x v="2"/>
    <s v="v=DMARC1; p=none"/>
    <m/>
    <m/>
    <x v="1"/>
    <x v="0"/>
    <x v="0"/>
  </r>
  <r>
    <s v="burgerking.ie"/>
    <s v="no"/>
    <x v="2"/>
    <m/>
    <m/>
    <x v="0"/>
    <m/>
    <m/>
    <m/>
    <x v="0"/>
    <x v="0"/>
    <x v="0"/>
  </r>
  <r>
    <s v="cafeenseine.ie"/>
    <s v="minus"/>
    <x v="0"/>
    <s v="v=spf1 include:asr3vew3b2.powerspf.com -all"/>
    <s v="yes"/>
    <x v="3"/>
    <s v="v=DMARC1; p=reject; rua=mailto:beefr04q77@rua.powerdmarc.com; ruf=mailto:beefr04q77@ruf.powerdmarc.com; pct=100; fo=0:1:d:s;"/>
    <s v="yes"/>
    <s v="https://hostedbimi.com/16771/1a193f1d-c062-4e79-9f8b-56f8efe50d0a.svg"/>
    <x v="0"/>
    <x v="0"/>
    <x v="0"/>
  </r>
  <r>
    <s v="cafejava.ie"/>
    <s v="no"/>
    <x v="2"/>
    <m/>
    <m/>
    <x v="0"/>
    <m/>
    <m/>
    <m/>
    <x v="0"/>
    <x v="0"/>
    <x v="0"/>
  </r>
  <r>
    <s v="fowlers.ie"/>
    <s v="no"/>
    <x v="2"/>
    <m/>
    <s v="yes"/>
    <x v="0"/>
    <m/>
    <m/>
    <m/>
    <x v="0"/>
    <x v="0"/>
    <x v="0"/>
  </r>
  <r>
    <s v="beresfordhotelifsc.com"/>
    <s v="tilde"/>
    <x v="1"/>
    <s v="v=spf1 a include:spf.blacknight.ie include:_spf.bookassist.com ~all"/>
    <m/>
    <x v="3"/>
    <s v="v=DMARC1; p=reject; rua=mailto:admin@beresfordhotelifsc.ie;"/>
    <m/>
    <m/>
    <x v="0"/>
    <x v="0"/>
    <x v="0"/>
  </r>
  <r>
    <s v="marcopierrewhite.ie"/>
    <s v="tilde"/>
    <x v="1"/>
    <s v="v=spf1 a include:_spf.google.com ~all"/>
    <m/>
    <x v="0"/>
    <m/>
    <m/>
    <m/>
    <x v="0"/>
    <x v="0"/>
    <x v="0"/>
  </r>
  <r>
    <s v="liffeyvalley.ie"/>
    <s v="minus"/>
    <x v="0"/>
    <s v="v=spf1 +a +mx -all"/>
    <m/>
    <x v="0"/>
    <m/>
    <m/>
    <m/>
    <x v="0"/>
    <x v="0"/>
    <x v="0"/>
  </r>
  <r>
    <s v="thealexhotel.ie"/>
    <s v="minus"/>
    <x v="0"/>
    <s v="v=spf1 include:ireshotels.com include:spf.protection.outlook.com include:_spf.prod.hydra.sophos.com -all"/>
    <s v="yes"/>
    <x v="0"/>
    <m/>
    <m/>
    <m/>
    <x v="0"/>
    <x v="0"/>
    <x v="0"/>
  </r>
  <r>
    <s v="sabadublin.com"/>
    <s v="mis"/>
    <x v="3"/>
    <s v="v=spf1 a mx\194\160include:spf.ess.de.barracudanetworks.com\194\160~all"/>
    <s v="yes"/>
    <x v="2"/>
    <s v="v=DMARC1; p=none"/>
    <m/>
    <m/>
    <x v="0"/>
    <x v="0"/>
    <x v="0"/>
  </r>
  <r>
    <s v="thunderroadcafe.ie"/>
    <s v="no"/>
    <x v="2"/>
    <m/>
    <m/>
    <x v="0"/>
    <m/>
    <m/>
    <m/>
    <x v="0"/>
    <x v="0"/>
    <x v="0"/>
  </r>
  <r>
    <s v="wagamama.ie"/>
    <s v="mis"/>
    <x v="3"/>
    <s v="v=spf1 ip4:83.206.208.128/25 ip4:81.252.92.0/23 ip4:86.64.210.0/23 include:spf.protection.outlook.com mx a -all&quot; &quot;ftjnfpuqhnpotn1pc6gt2hremu&quot; &quot;MS=ms83239902&quot; &quot;facebook-domain-verification=ht7h405c9ggnyegaokxk4g0hwxxwxp"/>
    <s v="yes"/>
    <x v="2"/>
    <s v="v=DMARC1; p=none;"/>
    <m/>
    <m/>
    <x v="0"/>
    <x v="0"/>
    <x v="0"/>
  </r>
  <r>
    <s v="mcswiggans.com"/>
    <s v="minus"/>
    <x v="0"/>
    <s v="v=spf1 include:spf.protection.outlook.com -all"/>
    <m/>
    <x v="0"/>
    <m/>
    <m/>
    <m/>
    <x v="7"/>
    <x v="0"/>
    <x v="0"/>
  </r>
  <r>
    <s v="campagne.ie"/>
    <s v="minus"/>
    <x v="0"/>
    <s v="v=spf1 include:spf.protection.outlook.com -all"/>
    <m/>
    <x v="0"/>
    <m/>
    <m/>
    <m/>
    <x v="17"/>
    <x v="0"/>
    <x v="0"/>
  </r>
  <r>
    <s v="rackethallhotel.com"/>
    <s v="minus"/>
    <x v="0"/>
    <s v="v=spf1 a mx include:netaffinity.net -all"/>
    <m/>
    <x v="0"/>
    <m/>
    <m/>
    <m/>
    <x v="13"/>
    <x v="0"/>
    <x v="0"/>
  </r>
  <r>
    <s v="spar.ie"/>
    <s v="tilde"/>
    <x v="1"/>
    <s v="v=spf1 a mx ip4:185.2.66.37 include:spf.mandrillapp.com ~all"/>
    <m/>
    <x v="2"/>
    <s v="v=DMARC1; p=none"/>
    <m/>
    <m/>
    <x v="6"/>
    <x v="0"/>
    <x v="0"/>
  </r>
  <r>
    <s v="mchughgroup.ie"/>
    <s v="tilde"/>
    <x v="1"/>
    <s v="v=spf1 ip4:108.128.211.214 +a +mx ~all"/>
    <s v="yes"/>
    <x v="1"/>
    <s v="v=DMARC1; p=quarantine; sp=none; rua=mailto:DMARC@mchughgroup.ie!10m,mailto:dmarc_agg@vali.email; ruf=mailto:DMARC@mchughgroup.ie!10m; rf=afrf; pct=100; ri=86400;"/>
    <m/>
    <m/>
    <x v="0"/>
    <x v="0"/>
    <x v="0"/>
  </r>
  <r>
    <s v="soundstore.ie"/>
    <s v="minus"/>
    <x v="0"/>
    <s v="v=spf1 +a +mx include:spf.protection.outlook.com include:relay.mailchannels.net include:spf.elive.net ip4:185.53.174.129 ip4:87.76.21.56 -all"/>
    <s v="yes"/>
    <x v="2"/>
    <s v="v=DMARC1; p=none; pct=100"/>
    <m/>
    <m/>
    <x v="1"/>
    <x v="0"/>
    <x v="0"/>
  </r>
  <r>
    <s v="thebookcentre.ie"/>
    <s v="question"/>
    <x v="4"/>
    <s v="v=spf1 +ip4:80.93.29.16 +include:spf.smtp2go.com ?all"/>
    <s v="yes"/>
    <x v="2"/>
    <s v="v=DMARC1; p=none;"/>
    <m/>
    <m/>
    <x v="10"/>
    <x v="0"/>
    <x v="0"/>
  </r>
  <r>
    <s v="mondelez.ie"/>
    <s v="no"/>
    <x v="2"/>
    <m/>
    <m/>
    <x v="0"/>
    <m/>
    <m/>
    <m/>
    <x v="14"/>
    <x v="0"/>
    <x v="0"/>
  </r>
  <r>
    <s v="odeaandco.ie"/>
    <s v="minus"/>
    <x v="0"/>
    <s v="v=spf1 include:eu._netblocks.mimecast.com include:spf.protection.outlook.com include:spf.razorblue.net.uk -all"/>
    <m/>
    <x v="2"/>
    <s v="v=DMARC1; p=none; rua=mailto:dmarc@odeaandco.ie; ruf=mailto:dmarc@odeaandco.ie; fo=1"/>
    <m/>
    <m/>
    <x v="0"/>
    <x v="0"/>
    <x v="0"/>
  </r>
  <r>
    <s v="nextdirectory.ie"/>
    <s v="minus"/>
    <x v="0"/>
    <s v="v=spf1 include:_u.nextdirectory.ie._spf.smart.ondmarc.com -all"/>
    <s v="yes"/>
    <x v="3"/>
    <s v="v=DMARC1; p=reject; pct=100; sp=reject; rua=mailto:b47e7205@inbox.ondmarc.com; ruf=mailto:b47e7205@inbox.ondmarc.com; adkim=r; aspf=r; fo=0; rf=afrf; ri=3600"/>
    <m/>
    <m/>
    <x v="1"/>
    <x v="0"/>
    <x v="0"/>
  </r>
  <r>
    <s v="abercrombie.com"/>
    <s v="tilde"/>
    <x v="1"/>
    <s v="v=spf1 ip4:8.25.72.77 ip4:8.25.72.78 ip4:74.214.24.253 include:spf.mandrillapp.com include:mailgun.org include:spf.ess.barracudanetworks.com include:_spf.wpvip.com include:spf-0026d501.pphosted.com ~all"/>
    <s v="yes"/>
    <x v="3"/>
    <s v="v=DMARC1;p=reject;fo=1;&quot; &quot;rua=mailto:DomainMgr@abercrombie.com;&quot; &quot;ruf=mailto:DomainMgr@abercrombie.com"/>
    <m/>
    <m/>
    <x v="0"/>
    <x v="0"/>
    <x v="0"/>
  </r>
  <r>
    <s v="tonyconnolly.com"/>
    <s v="minus"/>
    <x v="0"/>
    <s v="v=spf1 +ip4:78.129.221.13 +include:spf.protection.outlook.com -all"/>
    <s v="yes"/>
    <x v="0"/>
    <m/>
    <m/>
    <m/>
    <x v="5"/>
    <x v="0"/>
    <x v="0"/>
  </r>
  <r>
    <s v="dominicsmithelectrical.com"/>
    <s v="minus"/>
    <x v="0"/>
    <s v="v=spf1 include:spf.protection.outlook.com -all"/>
    <m/>
    <x v="0"/>
    <m/>
    <m/>
    <m/>
    <x v="0"/>
    <x v="0"/>
    <x v="0"/>
  </r>
  <r>
    <s v="kalgroup.ie"/>
    <s v="no"/>
    <x v="2"/>
    <m/>
    <m/>
    <x v="0"/>
    <m/>
    <m/>
    <m/>
    <x v="0"/>
    <x v="0"/>
    <x v="0"/>
  </r>
  <r>
    <s v="schuh.ie"/>
    <s v="minus"/>
    <x v="0"/>
    <s v="v=spf1 include:amazonses.com -all"/>
    <m/>
    <x v="2"/>
    <s v="v=DMARC1; p=none; rua=mailto:Alerts_Mail@schuh.co.uk"/>
    <m/>
    <m/>
    <x v="0"/>
    <x v="0"/>
    <x v="0"/>
  </r>
  <r>
    <s v="kenblack.ie"/>
    <s v="minus"/>
    <x v="0"/>
    <s v="v=spf1 a mx include:spf.protection.outlook.com -all"/>
    <s v="yes"/>
    <x v="0"/>
    <m/>
    <m/>
    <m/>
    <x v="18"/>
    <x v="0"/>
    <x v="0"/>
  </r>
  <r>
    <s v="toplinedoyles.ie"/>
    <s v="no"/>
    <x v="2"/>
    <m/>
    <m/>
    <x v="0"/>
    <m/>
    <m/>
    <m/>
    <x v="25"/>
    <x v="0"/>
    <x v="0"/>
  </r>
  <r>
    <s v="telfords.ie"/>
    <s v="minus"/>
    <x v="0"/>
    <s v="v=spf1 mx ip4:54.229.13.162 ip4:82.147.18.199/32 ip4:54.246.177.122/32 ip4:89.101.136.230/32 ip4:162.13.46.88/32 ip4:23.102.29.87 include:spf.protection.outlook.com include:spf.smtp2go.com include:dotmailer.co.uk include:amazonses.com -all"/>
    <s v="yes"/>
    <x v="3"/>
    <s v="v=DMARC1; p=reject; rua=mailto:220de43055e1045@rep.dmarcanalyzer.com; ruf=mailto:220de43055e1045@for.dmarcanalyzer.com; fo=1;"/>
    <m/>
    <m/>
    <x v="18"/>
    <x v="0"/>
    <x v="0"/>
  </r>
  <r>
    <s v="kavanaghmeatsireland.com"/>
    <s v="no"/>
    <x v="2"/>
    <m/>
    <s v="yes"/>
    <x v="0"/>
    <m/>
    <m/>
    <m/>
    <x v="3"/>
    <x v="0"/>
    <x v="0"/>
  </r>
  <r>
    <s v="towerrecords.ie"/>
    <s v="tilde"/>
    <x v="1"/>
    <s v="v=spf1 include:sendgrid.net include:apm-internet.net include:spf.protection.outlook.com ~all"/>
    <m/>
    <x v="2"/>
    <s v="v=DMARC1; p=none;rua@dmarc.brevo.com"/>
    <m/>
    <m/>
    <x v="0"/>
    <x v="0"/>
    <x v="0"/>
  </r>
  <r>
    <s v="greatoutdoors.ie"/>
    <s v="minus"/>
    <x v="0"/>
    <s v="v=spf1 +ip4:104.27.188.218 +ip4:68.66.213.144 +ip4:68.66.213.14 +ip4:159.253.225.211 include:_spf.salesforce.com include:servers.mcsv.net include:sendgrid.net include:spf.mandrillapp.com include:spf.protection.outlook.com include:mailgun.org -all"/>
    <s v="yes"/>
    <x v="1"/>
    <s v="v=DMARC1; p=quarantine; ruf=mailto:kis0mjof@fr.dmarcian-eu.com; sp=none; fo=1; pct=1;"/>
    <m/>
    <m/>
    <x v="0"/>
    <x v="0"/>
    <x v="0"/>
  </r>
  <r>
    <s v="phloor.ie"/>
    <s v="minus"/>
    <x v="0"/>
    <s v="v=spf1 ip4:109.228.40.149 include:spf.protection.outlook.com -all"/>
    <m/>
    <x v="2"/>
    <s v="v=DMARC1; p=none; rua=mailto:dmarc@phloor.ie; ruf=mailto:dmarc@phloor.ie;"/>
    <m/>
    <m/>
    <x v="0"/>
    <x v="0"/>
    <x v="0"/>
  </r>
  <r>
    <s v="giftvouchershop.ie"/>
    <s v="question"/>
    <x v="4"/>
    <s v="v=spf1 ip4:82.195.139.240/28 ip4:212.78.239.160/28 ip4:178.250.117.178 ip4:178.250.118.210 include:spf.protection.outlook.com ?all"/>
    <m/>
    <x v="2"/>
    <s v="v=DMARC1; p=none; rua=mailto:DL-O4A-ITTeam@bhnetwork.com; pct=25;"/>
    <m/>
    <m/>
    <x v="0"/>
    <x v="0"/>
    <x v="0"/>
  </r>
  <r>
    <s v="tilemerchant.ie"/>
    <s v="tilde"/>
    <x v="1"/>
    <s v="v=spf1 mx a ip4:93.113.111.163 ip4:149.86.101.211 ip4:149.86.101.210 include:_spf.google.com include:mailgun.org include:spf.tilemerchant.hypernode.io ~all"/>
    <m/>
    <x v="2"/>
    <s v="v=DMARC1;  p=none; rua=mailto:63f7a5b8f82548eab4253fc44c08ac57@dmarc-reports.cloudflare.net"/>
    <m/>
    <m/>
    <x v="0"/>
    <x v="0"/>
    <x v="0"/>
  </r>
  <r>
    <s v="gilmores.ie"/>
    <s v="tilde"/>
    <x v="1"/>
    <s v="v=spf1 include:_spf.google.com ~all"/>
    <s v="yes"/>
    <x v="0"/>
    <m/>
    <m/>
    <m/>
    <x v="11"/>
    <x v="0"/>
    <x v="0"/>
  </r>
  <r>
    <s v="opel.ie"/>
    <s v="minus"/>
    <x v="0"/>
    <s v="v=spf1 include:spf.hornetsecurity.com include:spf.protection.outlook.com -all"/>
    <m/>
    <x v="0"/>
    <m/>
    <m/>
    <m/>
    <x v="0"/>
    <x v="0"/>
    <x v="0"/>
  </r>
  <r>
    <s v="alhayesmotors.com"/>
    <s v="tilde"/>
    <x v="1"/>
    <s v="v=spf1 include:_spf.google.com include:_spf.netdirector.auto ~all"/>
    <m/>
    <x v="1"/>
    <s v="v=DMARC1;p=quarantine ;pct=100;rua=mailto:reports@alhayesmotors.com;ruf=mailto:reports@alhayesmotors.com;aspf=r;adkim=r;"/>
    <m/>
    <m/>
    <x v="7"/>
    <x v="0"/>
    <x v="0"/>
  </r>
  <r>
    <s v="motorpark.ie"/>
    <s v="minus"/>
    <x v="0"/>
    <s v="v=spf1 include:spf.protection.outlook.com -all"/>
    <m/>
    <x v="0"/>
    <m/>
    <m/>
    <m/>
    <x v="7"/>
    <x v="0"/>
    <x v="0"/>
  </r>
  <r>
    <s v="downeys.ie"/>
    <s v="minus"/>
    <x v="0"/>
    <s v="v=spf1 include:spf.protection.outlook.com ip4:89.100.204.26 -all"/>
    <m/>
    <x v="0"/>
    <m/>
    <m/>
    <m/>
    <x v="18"/>
    <x v="0"/>
    <x v="0"/>
  </r>
  <r>
    <s v="briangeary.ie"/>
    <s v="minus"/>
    <x v="0"/>
    <s v="v=spf1 include:spf.protection.outlook.com -all"/>
    <m/>
    <x v="0"/>
    <m/>
    <m/>
    <m/>
    <x v="5"/>
    <x v="0"/>
    <x v="0"/>
  </r>
  <r>
    <s v="lyonsoflimerick.com"/>
    <s v="minus"/>
    <x v="0"/>
    <s v="v=spf1 include:spf.protection.outlook.com ip4:82.141.209.26 ip4:83.70.200.150 ip4:83.70.203.169 ip4:185.202.18.215 ip4:192.162.217.90 include:_spf.netdirector.auto -all"/>
    <m/>
    <x v="0"/>
    <m/>
    <m/>
    <m/>
    <x v="5"/>
    <x v="0"/>
    <x v="0"/>
  </r>
  <r>
    <s v="westwardscania.com"/>
    <s v="tilde"/>
    <x v="1"/>
    <s v="v=spf1 a:smtp.cvrt.ie include:authsmtp.com include:teknosell.com include:spf.messagelabs.com include:spf.protection.outlook.com ~all"/>
    <s v="yes"/>
    <x v="2"/>
    <s v="v=DMARC1; p=none;"/>
    <m/>
    <m/>
    <x v="22"/>
    <x v="0"/>
    <x v="0"/>
  </r>
  <r>
    <s v="bolands.com"/>
    <s v="minus"/>
    <x v="0"/>
    <s v="v=spf1 a:outbound-smtp26.blacknight.com ip4:89.100.140.209 include:spf1.emailsecurity.app include:spf.protection.outlook.com include:spf.mailanyone.net -all"/>
    <s v="yes"/>
    <x v="0"/>
    <m/>
    <m/>
    <m/>
    <x v="10"/>
    <x v="0"/>
    <x v="0"/>
  </r>
  <r>
    <s v="dennehycommercials.com"/>
    <s v="no"/>
    <x v="2"/>
    <m/>
    <s v="yes"/>
    <x v="0"/>
    <m/>
    <m/>
    <m/>
    <x v="5"/>
    <x v="0"/>
    <x v="0"/>
  </r>
  <r>
    <s v="breentrans.com"/>
    <s v="minus"/>
    <x v="0"/>
    <s v="v=spf1 include:spf.mailanyone.net include:spf.protection.outlook.com ip4:37.128.193.132 -all"/>
    <s v="yes"/>
    <x v="0"/>
    <m/>
    <m/>
    <m/>
    <x v="3"/>
    <x v="0"/>
    <x v="0"/>
  </r>
  <r>
    <s v="thegalteegroup.ie"/>
    <s v="minus"/>
    <x v="0"/>
    <s v="v=spf1 include:spf.topsec.com include:spf.protection.outlook.com include:spf1.emailsecurity.app -all"/>
    <m/>
    <x v="2"/>
    <s v="v=DMARC1; p=none; rua=mailto:455a33e4@mxtoolbox.dmarc-report.com; ruf=mailto:455a33e4@forensics.dmarc-report.com; fo=1"/>
    <m/>
    <m/>
    <x v="5"/>
    <x v="0"/>
    <x v="0"/>
  </r>
  <r>
    <s v="rhenus.com"/>
    <s v="minus"/>
    <x v="0"/>
    <s v="v=spf1 include:_spf.rhenus_com._d.easydmarc.pro -all"/>
    <s v="yes"/>
    <x v="3"/>
    <s v="v=DMARC1;p=reject;sp=reject;pct=100;rua=mailto:a14f106890@rua.easydmarc.eu;ri=86400;aspf=s;adkim=s;"/>
    <s v="yes"/>
    <s v="https://assets.easydmarc.com/0286193727/bimi-rhenus-com-e076977e.svg"/>
    <x v="0"/>
    <x v="0"/>
    <x v="0"/>
  </r>
  <r>
    <s v="kcchardware.com"/>
    <s v="no"/>
    <x v="2"/>
    <m/>
    <m/>
    <x v="0"/>
    <m/>
    <m/>
    <m/>
    <x v="0"/>
    <x v="0"/>
    <x v="0"/>
  </r>
  <r>
    <s v="sligoairport.com"/>
    <s v="tilde"/>
    <x v="1"/>
    <s v="v=spf1 ip4:185.43.232.239 +mx +a +ip4:78.137.164.56 +include:spf.antispamcloud.com ~all"/>
    <s v="yes"/>
    <x v="2"/>
    <s v="v=DMARC1; p=none;"/>
    <m/>
    <m/>
    <x v="8"/>
    <x v="0"/>
    <x v="0"/>
  </r>
  <r>
    <s v="shopequipment.ie"/>
    <s v="minus"/>
    <x v="0"/>
    <s v="v=spf1 a mx ip4:91.136.48.22 include:spf.topsec.com -all"/>
    <m/>
    <x v="0"/>
    <m/>
    <m/>
    <m/>
    <x v="0"/>
    <x v="0"/>
    <x v="0"/>
  </r>
  <r>
    <s v="eri.ucc.ie"/>
    <s v="no"/>
    <x v="2"/>
    <m/>
    <m/>
    <x v="0"/>
    <m/>
    <m/>
    <m/>
    <x v="1"/>
    <x v="0"/>
    <x v="0"/>
  </r>
  <r>
    <s v="frscaher.ie"/>
    <s v="no"/>
    <x v="2"/>
    <m/>
    <m/>
    <x v="0"/>
    <m/>
    <m/>
    <m/>
    <x v="13"/>
    <x v="0"/>
    <x v="0"/>
  </r>
  <r>
    <s v="radiocabs.ie"/>
    <s v="tilde"/>
    <x v="1"/>
    <s v="v=spf1 ip4:190.180.144.237 ip4:207.55.255.20 +a +mx ~all"/>
    <s v="yes"/>
    <x v="0"/>
    <m/>
    <m/>
    <m/>
    <x v="0"/>
    <x v="0"/>
    <x v="0"/>
  </r>
  <r>
    <s v="stfanahans.ie"/>
    <s v="minus"/>
    <x v="0"/>
    <s v="v=spf1 include:spf.protection.outlook.com -all"/>
    <s v="yes"/>
    <x v="3"/>
    <s v="v=DMARC1;p=reject;sp=reject"/>
    <m/>
    <m/>
    <x v="1"/>
    <x v="0"/>
    <x v="0"/>
  </r>
  <r>
    <s v="stmarys.ie"/>
    <s v="no"/>
    <x v="2"/>
    <m/>
    <m/>
    <x v="0"/>
    <m/>
    <m/>
    <m/>
    <x v="0"/>
    <x v="0"/>
    <x v="0"/>
  </r>
  <r>
    <s v="eirecomposites.com"/>
    <s v="minus"/>
    <x v="0"/>
    <s v="v=spf1 a mx ip4:83.70.181.31 include:spf.protection.outlook.com include:spf.blacknight.ie -all"/>
    <m/>
    <x v="0"/>
    <m/>
    <m/>
    <m/>
    <x v="7"/>
    <x v="0"/>
    <x v="0"/>
  </r>
  <r>
    <s v="hewittcollege.com"/>
    <s v="no"/>
    <x v="2"/>
    <m/>
    <m/>
    <x v="0"/>
    <m/>
    <m/>
    <m/>
    <x v="1"/>
    <x v="0"/>
    <x v="0"/>
  </r>
  <r>
    <s v="balbriggancommunitycollege.com"/>
    <s v="no"/>
    <x v="2"/>
    <m/>
    <m/>
    <x v="0"/>
    <m/>
    <m/>
    <m/>
    <x v="0"/>
    <x v="0"/>
    <x v="0"/>
  </r>
  <r>
    <s v="greenhillscollege.ie"/>
    <s v="minus"/>
    <x v="0"/>
    <s v="v=spf1 include:spf.protection.outlook.com include:spf.dcsnet.ie ip4:142.132.206.101 -all"/>
    <s v="yes"/>
    <x v="0"/>
    <m/>
    <m/>
    <m/>
    <x v="0"/>
    <x v="0"/>
    <x v="0"/>
  </r>
  <r>
    <s v="dcuincorporation.ie"/>
    <s v="no"/>
    <x v="2"/>
    <m/>
    <m/>
    <x v="0"/>
    <m/>
    <m/>
    <m/>
    <x v="0"/>
    <x v="0"/>
    <x v="0"/>
  </r>
  <r>
    <s v="scfe.ie"/>
    <s v="minus"/>
    <x v="0"/>
    <s v="v=spf1 include:spf.protection.outlook.com include:spf.dcsnet.ie  ip4:87.38.115.3 -all"/>
    <s v="yes"/>
    <x v="0"/>
    <m/>
    <m/>
    <m/>
    <x v="0"/>
    <x v="0"/>
    <x v="0"/>
  </r>
  <r>
    <s v="gurteencollege.ie"/>
    <s v="tilde"/>
    <x v="1"/>
    <s v="v=spf1 ip4:213.133.69.62 ip4:52.31.29.196 ip4:172.25.1.15 ip4:157.90.28.58 include:spf.elluciancloud.com include:spf.protection.outlook.com ~all"/>
    <s v="yes"/>
    <x v="2"/>
    <s v="v=DMARC1; p=none;"/>
    <m/>
    <m/>
    <x v="13"/>
    <x v="0"/>
    <x v="0"/>
  </r>
  <r>
    <s v="carlsonwagonlit.ie"/>
    <s v="no"/>
    <x v="2"/>
    <m/>
    <m/>
    <x v="0"/>
    <m/>
    <m/>
    <m/>
    <x v="0"/>
    <x v="0"/>
    <x v="0"/>
  </r>
  <r>
    <s v="aig.com"/>
    <s v="minus"/>
    <x v="0"/>
    <s v="v=spf1 ip4:167.247.86.9 ip4:167.247.86.11 exists:%{i}._i.%{d}._d.espf.agari.com include:%{d}.ac.spf-protect.agari.com -all"/>
    <s v="yes"/>
    <x v="3"/>
    <s v="v=DMARC1; p=reject; fo=1; ri=3600; rua=mailto:aig@rua.agari.com; ruf=mailto:aig@ruf.agari.com"/>
    <m/>
    <m/>
    <x v="0"/>
    <x v="0"/>
    <x v="0"/>
  </r>
  <r>
    <s v="kerrycoaches.com"/>
    <s v="minus"/>
    <x v="0"/>
    <s v="v=spf1 include:spf.protection.outlook.com -all"/>
    <m/>
    <x v="0"/>
    <m/>
    <m/>
    <m/>
    <x v="14"/>
    <x v="0"/>
    <x v="0"/>
  </r>
  <r>
    <s v="oconnellgroup.ie"/>
    <s v="tilde"/>
    <x v="1"/>
    <s v="v=spf1 include:spf.protection.outlook.com ip4:84.203.181.54 ~all"/>
    <m/>
    <x v="2"/>
    <s v="v=DMARC1; p=none; fo=1; rua=mailto:rua+oconnellgroup.ie@dmarc.barracudanetworks.com; ruf=mailto:ruf+oconnellgroup.ie@dmarc.barracudanetworks.com"/>
    <m/>
    <m/>
    <x v="1"/>
    <x v="0"/>
    <x v="0"/>
  </r>
  <r>
    <s v="shs-group.co.uk"/>
    <s v="minus"/>
    <x v="0"/>
    <s v="v=spf1 ip4:194.168.219.43 ip4:95.154.206.87 include:eu._netblocks.mimecast.com include:spf.protection.outlook.com -all"/>
    <m/>
    <x v="0"/>
    <m/>
    <m/>
    <m/>
    <x v="0"/>
    <x v="0"/>
    <x v="0"/>
  </r>
  <r>
    <s v="kemptechnologies.com"/>
    <s v="minus"/>
    <x v="0"/>
    <s v="v=spf1 include:docebosaas.com include:mktomail.com include:mail.zendesk.com include:spf.protection.outlook.com include:_spf.salesforce.com include:sendgrid.net include:_spf.kemptechnologies.com include:us._netblocks.mimecast.com -all"/>
    <s v="yes"/>
    <x v="2"/>
    <s v="v=DMARC1; p=none; rua=mailto:c503e53751ee581@rep.dmarcanalyzer.com; ruf=mailto:c503e53751ee581@for.dmarcanalyzer.com; fo=1;"/>
    <m/>
    <m/>
    <x v="5"/>
    <x v="0"/>
    <x v="0"/>
  </r>
  <r>
    <s v="mull-coop.com"/>
    <s v="tilde"/>
    <x v="1"/>
    <s v="v=spf1 ip4:190.180.145.25 +a +mx +include:spf.dub1.servername.online ~all"/>
    <s v="yes"/>
    <x v="0"/>
    <m/>
    <m/>
    <m/>
    <x v="13"/>
    <x v="0"/>
    <x v="0"/>
  </r>
  <r>
    <s v="sandisk.com"/>
    <s v="tilde"/>
    <x v="1"/>
    <s v="v=spf1 include:spf1.sandisk.com include:spf2.sandisk.com include:spf3.sandisk.com include:spf4.sandisk.com include:amazonses.com include:spf5.sandisk.com include:spf.mandrillapp.com include:_spf.salesforce.com ~all"/>
    <s v="yes"/>
    <x v="1"/>
    <s v="v=DMARC1; p=quarantine; pct=100;rua=mailto:8xkq3jdr@ag.dmarcian.com,mailto:sndk-dmarc-rua@sandisk.com; ruf=mailto:sndk-dmarc-ruf@sandisk.com; rf=afrf; ri=7200"/>
    <m/>
    <m/>
    <x v="0"/>
    <x v="0"/>
    <x v="0"/>
  </r>
  <r>
    <s v="eirespan.com"/>
    <s v="minus"/>
    <x v="0"/>
    <s v="v=spf1 include:spf.protection.outlook.com -all"/>
    <m/>
    <x v="0"/>
    <m/>
    <m/>
    <m/>
    <x v="0"/>
    <x v="0"/>
    <x v="0"/>
  </r>
  <r>
    <s v="prepveg.ie"/>
    <s v="no"/>
    <x v="2"/>
    <m/>
    <m/>
    <x v="0"/>
    <m/>
    <m/>
    <m/>
    <x v="0"/>
    <x v="0"/>
    <x v="0"/>
  </r>
  <r>
    <s v="excel-industries.com"/>
    <s v="minus"/>
    <x v="0"/>
    <s v="v=spf1 mx ip4:185.122.133.78 ip4:83.70.152.89 ip4:83.70.152.90 ip4:185.32.253.199 ip4:185.32.253.174 include:spf1.emailsecurity.app include:spf.protection.outlook.com include:spf.ers.ie -all"/>
    <s v="yes"/>
    <x v="0"/>
    <m/>
    <m/>
    <m/>
    <x v="0"/>
    <x v="0"/>
    <x v="0"/>
  </r>
  <r>
    <s v="ibs.ie"/>
    <s v="no"/>
    <x v="2"/>
    <m/>
    <m/>
    <x v="0"/>
    <m/>
    <m/>
    <m/>
    <x v="5"/>
    <x v="0"/>
    <x v="0"/>
  </r>
  <r>
    <s v="univet.ie"/>
    <s v="minus"/>
    <x v="0"/>
    <s v="v=spf1 mx a ip4:93.90.117.1/24 ip4:93.90.115.1/24 include:spf.blacknight.ie include:spf.protection.outlook.com -all"/>
    <m/>
    <x v="0"/>
    <m/>
    <m/>
    <m/>
    <x v="11"/>
    <x v="0"/>
    <x v="0"/>
  </r>
  <r>
    <s v="recordati.ie"/>
    <s v="tilde"/>
    <x v="1"/>
    <s v="v=spf1 a mx ip4:91.230.96.13 include:mailcontrol.com include:spf.protection.outlook.com ~all"/>
    <s v="yes"/>
    <x v="2"/>
    <s v="v=DMARC1; p=none; rua=mailto:dmarc.rua@recordati.com; ruf=mailto:dmarc.ruf@recordati.com; fo=1;"/>
    <m/>
    <m/>
    <x v="1"/>
    <x v="0"/>
    <x v="0"/>
  </r>
  <r>
    <s v="medsurgical.ie"/>
    <s v="no"/>
    <x v="2"/>
    <m/>
    <m/>
    <x v="0"/>
    <m/>
    <m/>
    <m/>
    <x v="0"/>
    <x v="0"/>
    <x v="0"/>
  </r>
  <r>
    <s v="clonmelhealthcare.com"/>
    <s v="minus"/>
    <x v="0"/>
    <s v="v=spf1 -all"/>
    <m/>
    <x v="3"/>
    <s v="v=DMARC1; p=reject; pct=100; fo=1; ri=3600; rua=mailto:9b1c90e3@inbox.ondmarc.com; ruf=mailto:9b1c90e3@inbox.ondmarc.com"/>
    <m/>
    <m/>
    <x v="13"/>
    <x v="0"/>
    <x v="0"/>
  </r>
  <r>
    <s v="jhmcloughlin.com"/>
    <s v="minus"/>
    <x v="0"/>
    <s v="v=spf1 mx a ip4:83.70.158.185 a:mail.jhmcloughlin.com a:smtp1r.cp.blacknight.com -all"/>
    <m/>
    <x v="0"/>
    <m/>
    <m/>
    <m/>
    <x v="16"/>
    <x v="0"/>
    <x v="0"/>
  </r>
  <r>
    <s v="jps.ie"/>
    <s v="tilde"/>
    <x v="1"/>
    <s v="v=spf1 +mx +a +ip4:103.26.141.202 ~all"/>
    <s v="yes"/>
    <x v="0"/>
    <m/>
    <m/>
    <m/>
    <x v="0"/>
    <x v="0"/>
    <x v="0"/>
  </r>
  <r>
    <s v="dpl.ie"/>
    <s v="minus"/>
    <x v="0"/>
    <s v="v=spf1 ip4:89.101.198.154 ip4:213.94.201.241 include:spf.protection.outlook.com -all"/>
    <s v="yes"/>
    <x v="2"/>
    <s v="v=DMARC1; p=none; rua=mailto:alerts@dpl.ie; ruf=mailto:alerts@dpl.ie; fo=1"/>
    <m/>
    <m/>
    <x v="0"/>
    <x v="0"/>
    <x v="0"/>
  </r>
  <r>
    <s v="sigroofing.ie"/>
    <s v="minus"/>
    <x v="0"/>
    <s v="v=spf1 -all"/>
    <m/>
    <x v="2"/>
    <s v="v=DMARC1; p=none; rua=mailto:21e415078983506@rep.dmarcanalyzer.com; ruf=mailto:21e415078983506@for.dmarcanalyzer.com; fo=1;"/>
    <m/>
    <m/>
    <x v="0"/>
    <x v="0"/>
    <x v="0"/>
  </r>
  <r>
    <s v="tjomahony.ie"/>
    <s v="minus"/>
    <x v="0"/>
    <s v="v=spf1 a:spamtitan.datapac.com a:spamtitan1.datapac.com include:_spf_cd.spamtitan.com include:spf.protection.outlook.com ip4:43.228.184.6 ip4:103.47.204.4 ip4:103.2.140.82 ip4:103.2.143.7 ip4:45.79.238.223 ip4:172.105.254.10 ip4:185.220.63.95 -all"/>
    <m/>
    <x v="1"/>
    <s v="v=DMARC1; p=quarantine; rua=mailto:a888a4c669bc47d993ea4b0c64425376@dmarc-reports.cloudflare.net;"/>
    <m/>
    <m/>
    <x v="0"/>
    <x v="0"/>
    <x v="0"/>
  </r>
  <r>
    <s v="wogans.ie"/>
    <s v="minus"/>
    <x v="0"/>
    <s v="v=spf1 include:spf.protection.outlook.com include:spf.smtp2go.com include:spf-esec.heimdalsecurity.com -all"/>
    <s v="yes"/>
    <x v="2"/>
    <s v="v=DMARC1; p=none;"/>
    <m/>
    <m/>
    <x v="2"/>
    <x v="0"/>
    <x v="0"/>
  </r>
  <r>
    <s v="morrisdiy.com"/>
    <s v="tilde"/>
    <x v="1"/>
    <s v="v=spf1 ip4:212.126.46.17/32 ip4:89.100.252.82/32 ip4:79.98.163.81/32 ip4:91.210.235.24 ip4:185.201.18.57 ip4:52.100.13.209 ip4:52.100.20.221 ip4:142.0.177.133 include:spf.turbo-smtp.com&quot; &quot; include:spf.protection.outlook.com include:sendgrid.net include:email-od.com include:amazonses.com ~all"/>
    <s v="yes"/>
    <x v="2"/>
    <s v="v=DMARC1;p=none;sp=none;pct=100;rua=mailto:dmarkerrors@morrisdiy.com;ruf=mailto:dmarkerrors@morrisdiy.com;ri=86400;aspf=r;adkim=r;fo=1"/>
    <m/>
    <m/>
    <x v="10"/>
    <x v="0"/>
    <x v="0"/>
  </r>
  <r>
    <s v="durtynellys.ie"/>
    <s v="minus"/>
    <x v="0"/>
    <s v="v=spf1 include:spf.protection.outlook.com include:spf.resdiary.com -all"/>
    <s v="yes"/>
    <x v="2"/>
    <s v="v=DMARC1; p=none; rua=mailto:rua@dmarc.brevo.com"/>
    <m/>
    <m/>
    <x v="9"/>
    <x v="0"/>
    <x v="0"/>
  </r>
  <r>
    <s v="bamcontractors.ie"/>
    <s v="tilde"/>
    <x v="1"/>
    <s v="v=spf1 include:bamcontractors.ie._nspf.vali.email include:%{i}._ip.%{h}._ehlo.%{d}._spf.vali.email ~all"/>
    <s v="yes"/>
    <x v="3"/>
    <s v="v=DMARC1; p=reject; rua=mailto:dmarc_agg@vali.email"/>
    <m/>
    <m/>
    <x v="1"/>
    <x v="0"/>
    <x v="0"/>
  </r>
  <r>
    <s v="darraglynnnursinghome.com"/>
    <s v="tilde"/>
    <x v="1"/>
    <s v="v=spf1 +a +mx +ip4:91.210.232.155 include:spf.webhostingireland.ie ~all"/>
    <s v="yes"/>
    <x v="0"/>
    <m/>
    <m/>
    <m/>
    <x v="1"/>
    <x v="0"/>
    <x v="0"/>
  </r>
  <r>
    <s v="dbschenker.ie"/>
    <s v="minus"/>
    <x v="0"/>
    <s v="v=spf1 -all"/>
    <m/>
    <x v="0"/>
    <m/>
    <m/>
    <m/>
    <x v="1"/>
    <x v="0"/>
    <x v="0"/>
  </r>
  <r>
    <s v="jdsfoods.ie"/>
    <s v="minus"/>
    <x v="0"/>
    <s v="v=spf1 include:_spf.spamtitan.com include:_spf_cd.spamtitan.com -all"/>
    <m/>
    <x v="1"/>
    <s v="v=DMARC1; p=quarantine; pct=25; fo=1; rua=mailto:postmaster@jdsfoods.ie; ruf=mailto:postmaster@jdsfoods.ie"/>
    <m/>
    <m/>
    <x v="1"/>
    <x v="0"/>
    <x v="0"/>
  </r>
  <r>
    <s v="silverkey.net"/>
    <s v="minus"/>
    <x v="0"/>
    <s v="v=spf1 -all"/>
    <m/>
    <x v="0"/>
    <m/>
    <m/>
    <m/>
    <x v="1"/>
    <x v="0"/>
    <x v="0"/>
  </r>
  <r>
    <s v="annabeg.ie"/>
    <s v="no"/>
    <x v="2"/>
    <m/>
    <m/>
    <x v="0"/>
    <m/>
    <m/>
    <m/>
    <x v="0"/>
    <x v="0"/>
    <x v="0"/>
  </r>
  <r>
    <s v="cafesol.ie"/>
    <s v="minus"/>
    <x v="0"/>
    <s v="v=spf1 include:spf.protection.outlook.com -all"/>
    <s v="yes"/>
    <x v="1"/>
    <s v="v=DMARC1; p=quarantine; pct=100; rua=mailto:re+j0wcxgivxui@dmarc.postmarkapp.com; sp=none; aspf=r;"/>
    <m/>
    <m/>
    <x v="0"/>
    <x v="0"/>
    <x v="0"/>
  </r>
  <r>
    <s v="denismahony.ie"/>
    <s v="minus"/>
    <x v="0"/>
    <s v="v=spf1 ip4:212.147.209.22 ip4:85.222.130.224/28 ip4:176.52.217.18 ip4:89.204.208.221 include:spf1.emailsecurity.app include:spf.protection.outlook.com include:_spf.salesforce.com include:_spf.google.com +a:cloud1.dmacmedia.ie -all"/>
    <s v="yes"/>
    <x v="1"/>
    <s v="v=DMARC1; p=quarantine"/>
    <m/>
    <m/>
    <x v="0"/>
    <x v="0"/>
    <x v="0"/>
  </r>
  <r>
    <s v="ecocem.ie"/>
    <s v="tilde"/>
    <x v="1"/>
    <s v="v=spf1 mx a ip4:169.50.169.84 ip4:5.149.170.50 ip4:83.70.137.190 ip4:91.103.5.139 ip4:89.101.154.73 ip4:79.170.244.50 ip4:217.78.1.63 ip4:144.2.241.171 include:spf.protection.outlook.com include:spf.mailanyone.net include:sendgrid.net &quot; &quot;include:spf.irishdom&quot; &quot;ains.com include:s&quot; &quot;pf.mandrillapp.com ~all"/>
    <s v="yes"/>
    <x v="2"/>
    <s v="v=DMARC1;p=none;sp=none;adkim=r;aspf=r;pct=100;fo=0;rf=afrf;ri=86400"/>
    <m/>
    <m/>
    <x v="0"/>
    <x v="0"/>
    <x v="0"/>
  </r>
  <r>
    <s v="geogelec.com"/>
    <s v="minus"/>
    <x v="0"/>
    <s v="v=spf1 include:spf.protection.outlook.com -all"/>
    <m/>
    <x v="0"/>
    <m/>
    <m/>
    <m/>
    <x v="0"/>
    <x v="0"/>
    <x v="0"/>
  </r>
  <r>
    <s v="goalglobal.org"/>
    <s v="minus"/>
    <x v="0"/>
    <s v="v=spf1 include:spf.protection.outlook.com -all"/>
    <m/>
    <x v="0"/>
    <m/>
    <m/>
    <m/>
    <x v="0"/>
    <x v="0"/>
    <x v="0"/>
  </r>
  <r>
    <s v="gogginstransport.ie"/>
    <s v="tilde"/>
    <x v="1"/>
    <s v="v=spf1 include:_spf.google.com ~all"/>
    <s v="yes"/>
    <x v="0"/>
    <m/>
    <m/>
    <m/>
    <x v="0"/>
    <x v="0"/>
    <x v="0"/>
  </r>
  <r>
    <s v="agency.ie"/>
    <s v="minus"/>
    <x v="0"/>
    <s v="v=spf1 include:spf.protection.outlook.com -all"/>
    <m/>
    <x v="0"/>
    <m/>
    <m/>
    <m/>
    <x v="0"/>
    <x v="0"/>
    <x v="0"/>
  </r>
  <r>
    <s v="jccatering.ie"/>
    <s v="no"/>
    <x v="2"/>
    <m/>
    <m/>
    <x v="0"/>
    <m/>
    <m/>
    <m/>
    <x v="0"/>
    <x v="0"/>
    <x v="0"/>
  </r>
  <r>
    <s v="marsh.com"/>
    <s v="tilde"/>
    <x v="1"/>
    <s v="v=spf1 include:marsh.com._nspf.vali.email include:%{i}._ip.%{h}._ehlo.%{d}._spf.vali.email include:ncapp02.com ~all"/>
    <s v="yes"/>
    <x v="3"/>
    <s v="v=DMARC1; p=reject; rua=mailto:dmarc_agg@vali.email; fo=1; ri=3600"/>
    <m/>
    <m/>
    <x v="0"/>
    <x v="0"/>
    <x v="0"/>
  </r>
  <r>
    <s v="serfac.ie"/>
    <s v="tilde"/>
    <x v="1"/>
    <s v="v=spf1 +a +mx +a:ams15.siteground.eu  include:serfac.ie.spf.auto.dnssmarthost.net ~all"/>
    <s v="yes"/>
    <x v="2"/>
    <s v="v=DMARC1; p=none; aspf=r; adkim=r;"/>
    <m/>
    <m/>
    <x v="0"/>
    <x v="0"/>
    <x v="0"/>
  </r>
  <r>
    <s v="sheridanscheesemongers.com"/>
    <s v="tilde"/>
    <x v="1"/>
    <s v="v=spf1 include:spf.protection.outlook.com +ip4:78.153.205.203 ~all"/>
    <m/>
    <x v="2"/>
    <s v="v=DMARC1; p=none"/>
    <m/>
    <m/>
    <x v="0"/>
    <x v="0"/>
    <x v="0"/>
  </r>
  <r>
    <s v="sundayworld.com"/>
    <s v="tilde"/>
    <x v="1"/>
    <s v="v=spf1 include:mailgun.org include:spf.protection.outlook.com ~all"/>
    <s v="yes"/>
    <x v="3"/>
    <s v="v=DMARC1; p=reject; pct=100; fo=1; ri=3600; rua=mailto:13dbc9fb@inbox.ondmarc.com;ruf=mailto:13dbc9fb@inbox.ondmarc.com;"/>
    <m/>
    <m/>
    <x v="0"/>
    <x v="0"/>
    <x v="0"/>
  </r>
  <r>
    <s v="thecastle-hotel.ie"/>
    <s v="no"/>
    <x v="2"/>
    <m/>
    <m/>
    <x v="0"/>
    <m/>
    <m/>
    <m/>
    <x v="0"/>
    <x v="0"/>
    <x v="0"/>
  </r>
  <r>
    <s v="townlink.ie"/>
    <s v="minus"/>
    <x v="0"/>
    <s v="v=spf1 ip4:144.2.242.121 ip4:89.101.223.2 ip4:212.126.59.52 ip4:93.107.119.112 include:spf.emailsignatures365.com include:spf.protection.outlook.com -all"/>
    <s v="yes"/>
    <x v="3"/>
    <s v="v=DMARC1; p=reject; pct=100;"/>
    <m/>
    <m/>
    <x v="0"/>
    <x v="0"/>
    <x v="0"/>
  </r>
  <r>
    <s v="triangle.ie"/>
    <s v="tilde"/>
    <x v="1"/>
    <s v="v=spf1 ip4:195.27.3.4 ip4:195.27.3.7 mx a ptr a:aspmx.pardot.com include:spf.protection.outlook.com include:14487469.spf01.hubspotemail.net ~all"/>
    <m/>
    <x v="2"/>
    <s v="v=DMARC1;p=none;sp=none;pct=100;rua=mailto:57ebc7336d@rua.easydmarc.eu,mailto:dmarcreport@triangle.ie!10m,mailto:dmarc_agg@vali.email;ruf=mailto:57ebc7336d@ruf.easydmarc.eu;ri=86400;aspf=r;adkim=r;fo=1"/>
    <m/>
    <m/>
    <x v="0"/>
    <x v="0"/>
    <x v="0"/>
  </r>
  <r>
    <s v="westsidepress.com"/>
    <s v="minus"/>
    <x v="0"/>
    <s v="v=spf1 include:spf.protection.outlook.com include:spf.blacknight.ie include:sendgrid.net a:dispatch-eu.ppe-hosted.com -all include:mailgun.org ~all"/>
    <s v="yes"/>
    <x v="3"/>
    <s v="v=DMARC1; p=reject; sp=reject; adkim=s; aspf=s; fo=1; pct=50; rua=mailto:dmarcreports@westsidepress.com; ruf=mailto:dmarcreports@westsidepress.com"/>
    <m/>
    <m/>
    <x v="0"/>
    <x v="0"/>
    <x v="0"/>
  </r>
  <r>
    <s v="winroy.ie"/>
    <s v="minus"/>
    <x v="0"/>
    <s v="v=spf1 ip4:190.180.145.98 mx include:spf.elive.net include:spf.protection.outlook.com -all"/>
    <s v="yes"/>
    <x v="0"/>
    <m/>
    <m/>
    <m/>
    <x v="0"/>
    <x v="0"/>
    <x v="0"/>
  </r>
  <r>
    <s v="campusaccommodation.ie"/>
    <s v="tilde"/>
    <x v="1"/>
    <s v="v=spf1 +ip4:66.206.3.250  ip4:23.111.150.226 ip4:192.124.249.113 +a +mx +ip4:185.62.37.155 include:netaffinity.net include:netaffinity.com ~all"/>
    <m/>
    <x v="0"/>
    <m/>
    <m/>
    <m/>
    <x v="7"/>
    <x v="0"/>
    <x v="0"/>
  </r>
  <r>
    <s v="mapfreassistance.ie"/>
    <s v="no"/>
    <x v="2"/>
    <m/>
    <m/>
    <x v="0"/>
    <m/>
    <m/>
    <m/>
    <x v="7"/>
    <x v="0"/>
    <x v="0"/>
  </r>
  <r>
    <s v="friendsofable.ie"/>
    <s v="tilde"/>
    <x v="1"/>
    <s v="v=spf1 include:spf.reg365.net ~all"/>
    <m/>
    <x v="0"/>
    <m/>
    <m/>
    <m/>
    <x v="14"/>
    <x v="0"/>
    <x v="0"/>
  </r>
  <r>
    <s v="killarneycourthotel.com"/>
    <s v="minus"/>
    <x v="0"/>
    <s v="v=spf1 ip4:91.210.235.23 include:spf.webhostingireland.ie ip4:86.47.38.123 include:spf.protection.outlook.com include:_spf.bookassist.com -all"/>
    <s v="yes"/>
    <x v="2"/>
    <s v="v=DMARC1; p=none;"/>
    <m/>
    <m/>
    <x v="14"/>
    <x v="0"/>
    <x v="0"/>
  </r>
  <r>
    <s v="jhfitzpatrick.ie"/>
    <s v="minus"/>
    <x v="0"/>
    <s v="v=spf1 include:spf.protection.outlook.com ip4:89.204.213.51 -all"/>
    <s v="yes"/>
    <x v="2"/>
    <s v="v=DMARC1; p=none; fo=1; rua=mailto:1512e7904ab44d51a7d3981c9b6abbcb@dmarc-reports.cloudflare.net,mailto:rua+jhfitzpatrick.ie@dmarc.barracudanetworks.com; ruf=mailto:ruf+jhfitzpatrick.ie@dmarc.barracudanetworks.com"/>
    <m/>
    <m/>
    <x v="16"/>
    <x v="0"/>
    <x v="0"/>
  </r>
  <r>
    <s v="vei.ie"/>
    <s v="tilde"/>
    <x v="1"/>
    <s v="v=spf1 include:spf-ipv4.vei.ie include:spf-ipv6.vei.ie include:spf.protection.outlook.com include:amazonses.com include:turbo-smtp.com include:spf.mailjet.com include:143443666.spf04.hubspotemail.net ~all"/>
    <s v="yes"/>
    <x v="2"/>
    <s v="v=DMARC1; p=none; pct=100; rua=mailto:re+rl5ifipinjs@dmarc.postmarkapp.com; sp=none; aspf=r;"/>
    <m/>
    <m/>
    <x v="16"/>
    <x v="0"/>
    <x v="0"/>
  </r>
  <r>
    <s v="curranalu.ie"/>
    <s v="minus"/>
    <x v="0"/>
    <s v="v=spf1 +ip4:66.206.3.250 include:spf.protection.outlook.com -all"/>
    <m/>
    <x v="0"/>
    <m/>
    <m/>
    <m/>
    <x v="5"/>
    <x v="0"/>
    <x v="0"/>
  </r>
  <r>
    <s v="frankhogan.ie"/>
    <s v="minus"/>
    <x v="0"/>
    <s v="v=spf1 include:spf.protection.outlook.com include:authsmtp.com -all"/>
    <m/>
    <x v="0"/>
    <m/>
    <m/>
    <m/>
    <x v="5"/>
    <x v="0"/>
    <x v="0"/>
  </r>
  <r>
    <s v="webtm.ie"/>
    <s v="minus"/>
    <x v="0"/>
    <s v="v=spf1 include:spf.protection.outlook.com -all"/>
    <m/>
    <x v="0"/>
    <m/>
    <m/>
    <m/>
    <x v="5"/>
    <x v="0"/>
    <x v="0"/>
  </r>
  <r>
    <s v="martinfoodequip.com"/>
    <s v="tilde"/>
    <x v="1"/>
    <s v="v=spf1 ip4:162.241.218.166 a mx include:websitewelcome.com ~all"/>
    <s v="yes"/>
    <x v="0"/>
    <m/>
    <m/>
    <m/>
    <x v="2"/>
    <x v="0"/>
    <x v="0"/>
  </r>
  <r>
    <s v="colemanelectronics.ie"/>
    <s v="minus"/>
    <x v="0"/>
    <s v="v=spf1 a mx include:spf.protection.outlook.com include:_spf.elasticemail.com -all"/>
    <s v="yes"/>
    <x v="2"/>
    <s v="v=DMARC1; p=none; sp=none; adkim=r; aspf=r; rua=mailto:watchdog2@watchdog.kevlarr.io;"/>
    <m/>
    <m/>
    <x v="4"/>
    <x v="0"/>
    <x v="0"/>
  </r>
  <r>
    <s v="wyatthotel.com"/>
    <s v="tilde"/>
    <x v="1"/>
    <s v="v=spf1 ip4:92.51.242.107 include:netaffinity.net include:oracleindustry.com include:mandrillapp.com ~all"/>
    <s v="yes"/>
    <x v="2"/>
    <s v="v=DMARC1;p=none;sp=none;adkim=r;aspf=r;pct=100;fo=0;rf=afrf;ri=86400"/>
    <m/>
    <m/>
    <x v="4"/>
    <x v="0"/>
    <x v="0"/>
  </r>
  <r>
    <s v="bellinterhouse.com"/>
    <s v="minus"/>
    <x v="0"/>
    <s v="v=spf1 include:spf.protection.outlook.com include:netaffinity.net include:authsmtp.com include:spfa.cpmails.com include:spf.resdiary.com include:servers.mcsv.net include:guestline.net include:roomlynx.net -all"/>
    <s v="yes"/>
    <x v="3"/>
    <s v="v=DMARC1; p=reject; pct=100; fo=1; ri=3600; rua=mailto:3fb8dd5c@inbox.ondmarc.com; ruf=mailto:3fb8dd5c@inbox.ondmarc.com;"/>
    <m/>
    <m/>
    <x v="15"/>
    <x v="0"/>
    <x v="0"/>
  </r>
  <r>
    <s v="headfortarms.ie"/>
    <s v="minus"/>
    <x v="0"/>
    <s v="v=spf1 include:spf.guestjoy.com include:netaffinity.net include:sendgrid.net include:spf.protection.outlook.com -all"/>
    <m/>
    <x v="2"/>
    <s v="v=DMARC1; p=none;"/>
    <m/>
    <m/>
    <x v="15"/>
    <x v="0"/>
    <x v="0"/>
  </r>
  <r>
    <s v="mckeon.ie"/>
    <s v="minus"/>
    <x v="0"/>
    <s v="v=spf1 include:spf.protection.outlook.com include:25584591.spf08.hubspotemail.net -all"/>
    <m/>
    <x v="2"/>
    <s v="v=DMARC1; p=none;"/>
    <m/>
    <m/>
    <x v="15"/>
    <x v="0"/>
    <x v="0"/>
  </r>
  <r>
    <s v="taskltd.ie"/>
    <s v="tilde"/>
    <x v="1"/>
    <s v="v=spf1 ip4:5.77.32.219 ip4:151.236.51.84 ip4:213.175.204.54 +a +mx ~all"/>
    <s v="yes"/>
    <x v="0"/>
    <m/>
    <m/>
    <m/>
    <x v="15"/>
    <x v="0"/>
    <x v="0"/>
  </r>
  <r>
    <s v="tpwhelehan.ie"/>
    <s v="tilde"/>
    <x v="1"/>
    <s v="v=spf1 a:spf.webtrade.ie a:mail1.uniphar.ie ip4:89.101.228.97  include:spf.protection.outlook.com ~all"/>
    <s v="yes"/>
    <x v="0"/>
    <m/>
    <m/>
    <m/>
    <x v="15"/>
    <x v="0"/>
    <x v="0"/>
  </r>
  <r>
    <s v="clcu.ie"/>
    <s v="minus"/>
    <x v="0"/>
    <s v="v=spf1 mx a:mailon.spamtitan.com include:spf.protection.outlook.com include:servers.mcsv.net ip4:188.166.22.194 -all"/>
    <s v="yes"/>
    <x v="1"/>
    <s v="v=DMARC1; p=quarantine; rua=mailto:dmarc@mtcsolutions.ie; fo=1"/>
    <m/>
    <m/>
    <x v="21"/>
    <x v="0"/>
    <x v="0"/>
  </r>
  <r>
    <s v="midlands103.com"/>
    <s v="tilde"/>
    <x v="1"/>
    <s v="v=spf1 include:mfg.siteprotect.com ~all"/>
    <m/>
    <x v="0"/>
    <m/>
    <m/>
    <m/>
    <x v="21"/>
    <x v="0"/>
    <x v="0"/>
  </r>
  <r>
    <s v="surecom.ie"/>
    <s v="tilde"/>
    <x v="1"/>
    <s v="v=spf1 ip4:5.149.174.97 include:spf.protection.outlook.com include:spf.ess.de.barracudanetworks.com ~all"/>
    <m/>
    <x v="0"/>
    <m/>
    <m/>
    <m/>
    <x v="13"/>
    <x v="0"/>
    <x v="0"/>
  </r>
  <r>
    <s v="thevikinghotelwaterford.ie"/>
    <s v="no"/>
    <x v="2"/>
    <m/>
    <m/>
    <x v="0"/>
    <m/>
    <m/>
    <m/>
    <x v="10"/>
    <x v="0"/>
    <x v="0"/>
  </r>
  <r>
    <s v="ing.com"/>
    <s v="minus"/>
    <x v="0"/>
    <s v="v=spf1 include:_spf.ing.net include:spf1.fraedom.com include:mailplus.nl include:slvmcp.nl ip4:89.20.160.55 ip4:78.136.53.254 ip4:95.138.135.251 ip4:92.52.81.2 ip4:146.148.26.249&quot; &quot; ip4:83.231.160.128/26 ip4:212.187.169.64/26 ip4:192.254.112.185 ip4:83.217.248.35 ip4:170.207.39.152/31 ip4:170.207.37.144/31 -all"/>
    <s v="yes"/>
    <x v="3"/>
    <s v="v=DMARC1;&quot; &quot;p=reject;rua=mailto:Global.Mail.DMARC@ing.com,mailto:ejdvezzq@ag.dmarcian-eu.com,mailto:dmarc.feedback@ing.nl"/>
    <m/>
    <m/>
    <x v="0"/>
    <x v="1"/>
    <x v="1"/>
  </r>
  <r>
    <s v="certificationeurope.com"/>
    <s v="minus"/>
    <x v="0"/>
    <s v="v=spf1 include:sendersrv.com +mx +a +ip4:217.78.2.46 +ip4:89.185.145.185 +ip4:89.185.136.227 +ip4:185.224.198.13 include:spf.protection.outlook.com include:spf.mandrillapp.com include:amazonses.com include:7608942.spf07.hubspotemail.net &quot; &quot; include:spf.uk.exclaimer.net -all"/>
    <s v="yes"/>
    <x v="2"/>
    <s v="v=DMARC1; p=none"/>
    <m/>
    <m/>
    <x v="0"/>
    <x v="1"/>
    <x v="1"/>
  </r>
  <r>
    <s v="alsaa.ie"/>
    <s v="mis"/>
    <x v="3"/>
    <s v="v=spf1 redirect=_stvgkusm5.sdmarc.net"/>
    <m/>
    <x v="2"/>
    <s v="v=DMARC1; p=none; pct=100; rua=mailto:a.tvgkusm5@sdmarc.net"/>
    <m/>
    <m/>
    <x v="0"/>
    <x v="1"/>
    <x v="1"/>
  </r>
  <r>
    <s v="assumptionjns.com"/>
    <s v="minus"/>
    <x v="0"/>
    <s v="v=spf1 include:spf.protection.outlook.com -all"/>
    <m/>
    <x v="0"/>
    <m/>
    <m/>
    <m/>
    <x v="0"/>
    <x v="1"/>
    <x v="1"/>
  </r>
  <r>
    <s v="stjohnsrathmullen.scoilnet.ie"/>
    <s v="no"/>
    <x v="2"/>
    <m/>
    <m/>
    <x v="0"/>
    <m/>
    <m/>
    <m/>
    <x v="2"/>
    <x v="1"/>
    <x v="1"/>
  </r>
  <r>
    <s v="croninco.ie"/>
    <s v="minus"/>
    <x v="0"/>
    <s v="v=spf1 include:spf.protection.outlook.com ip4:89.101.247.66/32 include:croninco.ie include:in.mailjet.com -all"/>
    <m/>
    <x v="0"/>
    <m/>
    <m/>
    <m/>
    <x v="0"/>
    <x v="2"/>
    <x v="1"/>
  </r>
  <r>
    <s v="gov.uk"/>
    <s v="minus"/>
    <x v="0"/>
    <s v="v=spf1 -all"/>
    <m/>
    <x v="3"/>
    <s v="v=DMARC1;p=reject;sp=none;np=reject;adkim=s;aspf=s;fo=1;rua=mailto:dmarc-rua@dmarc.service.gov.uk"/>
    <m/>
    <m/>
    <x v="0"/>
    <x v="2"/>
    <x v="1"/>
  </r>
  <r>
    <s v="maloneoregan.ie"/>
    <s v="no"/>
    <x v="2"/>
    <m/>
    <m/>
    <x v="0"/>
    <m/>
    <m/>
    <m/>
    <x v="10"/>
    <x v="2"/>
    <x v="1"/>
  </r>
  <r>
    <s v="northsidepartnership.ie"/>
    <s v="tilde"/>
    <x v="1"/>
    <s v="v=spf1 include:spf.reg365.net ~all"/>
    <m/>
    <x v="0"/>
    <m/>
    <m/>
    <m/>
    <x v="0"/>
    <x v="2"/>
    <x v="1"/>
  </r>
  <r>
    <s v="staidans.ie"/>
    <s v="minus"/>
    <x v="0"/>
    <s v="v=spf1 include:spf.protection.outlook.com -all"/>
    <s v="yes"/>
    <x v="3"/>
    <s v="v=DMARC1; p=reject; rua=mailto:dmarcsupport@staidans.ie"/>
    <m/>
    <m/>
    <x v="11"/>
    <x v="2"/>
    <x v="1"/>
  </r>
  <r>
    <s v="dcscork.ie"/>
    <s v="tilde"/>
    <x v="1"/>
    <s v="v=spf1 include:_spf.google.com ~all"/>
    <s v="yes"/>
    <x v="0"/>
    <m/>
    <m/>
    <m/>
    <x v="1"/>
    <x v="2"/>
    <x v="1"/>
  </r>
  <r>
    <s v="loretowexford.com"/>
    <s v="minus"/>
    <x v="0"/>
    <s v="v=spf1 include:spf.protection.outlook.com -all"/>
    <s v="yes"/>
    <x v="0"/>
    <m/>
    <m/>
    <m/>
    <x v="3"/>
    <x v="2"/>
    <x v="1"/>
  </r>
  <r>
    <s v="irelandseyeonline.com"/>
    <s v="no"/>
    <x v="2"/>
    <m/>
    <m/>
    <x v="0"/>
    <m/>
    <m/>
    <m/>
    <x v="0"/>
    <x v="2"/>
    <x v="1"/>
  </r>
  <r>
    <s v="lifecu.ie"/>
    <s v="mis"/>
    <x v="3"/>
    <s v="v=spf1 v=spf1 include:spf.protection.outlook.com include:eu._netblocks.mimecast.com ip4:83.71.221.29 ip4:86.44.17.120 a:mail.well-it.com include:spf.mtasv.net include:which50-email.com include:amazonses.com ip4:35.214.219.126 ip4:35.214.203.200 include:sp&quot; &quot;f.mailjet.com include:lifecu.ie.spf.auto.dnssmarthost.net include:spf.smtp2go.com -all"/>
    <s v="yes"/>
    <x v="2"/>
    <s v="v=DMARC1; p=none; fo=1; rua=mailto:dmarc_reports@lifecu.ie; ruf=mailto:dmarc_reports@lifecu.ie"/>
    <m/>
    <m/>
    <x v="16"/>
    <x v="2"/>
    <x v="1"/>
  </r>
  <r>
    <s v="quadient.com"/>
    <s v="tilde"/>
    <x v="1"/>
    <s v="v=spf1 include:eu._netblocks.mimecast.com include:spf.protection.outlook.com include:spf.mailjet.com include:aspmx.pardot.com include:legacy.quadient.com ~all"/>
    <s v="yes"/>
    <x v="3"/>
    <s v="v=DMARC1;p=reject;sp=none;pct=100;rua=mailto:67a6853d7c@rua.easydmarc.us;ruf=mailto:67a6853d7c@ruf.easydmarc.us;fo=1;"/>
    <m/>
    <m/>
    <x v="0"/>
    <x v="2"/>
    <x v="1"/>
  </r>
  <r>
    <s v="esri-ireland.ie"/>
    <s v="minus"/>
    <x v="0"/>
    <s v="v=spf1 include:spf.protection.outlook.com include:_spf.messagegears.net include:_spf.salesforce.com include:_spf.psm.knowbe4.com include:_spf.dayforcehcm.com -all"/>
    <s v="yes"/>
    <x v="1"/>
    <s v="v=DMARC1; p=quarantine; fo=1; pct=100; sp=quarantine; rua=mailto:dmarc_agg@vali.email; ruf=mailto:jsidwell@esriuk.com"/>
    <m/>
    <m/>
    <x v="0"/>
    <x v="2"/>
    <x v="1"/>
  </r>
  <r>
    <s v="typetec.ie"/>
    <s v="minus"/>
    <x v="0"/>
    <s v="v=spf1 include:smtp.smileback.com include:spf.protection.outlook.com include:spf.myconnectwise.net ip4:198.244.177.159 -all"/>
    <s v="yes"/>
    <x v="2"/>
    <s v="v=DMARC1; p=none; rua=mailto:administrator@typetecgo.onmicrosoft.com; ruf=mailto:administrator@typetecgo.onmicrosoft.com; fo=1"/>
    <m/>
    <m/>
    <x v="0"/>
    <x v="2"/>
    <x v="1"/>
  </r>
  <r>
    <s v="riverstownns.ie"/>
    <s v="minus"/>
    <x v="0"/>
    <s v="v=spf1 include:spf.protection.outlook.com -all"/>
    <s v="yes"/>
    <x v="0"/>
    <m/>
    <m/>
    <m/>
    <x v="1"/>
    <x v="2"/>
    <x v="1"/>
  </r>
  <r>
    <s v="olocschool.ie"/>
    <s v="tilde"/>
    <x v="1"/>
    <s v="v=spf1 +a +mx +a:c57950.sgvps.net  include:olocschool.ie.spf.auto.dnssmarthost.net ~all"/>
    <s v="yes"/>
    <x v="2"/>
    <s v="v=DMARC1; p=none; aspf=r; adkim=r;"/>
    <m/>
    <m/>
    <x v="0"/>
    <x v="2"/>
    <x v="1"/>
  </r>
  <r>
    <s v="stannesthecurragh.ie"/>
    <s v="minus"/>
    <x v="0"/>
    <s v="v=spf1 include:spf.protection.outlook.com -all"/>
    <m/>
    <x v="0"/>
    <m/>
    <m/>
    <m/>
    <x v="16"/>
    <x v="2"/>
    <x v="1"/>
  </r>
  <r>
    <s v="kilcooleprimaryschool.ie"/>
    <s v="tilde"/>
    <x v="1"/>
    <s v="v=spf1 include:_spf.google.com ~all"/>
    <s v="yes"/>
    <x v="0"/>
    <m/>
    <m/>
    <m/>
    <x v="24"/>
    <x v="2"/>
    <x v="1"/>
  </r>
  <r>
    <s v="ballinderrynursinghome.com"/>
    <s v="no"/>
    <x v="2"/>
    <m/>
    <m/>
    <x v="0"/>
    <m/>
    <m/>
    <m/>
    <x v="7"/>
    <x v="2"/>
    <x v="1"/>
  </r>
  <r>
    <s v="bmw.ie"/>
    <s v="minus"/>
    <x v="0"/>
    <s v="v=spf1 include:spf.protection.outlook.com exists:%{i}.spf.bmwgroup.com -all"/>
    <s v="yes"/>
    <x v="3"/>
    <s v="v=DMARC1; p=reject; rua=mailto:bgm.aggregate@bmwgroup.com; ruf=mailto:bgm.forensic@bmwgroup.com"/>
    <m/>
    <m/>
    <x v="0"/>
    <x v="2"/>
    <x v="1"/>
  </r>
  <r>
    <s v="sinnottautos.ie"/>
    <s v="tilde"/>
    <x v="1"/>
    <s v="v=spf1 include:spf.protection.outlook.com ~all"/>
    <m/>
    <x v="0"/>
    <m/>
    <m/>
    <m/>
    <x v="24"/>
    <x v="2"/>
    <x v="1"/>
  </r>
  <r>
    <s v="jvtierney.ie"/>
    <s v="minus"/>
    <x v="0"/>
    <s v="v=spf1 include:spf.protection.outlook.com -all"/>
    <m/>
    <x v="0"/>
    <m/>
    <m/>
    <m/>
    <x v="0"/>
    <x v="2"/>
    <x v="1"/>
  </r>
  <r>
    <s v="rathminescollege.ie"/>
    <s v="minus"/>
    <x v="0"/>
    <s v="v=spf1 include:spf.protection.outlook.com -all"/>
    <m/>
    <x v="0"/>
    <m/>
    <m/>
    <m/>
    <x v="0"/>
    <x v="2"/>
    <x v="1"/>
  </r>
  <r>
    <s v="miflues.ie"/>
    <s v="minus"/>
    <x v="0"/>
    <s v="v=spf1 include:spf.protection.outlook.com -all"/>
    <m/>
    <x v="2"/>
    <s v="v=DMARC1; p=none; rua=mailto:dmarc@lantech.uriports.com; ruf=mailto:dmarc@lantech.uriports.com; fo=1:d:s"/>
    <m/>
    <m/>
    <x v="15"/>
    <x v="2"/>
    <x v="1"/>
  </r>
  <r>
    <s v="tilestyle.ie"/>
    <s v="tilde"/>
    <x v="1"/>
    <s v="v=spf1 ip4:185.32.255.186 ip4:23.227.38.65 ip4:40.107.104.78 ip4:198.2.190.164 include:spf.eu.exclaimer.net include:tilestylebm.onmicrosoft.com include:spf.protection.outlook.com ~all"/>
    <s v="yes"/>
    <x v="2"/>
    <s v="v=DMARC1; p=none; rua=mailto:313449450a664abdb36f0eb4148893d1@dmarc-reports.cloudflare.net;"/>
    <m/>
    <m/>
    <x v="0"/>
    <x v="2"/>
    <x v="1"/>
  </r>
  <r>
    <s v="busyfingerscreche.ie"/>
    <s v="minus"/>
    <x v="0"/>
    <s v="v=spf1 +a +mx +ip4:217.115.119.32 +include:spf.protection.outlook.com -all"/>
    <s v="yes"/>
    <x v="3"/>
    <s v="v=DMARC1; p=reject; pct=100"/>
    <m/>
    <m/>
    <x v="16"/>
    <x v="3"/>
    <x v="1"/>
  </r>
  <r>
    <s v="isk.ie"/>
    <s v="minus"/>
    <x v="0"/>
    <s v="v=spf1 ip4:91.210.235.11 include:spf.webhostingireland.ie include:spf.protection.outlook.com -all"/>
    <s v="yes"/>
    <x v="2"/>
    <s v="v=DMARC1; p=none;"/>
    <m/>
    <m/>
    <x v="14"/>
    <x v="3"/>
    <x v="1"/>
  </r>
  <r>
    <s v="delasalle.ie"/>
    <s v="tilde"/>
    <x v="1"/>
    <s v="v=spf1 +include:relay.mailchannels.net include:_spf.google.com ~all"/>
    <s v="yes"/>
    <x v="2"/>
    <s v="v=DMARC1; p=none;"/>
    <m/>
    <m/>
    <x v="2"/>
    <x v="3"/>
    <x v="1"/>
  </r>
  <r>
    <s v="loretocollegemullingar.com"/>
    <s v="tilde"/>
    <x v="1"/>
    <s v="v=spf1 +a +mx +ip4:35.214.132.134 include:_spf.mailspamprotection.com ~all"/>
    <s v="yes"/>
    <x v="0"/>
    <m/>
    <m/>
    <m/>
    <x v="23"/>
    <x v="3"/>
    <x v="1"/>
  </r>
  <r>
    <s v="mercykilbeggan.ie"/>
    <s v="tilde"/>
    <x v="1"/>
    <s v="v=spf1 a mx include:spf.antispamcloud.com ip4:78.137.164.61 ~all"/>
    <s v="yes"/>
    <x v="0"/>
    <m/>
    <m/>
    <m/>
    <x v="23"/>
    <x v="3"/>
    <x v="1"/>
  </r>
  <r>
    <s v="impactirl.ie"/>
    <s v="tilde"/>
    <x v="1"/>
    <s v="v=spf1 ip4:86.43.79.161 ip4:81.136.225.25 ip4:213.79.59.238 ip4:185.202.19.91 include:_spf.psm.knowbe4.com include:spf.protection.outlook.com ~all"/>
    <s v="yes"/>
    <x v="1"/>
    <s v="v=DMARC1; p=quarantine"/>
    <m/>
    <m/>
    <x v="0"/>
    <x v="3"/>
    <x v="1"/>
  </r>
  <r>
    <s v="illistrin.town.ie"/>
    <s v="no"/>
    <x v="2"/>
    <m/>
    <m/>
    <x v="0"/>
    <m/>
    <m/>
    <m/>
    <x v="6"/>
    <x v="3"/>
    <x v="1"/>
  </r>
  <r>
    <s v="holyfamilyjns.ie"/>
    <s v="no"/>
    <x v="2"/>
    <m/>
    <s v="yes"/>
    <x v="2"/>
    <s v="v=DMARC1; p=none;"/>
    <m/>
    <m/>
    <x v="0"/>
    <x v="3"/>
    <x v="1"/>
  </r>
  <r>
    <s v="stcolmcilles.org"/>
    <s v="minus"/>
    <x v="0"/>
    <s v="v=spf1 include:spf.protection.outlook.com -all"/>
    <m/>
    <x v="0"/>
    <m/>
    <m/>
    <m/>
    <x v="0"/>
    <x v="3"/>
    <x v="1"/>
  </r>
  <r>
    <s v="stjosephstullamore.ie"/>
    <s v="tilde"/>
    <x v="1"/>
    <s v="v=spf1 +a +mx +ip4:35.242.133.245 ~all"/>
    <s v="yes"/>
    <x v="0"/>
    <m/>
    <m/>
    <m/>
    <x v="21"/>
    <x v="3"/>
    <x v="1"/>
  </r>
  <r>
    <s v="stt.ie"/>
    <s v="tilde"/>
    <x v="1"/>
    <s v="v=spf1 a include:spf.blacknight.ie  ~all"/>
    <m/>
    <x v="0"/>
    <m/>
    <m/>
    <m/>
    <x v="13"/>
    <x v="4"/>
    <x v="1"/>
  </r>
  <r>
    <s v="bish.ie"/>
    <s v="minus"/>
    <x v="0"/>
    <s v="v=spf1 include:spf.protection.outlook.com -all"/>
    <m/>
    <x v="2"/>
    <s v="v=DMARC1; p=none"/>
    <m/>
    <m/>
    <x v="7"/>
    <x v="4"/>
    <x v="1"/>
  </r>
  <r>
    <s v="shstullamore.ie"/>
    <s v="tilde"/>
    <x v="1"/>
    <s v="v=spf1 +a +mx +include:spf.myhost.ie include:spf.protection.outlook.com ~all"/>
    <s v="yes"/>
    <x v="1"/>
    <s v="v=DMARC1; p=quarantine; rua=mailto:ofe@shstullamore.ie; ruf=mailto:ofe@shstullamore.ie; sp=none; fo=1;"/>
    <m/>
    <m/>
    <x v="21"/>
    <x v="4"/>
    <x v="1"/>
  </r>
  <r>
    <s v="nrch.ie"/>
    <s v="minus"/>
    <x v="0"/>
    <s v="v=spf1 include:spf.protection.outlook.com include:mailanyone.net -all"/>
    <s v="yes"/>
    <x v="2"/>
    <s v="v=DMARC1; p=none; rua=mailto:rua@dmarc.brevo.com"/>
    <m/>
    <m/>
    <x v="3"/>
    <x v="4"/>
    <x v="1"/>
  </r>
  <r>
    <s v="cilprecision.ie"/>
    <s v="minus"/>
    <x v="0"/>
    <s v="v=spf1 include:spf.protection.outlook.com -all"/>
    <m/>
    <x v="0"/>
    <m/>
    <m/>
    <m/>
    <x v="10"/>
    <x v="4"/>
    <x v="1"/>
  </r>
  <r>
    <s v="abbeyhealthcare.ie"/>
    <s v="minus"/>
    <x v="0"/>
    <s v="v=spf1 include:spf.protection.outlook.com -all"/>
    <m/>
    <x v="0"/>
    <m/>
    <m/>
    <m/>
    <x v="0"/>
    <x v="4"/>
    <x v="1"/>
  </r>
  <r>
    <s v="theaddressconnolly.com"/>
    <s v="tilde"/>
    <x v="1"/>
    <s v="v=spf1 +a +mx +ip4:81.17.241.117 include:spf.webhostingireland.ie include:spf.mandrillapp.com ~all"/>
    <m/>
    <x v="0"/>
    <m/>
    <m/>
    <m/>
    <x v="0"/>
    <x v="4"/>
    <x v="1"/>
  </r>
  <r>
    <s v="seai.ie"/>
    <s v="minus"/>
    <x v="0"/>
    <s v="v=spf1 ip4:137.191.235.70 include:spf.topsec.com include:spf.protection.outlook.com +ip4:52.209.222.127 include:servers.mcsv.net include:mailgun.org include:amazonses.com -all"/>
    <s v="yes"/>
    <x v="1"/>
    <s v="v=DMARC1;p=quarantine;rua=mailto:dmarc_agg@vali.email,mailto:dmarc@seai.ie;ruf=mailto:dmarc@seai.ie.;fo=1;sp=none;"/>
    <m/>
    <m/>
    <x v="0"/>
    <x v="4"/>
    <x v="1"/>
  </r>
  <r>
    <s v="bpps.ie"/>
    <s v="no"/>
    <x v="2"/>
    <m/>
    <m/>
    <x v="0"/>
    <m/>
    <m/>
    <m/>
    <x v="2"/>
    <x v="4"/>
    <x v="1"/>
  </r>
  <r>
    <s v="iosef.ie"/>
    <s v="question"/>
    <x v="4"/>
    <s v="v=spf1 +a +mx +ip4:78.137.164.91 ?all"/>
    <m/>
    <x v="0"/>
    <m/>
    <m/>
    <m/>
    <x v="24"/>
    <x v="4"/>
    <x v="1"/>
  </r>
  <r>
    <s v="greenparknursinghome.ie"/>
    <s v="minus"/>
    <x v="0"/>
    <s v="v=spf1 include:spf.protection.outlook.com -all"/>
    <m/>
    <x v="0"/>
    <m/>
    <m/>
    <m/>
    <x v="7"/>
    <x v="4"/>
    <x v="1"/>
  </r>
  <r>
    <s v="louthleaderpartnership.ie"/>
    <s v="no"/>
    <x v="2"/>
    <m/>
    <m/>
    <x v="0"/>
    <m/>
    <m/>
    <m/>
    <x v="2"/>
    <x v="5"/>
    <x v="1"/>
  </r>
  <r>
    <s v="mindshareworld.com"/>
    <s v="tilde"/>
    <x v="1"/>
    <s v="v=spf1 include:spf.groupm.com include:servers.mcsv.net include:customers.clickdimensions.com ~all"/>
    <m/>
    <x v="3"/>
    <s v="v=DMARC1; p=reject; pct=100; fo=1; adkim=r; aspf=r; rua=mailto:dmarc_rua@emaildefense.proofpoint.com; ruf=mailto:dmarc_ruf@emaildefense.proofpoint.com"/>
    <m/>
    <m/>
    <x v="0"/>
    <x v="5"/>
    <x v="1"/>
  </r>
  <r>
    <s v="internalresults.com"/>
    <s v="mis"/>
    <x v="3"/>
    <s v="v=spf1 redirect=b33zuv7x._spf._d.mim.ec"/>
    <s v="yes"/>
    <x v="3"/>
    <s v="v=DMARC1; p=reject; rua=mailto:12e5197a2ddb458@rep.dmarcanalyzer.com; ruf=mailto:12e5197a2ddb458@for.dmarcanalyzer.com; fo=1;"/>
    <m/>
    <m/>
    <x v="18"/>
    <x v="5"/>
    <x v="1"/>
  </r>
  <r>
    <s v="redfaire.com"/>
    <s v="mis"/>
    <x v="3"/>
    <s v="v=spf1 +a +mx +ip4:185.181.116.70 +include:spf.protection.outlook.com +include:servers.mcsv.net include:26234856.spf04.hubspotemail.net include:authsmtp.com +include:rp.oracleemaildelivery.com"/>
    <s v="yes"/>
    <x v="2"/>
    <s v="v=DMARC1; p=none;"/>
    <m/>
    <m/>
    <x v="5"/>
    <x v="5"/>
    <x v="1"/>
  </r>
  <r>
    <s v="mmd.ie"/>
    <s v="minus"/>
    <x v="0"/>
    <s v="v=spf1 a mx ip4:185.47.147.134 include:spf.protection.outlook.com include:mailgun.org -all"/>
    <m/>
    <x v="0"/>
    <m/>
    <m/>
    <m/>
    <x v="1"/>
    <x v="5"/>
    <x v="1"/>
  </r>
  <r>
    <s v="maclochlainn.ie"/>
    <s v="no"/>
    <x v="2"/>
    <m/>
    <m/>
    <x v="0"/>
    <m/>
    <m/>
    <m/>
    <x v="13"/>
    <x v="5"/>
    <x v="1"/>
  </r>
  <r>
    <s v="scotiacapital.com"/>
    <s v="minus"/>
    <x v="0"/>
    <s v="v=spf1 exists:%{i}._i.%{d}._d.espf.dmp.cisco.com include:%{d}.16.spf-protect.dmp.cisco.com -all"/>
    <m/>
    <x v="3"/>
    <s v="v=DMARC1; p=reject; fo=1; ri=3600; rua=mailto:scotiabank@rua.dmp.cisco.com; ruf=mailto:scotiabank@ruf.dmp.cisco.com"/>
    <m/>
    <m/>
    <x v="0"/>
    <x v="5"/>
    <x v="1"/>
  </r>
  <r>
    <s v="sca.com"/>
    <s v="minus"/>
    <x v="0"/>
    <s v="v=spf1 ip4:46.16.232.108 ip4:193.235.12.212 ip4:193.235.12.213 include:spf.protection.outlook.com include:spf1.emarketeer.com include:_vsp.oderland.com include:_spf-dc2.successfactors.com include:sendgrid.net include:servers.mcsv.net -all"/>
    <s v="yes"/>
    <x v="2"/>
    <s v="v=DMARC1; p=none; rua=mailto:dmarc_agg@vali.email;"/>
    <m/>
    <m/>
    <x v="0"/>
    <x v="5"/>
    <x v="1"/>
  </r>
  <r>
    <s v="eetc.ie"/>
    <s v="tilde"/>
    <x v="1"/>
    <s v="v=spf1 +a +mx +ip4:185.43.232.188 include:spf.antispamcloud.com ~all"/>
    <s v="yes"/>
    <x v="0"/>
    <m/>
    <m/>
    <m/>
    <x v="3"/>
    <x v="5"/>
    <x v="1"/>
  </r>
  <r>
    <s v="cbscarlow.ie"/>
    <s v="tilde"/>
    <x v="1"/>
    <s v="v=spf1 a include:spf.blacknight.ie  ~all"/>
    <m/>
    <x v="0"/>
    <m/>
    <m/>
    <m/>
    <x v="25"/>
    <x v="5"/>
    <x v="1"/>
  </r>
  <r>
    <s v="balcs.ie"/>
    <s v="minus"/>
    <x v="0"/>
    <s v="v=spf1 ip4:190.180.144.232 ip4:91.136.49.203 include:spf.protection.outlook.com +ip4:207.55.255.4 -all"/>
    <s v="yes"/>
    <x v="1"/>
    <s v="v=DMARC1; p=quarantine;"/>
    <m/>
    <m/>
    <x v="1"/>
    <x v="5"/>
    <x v="1"/>
  </r>
  <r>
    <s v="pbc-cork.ie"/>
    <s v="minus"/>
    <x v="0"/>
    <s v="v=spf1 include:spf.protection.outlook.com -all"/>
    <m/>
    <x v="0"/>
    <m/>
    <m/>
    <m/>
    <x v="1"/>
    <x v="5"/>
    <x v="1"/>
  </r>
  <r>
    <s v="movillecc.ie"/>
    <s v="no"/>
    <x v="2"/>
    <m/>
    <m/>
    <x v="0"/>
    <m/>
    <m/>
    <m/>
    <x v="6"/>
    <x v="5"/>
    <x v="1"/>
  </r>
  <r>
    <s v="glentiescomp.com"/>
    <s v="minus"/>
    <x v="0"/>
    <s v="v=spf1 ip4:83.138.8.86 ip4:83.138.8.113 include:spf.protection.outlook.com -all"/>
    <s v="yes"/>
    <x v="3"/>
    <s v="v=DMARC1; p=reject; pct=100;"/>
    <m/>
    <m/>
    <x v="6"/>
    <x v="5"/>
    <x v="1"/>
  </r>
  <r>
    <s v="deansrathcommunitycollege.ie"/>
    <s v="no"/>
    <x v="2"/>
    <m/>
    <m/>
    <x v="0"/>
    <m/>
    <m/>
    <m/>
    <x v="0"/>
    <x v="5"/>
    <x v="1"/>
  </r>
  <r>
    <s v="gonzaga.ie"/>
    <s v="minus"/>
    <x v="0"/>
    <s v="v=spf1 include:spf.protection.outlook.com ip4:89.101.231.2 ip4:87.38.200.2 -all"/>
    <s v="yes"/>
    <x v="2"/>
    <s v="v=DMARC1; p=none;"/>
    <m/>
    <m/>
    <x v="0"/>
    <x v="5"/>
    <x v="1"/>
  </r>
  <r>
    <s v="holychildcommunityschool.ie"/>
    <s v="tilde"/>
    <x v="1"/>
    <s v="v=spf1 include:_spf.google.com ~all"/>
    <s v="yes"/>
    <x v="0"/>
    <m/>
    <m/>
    <m/>
    <x v="0"/>
    <x v="5"/>
    <x v="1"/>
  </r>
  <r>
    <s v="mercycoolock.ie"/>
    <s v="no"/>
    <x v="2"/>
    <m/>
    <s v="yes"/>
    <x v="0"/>
    <m/>
    <m/>
    <m/>
    <x v="0"/>
    <x v="5"/>
    <x v="1"/>
  </r>
  <r>
    <s v="olschool.ie"/>
    <s v="tilde"/>
    <x v="1"/>
    <s v="v=spf1 include:_spf.google.com ~all"/>
    <s v="yes"/>
    <x v="0"/>
    <m/>
    <m/>
    <m/>
    <x v="0"/>
    <x v="5"/>
    <x v="1"/>
  </r>
  <r>
    <s v="stmichaelscollege.com"/>
    <s v="tilde"/>
    <x v="1"/>
    <s v="v=spf1 include:_spf.google.com ~all"/>
    <s v="yes"/>
    <x v="0"/>
    <m/>
    <m/>
    <m/>
    <x v="0"/>
    <x v="5"/>
    <x v="1"/>
  </r>
  <r>
    <s v="hrc.ie"/>
    <s v="minus"/>
    <x v="0"/>
    <s v="v=spf1 include:spf.protection.outlook.com -all"/>
    <m/>
    <x v="0"/>
    <m/>
    <m/>
    <m/>
    <x v="7"/>
    <x v="5"/>
    <x v="1"/>
  </r>
  <r>
    <s v="confeycollege.org"/>
    <s v="no"/>
    <x v="2"/>
    <m/>
    <m/>
    <x v="0"/>
    <m/>
    <m/>
    <m/>
    <x v="16"/>
    <x v="5"/>
    <x v="1"/>
  </r>
  <r>
    <s v="cpckilcullen.com"/>
    <s v="tilde"/>
    <x v="1"/>
    <s v="v=spf1 include:_spf.google.com ~all"/>
    <m/>
    <x v="0"/>
    <m/>
    <m/>
    <m/>
    <x v="16"/>
    <x v="5"/>
    <x v="1"/>
  </r>
  <r>
    <s v="glenstal.ie"/>
    <s v="no"/>
    <x v="2"/>
    <m/>
    <m/>
    <x v="0"/>
    <m/>
    <m/>
    <m/>
    <x v="5"/>
    <x v="5"/>
    <x v="1"/>
  </r>
  <r>
    <s v="villiers-school.com"/>
    <s v="minus"/>
    <x v="0"/>
    <s v="v=spf1 ip4:190.180.145.25 ip4:190.180.145.113 ip4:207.55.255.20 include:spf.protection.outlook.com -all"/>
    <s v="yes"/>
    <x v="2"/>
    <s v="v=DMARC1; p=none; sp=none; rua=mailto:itsystems@villiers-school.com"/>
    <m/>
    <m/>
    <x v="5"/>
    <x v="5"/>
    <x v="1"/>
  </r>
  <r>
    <s v="droghedacbs.ie"/>
    <s v="tilde"/>
    <x v="1"/>
    <s v="v=spf1 a include:spf.blacknight.ie ~all"/>
    <m/>
    <x v="0"/>
    <m/>
    <m/>
    <m/>
    <x v="2"/>
    <x v="5"/>
    <x v="1"/>
  </r>
  <r>
    <s v="stmarysds.ie"/>
    <s v="minus"/>
    <x v="0"/>
    <s v="MS=ms35513928 v=spf1 include:spf.protection.outlook.com include:spf.antispamcloud.com -all"/>
    <s v="yes"/>
    <x v="3"/>
    <s v="v=DMARC1; p=reject; sp=reject; pct=100; rua=mailto:TaraLearning@stmarysds.ie; ruf=mailto:TaraLearning@stmarysds.ie;"/>
    <m/>
    <m/>
    <x v="2"/>
    <x v="5"/>
    <x v="1"/>
  </r>
  <r>
    <s v="ocarolancollege.ie"/>
    <s v="no"/>
    <x v="2"/>
    <m/>
    <m/>
    <x v="0"/>
    <m/>
    <m/>
    <m/>
    <x v="15"/>
    <x v="5"/>
    <x v="1"/>
  </r>
  <r>
    <s v="cti-clonmel.ie"/>
    <s v="minus"/>
    <x v="0"/>
    <s v="v=spf1 include:spf.protection.outlook.com -all"/>
    <m/>
    <x v="0"/>
    <m/>
    <m/>
    <m/>
    <x v="13"/>
    <x v="5"/>
    <x v="1"/>
  </r>
  <r>
    <s v="stmarysnenagh.ie"/>
    <s v="tilde"/>
    <x v="1"/>
    <s v="v=spf1 include:_spf.google.com ~all"/>
    <s v="yes"/>
    <x v="0"/>
    <m/>
    <m/>
    <m/>
    <x v="13"/>
    <x v="5"/>
    <x v="1"/>
  </r>
  <r>
    <s v="mercywaterford.com"/>
    <s v="tilde"/>
    <x v="1"/>
    <s v="v=spf1 ip4:96.127.128.194 +a +mx +ip4:108.163.227.58 +ip4:108.163.227.59 +ip4:108.163.227.62 ~all"/>
    <s v="yes"/>
    <x v="0"/>
    <m/>
    <m/>
    <m/>
    <x v="10"/>
    <x v="5"/>
    <x v="1"/>
  </r>
  <r>
    <s v="cbsmullingar.ie"/>
    <s v="no"/>
    <x v="2"/>
    <m/>
    <m/>
    <x v="0"/>
    <m/>
    <m/>
    <m/>
    <x v="23"/>
    <x v="5"/>
    <x v="1"/>
  </r>
  <r>
    <s v="colaistebride.ie"/>
    <s v="minus"/>
    <x v="0"/>
    <s v="v=spf1 include:spf.protection.outlook.com -all"/>
    <m/>
    <x v="0"/>
    <m/>
    <m/>
    <m/>
    <x v="3"/>
    <x v="5"/>
    <x v="1"/>
  </r>
  <r>
    <s v="eastvillage.ie"/>
    <s v="minus"/>
    <x v="0"/>
    <s v="v=spf1 include:spf.protection.outlook.com -all"/>
    <m/>
    <x v="0"/>
    <m/>
    <m/>
    <m/>
    <x v="1"/>
    <x v="5"/>
    <x v="1"/>
  </r>
  <r>
    <s v="roomex.com"/>
    <s v="minus"/>
    <x v="0"/>
    <s v="v=spf1 include:%{d}.97.spf-protect.dmp.cisco.com exists:%{i}._i.%{d}._d.espf.dmp.cisco.com -all"/>
    <s v="yes"/>
    <x v="1"/>
    <s v="v=DMARC1; p=quarantine; fo=1; ri=3600; rua=mailto:fleetcor-technologies@rua.agari.com; ruf=mailto:fleetcor-technologies@ruf.agari.com"/>
    <m/>
    <m/>
    <x v="0"/>
    <x v="5"/>
    <x v="1"/>
  </r>
  <r>
    <s v="barberstowncastle.ie"/>
    <s v="tilde"/>
    <x v="1"/>
    <s v="v=spf1 ip4:83.71.146.82 include:spf.topsec.com include:spf.protection.outlook.com include:authsmtp.com include:netaffinity.net ~all"/>
    <m/>
    <x v="2"/>
    <s v="v=DMARC1; p=none; pct=100; fo=1"/>
    <m/>
    <m/>
    <x v="16"/>
    <x v="5"/>
    <x v="1"/>
  </r>
  <r>
    <s v="doolyshotel.com"/>
    <s v="minus"/>
    <x v="0"/>
    <s v="v=spf1 include:spf.protection.outlook.com -all"/>
    <m/>
    <x v="0"/>
    <m/>
    <m/>
    <m/>
    <x v="21"/>
    <x v="5"/>
    <x v="1"/>
  </r>
  <r>
    <s v="allspace.ie"/>
    <s v="tilde"/>
    <x v="1"/>
    <s v="v=spf1 ip4:94.127.101.1 include:eu._netblocks.mimecast.com ~all"/>
    <s v="yes"/>
    <x v="2"/>
    <s v="v=DMARC1;p=none;sp=none;pct=100;rua=mailto:dmarc@portakabin.com;ruf=mailto:dmarc@portakabin.com;ri=86400;aspf=r;adkim=r;fo=1"/>
    <m/>
    <m/>
    <x v="0"/>
    <x v="5"/>
    <x v="1"/>
  </r>
  <r>
    <s v="chep.com"/>
    <s v="tilde"/>
    <x v="1"/>
    <s v="v=spf1 include:%{ir}.%{v}.%{d}.spf.has.pphosted.com ~all"/>
    <s v="yes"/>
    <x v="3"/>
    <s v="v=DMARC1; p=reject; fo=1; rua=mailto:dmarc_rua@emaildefense.proofpoint.com; ruf=mailto:dmarc_ruf@emaildefense.proofpoint.com"/>
    <m/>
    <m/>
    <x v="0"/>
    <x v="5"/>
    <x v="1"/>
  </r>
  <r>
    <s v="flahavans.com"/>
    <s v="tilde"/>
    <x v="1"/>
    <s v="v=spf1 mx ip4:86.43.114.32 ip4:212.17.61.118 ip4:78.153.205.203 a:web3.iseek.host a:gran.netsource.ie include:spf1.emailsecurity.app include:spf.protection.outlook.com include:_spf.createsend.com ~all"/>
    <m/>
    <x v="1"/>
    <s v="v=DMARC1; p=quarantine; rua=mailto:7bcc17c9@mxtoolbox.dmarc-report.com; ruf=mailto:7bcc17c9@forensics.dmarc-report.com; fo=1; pct=10"/>
    <m/>
    <m/>
    <x v="10"/>
    <x v="5"/>
    <x v="1"/>
  </r>
  <r>
    <s v="boran.ie"/>
    <s v="minus"/>
    <x v="0"/>
    <s v="v=spf1 include:spf.protection.outlook.com include:_spf.google.com ip4:93.107.166.134 ip4:185.190.205.38 ip4:185.190.205.41 ip4:82.152.39.50 ip4:93.107.176.57 ip4:193.57.217.228 ip4:185.32.252.248 ip4:91.85.32.151 ip4:80.229.189.164 ip4:80.229.212.29 -all"/>
    <s v="yes"/>
    <x v="3"/>
    <s v="v=DMARC1; p=reject; rua=mailto:dmarc@boran.com; ruf=mailto:dmarc@boran.com"/>
    <m/>
    <m/>
    <x v="16"/>
    <x v="5"/>
    <x v="1"/>
  </r>
  <r>
    <s v="megazyme.com"/>
    <s v="minus"/>
    <x v="0"/>
    <s v="v=spf1 include:email.freshdesk.com include:spf-005ee901.pphosted.com -all"/>
    <s v="yes"/>
    <x v="1"/>
    <s v="v=DMARC1; p=quarantine; rua=mailto:kis0mjof@ag.dmarcian-eu.com; ruf=mailto:kis0mjof@fr.dmarcian-eu.com; sp=none; fo=1; pct=1;"/>
    <m/>
    <m/>
    <x v="24"/>
    <x v="5"/>
    <x v="1"/>
  </r>
  <r>
    <s v="premierfish.ie"/>
    <s v="mis"/>
    <x v="3"/>
    <s v="v=spf1&quot; &quot;include:spf.protection.outlook.com&quot; &quot;-all"/>
    <m/>
    <x v="0"/>
    <m/>
    <m/>
    <m/>
    <x v="6"/>
    <x v="5"/>
    <x v="1"/>
  </r>
  <r>
    <s v="mcgraths.ie"/>
    <s v="minus"/>
    <x v="0"/>
    <s v="v=spf1 ip4:178.16.207.46 include:spf.topsec.com include:spf.protection.outlook.com  -all"/>
    <s v="yes"/>
    <x v="2"/>
    <s v="v=DMARC1; p=none; rua=mailto:DMARC@mcgraths.ie; aspf=s;"/>
    <m/>
    <m/>
    <x v="4"/>
    <x v="5"/>
    <x v="1"/>
  </r>
  <r>
    <s v="keeganquarries.com"/>
    <s v="tilde"/>
    <x v="1"/>
    <s v="v=spf1 include:spf.protection.outlook.com include:spf.topsec.com ~all"/>
    <m/>
    <x v="3"/>
    <s v="v=DMARC1; p=reject"/>
    <m/>
    <m/>
    <x v="15"/>
    <x v="5"/>
    <x v="1"/>
  </r>
  <r>
    <s v="tinakilly.ie"/>
    <s v="tilde"/>
    <x v="1"/>
    <s v="v=spf1 a mx ip4:194.163.137.11 ~all"/>
    <m/>
    <x v="1"/>
    <s v="v=DMARC1; p=quarantine; sp=quarantine;"/>
    <m/>
    <m/>
    <x v="24"/>
    <x v="5"/>
    <x v="1"/>
  </r>
  <r>
    <s v="turnersprinting.com"/>
    <s v="no"/>
    <x v="2"/>
    <m/>
    <m/>
    <x v="0"/>
    <m/>
    <m/>
    <m/>
    <x v="20"/>
    <x v="5"/>
    <x v="1"/>
  </r>
  <r>
    <s v="ncri.ie"/>
    <s v="mis"/>
    <x v="3"/>
    <s v="v=spf1 redirect=_s1lx2tte2.sdmarc.net"/>
    <s v="yes"/>
    <x v="2"/>
    <s v="v=DMARC1; p=none; pct=100; rua=mailto:a.1lx2tte2@sdmarc.net"/>
    <m/>
    <m/>
    <x v="1"/>
    <x v="5"/>
    <x v="1"/>
  </r>
  <r>
    <s v="headway.ie"/>
    <s v="minus"/>
    <x v="0"/>
    <s v="v=spf1 ip4:213.94.192.42 ip4:213.94.192.41 include:spf.protection.outlook.com -all"/>
    <m/>
    <x v="0"/>
    <m/>
    <m/>
    <m/>
    <x v="0"/>
    <x v="5"/>
    <x v="1"/>
  </r>
  <r>
    <s v="soft-ex.net"/>
    <s v="minus"/>
    <x v="0"/>
    <s v="v=spf1 mx ip4:193.120.166.35 include:spf.protection.outlook.com -all"/>
    <s v="yes"/>
    <x v="3"/>
    <s v="v=DMARC1;p=reject;rua=mailto:5e749ec92e@rua.easydmarc.com,mailto:itsupport@soft-ex.net;ruf=mailto:5e749ec92e@rua.easydmarc.com;fo=1"/>
    <m/>
    <m/>
    <x v="0"/>
    <x v="5"/>
    <x v="1"/>
  </r>
  <r>
    <s v="sysco-software.com"/>
    <s v="minus"/>
    <x v="0"/>
    <s v="v=spf1 include:spf.protection.outlook.com -all"/>
    <s v="yes"/>
    <x v="1"/>
    <s v="v=DMARC1; p=quarantine; pct=100"/>
    <m/>
    <m/>
    <x v="0"/>
    <x v="5"/>
    <x v="1"/>
  </r>
  <r>
    <s v="terminalfour.com"/>
    <s v="tilde"/>
    <x v="1"/>
    <s v="v=spf1 include:spf2.terminalfour.com include:spf.hornetsecurity.com include:_spf.mlsend.com include:spf-eu.emailsignatures365.com include:spf.protection.outlook.com include:139505422.spf01.hubspotemail.net ~all"/>
    <s v="yes"/>
    <x v="2"/>
    <s v="v=DMARC1; p=none; pct=100; rua=mailto:re+gbbizxfyv8g@dmarc.postmarkapp.com; sp=none; aspf=r;"/>
    <m/>
    <m/>
    <x v="0"/>
    <x v="5"/>
    <x v="1"/>
  </r>
  <r>
    <s v="tangotelecom.com"/>
    <s v="tilde"/>
    <x v="1"/>
    <s v="v=spf1 include:%{ir}.%{v}.%{d}.spf.has.pphosted.com ~all"/>
    <s v="yes"/>
    <x v="0"/>
    <m/>
    <m/>
    <m/>
    <x v="5"/>
    <x v="5"/>
    <x v="1"/>
  </r>
  <r>
    <s v="intelligo.ie"/>
    <s v="minus"/>
    <x v="0"/>
    <s v="v=spf1 ip4:62.13.147.77 ip4:149.5.40.136 ip4:87.192.160.73 ip4:149.71.161.153 include:spf.protection.outlook.com include:authsmtp.com include:relays.webhost-mail.com -all"/>
    <m/>
    <x v="0"/>
    <m/>
    <m/>
    <m/>
    <x v="24"/>
    <x v="5"/>
    <x v="1"/>
  </r>
  <r>
    <s v="thermodial.ie"/>
    <s v="minus"/>
    <x v="0"/>
    <s v="v=spf1 ip4:52.236.20.0/22 include:spf.protection.outlook.com include:spf-eu.emailsignatures365.com include:spf1.emailsecurity.app -all"/>
    <s v="yes"/>
    <x v="1"/>
    <s v="v=DMARC1; p=quarantine; rua=mailto:syncitdmarcreports@cuskensyncit.ie; ruf=mailto:syncitdmarcreports@cuskensyncit.ie; pct=50;"/>
    <m/>
    <m/>
    <x v="0"/>
    <x v="5"/>
    <x v="1"/>
  </r>
  <r>
    <s v="guidedogs.ie"/>
    <s v="minus"/>
    <x v="0"/>
    <s v="v=spf1 a mx ip4:86.47.36.232/32 ip4:86.47.52.101/32 ip4:78.143.145.190 include:mta.pentagoncomputers.com include:spf.protection.outlook.com include:spf.ess.de.barracudanetworks.com include:spf.mandrillapp.com -all"/>
    <s v="yes"/>
    <x v="1"/>
    <s v="v=DMARC1; p=quarantine; rua=mailto:dmarc-reports@guidedogs.ie; ruf=mailto:dmarc-failures@guidedogs.ie; sp=none; aspf=r;"/>
    <m/>
    <m/>
    <x v="1"/>
    <x v="5"/>
    <x v="1"/>
  </r>
  <r>
    <s v="sharavogue.ie"/>
    <s v="mis"/>
    <x v="3"/>
    <s v="v=spf1 a mx"/>
    <m/>
    <x v="0"/>
    <m/>
    <m/>
    <m/>
    <x v="0"/>
    <x v="5"/>
    <x v="1"/>
  </r>
  <r>
    <s v="athartadhg.ie"/>
    <s v="no"/>
    <x v="2"/>
    <m/>
    <m/>
    <x v="0"/>
    <m/>
    <m/>
    <m/>
    <x v="1"/>
    <x v="5"/>
    <x v="1"/>
  </r>
  <r>
    <s v="saintmarks.ie"/>
    <s v="mis"/>
    <x v="3"/>
    <s v="v=spf1 a mx"/>
    <m/>
    <x v="0"/>
    <m/>
    <m/>
    <m/>
    <x v="0"/>
    <x v="5"/>
    <x v="1"/>
  </r>
  <r>
    <s v="mercyconventprimarynaas.com"/>
    <s v="minus"/>
    <x v="0"/>
    <s v="v=spf1 -all"/>
    <m/>
    <x v="0"/>
    <m/>
    <m/>
    <m/>
    <x v="16"/>
    <x v="5"/>
    <x v="1"/>
  </r>
  <r>
    <s v="scoilaonghusa.ie"/>
    <s v="no"/>
    <x v="2"/>
    <m/>
    <m/>
    <x v="2"/>
    <s v="v=DMARC1; p=none"/>
    <m/>
    <m/>
    <x v="13"/>
    <x v="5"/>
    <x v="1"/>
  </r>
  <r>
    <s v="stfergalsnsbray.ie"/>
    <s v="no"/>
    <x v="2"/>
    <m/>
    <m/>
    <x v="0"/>
    <m/>
    <m/>
    <m/>
    <x v="24"/>
    <x v="5"/>
    <x v="1"/>
  </r>
  <r>
    <s v="wardfish.com"/>
    <s v="minus"/>
    <x v="0"/>
    <s v="v=spf1 include:spf.protection.outlook.com +include:evie.wurkservers.com  -all"/>
    <m/>
    <x v="0"/>
    <m/>
    <m/>
    <m/>
    <x v="6"/>
    <x v="5"/>
    <x v="1"/>
  </r>
  <r>
    <s v="barrystea.ie"/>
    <s v="tilde"/>
    <x v="1"/>
    <s v="v=spf1 include:outlook.com include:servers.mcsv.net include:mailgun.org ~all"/>
    <s v="yes"/>
    <x v="1"/>
    <s v="v=DMARC1; p=quarantine; rua=mailto:dmarc@ufgsumyx.uriports.com; ruf=mailto:dmarc@ufgsumyx.uriports.com; fo=1:d:s"/>
    <m/>
    <m/>
    <x v="1"/>
    <x v="5"/>
    <x v="1"/>
  </r>
  <r>
    <s v="farmersjournal.ie"/>
    <s v="tilde"/>
    <x v="1"/>
    <s v="v=spf1 a mx ip4:5.149.174.219 ip4:46.22.136.28 ip4:5.149.174.221 ip4:5.149.174.222 ip4:52.209.60.130 ip4:46.22.138.149 ip4:46.22.135.85 ip4:46.22.135.84 include:amazonses.com &quot; &quot;include:o365.crossware.co.nz include:spf.mailjet.com include:spf.mandrillapp.com include:spf.protection.outlook.com include:24904274.spf01.hubspotemail.net ~all"/>
    <s v="yes"/>
    <x v="2"/>
    <s v="v=DMARC1; p=none; rua=mailto:aggrep@farmersjournal.ie;"/>
    <m/>
    <m/>
    <x v="0"/>
    <x v="5"/>
    <x v="1"/>
  </r>
  <r>
    <s v="radiokerry.ie"/>
    <s v="tilde"/>
    <x v="1"/>
    <s v="v=spf1 ip4:213.94.193.158 ~all"/>
    <m/>
    <x v="3"/>
    <s v="v=DMARC1; p=reject; pct=100; rua=mailto:71afbb4d@in.mailhardener.com; aspf=r; fo=1"/>
    <m/>
    <m/>
    <x v="14"/>
    <x v="5"/>
    <x v="1"/>
  </r>
  <r>
    <s v="clifftownhouse.com"/>
    <s v="no"/>
    <x v="2"/>
    <m/>
    <m/>
    <x v="0"/>
    <m/>
    <m/>
    <m/>
    <x v="0"/>
    <x v="5"/>
    <x v="1"/>
  </r>
  <r>
    <s v="woodiesdiy.com"/>
    <s v="question"/>
    <x v="4"/>
    <s v="v=spf1 ip4:82.147.18.199/32 include:spf.protection.outlook.com ?all"/>
    <s v="yes"/>
    <x v="3"/>
    <s v="v=DMARC1; p=reject; rua=mailto:220de43055e1045@rep.dmarcanalyzer.com; ruf=mailto:220de43055e1045@for.dmarcanalyzer.com; fo=1;"/>
    <m/>
    <m/>
    <x v="0"/>
    <x v="5"/>
    <x v="1"/>
  </r>
  <r>
    <s v="claremarts.ie"/>
    <s v="no"/>
    <x v="2"/>
    <m/>
    <m/>
    <x v="0"/>
    <m/>
    <m/>
    <m/>
    <x v="9"/>
    <x v="5"/>
    <x v="1"/>
  </r>
  <r>
    <s v="agrigear.ie"/>
    <s v="minus"/>
    <x v="0"/>
    <s v="v=spf1 ip4:80.249.249.248 ip4:185.253.124.134 include:spf.protection.outlook.com -all"/>
    <s v="yes"/>
    <x v="1"/>
    <s v="v=DMARC1; p=quarantine; rua=mailto:cinnte@agrigear.ie;"/>
    <m/>
    <m/>
    <x v="11"/>
    <x v="5"/>
    <x v="1"/>
  </r>
  <r>
    <s v="clareyouthservice.org"/>
    <s v="minus"/>
    <x v="0"/>
    <s v="v=spf1 include:spf.protection.outlook.com ip4:34.251.246.197/32 ip4:34.254.147.8/32 -all"/>
    <m/>
    <x v="2"/>
    <s v="v=DMARC1; p=none;"/>
    <m/>
    <m/>
    <x v="9"/>
    <x v="5"/>
    <x v="1"/>
  </r>
  <r>
    <s v="cavanaghs.com"/>
    <s v="minus"/>
    <x v="0"/>
    <s v="v=spf1 include:spf.protection.outlook.com include:spf.mandrillapp.com include:authsmtp.com -all"/>
    <m/>
    <x v="0"/>
    <m/>
    <m/>
    <m/>
    <x v="1"/>
    <x v="5"/>
    <x v="1"/>
  </r>
  <r>
    <s v="maldronhotellimerick.com"/>
    <s v="no"/>
    <x v="2"/>
    <m/>
    <m/>
    <x v="0"/>
    <m/>
    <m/>
    <m/>
    <x v="5"/>
    <x v="5"/>
    <x v="1"/>
  </r>
  <r>
    <s v="monasterboice-inn.ie"/>
    <s v="no"/>
    <x v="2"/>
    <m/>
    <m/>
    <x v="0"/>
    <m/>
    <m/>
    <m/>
    <x v="2"/>
    <x v="5"/>
    <x v="1"/>
  </r>
  <r>
    <s v="avvio.com"/>
    <s v="minus"/>
    <x v="0"/>
    <s v="v=spf1 +a +mx +ip4:62.138.231.0/25 +ip4:217.115.118.14 +include:spf.protection.outlook.com exists:%{i}.spf.hc5098-53.iphmx.com -all"/>
    <s v="yes"/>
    <x v="2"/>
    <s v="v=DMARC1; p=none; aspf=r;"/>
    <m/>
    <m/>
    <x v="5"/>
    <x v="6"/>
    <x v="1"/>
  </r>
  <r>
    <s v="ccrcork.com"/>
    <s v="minus"/>
    <x v="0"/>
    <s v="v=spf1 include:spf.protection.outlook.com -all"/>
    <m/>
    <x v="0"/>
    <m/>
    <m/>
    <m/>
    <x v="1"/>
    <x v="6"/>
    <x v="1"/>
  </r>
  <r>
    <s v="scoildara.ie"/>
    <s v="minus"/>
    <x v="0"/>
    <s v="v=spf1 include:spf.protection.outlook.com -all"/>
    <m/>
    <x v="0"/>
    <m/>
    <m/>
    <m/>
    <x v="16"/>
    <x v="6"/>
    <x v="1"/>
  </r>
  <r>
    <s v="elephantandcastle.ie"/>
    <s v="minus"/>
    <x v="0"/>
    <s v="v=spf1 include:spf.protection.outlook.com include:spf.exclaimer.net include:servers.mcsv.net mx a -all"/>
    <s v="yes"/>
    <x v="0"/>
    <m/>
    <m/>
    <m/>
    <x v="0"/>
    <x v="6"/>
    <x v="1"/>
  </r>
  <r>
    <s v="avenuemouldsolutions.ie"/>
    <s v="no"/>
    <x v="2"/>
    <m/>
    <m/>
    <x v="0"/>
    <m/>
    <m/>
    <m/>
    <x v="8"/>
    <x v="7"/>
    <x v="1"/>
  </r>
  <r>
    <s v="acumenandtrust.com"/>
    <s v="minus"/>
    <x v="0"/>
    <s v="v=spf1 a include:spf.blacknight.ie include:spf.protection.outlook.com -all"/>
    <s v="yes"/>
    <x v="1"/>
    <s v="v=DMARC1; p=quarantine; sp=none; rua=mailto:dmarc@acumenandtrust.com!10m; ruf=mailto:dmarc@acumenandtrust.com!10m; rf=afrf; pct=100; ri=86400"/>
    <m/>
    <m/>
    <x v="0"/>
    <x v="7"/>
    <x v="1"/>
  </r>
  <r>
    <s v="frg.ie"/>
    <s v="tilde"/>
    <x v="1"/>
    <s v="v=spf1 a include:spf.blacknight.ie  ~all"/>
    <m/>
    <x v="0"/>
    <m/>
    <m/>
    <m/>
    <x v="0"/>
    <x v="7"/>
    <x v="1"/>
  </r>
  <r>
    <s v="stnessans.ie"/>
    <s v="no"/>
    <x v="2"/>
    <m/>
    <m/>
    <x v="0"/>
    <m/>
    <m/>
    <m/>
    <x v="5"/>
    <x v="7"/>
    <x v="1"/>
  </r>
  <r>
    <s v="handm.com"/>
    <s v="no"/>
    <x v="2"/>
    <m/>
    <m/>
    <x v="1"/>
    <s v="v=DMARC1; p=quarantine; adkim=r; aspf=r; rua=mailto:dmarc_rua@onsecureserver.net;"/>
    <m/>
    <m/>
    <x v="1"/>
    <x v="7"/>
    <x v="1"/>
  </r>
  <r>
    <s v="fridays.ie"/>
    <s v="minus"/>
    <x v="0"/>
    <s v="v=spf1 include:spf.protection.outlook.com -all"/>
    <m/>
    <x v="0"/>
    <m/>
    <m/>
    <m/>
    <x v="0"/>
    <x v="7"/>
    <x v="1"/>
  </r>
  <r>
    <s v="stpatscs.com"/>
    <s v="tilde"/>
    <x v="1"/>
    <s v="v=spf1 include:_spf.google.com ~all"/>
    <s v="yes"/>
    <x v="0"/>
    <m/>
    <m/>
    <m/>
    <x v="15"/>
    <x v="8"/>
    <x v="1"/>
  </r>
  <r>
    <s v="hsl.ie"/>
    <s v="minus"/>
    <x v="0"/>
    <s v="v=spf1 include:amazonses.com include:spf.protection.outlook.com ip4:84.39.235.25 ip4:84.39.235.30 ip4:95.45.223.10/32 ip4:158.255.228.72/29 ip4:157.96.36.176/28 ip4:195.14.68.113 ip4:83.166.177.33/29 ip4:157.96.42.241/29 include:_spf.salesforce.com i&quot; &quot;nclude:spf.topsec.com -all"/>
    <s v="yes"/>
    <x v="1"/>
    <s v="v=DMARC1; p=quarantine; rua=mailto:dmarc.reports@hsl.ie; ruf=mailto:dmarc.reports@hsl.ie; fo=1; aspf=r;"/>
    <m/>
    <m/>
    <x v="0"/>
    <x v="8"/>
    <x v="1"/>
  </r>
  <r>
    <s v="saintbrigids.ie"/>
    <s v="minus"/>
    <x v="0"/>
    <s v="v=spf1 a mx include:_spf.google.com -all"/>
    <m/>
    <x v="2"/>
    <s v="v=DMARC1; p=none;"/>
    <m/>
    <m/>
    <x v="0"/>
    <x v="8"/>
    <x v="1"/>
  </r>
  <r>
    <s v="mysticalrose.ie"/>
    <s v="minus"/>
    <x v="0"/>
    <s v="v=spf1 +a +mx +ip4:78.137.164.103 +ip4:185.43.232.185 +include:spf.protection.outlook.com -all"/>
    <s v="yes"/>
    <x v="0"/>
    <m/>
    <m/>
    <m/>
    <x v="7"/>
    <x v="8"/>
    <x v="1"/>
  </r>
  <r>
    <s v="lakesnursinghome.com"/>
    <s v="no"/>
    <x v="2"/>
    <m/>
    <m/>
    <x v="0"/>
    <m/>
    <m/>
    <m/>
    <x v="9"/>
    <x v="8"/>
    <x v="1"/>
  </r>
  <r>
    <s v="islamireland.ie"/>
    <s v="tilde"/>
    <x v="1"/>
    <s v="v=spf1 ip4:178.79.170.171 ip6:2a01:7e00::f03c:91ff:fe73:28a9 include:_spf.google.com include:spf.protection.outlook.com ~all"/>
    <m/>
    <x v="0"/>
    <m/>
    <m/>
    <m/>
    <x v="0"/>
    <x v="9"/>
    <x v="1"/>
  </r>
  <r>
    <s v="corketb.ie"/>
    <s v="minus"/>
    <x v="0"/>
    <s v="v=spf1 include:spf.protection.outlook.com Include:spf.dcsnet.ie ip4:78.153.208.244 ip4:193.178.97.237/32 ip4:193.1.31.2/32 ip4:91.210.232.152 ip4:193.120.143.138 a:mail.esat-x.com ip4:193.120.143.134 a:mail01.mail.esat-x.com ip4:193.120.143.70 a:mail02.ma&quot; &quot;il.esat-x.com ip4:193.120.142.176 a:mail03.mail.esat-x.com a:mail04.mail.esat-x.com -all"/>
    <s v="yes"/>
    <x v="3"/>
    <s v="v=DMARC1;p=reject;sp=reject;rua=mailto:211a5a2e44@rua.easydmarc.eu;ruf=mailto:211a5a2e44@ruf.easydmarc.eu;fo=1"/>
    <m/>
    <m/>
    <x v="1"/>
    <x v="10"/>
    <x v="1"/>
  </r>
  <r>
    <s v="gaa.ie"/>
    <s v="tilde"/>
    <x v="1"/>
    <s v="v=spf1 include:spf.protection.outlook.com ip4:212.78.241.41 ip4:89.185.145.185 ip4:194.46.129.99 ip4:52.213.128.155 ip4:212.108.93.10 ip4:192.254.118.86 ip4:84.23.11.0/27 ip4:92.51.245.37 ip4:205.201.128.0/20 ip4:198.2.128.0/18 ip4:148.105.8.0/21 ip4:216.&quot; &quot;34.99.11/32 ip4:216.34.99.12/30 ip4:216.34.99.16/30 ip4:46.22.142.67 include:_spf.createsend.com include:mail.zendesk.com include:_spf.emailcampaigns.net include:spf.zoho.eu ~all"/>
    <s v="yes"/>
    <x v="1"/>
    <s v="v=DMARC1; p=quarantine; sp=quarantine; rua=mailto:dmarc_agg@vali.email;"/>
    <m/>
    <m/>
    <x v="0"/>
    <x v="10"/>
    <x v="1"/>
  </r>
  <r>
    <s v="hea.ie"/>
    <s v="minus"/>
    <x v="0"/>
    <s v="v=spf1 ip4:193.1.200.58 include:spf.protection.outlook.com -all"/>
    <s v="yes"/>
    <x v="3"/>
    <s v="v=DMARC1; p=reject; pct=25; rua=mailto:dmarc.agg.reports@hea.ie,mailto:0af754660aa7778@rep.dmarcanalyzer.com; ruf=mailto:dmarc.for.reports@hea.ie,mailto:0af754660aa7778@for.dmarcanalyzer.com; rf=afrf; sp=reject; adkim=s; aspf=s; fo=0:1:d:s"/>
    <m/>
    <m/>
    <x v="0"/>
    <x v="10"/>
    <x v="1"/>
  </r>
  <r>
    <s v="iob.ie"/>
    <s v="minus"/>
    <x v="0"/>
    <s v="v=spf1 ip4:193.1.10.82 include:spf.protection.outlook.com include:_spf.123formbuilder.com -all"/>
    <s v="yes"/>
    <x v="0"/>
    <m/>
    <m/>
    <m/>
    <x v="0"/>
    <x v="10"/>
    <x v="1"/>
  </r>
  <r>
    <s v="creditunion.ie"/>
    <s v="minus"/>
    <x v="0"/>
    <s v="v=spf1 a mx:creditunion.ie ip4:149.72.180.197 ip4:80.93.18.146 include:sendgrid.net include:spf.protection.outlook.com include:spf.newsletter.ie include:_spf.intacct.com -all"/>
    <s v="yes"/>
    <x v="1"/>
    <s v="v=DMARC1; p=quarantine; rua=mailto:alerts@creditunion.ie; ruf=mailto:alerts@creditunion.ie; fo=1; pct=100"/>
    <m/>
    <m/>
    <x v="0"/>
    <x v="10"/>
    <x v="1"/>
  </r>
  <r>
    <s v="adecco.ie"/>
    <s v="tilde"/>
    <x v="1"/>
    <s v="v=spf1 include:adecco.net ~all"/>
    <s v="yes"/>
    <x v="2"/>
    <s v="v=DMARC1; p=none; rua=mailto:2cd9750f0d9c816@rep.dmarcanalyzer.com; ruf=mailto:2cd9750f0d9c816@for.dmarcanalyzer.com; fo=1;"/>
    <m/>
    <m/>
    <x v="0"/>
    <x v="10"/>
    <x v="1"/>
  </r>
  <r>
    <s v="brightwater.ie"/>
    <s v="tilde"/>
    <x v="1"/>
    <s v="v=spf1 ip4:5.149.175.214 ip4:185.151.30.139 ip4:23.21.122.59 ip4:217.173.110.138 ip4:80.169.137.178 ip4:80.169.42.78 include:spf.protection.outlook.com include:spf.stackmail.com include:_spf.bullhornmail.com ~all"/>
    <m/>
    <x v="2"/>
    <s v="v=DMARC1; p=none;"/>
    <m/>
    <m/>
    <x v="0"/>
    <x v="10"/>
    <x v="1"/>
  </r>
  <r>
    <s v="hastings.ie"/>
    <s v="minus"/>
    <x v="0"/>
    <s v="v=spf1 include:spf.hastings.ie include:spf.protection.outlook.com include:appliedexch.co.uk include:27003876.spf10.hubspotemail.net -all"/>
    <s v="yes"/>
    <x v="1"/>
    <s v="v=DMARC1; p=quarantine; pct=100; rua=mailto:dmarc@zenotec.ie; ruf=mailto:dmarc@zenotec.ie; fo=1"/>
    <m/>
    <m/>
    <x v="7"/>
    <x v="10"/>
    <x v="1"/>
  </r>
  <r>
    <s v="sinnfein.ie"/>
    <s v="tilde"/>
    <x v="1"/>
    <s v="v=spf1 include:_spf.google.com ~all"/>
    <s v="yes"/>
    <x v="0"/>
    <m/>
    <m/>
    <m/>
    <x v="0"/>
    <x v="10"/>
    <x v="1"/>
  </r>
  <r>
    <s v="mandate.ie"/>
    <s v="tilde"/>
    <x v="1"/>
    <s v="v=spf1 ip4:89.101.215.114 ip4:83.70.148.21 ip4:54.229.15.170 ip4:54.229.15.217 include:spf.protection.outlook.com ~all"/>
    <s v="yes"/>
    <x v="2"/>
    <s v="v=DMARC1;p=none;sp=none;adkim=r;aspf=r;pct=100;fo=0;rf=afrf;ri=86400;rua=mailto:dmarc@mandate.ie;ruf=mailto:dmarc@mandate.ie"/>
    <m/>
    <m/>
    <x v="10"/>
    <x v="10"/>
    <x v="1"/>
  </r>
  <r>
    <s v="shamrockgiftcompany.com"/>
    <s v="tilde"/>
    <x v="1"/>
    <s v="v=spf1 include:_u.shamrockgiftcompany.com._spf.smart.ondmarc.com ~all"/>
    <s v="yes"/>
    <x v="3"/>
    <s v="v=DMARC1; p=reject; pct=100; sp=none; rua=mailto:c63b3432@inbox.ondmarc.com; ruf=mailto:c63b3432@inbox.ondmarc.com; adkim=r; aspf=r; fo=1; rf=afrf; ri=3600"/>
    <m/>
    <m/>
    <x v="0"/>
    <x v="10"/>
    <x v="1"/>
  </r>
  <r>
    <s v="arcbar.net"/>
    <s v="no"/>
    <x v="2"/>
    <m/>
    <m/>
    <x v="0"/>
    <m/>
    <m/>
    <m/>
    <x v="0"/>
    <x v="10"/>
    <x v="1"/>
  </r>
  <r>
    <s v="gibneys.com"/>
    <s v="tilde"/>
    <x v="1"/>
    <s v="v=spf1 include:spf.reg365.net ~all"/>
    <m/>
    <x v="0"/>
    <m/>
    <m/>
    <m/>
    <x v="0"/>
    <x v="10"/>
    <x v="1"/>
  </r>
  <r>
    <s v="theturkshead.ie"/>
    <s v="no"/>
    <x v="2"/>
    <m/>
    <m/>
    <x v="0"/>
    <m/>
    <m/>
    <m/>
    <x v="0"/>
    <x v="10"/>
    <x v="1"/>
  </r>
  <r>
    <s v="huntsmaninn.com"/>
    <s v="no"/>
    <x v="2"/>
    <m/>
    <m/>
    <x v="0"/>
    <m/>
    <m/>
    <m/>
    <x v="7"/>
    <x v="10"/>
    <x v="1"/>
  </r>
  <r>
    <s v="judgeroybeans.ie"/>
    <s v="minus"/>
    <x v="0"/>
    <s v="v=spf1 +mx +a include:relay.mailchannels.net include:spf.protection.outlook.com -all"/>
    <m/>
    <x v="0"/>
    <m/>
    <m/>
    <m/>
    <x v="16"/>
    <x v="10"/>
    <x v="1"/>
  </r>
  <r>
    <s v="folens.ie"/>
    <s v="mis"/>
    <x v="3"/>
    <s v="v=spf1 redirect=36n6flym._spf._d.mim.ec"/>
    <s v="yes"/>
    <x v="2"/>
    <s v="v=DMARC1; p=none; rua=mailto:54a376bb9d9a811@rep.dmarcanalyzer.com; ruf=mailto:54a376bb9d9a811@for.dmarcanalyzer.com; fo=1;"/>
    <m/>
    <m/>
    <x v="0"/>
    <x v="10"/>
    <x v="1"/>
  </r>
  <r>
    <s v="thestar.ie"/>
    <s v="tilde"/>
    <x v="1"/>
    <s v="v=spf1 mx a ip4:89.101.141.133/32 ip4:83.71.187.128/25 include:servers.mcsv.net include:spf.protection.outlook.com include:_spf.google.com ~all"/>
    <s v="yes"/>
    <x v="0"/>
    <m/>
    <m/>
    <m/>
    <x v="0"/>
    <x v="10"/>
    <x v="1"/>
  </r>
  <r>
    <s v="ria.ie"/>
    <s v="minus"/>
    <x v="0"/>
    <s v="v=spf1 a include:_spf.google.com include:_spf.salesforce.com include:spf.protection.outlook.com ip4:104.18.25.107 ip4:104.18.24.107 -all"/>
    <s v="yes"/>
    <x v="2"/>
    <s v="v=DMARC1; p=none; rua=mailto:vsihdl8e@ag.eu.dmarcian.com, mailto:dmarc@ria.ie"/>
    <m/>
    <m/>
    <x v="0"/>
    <x v="10"/>
    <x v="1"/>
  </r>
  <r>
    <s v="smithandwilliamson.com"/>
    <s v="minus"/>
    <x v="0"/>
    <s v="v=spf1 ip4:51.140.55.43 ip4:52.142.188.230 ip4:213.212.85.72 ip4:89.206.230.178 ip4:94.236.83.186 ip4:205.201.135.18 ip4:198.2.183.130 ip4:51.140.37.132 ip4:51.141.5.228 include:emailsrvr.com include:sent-via.netsuite.com include:spf.protection.outlook.co&quot; &quot;m -all"/>
    <s v="yes"/>
    <x v="3"/>
    <s v="v=DMARC1; p=reject; rua=mailto:rbfhjr9g@ag.eu.dmarcian.com"/>
    <m/>
    <m/>
    <x v="0"/>
    <x v="10"/>
    <x v="1"/>
  </r>
  <r>
    <s v="waterman-moylan.ie"/>
    <s v="minus"/>
    <x v="0"/>
    <s v="v=spf1 a include:spf.protection.outlook.com ip4:78.153.223.185 -all"/>
    <s v="yes"/>
    <x v="2"/>
    <s v="v=DMARC1;p=none;sp=none;rua=mailto:211a5a2e44@rua.easydmarc.eu;ruf=mailto:211a5a2e44@ruf.easydmarc.eu;fo=1"/>
    <m/>
    <m/>
    <x v="0"/>
    <x v="10"/>
    <x v="1"/>
  </r>
  <r>
    <s v="exyte.net"/>
    <s v="minus"/>
    <x v="0"/>
    <s v="v=spf1 ip4:98.67.210.56 ip4:83.125.118.202 ip4:62.209.53.67 ip4:62.180.26.76 ip4:158.177.171.75 include:emailsrvr.com include:_spf.papirfly.net include:successfactors.eu include:spf.planoncloud.com include:spf.protection.outlook.com include:_spf.mailout.m&quot; &quot;ms-support.de -all"/>
    <s v="yes"/>
    <x v="2"/>
    <s v="v=DMARC1; p=none; rua=mailto:b30a3b28cf9f235@rep.dmarcanalyzer.com; ruf=mailto:b30a3b28cf9f235@for.dmarcanalyzer.com; sp=none; fo=1"/>
    <m/>
    <m/>
    <x v="16"/>
    <x v="10"/>
    <x v="1"/>
  </r>
  <r>
    <s v="zehnacker.ie"/>
    <s v="tilde"/>
    <x v="1"/>
    <s v="v=spf1 include:_spf.google.com ~all"/>
    <s v="yes"/>
    <x v="3"/>
    <s v="v=DMARC1; p=reject;"/>
    <m/>
    <m/>
    <x v="16"/>
    <x v="10"/>
    <x v="1"/>
  </r>
  <r>
    <s v="patentsoffice.ie"/>
    <s v="minus"/>
    <x v="0"/>
    <s v="v=spf1 -all"/>
    <m/>
    <x v="3"/>
    <s v="v=DMARC1; p=reject; pct=100; fo=1; ri=3600; rua=mailto:bfa65a29@inbox.ondmarc.com; ruf=mailto:bfa65a29@inbox.ondmarc.com;"/>
    <m/>
    <m/>
    <x v="17"/>
    <x v="10"/>
    <x v="1"/>
  </r>
  <r>
    <s v="greenstar.ie"/>
    <s v="tilde"/>
    <x v="1"/>
    <s v="v=spf1 include:spf.protection.outlook.com include:spf.eu.exclaimer.net include:%{ir}.%{v}.%{d}.spf.has.pphosted.com ~all"/>
    <m/>
    <x v="2"/>
    <s v="v=DMARC1; p=none; fo=1; rua=mailto:dmarc_rua@emaildefense.proofpoint.com; ruf=mailto:dmarc_ruf@emaildefense.proofpoint.com"/>
    <m/>
    <m/>
    <x v="0"/>
    <x v="10"/>
    <x v="1"/>
  </r>
  <r>
    <s v="werswaste.ie"/>
    <s v="tilde"/>
    <x v="1"/>
    <s v="v=spf1 include:spf.protection.outlook.com include:spf.eu.exclaimer.net include:%{ir}.%{v}.%{d}.spf.has.pphosted.com ~all"/>
    <s v="yes"/>
    <x v="2"/>
    <s v="v=DMARC1; p=none; fo=1; rua=mailto:dmarc_rua@emaildefense.proofpoint.com; ruf=mailto:dmarc_ruf@emaildefense.proofpoint.com"/>
    <m/>
    <m/>
    <x v="7"/>
    <x v="10"/>
    <x v="1"/>
  </r>
  <r>
    <s v="ryanhanley.ie"/>
    <s v="minus"/>
    <x v="0"/>
    <s v="v=spf1 ip4:109.106.104.58 ip4:109.106.104.59 include:spf.protection.outlook.com -all"/>
    <s v="yes"/>
    <x v="3"/>
    <s v="v=DMARC1;p=reject;sp=reject;pct=100;rua=mailto:it.services@ryanhanley.ie;ruf=mailto:it.services@ryanhanley.ie;ri=86400;aspf=r;adkim=r;fo=1;"/>
    <m/>
    <m/>
    <x v="7"/>
    <x v="10"/>
    <x v="1"/>
  </r>
  <r>
    <s v="jonscivil.ie"/>
    <s v="minus"/>
    <x v="0"/>
    <s v="v=spf1 include:spf.protection.outlook.com -all"/>
    <s v="yes"/>
    <x v="2"/>
    <s v="v=DMARC1; p=none; rua=mailto:dmarc@jonscivil.ie; ruf=mailto:dmarc@jonscivil.ie; fo=1;"/>
    <m/>
    <m/>
    <x v="15"/>
    <x v="10"/>
    <x v="1"/>
  </r>
  <r>
    <s v="clonmelent.com"/>
    <s v="minus"/>
    <x v="0"/>
    <s v="v=spf1 ip4:89.204.209.180 include:spf.protection.outlook.com include:spf-eu.emailsignatures365.com -all"/>
    <s v="yes"/>
    <x v="3"/>
    <s v="v=DMARC1;p=reject;rua=mailto:mprice@clonmelent.com;ruf=mailto:mprice@clonmelent.com"/>
    <m/>
    <m/>
    <x v="16"/>
    <x v="10"/>
    <x v="1"/>
  </r>
  <r>
    <s v="worldnetpayments.com"/>
    <s v="no"/>
    <x v="2"/>
    <m/>
    <m/>
    <x v="0"/>
    <m/>
    <m/>
    <m/>
    <x v="0"/>
    <x v="10"/>
    <x v="1"/>
  </r>
  <r>
    <s v="cooleydistillery.com"/>
    <s v="no"/>
    <x v="2"/>
    <m/>
    <m/>
    <x v="0"/>
    <m/>
    <m/>
    <m/>
    <x v="2"/>
    <x v="10"/>
    <x v="1"/>
  </r>
  <r>
    <s v="swillygroup.com"/>
    <s v="tilde"/>
    <x v="1"/>
    <s v="v=spf1 +a +mx include:swillygroup.com.spf.auto.dnssmarthost.net ~all"/>
    <s v="yes"/>
    <x v="2"/>
    <s v="v=DMARC1; p=none; aspf=r; adkim=r;"/>
    <m/>
    <m/>
    <x v="6"/>
    <x v="10"/>
    <x v="1"/>
  </r>
  <r>
    <s v="haroldeng.ie"/>
    <s v="minus"/>
    <x v="0"/>
    <s v="v=spf1 mx a include:spf.protection.outlook.com  a:cato1.haroldeng.ie a:cato2.haroldeng.ie a:wan1.haroldeng.ie  -all"/>
    <s v="yes"/>
    <x v="0"/>
    <m/>
    <m/>
    <m/>
    <x v="7"/>
    <x v="10"/>
    <x v="1"/>
  </r>
  <r>
    <s v="pomaritime.com"/>
    <s v="minus"/>
    <x v="0"/>
    <s v="v=spf1 ip4:151.253.32.100 include:spf.protection.outlook.com include:spf.UAE.exclaimer.net include:spf_c.oraclecloud.com include:spfa.cpmails.com -all"/>
    <s v="yes"/>
    <x v="1"/>
    <s v="v=DMARC1; p=quarantine; pct=100; fo=1; rua=mailto:testsp@pomaritime.com;ruf=mailto:testsp@pomaritime.com;adkim=s; aspf=s"/>
    <m/>
    <m/>
    <x v="7"/>
    <x v="10"/>
    <x v="1"/>
  </r>
  <r>
    <s v="aqssolutions.ie"/>
    <s v="minus"/>
    <x v="0"/>
    <s v="v=spf1 ip4:89.184.56.32 include:servers.mcsv.net include:spf.protection.outlook.com -all"/>
    <s v="yes"/>
    <x v="0"/>
    <m/>
    <m/>
    <m/>
    <x v="17"/>
    <x v="10"/>
    <x v="1"/>
  </r>
  <r>
    <s v="bretland.ie"/>
    <s v="minus"/>
    <x v="0"/>
    <s v="v=spf1 ip4:212.126.59.52 ip4:51.75.186.21 include:spf.protection.outlook.com -all"/>
    <s v="yes"/>
    <x v="2"/>
    <s v="v=DMARC1; p=none;"/>
    <m/>
    <m/>
    <x v="21"/>
    <x v="10"/>
    <x v="1"/>
  </r>
  <r>
    <s v="advancecleaners.ie"/>
    <s v="minus"/>
    <x v="0"/>
    <s v="v=spf1 include:spf.protection.outlook.com -all"/>
    <m/>
    <x v="2"/>
    <s v="v=DMARC1; p=none"/>
    <m/>
    <m/>
    <x v="3"/>
    <x v="10"/>
    <x v="1"/>
  </r>
  <r>
    <s v="corribgas.com"/>
    <s v="minus"/>
    <x v="0"/>
    <s v="v=spf1 include:_spf.shell.com include:spf.protection.outlook.com -all"/>
    <s v="yes"/>
    <x v="1"/>
    <s v="v=DMARC1; p=quarantine; sp=reject; fo=1; pct=100; ruf=mailto:SITI-Cyberdefence-DMARC-Analysis@shell.com; rua=mailto:SITI-Cyberdefence-DMARC-Analysis@shell.com"/>
    <m/>
    <m/>
    <x v="0"/>
    <x v="10"/>
    <x v="1"/>
  </r>
  <r>
    <s v="sligosouthernhotel.ie"/>
    <s v="minus"/>
    <x v="0"/>
    <s v="v=spf1 include:spf.protection.outlook.com include:netaffinity.net -all"/>
    <m/>
    <x v="0"/>
    <m/>
    <m/>
    <m/>
    <x v="8"/>
    <x v="10"/>
    <x v="1"/>
  </r>
  <r>
    <s v="brltd.ie"/>
    <s v="minus"/>
    <x v="0"/>
    <s v="v=spf1 ip4:178.250.112.162 ip4:31.193.222.107 ip4:31.193.216.138 ip4:51.104.182.221 include:spf.protection.outlook.com include:spf.exclaimer.net include:spf.spark.co.uk include:spf.smtp2go.com include:spf2.accessacloud.com -all"/>
    <s v="yes"/>
    <x v="1"/>
    <s v="v=DMARC1; p=quarantine"/>
    <m/>
    <m/>
    <x v="0"/>
    <x v="10"/>
    <x v="1"/>
  </r>
  <r>
    <s v="dcc.ie"/>
    <s v="minus"/>
    <x v="0"/>
    <s v="v=spf1 include:spf.protection.outlook.com include:spf.exclaimer.net include:eu._netblocks.mimecast.com include:33fae9.workshop-spf.net include:spfa.cpmails.com ip4:130.214.193.85 ip4:54.154.155.148 ip4:149.72.175.120 ip4:93.158.205.135 ip4:94.236.52.134 i&quot; &quot;p4:94.236.52.140 ip4:94.236.52.134 ip4:192.254.120.230 ip4:4.245.247.234 ip4:98.71.77.91 -all"/>
    <s v="yes"/>
    <x v="3"/>
    <s v="v=DMARC1; p=reject; rua=mailto:support@dcc.ie,mailto:dmarc_agg@vali.email; ruf=mailto:support@dcc.ie; sp=none; ri=86400"/>
    <m/>
    <m/>
    <x v="0"/>
    <x v="10"/>
    <x v="1"/>
  </r>
  <r>
    <s v="jpryan.ie"/>
    <s v="minus"/>
    <x v="0"/>
    <s v="v=spf1 a include:spf.protection.outlook.com -all"/>
    <m/>
    <x v="0"/>
    <m/>
    <m/>
    <m/>
    <x v="0"/>
    <x v="10"/>
    <x v="1"/>
  </r>
  <r>
    <s v="jryanhaulage.ie"/>
    <s v="tilde"/>
    <x v="1"/>
    <s v="v=spf1 +a +mx +include:spf.myhost.ie ~all"/>
    <s v="yes"/>
    <x v="2"/>
    <s v="v=DMARC1; p=none;"/>
    <m/>
    <m/>
    <x v="3"/>
    <x v="10"/>
    <x v="1"/>
  </r>
  <r>
    <s v="chartermedical.ie"/>
    <s v="minus"/>
    <x v="0"/>
    <s v="v=spf1 include:spf.protection.outlook.com ip4:84.203.225.142 include:mailgun.org include:spf.topsec.com -all"/>
    <s v="yes"/>
    <x v="3"/>
    <s v="v=DMARC1;p=reject;sp=reject;pct=100;rua=mailto:ed324e1168@rua.easydmarc.eu,mailto:dmarc@chartermedical.ie;ruf=mailto:ed324e1168@ruf.easydmarc.eu,mailto:dmarc@chartermedical.ie;ri=3600;aspf=r;adkim=r;fo=1"/>
    <m/>
    <m/>
    <x v="0"/>
    <x v="10"/>
    <x v="1"/>
  </r>
  <r>
    <s v="sims.ie"/>
    <s v="minus"/>
    <x v="0"/>
    <s v="v=spf1 ip4:203.52.166.225 ip4:54.153.131.110 ip4:54.66.252.242 ip4:87.232.49.106 include:spf.protection.outlook.com include:spf-00515701.pphosted.com include:_spf.salesforce.com include:spf1.formassembly.com include:sendgrid.net -all"/>
    <m/>
    <x v="2"/>
    <s v="v=DMARC1; p=none; fo=1; rua=mailto:dmarc_rua@emaildefense.proofpoint.com; ruf=mailto:dmarc_ruf@emaildefense.proofpoint.com"/>
    <m/>
    <m/>
    <x v="0"/>
    <x v="10"/>
    <x v="1"/>
  </r>
  <r>
    <s v="tullowcommunityschool.ie"/>
    <s v="minus"/>
    <x v="0"/>
    <s v="v=spf1 include:spf.protection.outlook.com -all"/>
    <m/>
    <x v="0"/>
    <m/>
    <m/>
    <m/>
    <x v="25"/>
    <x v="10"/>
    <x v="1"/>
  </r>
  <r>
    <s v="bailieborocs.ie"/>
    <s v="minus"/>
    <x v="0"/>
    <s v="v=spf1 include:spf.protection.outlook.com -all"/>
    <s v="yes"/>
    <x v="3"/>
    <s v="v=DMARC1; p=reject; rua=mailto:dmarcsupport@bailieborocs.ie"/>
    <m/>
    <m/>
    <x v="11"/>
    <x v="10"/>
    <x v="1"/>
  </r>
  <r>
    <s v="stpatrickscomprehensive.ie"/>
    <s v="no"/>
    <x v="2"/>
    <m/>
    <m/>
    <x v="0"/>
    <m/>
    <m/>
    <m/>
    <x v="9"/>
    <x v="10"/>
    <x v="1"/>
  </r>
  <r>
    <s v="clonakiltycc.ie"/>
    <s v="minus"/>
    <x v="0"/>
    <s v="v=spf1 ip4:207.55.255.4 include:spf.dcsnet.ie include:spf.protection.outlook.com -all"/>
    <m/>
    <x v="0"/>
    <m/>
    <m/>
    <m/>
    <x v="1"/>
    <x v="10"/>
    <x v="1"/>
  </r>
  <r>
    <s v="mayfieldcs.ie"/>
    <s v="minus"/>
    <x v="0"/>
    <s v="v=spf1 include:spf.protection.outlook.com -all"/>
    <m/>
    <x v="0"/>
    <m/>
    <m/>
    <m/>
    <x v="1"/>
    <x v="10"/>
    <x v="1"/>
  </r>
  <r>
    <s v="smgsblarney.ie"/>
    <s v="minus"/>
    <x v="0"/>
    <s v="v=spf1 include:spf.protection.outlook.com -all"/>
    <m/>
    <x v="0"/>
    <m/>
    <m/>
    <m/>
    <x v="1"/>
    <x v="10"/>
    <x v="1"/>
  </r>
  <r>
    <s v="ccbs.ie"/>
    <s v="minus"/>
    <x v="0"/>
    <s v="v=spf1 include:spf.protection.outlook.com -all"/>
    <m/>
    <x v="0"/>
    <m/>
    <m/>
    <m/>
    <x v="6"/>
    <x v="10"/>
    <x v="1"/>
  </r>
  <r>
    <s v="errigalcollege.ie"/>
    <s v="minus"/>
    <x v="0"/>
    <s v="v=spf1 +a +mx -all +a:web16.webcore.cloud"/>
    <m/>
    <x v="0"/>
    <m/>
    <m/>
    <m/>
    <x v="6"/>
    <x v="10"/>
    <x v="1"/>
  </r>
  <r>
    <s v="loretomilford.com"/>
    <s v="tilde"/>
    <x v="1"/>
    <s v="v=spf1 a include:spf.blacknight.ie  ~all"/>
    <m/>
    <x v="0"/>
    <m/>
    <m/>
    <m/>
    <x v="6"/>
    <x v="10"/>
    <x v="1"/>
  </r>
  <r>
    <s v="sainteunans.com"/>
    <s v="no"/>
    <x v="2"/>
    <m/>
    <m/>
    <x v="0"/>
    <m/>
    <m/>
    <m/>
    <x v="6"/>
    <x v="10"/>
    <x v="1"/>
  </r>
  <r>
    <s v="cus.ie"/>
    <s v="minus"/>
    <x v="0"/>
    <s v="v=spf1 include:spf.protection.outlook.com -all"/>
    <s v="yes"/>
    <x v="1"/>
    <s v="v=DMARC1; p=quarantine; rua=mailto:mail-monitor@cus.ie"/>
    <m/>
    <m/>
    <x v="0"/>
    <x v="10"/>
    <x v="1"/>
  </r>
  <r>
    <s v="loretothegreen.ie"/>
    <s v="tilde"/>
    <x v="1"/>
    <s v="v=spf1 include:_spf.google.com ~all"/>
    <s v="yes"/>
    <x v="3"/>
    <s v="v=DMARC1; p=reject; rua=mailto:DMARC@loretothegreen.ie; ruf=mailto:DMARC@loretothegreen.ie; pct=100; fo=0; adkim=s; aspf=s;"/>
    <m/>
    <m/>
    <x v="0"/>
    <x v="10"/>
    <x v="1"/>
  </r>
  <r>
    <s v="loretofoxrock.ie"/>
    <s v="minus"/>
    <x v="0"/>
    <s v="v=spf1 include:spf.protection.outlook.com -all"/>
    <s v="yes"/>
    <x v="2"/>
    <s v="v=DMARC1; p=none;"/>
    <m/>
    <m/>
    <x v="0"/>
    <x v="10"/>
    <x v="1"/>
  </r>
  <r>
    <s v="manorhouseschool.com"/>
    <s v="minus"/>
    <x v="0"/>
    <s v="v=spf1 ip4:89.101.195.202 a:fep14.mx.upcmail.net include:spf.protection.outlook.com -all"/>
    <m/>
    <x v="0"/>
    <m/>
    <m/>
    <m/>
    <x v="0"/>
    <x v="10"/>
    <x v="1"/>
  </r>
  <r>
    <s v="mountanville.ie"/>
    <s v="minus"/>
    <x v="0"/>
    <s v="v=spf1 ip4:87.38.24.6 include:ptr.edu.ie include:spf.protection.outlook.com -all"/>
    <m/>
    <x v="0"/>
    <m/>
    <m/>
    <m/>
    <x v="0"/>
    <x v="10"/>
    <x v="1"/>
  </r>
  <r>
    <s v="pcd07.ie"/>
    <s v="no"/>
    <x v="2"/>
    <m/>
    <s v="yes"/>
    <x v="0"/>
    <m/>
    <m/>
    <m/>
    <x v="0"/>
    <x v="10"/>
    <x v="1"/>
  </r>
  <r>
    <s v="stlouishighschool.ie"/>
    <s v="minus"/>
    <x v="0"/>
    <s v="v=spf1 include:spf.protection.outlook.com -all"/>
    <m/>
    <x v="0"/>
    <m/>
    <m/>
    <m/>
    <x v="0"/>
    <x v="10"/>
    <x v="1"/>
  </r>
  <r>
    <s v="tiernans.ie"/>
    <s v="tilde"/>
    <x v="1"/>
    <s v="v=spf1 include:_spf.google.com ~all"/>
    <m/>
    <x v="0"/>
    <m/>
    <m/>
    <m/>
    <x v="0"/>
    <x v="10"/>
    <x v="1"/>
  </r>
  <r>
    <s v="galwaycc.ie"/>
    <s v="no"/>
    <x v="2"/>
    <m/>
    <m/>
    <x v="0"/>
    <m/>
    <m/>
    <m/>
    <x v="7"/>
    <x v="10"/>
    <x v="1"/>
  </r>
  <r>
    <s v="gortcs.com"/>
    <s v="minus"/>
    <x v="0"/>
    <s v="v=spf1 include:spf.protection.outlook.com -all"/>
    <s v="yes"/>
    <x v="1"/>
    <s v="v=DMARC1; p=quarantine; rua=mailto:DMARC@gortcs.com;"/>
    <m/>
    <m/>
    <x v="7"/>
    <x v="10"/>
    <x v="1"/>
  </r>
  <r>
    <s v="presheadford.ie"/>
    <s v="no"/>
    <x v="2"/>
    <m/>
    <m/>
    <x v="0"/>
    <m/>
    <m/>
    <m/>
    <x v="7"/>
    <x v="10"/>
    <x v="1"/>
  </r>
  <r>
    <s v="salerno.ie"/>
    <s v="no"/>
    <x v="2"/>
    <m/>
    <m/>
    <x v="0"/>
    <m/>
    <m/>
    <m/>
    <x v="7"/>
    <x v="10"/>
    <x v="1"/>
  </r>
  <r>
    <s v="causewaycs.ie"/>
    <s v="minus"/>
    <x v="0"/>
    <s v="v=spf1 include:spf.protection.outlook.com -all"/>
    <m/>
    <x v="0"/>
    <m/>
    <m/>
    <m/>
    <x v="14"/>
    <x v="10"/>
    <x v="1"/>
  </r>
  <r>
    <s v="tarbertcomprehensive.ie"/>
    <s v="tilde"/>
    <x v="1"/>
    <s v="v=spf1 +a +mx +a:ukm30.siteground.biz  include:tarbertcomprehensive.ie.spf.auto.dnssmarthost.net ~all"/>
    <s v="yes"/>
    <x v="2"/>
    <s v="v=DMARC1; p=none; aspf=r; adkim=r;"/>
    <m/>
    <m/>
    <x v="14"/>
    <x v="10"/>
    <x v="1"/>
  </r>
  <r>
    <s v="ardscoil.ie"/>
    <s v="no"/>
    <x v="2"/>
    <m/>
    <m/>
    <x v="0"/>
    <m/>
    <m/>
    <m/>
    <x v="16"/>
    <x v="10"/>
    <x v="1"/>
  </r>
  <r>
    <s v="ktcs.ie"/>
    <s v="no"/>
    <x v="2"/>
    <m/>
    <m/>
    <x v="0"/>
    <m/>
    <m/>
    <m/>
    <x v="16"/>
    <x v="10"/>
    <x v="1"/>
  </r>
  <r>
    <s v="loretokk.ie"/>
    <s v="question"/>
    <x v="4"/>
    <s v="v=spf1 mx a ip4:77.104.140.175 a:c20173.sgvps.net ?all"/>
    <s v="yes"/>
    <x v="0"/>
    <m/>
    <m/>
    <m/>
    <x v="17"/>
    <x v="10"/>
    <x v="1"/>
  </r>
  <r>
    <s v="desmondcollege.ie"/>
    <s v="minus"/>
    <x v="0"/>
    <s v="v=spf1 include:spf.protection.outlook.com -all"/>
    <s v="yes"/>
    <x v="0"/>
    <m/>
    <m/>
    <m/>
    <x v="5"/>
    <x v="10"/>
    <x v="1"/>
  </r>
  <r>
    <s v="thomondcommunitycollege.ie"/>
    <s v="no"/>
    <x v="2"/>
    <m/>
    <m/>
    <x v="0"/>
    <m/>
    <m/>
    <m/>
    <x v="5"/>
    <x v="10"/>
    <x v="1"/>
  </r>
  <r>
    <s v="scoilmhuirelongford.ie"/>
    <s v="minus"/>
    <x v="0"/>
    <s v="v=spf1 include:spf.protection.outlook.com -all"/>
    <m/>
    <x v="0"/>
    <m/>
    <m/>
    <m/>
    <x v="20"/>
    <x v="10"/>
    <x v="1"/>
  </r>
  <r>
    <s v="ardeecommunityschool.ie"/>
    <s v="minus"/>
    <x v="0"/>
    <s v="v=spf1 include:spf.protection.outlook.com -all"/>
    <m/>
    <x v="0"/>
    <m/>
    <m/>
    <m/>
    <x v="2"/>
    <x v="10"/>
    <x v="1"/>
  </r>
  <r>
    <s v="ballinrobecommunityschool.ie"/>
    <s v="no"/>
    <x v="2"/>
    <m/>
    <m/>
    <x v="0"/>
    <m/>
    <m/>
    <m/>
    <x v="4"/>
    <x v="10"/>
    <x v="1"/>
  </r>
  <r>
    <s v="stmarysballina.ie"/>
    <s v="minus"/>
    <x v="0"/>
    <s v="v=spf1 include:spf.protection.outlook.com -all"/>
    <m/>
    <x v="0"/>
    <m/>
    <m/>
    <m/>
    <x v="4"/>
    <x v="10"/>
    <x v="1"/>
  </r>
  <r>
    <s v="mercynavan.ie"/>
    <s v="minus"/>
    <x v="0"/>
    <s v="v=spf1 include:spf.protection.outlook.com -all"/>
    <m/>
    <x v="0"/>
    <m/>
    <m/>
    <m/>
    <x v="15"/>
    <x v="10"/>
    <x v="1"/>
  </r>
  <r>
    <s v="bhc.ie"/>
    <s v="minus"/>
    <x v="0"/>
    <s v="v=spf1 include:spf.protection.outlook.com include:spf.dcsnet.ie -all"/>
    <s v="yes"/>
    <x v="3"/>
    <s v="v=DMARC1; p=reject; rua=mailto:dmarcsupport@bhc.ie"/>
    <m/>
    <m/>
    <x v="12"/>
    <x v="10"/>
    <x v="1"/>
  </r>
  <r>
    <s v="stnathys.com"/>
    <s v="minus"/>
    <x v="0"/>
    <s v="v=spf1 include:spf.protection.outlook.com -all"/>
    <m/>
    <x v="0"/>
    <m/>
    <m/>
    <m/>
    <x v="22"/>
    <x v="10"/>
    <x v="1"/>
  </r>
  <r>
    <s v="ursulinecollegesligo.ie"/>
    <s v="minus"/>
    <x v="0"/>
    <s v="v=spf1 ip4:104.248.81.172 include:spf.protection.outlook.com -all"/>
    <m/>
    <x v="0"/>
    <m/>
    <m/>
    <m/>
    <x v="8"/>
    <x v="10"/>
    <x v="1"/>
  </r>
  <r>
    <s v="ccr.ie"/>
    <s v="tilde"/>
    <x v="1"/>
    <s v="v=spf1 +a +mx +ip4:91.210.235.235 include:spf.webhostingireland.ie ~all"/>
    <s v="yes"/>
    <x v="2"/>
    <s v="v=DMARC1; p=none; rua=mailto:rua@dmarc.brevo.com"/>
    <m/>
    <m/>
    <x v="13"/>
    <x v="10"/>
    <x v="1"/>
  </r>
  <r>
    <s v="cpr.ie"/>
    <s v="minus"/>
    <x v="0"/>
    <s v="v=spf1 include:spf.protection.outlook.com -all"/>
    <m/>
    <x v="0"/>
    <m/>
    <m/>
    <m/>
    <x v="13"/>
    <x v="10"/>
    <x v="1"/>
  </r>
  <r>
    <s v="staugustines.ie"/>
    <s v="no"/>
    <x v="2"/>
    <m/>
    <m/>
    <x v="0"/>
    <m/>
    <m/>
    <m/>
    <x v="10"/>
    <x v="10"/>
    <x v="1"/>
  </r>
  <r>
    <s v="stpaulswaterford.ie"/>
    <s v="no"/>
    <x v="2"/>
    <m/>
    <s v="yes"/>
    <x v="0"/>
    <m/>
    <m/>
    <m/>
    <x v="10"/>
    <x v="10"/>
    <x v="1"/>
  </r>
  <r>
    <s v="whs.ie"/>
    <s v="mis"/>
    <x v="3"/>
    <s v="v=spf1 include:spf.protection.outlook.com"/>
    <m/>
    <x v="0"/>
    <m/>
    <m/>
    <m/>
    <x v="23"/>
    <x v="10"/>
    <x v="1"/>
  </r>
  <r>
    <s v="bridgetowncollege.ie"/>
    <s v="minus"/>
    <x v="0"/>
    <s v="v=spf1 ip4:137.191.247.218 include:spf.protection.outlook.com -all"/>
    <m/>
    <x v="0"/>
    <m/>
    <m/>
    <m/>
    <x v="3"/>
    <x v="10"/>
    <x v="1"/>
  </r>
  <r>
    <s v="kingsbridgeprivatehospital.ie"/>
    <s v="no"/>
    <x v="2"/>
    <m/>
    <m/>
    <x v="0"/>
    <m/>
    <m/>
    <m/>
    <x v="8"/>
    <x v="10"/>
    <x v="1"/>
  </r>
  <r>
    <s v="fallshotel.ie"/>
    <s v="minus"/>
    <x v="0"/>
    <s v="v=spf1 a mx a:mail1.eircom.net include:spf.elive.net include:netaffinity.net include:authsmtp.com include:spf.protection.outlook.com include:sendgrid.net -all"/>
    <m/>
    <x v="0"/>
    <m/>
    <m/>
    <m/>
    <x v="9"/>
    <x v="10"/>
    <x v="1"/>
  </r>
  <r>
    <s v="claytonhotelcorkcity.com"/>
    <s v="no"/>
    <x v="2"/>
    <m/>
    <m/>
    <x v="0"/>
    <m/>
    <m/>
    <m/>
    <x v="1"/>
    <x v="10"/>
    <x v="1"/>
  </r>
  <r>
    <s v="midletonpark.com"/>
    <s v="minus"/>
    <x v="0"/>
    <s v="v=spf1 a mx include:netaffinity.net include:spf.protection.outlook.com  a:mail.mindaclient.com -all"/>
    <s v="yes"/>
    <x v="1"/>
    <s v="v=DMARC1; p=quarantine; fo=1; rua=mailto:dmarc@midletonpark.com;  ruf=mailto:dmarc@midletonpark.com; pct=100"/>
    <m/>
    <m/>
    <x v="1"/>
    <x v="10"/>
    <x v="1"/>
  </r>
  <r>
    <s v="blarneyhotel.ie"/>
    <s v="no"/>
    <x v="2"/>
    <m/>
    <m/>
    <x v="0"/>
    <m/>
    <m/>
    <m/>
    <x v="1"/>
    <x v="10"/>
    <x v="1"/>
  </r>
  <r>
    <s v="themetropolehotel.ie"/>
    <s v="minus"/>
    <x v="0"/>
    <s v="v=spf1 include:spf.protection.outlook.com include:email2.guestfolio.net ip4:83.147.183.82 ip4:78.137.139.178 ip4:62.138.231.0/25 include:guestline.net include:roomlynx.net include:netaffinity.net -all"/>
    <s v="yes"/>
    <x v="2"/>
    <s v="v=DMARC1; p=none; fo=1; rua=mailto:rua+themetropolehotel.ie@dmarc.barracudanetworks.com; ruf=mailto:ruf+themetropolehotel.ie@dmarc.barracudanetworks.com"/>
    <m/>
    <m/>
    <x v="1"/>
    <x v="10"/>
    <x v="1"/>
  </r>
  <r>
    <s v="thebeacon.com"/>
    <s v="no"/>
    <x v="2"/>
    <m/>
    <m/>
    <x v="0"/>
    <m/>
    <m/>
    <m/>
    <x v="0"/>
    <x v="10"/>
    <x v="1"/>
  </r>
  <r>
    <s v="trinitycityhotel.com"/>
    <s v="minus"/>
    <x v="0"/>
    <s v="v=spf1 include:oracleindustry.com include:spf.protection.outlook.com include:spf.mandrillapp.com include:_spf.bookassist.com -all"/>
    <s v="yes"/>
    <x v="1"/>
    <s v="v=DMARC1; p=quarantine; pct=100; rua=mailto:dmarc@trinitycityhotel.com; ruf=mailto:dmarc@trinitycityhotel.com"/>
    <m/>
    <m/>
    <x v="0"/>
    <x v="10"/>
    <x v="1"/>
  </r>
  <r>
    <s v="ballyseedecastle.com"/>
    <s v="minus"/>
    <x v="0"/>
    <s v="v=spf1 include:spf.protection.outlook.com -all"/>
    <m/>
    <x v="0"/>
    <m/>
    <m/>
    <m/>
    <x v="14"/>
    <x v="10"/>
    <x v="1"/>
  </r>
  <r>
    <s v="hotelkillarney.ie"/>
    <s v="minus"/>
    <x v="0"/>
    <s v="v=spf1 include:spf.protection.outlook.com -all"/>
    <m/>
    <x v="2"/>
    <s v="v=DMARC1; p=none; rua=mailto:cf0ef2d5d47945a58110295a02bc8648@dmarc-reports.cloudflare.net,mailto:dmarc_agg@vali.email;"/>
    <m/>
    <m/>
    <x v="14"/>
    <x v="10"/>
    <x v="1"/>
  </r>
  <r>
    <s v="therosehotel.com"/>
    <s v="minus"/>
    <x v="0"/>
    <s v="v=spf1 include:spf.protection.outlook.com include:netaffinity.net include:guestline.net include:roomlynx.net a:mail.yourdomain.com a:mail.mindaclient.com include:spf.premiersoftware.co.uk -all"/>
    <s v="yes"/>
    <x v="1"/>
    <s v="v=DMARC1; p=quarantine; pct=100; fo=1"/>
    <m/>
    <m/>
    <x v="14"/>
    <x v="10"/>
    <x v="1"/>
  </r>
  <r>
    <s v="castledurrow.com"/>
    <s v="minus"/>
    <x v="0"/>
    <s v="v=spf1 include:spf.protection.outlook.com include:netaffinity.net -all"/>
    <m/>
    <x v="0"/>
    <m/>
    <m/>
    <m/>
    <x v="18"/>
    <x v="10"/>
    <x v="1"/>
  </r>
  <r>
    <s v="kilmurrylodge.com"/>
    <s v="minus"/>
    <x v="0"/>
    <s v="\009v=spf1 include:spf.protection.outlook.com -all"/>
    <s v="yes"/>
    <x v="0"/>
    <m/>
    <m/>
    <m/>
    <x v="5"/>
    <x v="10"/>
    <x v="1"/>
  </r>
  <r>
    <s v="knockhousehotel.ie"/>
    <s v="minus"/>
    <x v="0"/>
    <s v="v=spf1 include:spf.protection.outlook.com -all"/>
    <m/>
    <x v="0"/>
    <m/>
    <m/>
    <m/>
    <x v="4"/>
    <x v="10"/>
    <x v="1"/>
  </r>
  <r>
    <s v="trimcastlehotel.com"/>
    <s v="minus"/>
    <x v="0"/>
    <s v="v=spf1 include:spf.protection.outlook.com include:email2.guestfolio.net include:netaffinity.net -all"/>
    <m/>
    <x v="0"/>
    <m/>
    <m/>
    <m/>
    <x v="15"/>
    <x v="10"/>
    <x v="1"/>
  </r>
  <r>
    <s v="ballykisteenhotel.com"/>
    <s v="minus"/>
    <x v="0"/>
    <s v="v=spf1 include:spf.protection.outlook.com -all"/>
    <m/>
    <x v="0"/>
    <m/>
    <m/>
    <m/>
    <x v="13"/>
    <x v="10"/>
    <x v="1"/>
  </r>
  <r>
    <s v="horseandjockeyhotel.com"/>
    <s v="minus"/>
    <x v="0"/>
    <s v="v=spf1 ip4:91.216.241.100 include:relay.mailchannels.net include:spf.protection.outlook.com include:netaffinity.net -all"/>
    <s v="yes"/>
    <x v="0"/>
    <m/>
    <m/>
    <m/>
    <x v="13"/>
    <x v="10"/>
    <x v="1"/>
  </r>
  <r>
    <s v="bloomfieldhousehotel.ie"/>
    <s v="no"/>
    <x v="2"/>
    <m/>
    <m/>
    <x v="0"/>
    <m/>
    <m/>
    <m/>
    <x v="23"/>
    <x v="10"/>
    <x v="1"/>
  </r>
  <r>
    <s v="wineport.ie"/>
    <s v="minus"/>
    <x v="0"/>
    <s v="v=spf1 include:spf.protection.outlook.com -all"/>
    <s v="yes"/>
    <x v="1"/>
    <s v="v=DMARC1; p=quarantine; pct=100; rua=mailto:d@rua.agari.com; ruf=mailto:d@ruf.agari.com; fo=1"/>
    <m/>
    <m/>
    <x v="23"/>
    <x v="10"/>
    <x v="1"/>
  </r>
  <r>
    <s v="amberspringshotel.ie"/>
    <s v="tilde"/>
    <x v="1"/>
    <s v="v=spf1 a mx include:spf.protection.outlook.com include:netaffinity.net include:authsmtp.com ~all"/>
    <m/>
    <x v="0"/>
    <m/>
    <m/>
    <m/>
    <x v="3"/>
    <x v="10"/>
    <x v="1"/>
  </r>
  <r>
    <s v="maldronhotelwexford.com"/>
    <s v="no"/>
    <x v="2"/>
    <m/>
    <m/>
    <x v="0"/>
    <m/>
    <m/>
    <m/>
    <x v="3"/>
    <x v="10"/>
    <x v="1"/>
  </r>
  <r>
    <s v="millracehotel.com"/>
    <s v="no"/>
    <x v="2"/>
    <m/>
    <m/>
    <x v="0"/>
    <m/>
    <m/>
    <m/>
    <x v="3"/>
    <x v="10"/>
    <x v="1"/>
  </r>
  <r>
    <s v="parkviewhotel.ie"/>
    <s v="minus"/>
    <x v="0"/>
    <s v="v=spf1 include:spf.protection.outlook.com include:netaffinity.net include:mail.techosting.dk -all"/>
    <m/>
    <x v="0"/>
    <m/>
    <m/>
    <m/>
    <x v="24"/>
    <x v="10"/>
    <x v="1"/>
  </r>
  <r>
    <s v="dermotcasey.com"/>
    <s v="minus"/>
    <x v="0"/>
    <s v="v=spf1 a include:spf.blacknight.com include:spf.protection.outlook.com ip4:82.141.233.57 -all"/>
    <m/>
    <x v="2"/>
    <s v="v=DMARC1; p=none; fo=1; rua=mailto:rua+dermotcasey.com@dmarc.barracudanetworks.com; ruf=mailto:ruf+dermotcasey.com@dmarc.barracudanetworks.com"/>
    <m/>
    <m/>
    <x v="1"/>
    <x v="10"/>
    <x v="1"/>
  </r>
  <r>
    <s v="whitneymoore.ie"/>
    <s v="minus"/>
    <x v="0"/>
    <s v="v=spf1 include:_spf.createsend.com include:spf.protection.outlook.com include:ba4aab80-spf.mta.getcheckrecipient.com -all"/>
    <s v="yes"/>
    <x v="1"/>
    <s v="v=DMARC1; p=quarantine; rua=mailto:dmarc@whitneymoore.ie; ruf=mailto:dmarc@whitneymoore.ie; sp=quarantine; fo=1;"/>
    <m/>
    <m/>
    <x v="0"/>
    <x v="10"/>
    <x v="1"/>
  </r>
  <r>
    <s v="anglo-irish.com"/>
    <s v="minus"/>
    <x v="0"/>
    <s v="v=spf1 ip4:78.143.142.178 mx a:mailon.spamtitan.com include:spf.protection.outlook.com -all"/>
    <s v="yes"/>
    <x v="1"/>
    <s v="v=DMARC1; p=quarantine; rua=mailto:dmarc@mtcsolutions.ie"/>
    <m/>
    <m/>
    <x v="15"/>
    <x v="10"/>
    <x v="1"/>
  </r>
  <r>
    <s v="honeywell.com"/>
    <s v="minus"/>
    <x v="0"/>
    <s v="v=spf1 ip4:199.64.176.32/29 ip4:199.64.34.142/31 include:spf.protection.outlook.com include:mktomail.com include:_spf.salesforce.com include:spf.mandrillapp.com include:spf_c.oraclecloud.com include:_spf1.honeywell.com -all"/>
    <s v="yes"/>
    <x v="3"/>
    <s v="v=DMARC1; p=reject; sp=none; adkim=r; aspf=r; fo=1; pct=100; rf=afrf; ri=3600; rua=mailto:SVXSOARDEV@honeywell.com; ruf=mailto:SVXSOARDEV@honeywell.com"/>
    <m/>
    <m/>
    <x v="10"/>
    <x v="10"/>
    <x v="1"/>
  </r>
  <r>
    <s v="dennisontrailers.com"/>
    <s v="minus"/>
    <x v="0"/>
    <s v="v=spf1 ip4:149.13.248.73 include:spf.protection.outlook.com include:spfa.mailendo.com -all"/>
    <s v="yes"/>
    <x v="1"/>
    <s v="v=DMARC1; p=quarantine; pct=100; rua=mailto:administrator@dennisontrailers.com; ruf=mailto:administrator@dennisontrailers.com"/>
    <m/>
    <m/>
    <x v="16"/>
    <x v="10"/>
    <x v="1"/>
  </r>
  <r>
    <s v="stapletons.ie"/>
    <s v="tilde"/>
    <x v="1"/>
    <s v="v=spf1 a include:spf.blacknight.ie ~all"/>
    <m/>
    <x v="0"/>
    <m/>
    <m/>
    <m/>
    <x v="13"/>
    <x v="10"/>
    <x v="1"/>
  </r>
  <r>
    <s v="ceramicx.com"/>
    <s v="minus"/>
    <x v="0"/>
    <s v="v=spf1 include:spf.protection.outlook.com include:spf-00373502.pphosted.com include:spf.mandrillapp.com include:sendersrv.com -all"/>
    <m/>
    <x v="2"/>
    <s v="v=DMARC1; p=none; fo=1; rua=mailto:1pmvbucl@ag.eu.dmarcadvisor.com,mailto:rua@nibe.se; ruf=mailto:1pmvbucl@fr.eu.dmarcadvisor.com,mailto:ruf@nibe.se"/>
    <m/>
    <m/>
    <x v="1"/>
    <x v="10"/>
    <x v="1"/>
  </r>
  <r>
    <s v="crowley.ie"/>
    <s v="minus"/>
    <x v="0"/>
    <s v="v=spf1 include:spf.protection.outlook.com -all"/>
    <m/>
    <x v="0"/>
    <m/>
    <m/>
    <m/>
    <x v="1"/>
    <x v="10"/>
    <x v="1"/>
  </r>
  <r>
    <s v="bertonerimarble.com"/>
    <s v="no"/>
    <x v="2"/>
    <m/>
    <m/>
    <x v="0"/>
    <m/>
    <m/>
    <m/>
    <x v="14"/>
    <x v="10"/>
    <x v="1"/>
  </r>
  <r>
    <s v="asi.ie"/>
    <s v="no"/>
    <x v="2"/>
    <m/>
    <m/>
    <x v="0"/>
    <m/>
    <m/>
    <m/>
    <x v="0"/>
    <x v="10"/>
    <x v="1"/>
  </r>
  <r>
    <s v="spectrumtelecom.ie"/>
    <s v="minus"/>
    <x v="0"/>
    <s v="v=spf1 include:spf.protection.outlook.com -all"/>
    <m/>
    <x v="0"/>
    <m/>
    <m/>
    <m/>
    <x v="7"/>
    <x v="10"/>
    <x v="1"/>
  </r>
  <r>
    <s v="swannetgundry.com"/>
    <s v="minus"/>
    <x v="0"/>
    <s v="v=spf1 include:spf.protection.outlook.com +include:evie.wurkservers.com  -all"/>
    <m/>
    <x v="0"/>
    <m/>
    <m/>
    <m/>
    <x v="6"/>
    <x v="10"/>
    <x v="1"/>
  </r>
  <r>
    <s v="cmfdistribution.com"/>
    <s v="tilde"/>
    <x v="1"/>
    <s v="v=spf1 include:spf.protection.outlook.com a;dispatch-us.ppe-hosted.com ~all"/>
    <m/>
    <x v="2"/>
    <s v="v=DMARC1; p=none; fo=1"/>
    <m/>
    <m/>
    <x v="0"/>
    <x v="10"/>
    <x v="1"/>
  </r>
  <r>
    <s v="vending.ie"/>
    <s v="minus"/>
    <x v="0"/>
    <s v="v=spf1 ip4:212.17.52.202 ip4:213.94.224.168/29 ip4:83.70.207.60 ip4:5.134.94.2/22 include:spf.protection.outlook.com -all"/>
    <m/>
    <x v="0"/>
    <m/>
    <m/>
    <m/>
    <x v="0"/>
    <x v="10"/>
    <x v="1"/>
  </r>
  <r>
    <s v="techno-path.com"/>
    <s v="minus"/>
    <x v="0"/>
    <s v="v=spf1 include:spf.protection.outlook.com include:spf.smtp2go.com -all"/>
    <s v="yes"/>
    <x v="2"/>
    <s v="v=DMARC1; p=none;"/>
    <m/>
    <m/>
    <x v="13"/>
    <x v="10"/>
    <x v="1"/>
  </r>
  <r>
    <s v="henley.ie"/>
    <s v="tilde"/>
    <x v="1"/>
    <s v="v=spf1 ip4:91.216.241.2 include:relay.mailchannels.net include:_spf_cd.spamtitan.com +a +mx +ip4:89.101.22.140 +include:spf.protection.outlook.com ~all"/>
    <m/>
    <x v="0"/>
    <m/>
    <m/>
    <m/>
    <x v="0"/>
    <x v="10"/>
    <x v="1"/>
  </r>
  <r>
    <s v="silent-aire.com"/>
    <s v="tilde"/>
    <x v="1"/>
    <s v="v=spf1 include:_spf.prod.hydra.sophos.com include:spf.emailsignatures365.com include:mail.strategicos.com include:_spf.salesforce.com ~all"/>
    <s v="yes"/>
    <x v="3"/>
    <s v="v=DMARC1; p=reject; sp=reject; fo=1; rua=mailto:jci@rua.agari.com; ruf=mailto:jci@ruf.agari.com"/>
    <m/>
    <m/>
    <x v="0"/>
    <x v="10"/>
    <x v="1"/>
  </r>
  <r>
    <s v="iosystems.ie"/>
    <s v="minus"/>
    <x v="0"/>
    <s v="v=spf1 include:spf.protection.outlook.com -all"/>
    <m/>
    <x v="2"/>
    <s v="v=DMARC1; p=none;"/>
    <m/>
    <m/>
    <x v="23"/>
    <x v="10"/>
    <x v="1"/>
  </r>
  <r>
    <s v="patodonnell.com"/>
    <s v="minus"/>
    <x v="0"/>
    <s v="v=spf1 ip4:92.51.192.62 include:spf.protection.outlook.com include:mailgun.org -all"/>
    <s v="yes"/>
    <x v="3"/>
    <s v="v=DMARC1; p=reject; pct=100; rua=mailto:7e5acdec@mxtoolbox.dmarc-report.com,mailto:rua@patodonnell.com; ruf=mailto:7e5acdec@forensics.dmarc-report.com,mailto:ruf@patodonnell.com"/>
    <m/>
    <m/>
    <x v="0"/>
    <x v="10"/>
    <x v="1"/>
  </r>
  <r>
    <s v="acmeblinds.ie"/>
    <s v="no"/>
    <x v="2"/>
    <m/>
    <m/>
    <x v="0"/>
    <m/>
    <m/>
    <m/>
    <x v="1"/>
    <x v="10"/>
    <x v="1"/>
  </r>
  <r>
    <s v="hickeyfabrics.ie"/>
    <s v="minus"/>
    <x v="0"/>
    <s v="v=spf1 ip4:5.149.168.201 include:spf.protection.outlook.com -all"/>
    <s v="yes"/>
    <x v="2"/>
    <s v="v=DMARC1; p=none"/>
    <m/>
    <m/>
    <x v="0"/>
    <x v="10"/>
    <x v="1"/>
  </r>
  <r>
    <s v="cardiac-services.com"/>
    <s v="minus"/>
    <x v="0"/>
    <s v="v=spf1 ip4:93.94.119.196 ip4:82.198.141.134 ip4:40.113.11.237 include:spf.protection.outlook.com -all"/>
    <s v="yes"/>
    <x v="2"/>
    <s v="v=DMARC1; p=none; rua=mailto:DMARCreports@unipharmedtech.com; pct=20;"/>
    <m/>
    <m/>
    <x v="0"/>
    <x v="10"/>
    <x v="1"/>
  </r>
  <r>
    <s v="hospira.com"/>
    <s v="minus"/>
    <x v="0"/>
    <s v="v=spf1 a mx a:clopine.com.au include:_spfmta.pfizer.com include:spf.boardbooks.com -all"/>
    <m/>
    <x v="2"/>
    <s v="v=DMARC1; p=none; fo=1; rua=mailto:dmarc_rua@emaildefense.proofpoint.com,mailto:dmarc.rua@pfizer.com; ruf=mailto:dmarc_ruf@emaildefense.proofpoint.com,mailto:dmarc.ruf@pfizer.com"/>
    <m/>
    <m/>
    <x v="8"/>
    <x v="10"/>
    <x v="1"/>
  </r>
  <r>
    <s v="dwew.ie"/>
    <s v="minus"/>
    <x v="0"/>
    <s v="v=spf1 include:spf.protection.outlook.com -all"/>
    <m/>
    <x v="0"/>
    <m/>
    <m/>
    <m/>
    <x v="25"/>
    <x v="10"/>
    <x v="1"/>
  </r>
  <r>
    <s v="noelcduggan.com"/>
    <s v="minus"/>
    <x v="0"/>
    <s v="v=spf1 a include:spf.protection.outlook.com -all"/>
    <s v="yes"/>
    <x v="0"/>
    <m/>
    <m/>
    <m/>
    <x v="1"/>
    <x v="10"/>
    <x v="1"/>
  </r>
  <r>
    <s v="bsbsystem.com"/>
    <s v="no"/>
    <x v="2"/>
    <m/>
    <m/>
    <x v="1"/>
    <s v="v=DMARC1; p=quarantine; adkim=r; aspf=r; rua=mailto:dmarc_rua@onsecureserver.net;"/>
    <m/>
    <m/>
    <x v="5"/>
    <x v="10"/>
    <x v="1"/>
  </r>
  <r>
    <s v="leonardengineering.ie"/>
    <s v="minus"/>
    <x v="0"/>
    <s v="v=spf1 include:spf.protection.outlook.com -all"/>
    <m/>
    <x v="0"/>
    <m/>
    <m/>
    <m/>
    <x v="12"/>
    <x v="10"/>
    <x v="1"/>
  </r>
  <r>
    <s v="sfengineering.ie"/>
    <s v="minus"/>
    <x v="0"/>
    <s v="v=spf1 include:spf.protection.outlook.com include:spf.topsec.com -all"/>
    <s v="yes"/>
    <x v="0"/>
    <m/>
    <m/>
    <m/>
    <x v="8"/>
    <x v="10"/>
    <x v="1"/>
  </r>
  <r>
    <s v="crystalair.ie"/>
    <s v="minus"/>
    <x v="0"/>
    <s v="v=spf1 include:servers.mcsv.net include:de._netblocks.mimecast.com -all"/>
    <m/>
    <x v="2"/>
    <s v="v=DMARC1; p=none; rua=mailto:jonathan@vital.ie;"/>
    <m/>
    <m/>
    <x v="16"/>
    <x v="10"/>
    <x v="1"/>
  </r>
  <r>
    <s v="seandoylewindows.ie"/>
    <s v="no"/>
    <x v="2"/>
    <m/>
    <m/>
    <x v="0"/>
    <m/>
    <m/>
    <m/>
    <x v="22"/>
    <x v="10"/>
    <x v="1"/>
  </r>
  <r>
    <s v="brennanco.ie"/>
    <s v="minus"/>
    <x v="0"/>
    <s v="v=spf1 ip4:162.241.244.103 include:spf.smtp2go.com include:spf.EU.exclaimer.net include:spf.protection.outlook.com include:_spf.smtp.com include:_spf.salesforce.com -all"/>
    <s v="yes"/>
    <x v="1"/>
    <s v="v=DMARC1; p=quarantine"/>
    <m/>
    <m/>
    <x v="0"/>
    <x v="10"/>
    <x v="1"/>
  </r>
  <r>
    <s v="houseofireland.com"/>
    <s v="question"/>
    <x v="4"/>
    <s v="v=spf1 include:servers.mcsv.net ?all"/>
    <m/>
    <x v="0"/>
    <m/>
    <m/>
    <m/>
    <x v="0"/>
    <x v="10"/>
    <x v="1"/>
  </r>
  <r>
    <s v="styletex.ie"/>
    <s v="minus"/>
    <x v="0"/>
    <s v="v=spf1 a:mail2.eircom.net ip4:62.77.165.241 ip4:89.101.210.2 include:spf.protection.outlook.com include:spf.topsec.com -all"/>
    <m/>
    <x v="0"/>
    <m/>
    <m/>
    <m/>
    <x v="0"/>
    <x v="10"/>
    <x v="1"/>
  </r>
  <r>
    <s v="colortrend.ie"/>
    <s v="minus"/>
    <x v="0"/>
    <s v="v=spf1 include:spf.protection.outlook.com -all"/>
    <m/>
    <x v="0"/>
    <m/>
    <m/>
    <m/>
    <x v="16"/>
    <x v="10"/>
    <x v="1"/>
  </r>
  <r>
    <s v="gpmi.ie"/>
    <s v="minus"/>
    <x v="0"/>
    <s v="v=spf1 include:spf.protection.outlook.com include:spf.iptor.com -all"/>
    <m/>
    <x v="0"/>
    <m/>
    <m/>
    <m/>
    <x v="0"/>
    <x v="10"/>
    <x v="1"/>
  </r>
  <r>
    <s v="novostrat.com"/>
    <s v="minus"/>
    <x v="0"/>
    <s v="v=spf1 include:de._netblocks.mimecast.com -all"/>
    <s v="yes"/>
    <x v="3"/>
    <s v="v=DMARC1; p=reject; rua=mailto:postmaster@novostrat.com"/>
    <m/>
    <m/>
    <x v="5"/>
    <x v="10"/>
    <x v="1"/>
  </r>
  <r>
    <s v="lyreco.com"/>
    <s v="tilde"/>
    <x v="1"/>
    <s v="v=spf1 include:spf-0032ca01.pphosted.com include:mail.zendesk.com include:_spf.salesforce.com a:mailrelay.staples-solutions.com a:mailrelay.lyreco.com ~all"/>
    <m/>
    <x v="3"/>
    <s v="v=DMARC1; p=reject; fo=1; rua=mailto:dmarc_rua@emaildefense.proofpoint.com,mailto:parsedmarc@lyreco.com; ruf=mailto:dmarc_ruf@emaildefense.proofpoint.com"/>
    <m/>
    <m/>
    <x v="0"/>
    <x v="10"/>
    <x v="1"/>
  </r>
  <r>
    <s v="yvesrocher.fr"/>
    <s v="tilde"/>
    <x v="1"/>
    <s v="v=spf1 mx a:yrnet.com ~all"/>
    <m/>
    <x v="3"/>
    <s v="v=DMARC1; p=reject; fo=1; rua=mailto:dmarc_rua@emaildefense.proofpoint.com; ruf=mailto:dmarc_ruf@emaildefense.proofpoint.com"/>
    <m/>
    <m/>
    <x v="1"/>
    <x v="10"/>
    <x v="1"/>
  </r>
  <r>
    <s v="carbon.ie"/>
    <s v="tilde"/>
    <x v="1"/>
    <s v="v=spf1 ip4:167.99.35.96 include:spf.protection.outlook.com ~all"/>
    <s v="yes"/>
    <x v="1"/>
    <s v="v=DMARC1; p=quarantine; rua=mailto:dmarcreports@carbon.ie; ruf=mailto:dmarcreports@carbon.ie;"/>
    <m/>
    <m/>
    <x v="1"/>
    <x v="10"/>
    <x v="1"/>
  </r>
  <r>
    <s v="leo-pharma.com"/>
    <s v="minus"/>
    <x v="0"/>
    <s v="v=spf1&quot; &quot; include:spf.protection.outlook.com&quot; &quot; include:_spf-i.cegedim.fr&quot; &quot; include:_spf-dc33.sapsf.eu&quot; &quot; include:_spf.anpdm.com&quot; &quot; include:_spf.salesforce.com&quot; &quot; ip4:185.158.206.75&quot; &quot; ip4:155.137.68.254&quot; &quot; ip4:155.137.0.15&quot; &quot; ip4:155.137.69.185&quot; &quot; ip4:155.137.230.3&quot; &quot; ip4:155.137.230.81&quot; &quot; ip4:94.236.52.134&quot; &quot; ip4:46.243.56.31&quot; &quot; ip4:155.137.68.191&quot; &quot; ip4:148.139.0.2&quot; &quot; ip4:192.138.111.10&quot; &quot; ip4:155.137.69.215&quot; &quot; ip4:155.137.69.216&quot; &quot; ip4:40.107.21.123&quot; &quot; ip4:195.68.96.88&quot; &quot; ip4:195.68.96.89&quot; &quot; ip4:195.68.96.90&quot; &quot; ip4:195.68.96.91&quot; &quot; ip4:195.68.96.92&quot; &quot; ip4:195.68.96.93&quot; &quot; ip4:195.68.96.94&quot; &quot; ip4:217.16.102.72&quot; &quot; ip4:217.16.102.73&quot; &quot; ip4:217.16.110.81&quot; &quot; ip4:68.232.139.59&quot; &quot; ip4:68.232.139.86&quot; &quot; ip4:68.232.133.143&quot; &quot; ip4:68.232.133.144&quot; &quot; ip4:195.68.96.95&quot; &quot; ip4:91.201.201.14&quot; &quot; ip4:193.36.148.132&quot; &quot; ip4:109.247.64.53&quot; &quot; ip4:170.102.144.39&quot; &quot; ip4:170.102.144.42&quot; &quot; include:amazonses.com&quot; &quot; -all"/>
    <s v="yes"/>
    <x v="3"/>
    <s v="v=DMARC1; p=reject; rua=mailto:6ymgai1o@ag.eu.dmarcadvisor.com;"/>
    <m/>
    <m/>
    <x v="1"/>
    <x v="10"/>
    <x v="1"/>
  </r>
  <r>
    <s v="mcdonnellpaints.ie"/>
    <s v="minus"/>
    <x v="0"/>
    <s v="v=spf1 include:spf.protection.outlook.com include:spf.exclaimer.net -all"/>
    <m/>
    <x v="2"/>
    <s v="v=DMARC1; p=none;"/>
    <m/>
    <m/>
    <x v="1"/>
    <x v="10"/>
    <x v="1"/>
  </r>
  <r>
    <s v="ipsen.com"/>
    <s v="minus"/>
    <x v="0"/>
    <s v="v=spf1 include:spf1.ipsen.com include:spf2.ipsen.com -all"/>
    <s v="yes"/>
    <x v="3"/>
    <s v="v=DMARC1; p=reject; rua=mailto:uvc9r2is@ag.dmarcian-eu.com; ruf=mailto:uvc9r2is@fr.dmarcian-eu.com; fo=1;"/>
    <m/>
    <m/>
    <x v="0"/>
    <x v="10"/>
    <x v="1"/>
  </r>
  <r>
    <s v="southernmilling.ie"/>
    <s v="minus"/>
    <x v="0"/>
    <s v="v=spf1 include:eu._netblocks.mimecast.com include:outbound.mailhop.org ip4:93.107.45.99 ip4:84.203.183.150 -all"/>
    <m/>
    <x v="0"/>
    <m/>
    <m/>
    <m/>
    <x v="1"/>
    <x v="10"/>
    <x v="1"/>
  </r>
  <r>
    <s v="thomasflynnandsons.ie"/>
    <s v="no"/>
    <x v="2"/>
    <m/>
    <m/>
    <x v="0"/>
    <m/>
    <m/>
    <m/>
    <x v="23"/>
    <x v="10"/>
    <x v="1"/>
  </r>
  <r>
    <s v="javarepublic.com"/>
    <s v="minus"/>
    <x v="0"/>
    <s v="v=spf1 include:_spf.mlsend.com include:spf.protection.outlook.com include:_spf.salesforce.com include:servers.mcsv.net include:spf.mandrillapp.com include:shops.shopify.com -all"/>
    <s v="yes"/>
    <x v="2"/>
    <s v="v=DMARC1; p=none"/>
    <m/>
    <m/>
    <x v="0"/>
    <x v="10"/>
    <x v="1"/>
  </r>
  <r>
    <s v="curleysqualityfoods.com"/>
    <s v="minus"/>
    <x v="0"/>
    <s v="v=spf1 include:secureserver.net -all"/>
    <s v="yes"/>
    <x v="2"/>
    <s v="v=DMARC1; p=none; rua=mailto:dmarc1@curleysqualityfoods.com,mailto:bdab701a@mxtoolbox.dmarc-report.com; ruf=mailto:dmarc2@curleysqualityfoods.com,mailto:bdab701a@forensics.dmarc-report.com"/>
    <m/>
    <m/>
    <x v="7"/>
    <x v="10"/>
    <x v="1"/>
  </r>
  <r>
    <s v="theculinaryfoodgroup.com"/>
    <s v="minus"/>
    <x v="0"/>
    <s v="v=spf1 include:eu._netblocks.mimecast.com include:spf.protection.outlook.com include:spf.mandrillapp.com ip4:109.70.209.139 ip4:193.120.143.0/24 ip4:193.120.142.176 +a:dawnfarms.dmacmedia.ie -all"/>
    <s v="yes"/>
    <x v="2"/>
    <s v="v=DMARC1; p=none; sp=none; fo=1; rua=mailto:dmarc@theculinaryfoodgroup.com; ruf=mailto:dmarc@theculinaryfoodgroup.com; pct=100;"/>
    <m/>
    <m/>
    <x v="16"/>
    <x v="10"/>
    <x v="1"/>
  </r>
  <r>
    <s v="collegeproteins.ie"/>
    <s v="minus"/>
    <x v="0"/>
    <s v="v=spf1 include:spf.protection.outlook.com -all"/>
    <s v="yes"/>
    <x v="0"/>
    <m/>
    <m/>
    <m/>
    <x v="15"/>
    <x v="10"/>
    <x v="1"/>
  </r>
  <r>
    <s v="epicom.ie"/>
    <s v="minus"/>
    <x v="0"/>
    <s v="v=spf1 ip4:82.141.225.53 include:spf.protection.outlook.com -all"/>
    <m/>
    <x v="0"/>
    <m/>
    <m/>
    <m/>
    <x v="15"/>
    <x v="10"/>
    <x v="1"/>
  </r>
  <r>
    <s v="cannonhygiene.ie"/>
    <s v="minus"/>
    <x v="0"/>
    <s v="v=spf1 include:_spf.google.com include:spf.protection.outlook.com include:_spf.rentokil-initial.com -all"/>
    <s v="yes"/>
    <x v="3"/>
    <s v="v=DMARC1;p=reject;pct=100;fo=1;ri=3600;rua=mailto:da7e8798@inbox.ondmarc.com"/>
    <m/>
    <m/>
    <x v="0"/>
    <x v="10"/>
    <x v="1"/>
  </r>
  <r>
    <s v="glenpatrick.com"/>
    <s v="minus"/>
    <x v="0"/>
    <s v="v=spf1 include:spf.protection.outlook.com include:spf1.emailsecurity.app -all"/>
    <m/>
    <x v="0"/>
    <m/>
    <m/>
    <m/>
    <x v="17"/>
    <x v="10"/>
    <x v="1"/>
  </r>
  <r>
    <s v="esitechgroup.com"/>
    <s v="minus"/>
    <x v="0"/>
    <s v="v=spf1 include:spf1.esitechgroup.com include:spf2.esitechgroup.com include:spf3.esitechgroup.com -all"/>
    <s v="yes"/>
    <x v="3"/>
    <s v="v=DMARC1; p=reject; sp=reject; rua=mailto:633ed8c4b1caa@ag.eu.dmarcly.com; fo=1;"/>
    <m/>
    <m/>
    <x v="1"/>
    <x v="10"/>
    <x v="1"/>
  </r>
  <r>
    <s v="schuf.ie"/>
    <s v="minus"/>
    <x v="0"/>
    <s v="v=spf1 include:spf.protection.outlook.com mx ip4:217.140.82.210/28 ip4:91.103.3.0/29 ip4:103.58.67.67/29 ip4:103.99.149.74/28 ip4:70.91.9.33/30 -all"/>
    <s v="yes"/>
    <x v="0"/>
    <m/>
    <m/>
    <m/>
    <x v="1"/>
    <x v="10"/>
    <x v="1"/>
  </r>
  <r>
    <s v="nielsen.com"/>
    <s v="mis"/>
    <x v="3"/>
    <s v="v=spf1 redirect=nielsenmedia.com"/>
    <s v="yes"/>
    <x v="1"/>
    <s v="v=DMARC1; p=quarantine; sp=reject; rua=mailto:dmarcian.aggregate@nielsenmedia.com; ruf=mailto:dmarcian.forensic@nielsenmedia.com; fo=1;"/>
    <m/>
    <m/>
    <x v="0"/>
    <x v="10"/>
    <x v="1"/>
  </r>
  <r>
    <s v="movies-at.ie"/>
    <s v="tilde"/>
    <x v="1"/>
    <s v="v=spf1 include:spf.protection.outlook.com include:servers.mcsv.net include:sparkpostmail.com ~all"/>
    <m/>
    <x v="0"/>
    <m/>
    <m/>
    <m/>
    <x v="0"/>
    <x v="10"/>
    <x v="1"/>
  </r>
  <r>
    <s v="museum.ie"/>
    <s v="minus"/>
    <x v="0"/>
    <s v="v=spf1 include:mailcontrol.com include:servers.mcsv.net include:sendgrid.net ip4:137.191.245.53 -all"/>
    <s v="yes"/>
    <x v="1"/>
    <s v="v=DMARC1; p=quarantine; sp=none; rua=mailto:re+422772d9e3f1@inbound.dmarcdigests.com; pct=100; ruf=mailto:emailreports@museum.ie;"/>
    <m/>
    <m/>
    <x v="0"/>
    <x v="10"/>
    <x v="1"/>
  </r>
  <r>
    <s v="powerscourt.com"/>
    <s v="minus"/>
    <x v="0"/>
    <s v="v=spf1 -all"/>
    <m/>
    <x v="3"/>
    <s v="v=DMARC1; p=reject"/>
    <m/>
    <m/>
    <x v="24"/>
    <x v="10"/>
    <x v="1"/>
  </r>
  <r>
    <s v="hibernianaviva.ie"/>
    <s v="minus"/>
    <x v="0"/>
    <s v="v=spf1 -all"/>
    <s v="yes"/>
    <x v="3"/>
    <s v="v=DMARC1; p=reject; fo=1; rua=mailto:dmarc_rua@emaildefense.proofpoint.com; ruf=mailto:dmarc_ruf@emaildefense.proofpoint.com"/>
    <m/>
    <m/>
    <x v="0"/>
    <x v="10"/>
    <x v="1"/>
  </r>
  <r>
    <s v="odon.com"/>
    <s v="no"/>
    <x v="2"/>
    <m/>
    <m/>
    <x v="0"/>
    <m/>
    <m/>
    <m/>
    <x v="0"/>
    <x v="10"/>
    <x v="1"/>
  </r>
  <r>
    <s v="mcgroup.ie"/>
    <s v="minus"/>
    <x v="0"/>
    <s v="v=spf1 include:spf.protection.outlook.com -all"/>
    <m/>
    <x v="0"/>
    <m/>
    <m/>
    <m/>
    <x v="14"/>
    <x v="10"/>
    <x v="1"/>
  </r>
  <r>
    <s v="castleoaks.ie"/>
    <s v="minus"/>
    <x v="0"/>
    <s v="v=spf1 include:spf.protection.outlook.com include:mailgun.org -all"/>
    <m/>
    <x v="1"/>
    <s v="v=DMARC1; p=quarantine; rua=mailto:8b3700aba2aa640@rep.dmarcanalyzer.com; ruf=mailto:8b3700aba2aa640@for.dmarcanalyzer.com; sp=none; fo=1;"/>
    <m/>
    <m/>
    <x v="5"/>
    <x v="10"/>
    <x v="1"/>
  </r>
  <r>
    <s v="mardykearena.com"/>
    <s v="tilde"/>
    <x v="1"/>
    <s v="v=spf1 include:mailgun.org ~all"/>
    <m/>
    <x v="0"/>
    <m/>
    <m/>
    <m/>
    <x v="1"/>
    <x v="10"/>
    <x v="1"/>
  </r>
  <r>
    <s v="silkenthomas.com"/>
    <s v="minus"/>
    <x v="0"/>
    <s v="v=spf1 include:spf.protection.outlook.com include:spf.resdiary.com include:sendgrid.net ip4:89.101.37.10 ip4:89.101.75.14 -all"/>
    <s v="yes"/>
    <x v="2"/>
    <s v="v=DMARC1; p=none; fo=1;"/>
    <m/>
    <m/>
    <x v="16"/>
    <x v="10"/>
    <x v="1"/>
  </r>
  <r>
    <s v="schorman.ie"/>
    <s v="minus"/>
    <x v="0"/>
    <s v="v=spf1 ip4:185.122.133.227/32 include:spf.protection.outlook.com -all"/>
    <m/>
    <x v="0"/>
    <m/>
    <m/>
    <m/>
    <x v="0"/>
    <x v="10"/>
    <x v="1"/>
  </r>
  <r>
    <s v="viennawoodshotel.com"/>
    <s v="minus"/>
    <x v="0"/>
    <s v="v=spf1 ip4:93.107.237.236 ip4:159.253.225.234 include:spf.protection.outlook.com include:netaffinity.net include:authsmtp.com -all"/>
    <s v="yes"/>
    <x v="2"/>
    <s v="v=DMARC1; p=none; fo=1; rua=mailto:rua+viennawoodshotel.com@dmarc.barracudanetworks.com; ruf=mailto:ruf+viennawoodshotel.com@dmarc.barracudanetworks.com"/>
    <m/>
    <m/>
    <x v="1"/>
    <x v="10"/>
    <x v="1"/>
  </r>
  <r>
    <s v="rds.ie"/>
    <s v="minus"/>
    <x v="0"/>
    <s v="v=spf1 include:spf.protection.outlook.com include:servers.mcsv.net include:email1.kayako.com include:emaileuc.freshdesk.com ip4:178.162.1.176 ip4:54.246.220.150 ip4:54.246.224.90 ip4:165.84.219.70 ip4:165.84.219.3 -all"/>
    <s v="yes"/>
    <x v="2"/>
    <s v="v=DMARC1; p=none; rua=mailto:dmarc_agg@vali.email"/>
    <m/>
    <m/>
    <x v="0"/>
    <x v="10"/>
    <x v="1"/>
  </r>
  <r>
    <s v="abbeycourt.ie"/>
    <s v="minus"/>
    <x v="0"/>
    <s v="v=spf1 include:spf.protection.outlook.com ip4:34.251.246.197/32 ip4:34.254.147.8/32 ip4:212.54.131.21 ip4:5.133.183.35 ip4:5.133.183.39 include:netaffinity.net include:spf.guestjoy.com include:_spf.siteminder.com include:authsmtp.com -all"/>
    <m/>
    <x v="0"/>
    <m/>
    <m/>
    <m/>
    <x v="13"/>
    <x v="10"/>
    <x v="1"/>
  </r>
  <r>
    <s v="dunboynecollege.ie"/>
    <s v="mis"/>
    <x v="3"/>
    <s v="v=spf1 a mx include:spf.irishdomains.com"/>
    <m/>
    <x v="0"/>
    <m/>
    <m/>
    <m/>
    <x v="15"/>
    <x v="10"/>
    <x v="1"/>
  </r>
  <r>
    <s v="bakertillyhb.ie"/>
    <s v="minus"/>
    <x v="0"/>
    <s v="v=spf1 ip4:109.237.24.70 include:spf.protection.outlook.com -all"/>
    <s v="yes"/>
    <x v="3"/>
    <s v="v=DMARC1; p=reject; sp=reject; rua=mailto:scanner@bakertillyhb.ie"/>
    <m/>
    <m/>
    <x v="0"/>
    <x v="10"/>
    <x v="1"/>
  </r>
  <r>
    <s v="carnegroup.com"/>
    <s v="minus"/>
    <x v="0"/>
    <s v="v=spf1 mx ip4:209.202.128.38 ip4:40.127.137.63 ip4:204.15.171.6 ip4:72.85.155.85 ip4:198.37.153.11 ip4:194.124.5.144 ip4:212.2.165.162 ip4:81.17.245.217 include:spf.newsletter.ie include:spf.protection.outlook.com include:sparkpostmail.com include:servers&quot; &quot;.mcsv.net include:_spf.salesforce.com include:_spf.intacct.com include:139842026.spf06.hubspotemail.net -all"/>
    <s v="yes"/>
    <x v="1"/>
    <s v="v=DMARC1; p=quarantine; fo=1"/>
    <m/>
    <m/>
    <x v="0"/>
    <x v="10"/>
    <x v="1"/>
  </r>
  <r>
    <s v="kbiglobalinvestors.com"/>
    <s v="tilde"/>
    <x v="1"/>
    <s v="v=spf1 mx a:eu._netblocks.mimecast.com  a:spf.protection.outlook.com  a: ~all"/>
    <m/>
    <x v="0"/>
    <m/>
    <m/>
    <m/>
    <x v="0"/>
    <x v="10"/>
    <x v="1"/>
  </r>
  <r>
    <s v="fineprint.ie"/>
    <s v="tilde"/>
    <x v="1"/>
    <s v="v=spf1 include:spf.protection.outlook.com include:spf.mailjet.com ~all"/>
    <s v="yes"/>
    <x v="1"/>
    <s v="v=DMARC1; p=quarantine; rua=mailto:dmarc.reports@fineprint.ie"/>
    <m/>
    <m/>
    <x v="0"/>
    <x v="10"/>
    <x v="1"/>
  </r>
  <r>
    <s v="hmrc.ucc.ie"/>
    <s v="no"/>
    <x v="2"/>
    <m/>
    <m/>
    <x v="0"/>
    <m/>
    <m/>
    <m/>
    <x v="1"/>
    <x v="10"/>
    <x v="1"/>
  </r>
  <r>
    <s v="igsl.ie"/>
    <s v="tilde"/>
    <x v="1"/>
    <s v="v=spf1 +a +mx +ip4:35.214.182.106  include:igsl.ie.spf.auto.dnssmarthost.net  include:_spf.google.com ~all"/>
    <s v="yes"/>
    <x v="2"/>
    <s v="v=DMARC1; p=none; aspf=r; adkim=r;"/>
    <m/>
    <m/>
    <x v="16"/>
    <x v="10"/>
    <x v="1"/>
  </r>
  <r>
    <s v="peninsula-ie.com"/>
    <s v="minus"/>
    <x v="0"/>
    <s v="v=spf1 include:mktomail.com include:spf.peninsula-uk.com -all"/>
    <m/>
    <x v="3"/>
    <s v="v=DMARC1; p=reject; rua=mailto:659537621e2e5@ag.eu.dmarcly.com; ruf=mailto:659537621e2e5@fo.eu.dmarcly.com; sp=reject; fo=1;"/>
    <m/>
    <m/>
    <x v="0"/>
    <x v="10"/>
    <x v="1"/>
  </r>
  <r>
    <s v="iihealthfoods.com"/>
    <s v="tilde"/>
    <x v="1"/>
    <s v="v=spf1 include:spf.tmes.trendmicro.com include:spf.hes.trendmicro.com ~all"/>
    <m/>
    <x v="2"/>
    <s v="v=DMARC1; p=none;"/>
    <m/>
    <m/>
    <x v="1"/>
    <x v="10"/>
    <x v="1"/>
  </r>
  <r>
    <s v="dosco.ie"/>
    <s v="minus"/>
    <x v="0"/>
    <s v="v=spf1 include:spf.protection.outlook.com -all"/>
    <s v="yes"/>
    <x v="2"/>
    <s v="v=DMARC1; p=none; pct=100;"/>
    <m/>
    <m/>
    <x v="1"/>
    <x v="10"/>
    <x v="1"/>
  </r>
  <r>
    <s v="codex.ie"/>
    <s v="minus"/>
    <x v="0"/>
    <s v="v=spf1 include:spf-eu.emailsignatures365.com include:spf.protection.outlook.com -all"/>
    <s v="yes"/>
    <x v="3"/>
    <s v="v=DMARC1; p=reject; ruf=mailto:italerts@codexltd.com"/>
    <m/>
    <m/>
    <x v="0"/>
    <x v="10"/>
    <x v="1"/>
  </r>
  <r>
    <s v="cldc.ie"/>
    <s v="tilde"/>
    <x v="1"/>
    <s v="v=spf1 include:_spf.mlsend.com include:spf.reg365.net include:spf.protection.outlook.com ~all"/>
    <s v="yes"/>
    <x v="0"/>
    <m/>
    <m/>
    <m/>
    <x v="9"/>
    <x v="10"/>
    <x v="1"/>
  </r>
  <r>
    <s v="galwayhospice.ie"/>
    <s v="tilde"/>
    <x v="1"/>
    <s v="v=spf1 +a +mx +ip4:23.111.150.194 +ip4:23.111.150.197 +ip4:78.153.201.30 +ip4:89.101.248.193 +ip4:89.100.139.106 +ip4:86.43.81.242 include:server2-mail.martecweb.com +include:spf.protection.outlook.com ~all"/>
    <s v="yes"/>
    <x v="1"/>
    <s v="v=DMARC1; p=quarantine; adkim=r; aspf=r;"/>
    <m/>
    <m/>
    <x v="7"/>
    <x v="10"/>
    <x v="1"/>
  </r>
  <r>
    <s v="lssc.ie"/>
    <s v="minus"/>
    <x v="0"/>
    <s v="v=spf1 include:spf.protection.outlook.com -all"/>
    <m/>
    <x v="0"/>
    <m/>
    <m/>
    <m/>
    <x v="5"/>
    <x v="10"/>
    <x v="1"/>
  </r>
  <r>
    <s v="moorehaven.ie"/>
    <s v="minus"/>
    <x v="0"/>
    <s v="v=spf1 include:spf.protection.outlook.com ip4:78.153.205.202 -all"/>
    <s v="yes"/>
    <x v="1"/>
    <s v="v=DMARC1; p=quarantine; sp=reject; pct=100; adkim=s; aspf=s; rua=mailto:reports@moorehaven.ie; ri=84600"/>
    <m/>
    <m/>
    <x v="13"/>
    <x v="10"/>
    <x v="1"/>
  </r>
  <r>
    <s v="fdys.com"/>
    <s v="no"/>
    <x v="2"/>
    <m/>
    <m/>
    <x v="0"/>
    <m/>
    <m/>
    <m/>
    <x v="3"/>
    <x v="10"/>
    <x v="1"/>
  </r>
  <r>
    <s v="qumas.com"/>
    <s v="no"/>
    <x v="2"/>
    <m/>
    <m/>
    <x v="0"/>
    <m/>
    <m/>
    <m/>
    <x v="1"/>
    <x v="10"/>
    <x v="1"/>
  </r>
  <r>
    <s v="careworks.ie"/>
    <s v="minus"/>
    <x v="0"/>
    <s v="v=spf1 a mx include:mailcontrol.com include:spf.protection.outlook.com -all"/>
    <s v="yes"/>
    <x v="2"/>
    <s v="v=DMARC1;p=none;pct=100;rua=mailto:dmarcreports@oneadvanced.com;ruf=mailto:dmarcreports@oneadvanced.com;ri=86400;fo=1;"/>
    <m/>
    <m/>
    <x v="0"/>
    <x v="10"/>
    <x v="1"/>
  </r>
  <r>
    <s v="online.cdkglobal.com"/>
    <s v="no"/>
    <x v="2"/>
    <m/>
    <m/>
    <x v="0"/>
    <m/>
    <m/>
    <m/>
    <x v="0"/>
    <x v="10"/>
    <x v="1"/>
  </r>
  <r>
    <s v="ihsmarkit.com"/>
    <s v="tilde"/>
    <x v="1"/>
    <s v="v=spf1 ip4:148.163.148.100 ip4:148.163.152.37 include:_spfihsm1.ihsmarkit.com include:_spfihsm2.ihsmarkit.com include:ipreomail.com include:_spf.salesforce.com include:spf.protection.outlook.com ~all"/>
    <s v="yes"/>
    <x v="2"/>
    <s v="v=DMARC1; p=none; fo=1; ri=3600; rua=mailto:dmarc_rua@emaildefense.proofpoint.com; ruf=mailto:dmarc_ruf@emaildefense.proofpoint.com"/>
    <m/>
    <m/>
    <x v="0"/>
    <x v="10"/>
    <x v="1"/>
  </r>
  <r>
    <s v="softco.com"/>
    <s v="minus"/>
    <x v="0"/>
    <s v="v=spf1 include:eu._netblocks.mimecast.com include:spf.exclaimer.net include:amazonses.com include:emaileuc.freshservice.com include:4912815.spf05.hubspotemail.net ip4:89.101.136.253 -all"/>
    <s v="yes"/>
    <x v="1"/>
    <s v="v=DMARC1;p=quarantine;sp=none;pct=100;rua=mailto:60301163b4@rua.easydmarc.eu;ruf=mailto:60301163b4@ruf.easydmarc.eu;fo=1"/>
    <m/>
    <m/>
    <x v="0"/>
    <x v="10"/>
    <x v="1"/>
  </r>
  <r>
    <s v="sentenial.com"/>
    <s v="minus"/>
    <x v="0"/>
    <s v="v=spf1 mx a ip4:154.50.192.130/32 ip4:154.50.192.138/32 a:kcp-prd-smtp01.sentenial.com a:sent-prod-smtp1.sentenial.com include:spf.smtp2go.com include:_spf.google.com -all"/>
    <s v="yes"/>
    <x v="1"/>
    <s v="v=DMARC1; p=quarantine; sp=quarantine; pct=100; rua=mailto:sentenial_dmarc_monitor@sentenial.com; ruf=mailto:sentenial_dmarc_alert@sentenial.com;"/>
    <m/>
    <m/>
    <x v="16"/>
    <x v="10"/>
    <x v="1"/>
  </r>
  <r>
    <s v="jsmccarthy.ie"/>
    <s v="minus"/>
    <x v="0"/>
    <s v="v=spf1 include:spf.protection.outlook.com include:eu._netblocks.mimecast.com ip4:149.71.163.138 ip4:149.71.163.139 ip4:149.71.163.140 ip4:149.71.163.141 ip4:109.70.210.123 ip4:109.70.210.124 ip4:52.236.150.44 ip4:52.157.225.153 mx -all"/>
    <m/>
    <x v="2"/>
    <s v="v=DMARC1; p=none; rua=mailto:21e415078983506@rep.dmarcanalyzer.com; ruf=mailto:21e415078983506@for.dmarcanalyzer.com; fo=1;"/>
    <m/>
    <m/>
    <x v="0"/>
    <x v="10"/>
    <x v="1"/>
  </r>
  <r>
    <s v="killarneyplaza.com"/>
    <s v="tilde"/>
    <x v="1"/>
    <s v="v=spf1 a mx include:netaffinity.net include:spf.protection.outlook.com ip4:82.141.235.96 ip4:192.162.217.194 ip4:34.251.246.197/32 ip4:34.254.147.8/32 include:authsmtp.com include:sendgrid.net ~all"/>
    <s v="yes"/>
    <x v="2"/>
    <s v="v=DMARC1; p=none; rua=mailto:paq@killarneyplaza.com; ruf=mailto:paq@killarneyplaza.com; fo=1"/>
    <m/>
    <m/>
    <x v="14"/>
    <x v="10"/>
    <x v="1"/>
  </r>
  <r>
    <s v="muckrosspark.com"/>
    <s v="minus"/>
    <x v="0"/>
    <s v="v=spf1 include:email2.guestfolio.net include:spf.protection.outlook.com include:spf.mandrillapp.com a:mail.mindaclient.com include:authsmtp.com include:_spf.wire.threatspike.com -all"/>
    <s v="yes"/>
    <x v="4"/>
    <s v="v=DMARC1; p-none;"/>
    <m/>
    <m/>
    <x v="14"/>
    <x v="10"/>
    <x v="1"/>
  </r>
  <r>
    <s v="generalmonitors.com"/>
    <s v="minus"/>
    <x v="0"/>
    <s v="v=spf1 include:spf.protection.outlook.com -all"/>
    <s v="yes"/>
    <x v="3"/>
    <s v="v=DMARC1; p=reject; rua=mailto:dmarc_agg@vali.email;"/>
    <m/>
    <m/>
    <x v="7"/>
    <x v="10"/>
    <x v="1"/>
  </r>
  <r>
    <s v="rcpi.ie"/>
    <s v="minus"/>
    <x v="0"/>
    <s v="v=spf1 ip4:52.158.115.248 ip4:82.195.133.139 ip4:52.158.115.251 include:spf.protection.outlook.com include:cyberriskaware.com ip4:192.254.120.51 ip4:168.245.104.162 include:cvent-planner.com ip4:216.230.14.229 ip4:216.230.14.231 ip4:216.230.14.230&quot; &quot; ip4:216.230.14.237 ip4:91.197.235.71 include:spf.elluciancloud.com include:amazonses.com include:139632817.spf08.hubspotemail.net -all"/>
    <s v="yes"/>
    <x v="1"/>
    <s v="v=DMARC1; p=quarantine; adkim=s; aspf=s; fo=1; rua=mailto:abuse@rcpi.ie; ruf=mailto:abuse@rcpi.ie"/>
    <m/>
    <m/>
    <x v="0"/>
    <x v="10"/>
    <x v="1"/>
  </r>
  <r>
    <s v="scoilnioclais.ie"/>
    <s v="minus"/>
    <x v="0"/>
    <s v="v=spf1 include:spf.protection.outlook.com -all include:spf.reg365.net ~all"/>
    <m/>
    <x v="0"/>
    <m/>
    <m/>
    <m/>
    <x v="1"/>
    <x v="10"/>
    <x v="1"/>
  </r>
  <r>
    <s v="scoiloilibheir.ie"/>
    <s v="tilde"/>
    <x v="1"/>
    <s v="v=spf1 include:outlook.com ~all"/>
    <m/>
    <x v="2"/>
    <s v="v=DMARC1; p=none"/>
    <m/>
    <m/>
    <x v="1"/>
    <x v="10"/>
    <x v="1"/>
  </r>
  <r>
    <s v="stanthonys.ie"/>
    <s v="tilde"/>
    <x v="1"/>
    <s v="v=spf1 a:_spf.google.com include:wpdatacenter.com ~all"/>
    <m/>
    <x v="0"/>
    <m/>
    <m/>
    <m/>
    <x v="1"/>
    <x v="10"/>
    <x v="1"/>
  </r>
  <r>
    <s v="woodlandns.ie"/>
    <s v="tilde"/>
    <x v="1"/>
    <s v="v=spf1 +a +mx +ip4:35.214.235.181  include:woodlandns.ie.spf.auto.dnssmarthost.net ~all"/>
    <s v="yes"/>
    <x v="2"/>
    <s v="v=DMARC1; p=none; aspf=r; adkim=r;"/>
    <m/>
    <m/>
    <x v="6"/>
    <x v="10"/>
    <x v="1"/>
  </r>
  <r>
    <s v="kilians.com"/>
    <s v="minus"/>
    <x v="0"/>
    <s v="v=spf1 include:spf.protection.outlook.com -all"/>
    <m/>
    <x v="0"/>
    <m/>
    <m/>
    <m/>
    <x v="0"/>
    <x v="10"/>
    <x v="1"/>
  </r>
  <r>
    <s v="stpatrickskk.scoilnet.ie"/>
    <s v="no"/>
    <x v="2"/>
    <m/>
    <m/>
    <x v="0"/>
    <m/>
    <m/>
    <m/>
    <x v="17"/>
    <x v="10"/>
    <x v="1"/>
  </r>
  <r>
    <s v="markwatch.ie"/>
    <s v="tilde"/>
    <x v="1"/>
    <s v="v=spf1 a include:spf.blacknight.ie  ~all"/>
    <m/>
    <x v="0"/>
    <m/>
    <m/>
    <m/>
    <x v="0"/>
    <x v="10"/>
    <x v="1"/>
  </r>
  <r>
    <s v="paragonsecurity.ie"/>
    <s v="no"/>
    <x v="2"/>
    <m/>
    <m/>
    <x v="0"/>
    <m/>
    <m/>
    <m/>
    <x v="0"/>
    <x v="10"/>
    <x v="1"/>
  </r>
  <r>
    <s v="brinks.com"/>
    <s v="mis"/>
    <x v="3"/>
    <s v="v=spf1 redirect=3hr97omd._spf._d.mim.ec"/>
    <s v="yes"/>
    <x v="1"/>
    <s v="v=DMARC1; p=quarantine; fo=1; ri=3600; rua=mailto:7f812de85701566@rep.dmarcanalyzer.com; ruf=mailto:7f812de85701566@for.dmarcanalyzer.com"/>
    <m/>
    <m/>
    <x v="5"/>
    <x v="10"/>
    <x v="1"/>
  </r>
  <r>
    <s v="dorans.ie"/>
    <s v="minus"/>
    <x v="0"/>
    <s v="v=spf1 include:spf.protection.outlook.com -all"/>
    <m/>
    <x v="0"/>
    <m/>
    <m/>
    <m/>
    <x v="0"/>
    <x v="10"/>
    <x v="1"/>
  </r>
  <r>
    <s v="kishfish.ie"/>
    <s v="tilde"/>
    <x v="1"/>
    <s v="v=spf1 ip4:185.43.232.4 include:spf.webhostingireland.ie +mx +ip4:78.153.201.122 +include:spf1.emailsecurity.app +include:spf.protection.outlook.com ~all"/>
    <s v="yes"/>
    <x v="1"/>
    <s v="v=DMARC1; p=quarantine"/>
    <m/>
    <m/>
    <x v="0"/>
    <x v="10"/>
    <x v="1"/>
  </r>
  <r>
    <s v="rockabill.ie"/>
    <s v="minus"/>
    <x v="0"/>
    <s v="v=spf1 include:spf.protection.outlook.com -all"/>
    <m/>
    <x v="0"/>
    <m/>
    <m/>
    <m/>
    <x v="0"/>
    <x v="10"/>
    <x v="1"/>
  </r>
  <r>
    <s v="tomra.com"/>
    <s v="minus"/>
    <x v="0"/>
    <s v="v=spf1&quot; &quot; a&quot; &quot; ip4:62.92.2.128/26&quot; &quot; ip4:79.161.39.128/27&quot; &quot; ip4:65.51.117.224/27&quot; &quot; ip4:159.183.71.243&quot; &quot; include:spf.protection.outlook.com&quot; &quot; include:spf.emailsignatures365.com&quot; &quot; include:4847902.spf07.hubspotemail.net&quot; &quot; include:amazonses.com&quot; &quot; include:emaileuc.freshservice.com&quot; &quot; -all"/>
    <s v="yes"/>
    <x v="3"/>
    <s v="v=DMARC1; p=reject; rua=mailto:dmarcreports@tomra.com;"/>
    <m/>
    <m/>
    <x v="0"/>
    <x v="10"/>
    <x v="1"/>
  </r>
  <r>
    <s v="irishfishproducts.com"/>
    <s v="no"/>
    <x v="2"/>
    <m/>
    <m/>
    <x v="0"/>
    <m/>
    <m/>
    <m/>
    <x v="14"/>
    <x v="10"/>
    <x v="1"/>
  </r>
  <r>
    <s v="qkmeats.com"/>
    <s v="minus"/>
    <x v="0"/>
    <s v="v=spf1 include:eu._netblocks.mimecast.com include:spf.protection.outlook.com ip4:109.70.209.139 ip4:193.120.143.0/24 ip4:193.120.142.176  +a:queally.dmacmedia.ie -all"/>
    <s v="yes"/>
    <x v="2"/>
    <s v="v=DMARC1; p=none; sp=none; fo=1; rua=mailto:dmarc@qkmeats.com; ruf=mailto:dmarc@qkmeats.com; pct=100;"/>
    <m/>
    <m/>
    <x v="16"/>
    <x v="10"/>
    <x v="1"/>
  </r>
  <r>
    <s v="tbwa-dublin.com"/>
    <s v="minus"/>
    <x v="0"/>
    <s v="v=spf1 include:relay.mailchannels.net -all"/>
    <s v="yes"/>
    <x v="3"/>
    <s v="v=DMARC1; p=reject; rua=mailto:rc7yjbis@ag.us.dmarcian.com;"/>
    <m/>
    <m/>
    <x v="0"/>
    <x v="10"/>
    <x v="1"/>
  </r>
  <r>
    <s v="newspread.ie"/>
    <s v="minus"/>
    <x v="0"/>
    <s v="v=spf1 ip4:185.43.125.61 ip4:83.71.187.233 ip4:89.101.141.135 ip4:83.71.187.253 ip4:89.101.157.129 ip4:5.61.115.64/28 include:mailgun.org include:spf.protection.outlook.com -all include:spf.protection.outlook.com -all"/>
    <s v="yes"/>
    <x v="3"/>
    <s v="v=DMARC1; p=reject; pct=100; fo=1; ri=3600; rua=mailto:13dbc9fb@inbox.ondmarc.com;ruf=mailto:13dbc9fb@inbox.ondmarc.com;"/>
    <m/>
    <m/>
    <x v="0"/>
    <x v="10"/>
    <x v="1"/>
  </r>
  <r>
    <s v="oceanfm.ie"/>
    <s v="tilde"/>
    <x v="1"/>
    <s v="v=spf1 a include:spf.blacknight.ie ~all include:_spf.google.com ~all"/>
    <m/>
    <x v="0"/>
    <m/>
    <m/>
    <m/>
    <x v="8"/>
    <x v="10"/>
    <x v="1"/>
  </r>
  <r>
    <s v="juddmonte.com"/>
    <s v="minus"/>
    <x v="0"/>
    <s v="v=spf1 mx include:eu._netblocks.mimecast.com include:sent-via.netsuite.com include:_spf.salesforce.com include:spf.uk.exclaimer.net include:spf.protection.outlook.com -all"/>
    <m/>
    <x v="3"/>
    <s v="v=DMARC1; p=reject; rua=mailto:8yp0nuadz0@rua.powerdmarc.com; ruf=mailto:8yp0nuadz0@ruf.powerdmarc.com; pct=100; fo=1;"/>
    <s v="yes"/>
    <s v="https://app.powerbimi.com/54964/ea0ed01d-c244-4ed9-9100-642bc8b92d98.svg"/>
    <x v="15"/>
    <x v="10"/>
    <x v="1"/>
  </r>
  <r>
    <s v="glassco.ie"/>
    <s v="minus"/>
    <x v="0"/>
    <s v="v=spf1 include:spf.protection.outlook.com -all"/>
    <m/>
    <x v="0"/>
    <m/>
    <m/>
    <m/>
    <x v="16"/>
    <x v="10"/>
    <x v="1"/>
  </r>
  <r>
    <s v="visitdublin.com"/>
    <s v="minus"/>
    <x v="0"/>
    <s v="v=spf1 include:u18456835.wl086.sendgrid.net -all"/>
    <s v="yes"/>
    <x v="0"/>
    <m/>
    <m/>
    <m/>
    <x v="0"/>
    <x v="10"/>
    <x v="1"/>
  </r>
  <r>
    <s v="hertz.ie"/>
    <s v="minus"/>
    <x v="0"/>
    <s v="v=spf1 include:%{ir}.%{v}.%{d}.spf.has.pphosted.com -all"/>
    <s v="yes"/>
    <x v="1"/>
    <s v="v=DMARC1; p=quarantine; fo=1; rua=mailto:dmarc_rua@emaildefense.proofpoint.com; ruf=mailto:dmarc_ruf@emaildefense.proofpoint.com;"/>
    <m/>
    <m/>
    <x v="0"/>
    <x v="10"/>
    <x v="1"/>
  </r>
  <r>
    <s v="mcguirehaulage.com"/>
    <s v="minus"/>
    <x v="0"/>
    <s v="v=spf1 ip4:95.83.242.244 include:spf.protection.outlook.com -all"/>
    <m/>
    <x v="0"/>
    <m/>
    <m/>
    <m/>
    <x v="17"/>
    <x v="10"/>
    <x v="1"/>
  </r>
  <r>
    <s v="jlbradshaw.ie"/>
    <s v="minus"/>
    <x v="0"/>
    <s v="v=spf1 include:spf.protection.outlook.com -all"/>
    <s v="yes"/>
    <x v="2"/>
    <s v="v=DMARC1; p=none;"/>
    <m/>
    <m/>
    <x v="18"/>
    <x v="10"/>
    <x v="1"/>
  </r>
  <r>
    <s v="adhesivesresearch.com"/>
    <s v="no"/>
    <x v="2"/>
    <m/>
    <m/>
    <x v="0"/>
    <m/>
    <m/>
    <m/>
    <x v="5"/>
    <x v="10"/>
    <x v="1"/>
  </r>
  <r>
    <s v="lero.ie"/>
    <s v="tilde"/>
    <x v="1"/>
    <s v="v=spf1 include:spf.protection.outlook.com include:sendgrid.net include:143758070.spf08.hubspotemail.net ip4:193.1.102.160 ip4:193.1.101.155 ip4:193.1.101.156 ip4:193.1.102.174 ~all"/>
    <s v="yes"/>
    <x v="2"/>
    <s v="v=DMARC1; p=none; rua=mailto:dmarc_reporting@ul.ie;"/>
    <m/>
    <m/>
    <x v="5"/>
    <x v="10"/>
    <x v="1"/>
  </r>
  <r>
    <s v="brccork.com"/>
    <s v="minus"/>
    <x v="0"/>
    <s v="v=spf1 include:spf.protection.outlook.com -all"/>
    <m/>
    <x v="0"/>
    <m/>
    <m/>
    <m/>
    <x v="1"/>
    <x v="10"/>
    <x v="1"/>
  </r>
  <r>
    <s v="cramerscourt.ie"/>
    <s v="no"/>
    <x v="2"/>
    <m/>
    <m/>
    <x v="0"/>
    <m/>
    <m/>
    <m/>
    <x v="1"/>
    <x v="10"/>
    <x v="1"/>
  </r>
  <r>
    <s v="careforme.ie"/>
    <s v="minus"/>
    <x v="0"/>
    <s v="v=spf1 ip4:35.214.245.130 +a include:_spf.google.com a:hmail.jitbit.com a:hmail2.jitbit.com -all"/>
    <s v="yes"/>
    <x v="3"/>
    <s v="v=DMARC1;p=reject;sp=reject;rua=mailto:211a5a2e44@rua.easydmarc.eu;ruf=mailto:211a5a2e44@ruf.easydmarc.eu;fo=1"/>
    <m/>
    <m/>
    <x v="0"/>
    <x v="10"/>
    <x v="1"/>
  </r>
  <r>
    <s v="tlcnursing.ie"/>
    <s v="no"/>
    <x v="2"/>
    <m/>
    <m/>
    <x v="0"/>
    <m/>
    <m/>
    <m/>
    <x v="5"/>
    <x v="10"/>
    <x v="1"/>
  </r>
  <r>
    <s v="allenfield.ie"/>
    <s v="no"/>
    <x v="2"/>
    <m/>
    <m/>
    <x v="0"/>
    <m/>
    <m/>
    <m/>
    <x v="22"/>
    <x v="10"/>
    <x v="1"/>
  </r>
  <r>
    <s v="sonas.ie"/>
    <s v="tilde"/>
    <x v="1"/>
    <s v="v=spf1 +a +mx +ip4:213.199.46.4 +ip4:213.199.46.4 include:mailgun.org ~all"/>
    <m/>
    <x v="0"/>
    <m/>
    <m/>
    <m/>
    <x v="8"/>
    <x v="10"/>
    <x v="1"/>
  </r>
  <r>
    <s v="baileysnursinghome.com"/>
    <s v="minus"/>
    <x v="0"/>
    <s v="v=spf1 include:spf.protection.outlook.com -all"/>
    <s v="yes"/>
    <x v="1"/>
    <s v="v=DMARC1; p=quarantine; pct=100; rua=mailto:dmarc@zenotec.ie; ruf=mailto:dmarc@zenotec.ie; fo=1"/>
    <m/>
    <m/>
    <x v="8"/>
    <x v="10"/>
    <x v="1"/>
  </r>
  <r>
    <s v="carluccios.com"/>
    <s v="minus"/>
    <x v="0"/>
    <s v="v=spf1 include:spf.protection.outlook.com include:_spf.bigcommerce.com include:shops.shopify.com include:spf.cm.puzzel.com -all"/>
    <s v="yes"/>
    <x v="2"/>
    <s v="v=DMARC1; p=none;"/>
    <m/>
    <m/>
    <x v="0"/>
    <x v="10"/>
    <x v="1"/>
  </r>
  <r>
    <s v="murraysbarandgrill.ie"/>
    <s v="no"/>
    <x v="2"/>
    <m/>
    <m/>
    <x v="0"/>
    <m/>
    <m/>
    <m/>
    <x v="0"/>
    <x v="10"/>
    <x v="1"/>
  </r>
  <r>
    <s v="thechurch.ie"/>
    <s v="minus"/>
    <x v="0"/>
    <s v="v=spf1 a ip4:217.78.0.66 include:spf.protection.outlook.com -all"/>
    <s v="yes"/>
    <x v="2"/>
    <s v="v=DMARC1; p=none"/>
    <m/>
    <m/>
    <x v="0"/>
    <x v="10"/>
    <x v="1"/>
  </r>
  <r>
    <s v="droppingwell.com"/>
    <s v="minus"/>
    <x v="0"/>
    <s v="v=spf1 include:spf.protection.outlook.com -all"/>
    <m/>
    <x v="0"/>
    <m/>
    <m/>
    <m/>
    <x v="0"/>
    <x v="10"/>
    <x v="1"/>
  </r>
  <r>
    <s v="mccambridges.com"/>
    <s v="minus"/>
    <x v="0"/>
    <s v="v=spf1 include:spf.protection.outlook.com -all"/>
    <s v="yes"/>
    <x v="2"/>
    <s v="v=DMARC1; p=none; aspf=r; adkim=r;"/>
    <m/>
    <m/>
    <x v="7"/>
    <x v="10"/>
    <x v="1"/>
  </r>
  <r>
    <s v="lordkenmares.com"/>
    <s v="no"/>
    <x v="2"/>
    <m/>
    <m/>
    <x v="0"/>
    <m/>
    <m/>
    <m/>
    <x v="14"/>
    <x v="10"/>
    <x v="1"/>
  </r>
  <r>
    <s v="joycessupermarket.ie"/>
    <s v="no"/>
    <x v="2"/>
    <m/>
    <m/>
    <x v="0"/>
    <m/>
    <m/>
    <m/>
    <x v="7"/>
    <x v="10"/>
    <x v="1"/>
  </r>
  <r>
    <s v="completecuisine.com"/>
    <s v="minus"/>
    <x v="0"/>
    <s v="v=spf1 -all"/>
    <m/>
    <x v="0"/>
    <m/>
    <m/>
    <m/>
    <x v="5"/>
    <x v="10"/>
    <x v="1"/>
  </r>
  <r>
    <s v="primark.com"/>
    <s v="tilde"/>
    <x v="1"/>
    <s v="v=spf1 ip4:194.165.190.12 ip4:62.128.204.105 ip4:109.169.13.3 ip4:109.169.13.4 ip4:109.169.13.12 ip4:194.216.214.90 ip4:194.216.214.91 ip4:194.216.214.92 ip4:216.244.123.132 ip4:216.244.123.134 ip4:193.120.224.97 ip4:193.120.224.98 mx include:spf.protecti&quot; &quot;on.outlook.com include:mailgun.org include:_spf-dc55.sapsf.eu ~all"/>
    <s v="yes"/>
    <x v="1"/>
    <s v="v=DMARC1; p=quarantine; rua=mailto:bstnx4lf@ag.dmarcian-eu.com"/>
    <m/>
    <m/>
    <x v="25"/>
    <x v="10"/>
    <x v="1"/>
  </r>
  <r>
    <s v="fashionflo.ie"/>
    <s v="minus"/>
    <x v="0"/>
    <s v="v=spf1 a:s1.pikiware.com a:s4.pikiware.com include:spf.protection.outlook.com include:spf.mailanyone.net -all"/>
    <m/>
    <x v="2"/>
    <s v="v=DMARC1; p=none; fo=1; "/>
    <m/>
    <m/>
    <x v="0"/>
    <x v="10"/>
    <x v="1"/>
  </r>
  <r>
    <s v="harverynorman.ie"/>
    <s v="no"/>
    <x v="2"/>
    <m/>
    <m/>
    <x v="0"/>
    <m/>
    <m/>
    <m/>
    <x v="0"/>
    <x v="10"/>
    <x v="1"/>
  </r>
  <r>
    <s v="rathwood.com"/>
    <s v="tilde"/>
    <x v="1"/>
    <s v="v=spf1 mx a include:mailgun.org include:_spf.google.com include:mail.zendesk.com ~all"/>
    <m/>
    <x v="2"/>
    <s v="v=DMARC1; p=none"/>
    <m/>
    <m/>
    <x v="25"/>
    <x v="10"/>
    <x v="1"/>
  </r>
  <r>
    <s v="mcloughlins.ie"/>
    <s v="no"/>
    <x v="2"/>
    <m/>
    <m/>
    <x v="0"/>
    <m/>
    <m/>
    <m/>
    <x v="0"/>
    <x v="10"/>
    <x v="1"/>
  </r>
  <r>
    <s v="stakelums.ie"/>
    <s v="tilde"/>
    <x v="1"/>
    <s v="v=spf1 include:spf.protection.outlook.com include:amazonses.com ~all"/>
    <m/>
    <x v="2"/>
    <s v="v=DMARC1; p=none;"/>
    <m/>
    <m/>
    <x v="13"/>
    <x v="10"/>
    <x v="1"/>
  </r>
  <r>
    <s v="culcita.ie"/>
    <s v="tilde"/>
    <x v="1"/>
    <s v="v=spf1 include:spf.protection.outlook.com include:spf.ess.de.barracudanetworks.com ~all"/>
    <m/>
    <x v="0"/>
    <m/>
    <m/>
    <m/>
    <x v="3"/>
    <x v="10"/>
    <x v="1"/>
  </r>
  <r>
    <s v="granningaxles.ie"/>
    <s v="tilde"/>
    <x v="1"/>
    <s v="v=spf1 include:spf.protection.outlook.com ~all"/>
    <s v="yes"/>
    <x v="2"/>
    <s v="v=DMARC1;p=none;fo=1;rua=mailto:granningaxles_ie_agg@mailwall.com;ruf=mailto:granningaxles_ie_afrf@mailwall.com"/>
    <m/>
    <m/>
    <x v="16"/>
    <x v="10"/>
    <x v="1"/>
  </r>
  <r>
    <s v="airsprings.com"/>
    <s v="no"/>
    <x v="2"/>
    <m/>
    <m/>
    <x v="0"/>
    <m/>
    <m/>
    <m/>
    <x v="16"/>
    <x v="10"/>
    <x v="1"/>
  </r>
  <r>
    <s v="audicentre.ie"/>
    <s v="minus"/>
    <x v="0"/>
    <s v="v=spf1 ip4:194.74.144.217/32  include:spf.protection.outlook.com include:spf-eu.emailsignatures365.com -all"/>
    <s v="yes"/>
    <x v="3"/>
    <s v="v=DMARC1; p=reject; fo=0;"/>
    <m/>
    <m/>
    <x v="0"/>
    <x v="10"/>
    <x v="1"/>
  </r>
  <r>
    <s v="windsor.ie"/>
    <s v="tilde"/>
    <x v="1"/>
    <s v="v=spf1 mx a include:spf1.emailsecurity.app include:spf.protection.outlook.com include:spf.exclaimer.net include:spf.hornetsecurity.com include:_spf.carusseldwt.com ~all"/>
    <m/>
    <x v="2"/>
    <s v="v=DMARC1; p=none; rua=mailto:dmarcreports@windsor.ie"/>
    <m/>
    <m/>
    <x v="0"/>
    <x v="10"/>
    <x v="1"/>
  </r>
  <r>
    <s v="hsd.ie"/>
    <s v="tilde"/>
    <x v="1"/>
    <s v="v=spf1 +a +mx +a:web1.iseek.host +a:mail.darklite.ie ip4:78.153.205.192/27 ~all"/>
    <m/>
    <x v="2"/>
    <s v="v=DMARC1; p=none"/>
    <m/>
    <m/>
    <x v="17"/>
    <x v="10"/>
    <x v="1"/>
  </r>
  <r>
    <s v="goldcrop.ie"/>
    <s v="minus"/>
    <x v="0"/>
    <s v="v=spf1 include:spf.protection.outlook.com -all"/>
    <s v="yes"/>
    <x v="1"/>
    <s v="v=DMARC1; p=quarantine;"/>
    <m/>
    <m/>
    <x v="1"/>
    <x v="10"/>
    <x v="1"/>
  </r>
  <r>
    <s v="pearsecollege.ie"/>
    <s v="minus"/>
    <x v="0"/>
    <s v="v=spf1 include:spf.protection.outlook.com -all"/>
    <s v="yes"/>
    <x v="0"/>
    <m/>
    <m/>
    <m/>
    <x v="0"/>
    <x v="10"/>
    <x v="1"/>
  </r>
  <r>
    <s v="dife.info"/>
    <s v="minus"/>
    <x v="0"/>
    <s v="v=spf1 ip6:fdcf:abda:4154::/48 -all"/>
    <m/>
    <x v="0"/>
    <m/>
    <m/>
    <m/>
    <x v="2"/>
    <x v="10"/>
    <x v="1"/>
  </r>
  <r>
    <s v="iamu.edu"/>
    <s v="minus"/>
    <x v="0"/>
    <s v="v=spf1 ip4:212.78.224.207 include:spf.protection.outlook.com include:25735957.spf08.hubspotemail.net -all"/>
    <s v="yes"/>
    <x v="2"/>
    <s v="v=DMARC1;p=none;sp=none;adkim=r;aspf=r;pct=100;fo=1;rf=afrf;ri=86400;rua=mailto:dmarcreports@iamu.edu;ruf=mailto:dmarcreports@iamu.edu"/>
    <m/>
    <m/>
    <x v="0"/>
    <x v="10"/>
    <x v="1"/>
  </r>
  <r>
    <s v="gti.ie"/>
    <s v="no"/>
    <x v="2"/>
    <m/>
    <m/>
    <x v="0"/>
    <m/>
    <m/>
    <m/>
    <x v="7"/>
    <x v="10"/>
    <x v="1"/>
  </r>
  <r>
    <s v="ballinodecollege.com"/>
    <s v="minus"/>
    <x v="0"/>
    <s v="v=spf1 +a +mx +a:control.dmacmedia.ie include:_spf.google.com -all"/>
    <m/>
    <x v="0"/>
    <m/>
    <m/>
    <m/>
    <x v="8"/>
    <x v="10"/>
    <x v="1"/>
  </r>
  <r>
    <s v="irishwelcometours.com"/>
    <s v="minus"/>
    <x v="0"/>
    <s v="v=spf1 include:spf.protection.outlook.com -all"/>
    <s v="yes"/>
    <x v="0"/>
    <m/>
    <m/>
    <m/>
    <x v="0"/>
    <x v="10"/>
    <x v="1"/>
  </r>
  <r>
    <s v="welocalize.com"/>
    <s v="minus"/>
    <x v="0"/>
    <s v="v=spf1 include:spf2.welocalize.com include:spf.protection.outlook.com include:sendgrid.net include:servers.mcsv.net include:cust-spf.exacttarget.com include:mail.zendesk.com include:_spf.salesforce.com include:et._spf.pardot.com -all"/>
    <s v="yes"/>
    <x v="1"/>
    <s v="v=DMARC1; p=quarantine; pct=5; fo=1; rua=mailto:a0027e04@mxtoolbox.dmarc-report.com,mailto:postmaster@welocalize.com; ruf=mailto:a0027e04@forensics.dmarc-report.com"/>
    <s v="yes"/>
    <s v="https://www.welocalize.com/wp-content/uploads/2023/03/WelocalizeMark.svg"/>
    <x v="0"/>
    <x v="10"/>
    <x v="1"/>
  </r>
  <r>
    <s v="dualway.com"/>
    <s v="minus"/>
    <x v="0"/>
    <s v="v=spf1 include:spf.protection.outlook.com -all"/>
    <m/>
    <x v="0"/>
    <m/>
    <m/>
    <m/>
    <x v="0"/>
    <x v="10"/>
    <x v="1"/>
  </r>
  <r>
    <s v="downeytransport.com"/>
    <s v="minus"/>
    <x v="0"/>
    <s v="v=spf1 include:spf.protection.outlook.com -all"/>
    <m/>
    <x v="2"/>
    <s v="v=DMARC1; p=none"/>
    <m/>
    <m/>
    <x v="1"/>
    <x v="10"/>
    <x v="1"/>
  </r>
  <r>
    <s v="jetwash.ie"/>
    <s v="minus"/>
    <x v="0"/>
    <s v="v=spf1 include:spf.protection.outlook.com include:spf.giacomcp.com -all"/>
    <s v="yes"/>
    <x v="0"/>
    <m/>
    <m/>
    <m/>
    <x v="19"/>
    <x v="10"/>
    <x v="1"/>
  </r>
  <r>
    <s v="glendimplexireland.com"/>
    <s v="minus"/>
    <x v="0"/>
    <s v="v=spf1 include:spf.messagelabs.com include:email.freshservice.com include:spf.protection.outlook.com A:email.glendimplex.com A:mailer1.glanmail.com -all"/>
    <s v="yes"/>
    <x v="0"/>
    <m/>
    <m/>
    <m/>
    <x v="0"/>
    <x v="10"/>
    <x v="1"/>
  </r>
  <r>
    <s v="logstrup.com"/>
    <s v="minus"/>
    <x v="0"/>
    <s v="v=spf1 include:_spf1670.spfprotect.com -all"/>
    <m/>
    <x v="3"/>
    <s v="v=DMARC1; p=reject; rua=mailto:5f63040c557e6@dmarc.centerasecurity.com;"/>
    <m/>
    <m/>
    <x v="7"/>
    <x v="10"/>
    <x v="1"/>
  </r>
  <r>
    <s v="derrynaflan.com"/>
    <s v="no"/>
    <x v="2"/>
    <m/>
    <m/>
    <x v="0"/>
    <m/>
    <m/>
    <m/>
    <x v="1"/>
    <x v="10"/>
    <x v="1"/>
  </r>
  <r>
    <s v="cooneyfurlong.com"/>
    <s v="minus"/>
    <x v="0"/>
    <s v="v=spf1 ip4:91.210.235.90 include:spf.protection.outlook.com a:smtp.wicklowbroadband.com include:spf.mailanyone.net include:spf.ess.de.barracudanetworks.com -all"/>
    <s v="yes"/>
    <x v="0"/>
    <m/>
    <m/>
    <m/>
    <x v="3"/>
    <x v="10"/>
    <x v="1"/>
  </r>
  <r>
    <s v="janssen.ie"/>
    <s v="minus"/>
    <x v="0"/>
    <s v="v=spf1 include:%{d}.ce.spf-protect.dmp.cisco.com exists:%{i}._i.%{d}._d.espf.dmp.cisco.com -all"/>
    <m/>
    <x v="3"/>
    <s v="v=DMARC1; p=reject; sp=quarantine; fo=1; ri=3600; rua=mailto:jnj@rua.dmp.cisco.com,mailto:jnj@rua.agari.com; ruf=mailto:jnj@ruf.dmp.cisco.com,mailto:jnj@ruf.agari.com"/>
    <m/>
    <m/>
    <x v="0"/>
    <x v="10"/>
    <x v="1"/>
  </r>
  <r>
    <s v="servier.com"/>
    <s v="tilde"/>
    <x v="1"/>
    <s v="v=spf1 include:spf.protection.outlook.com include:_spf-a.servier.com include:_spf-b.servier.com include:servers.mcsv.net ~all"/>
    <s v="yes"/>
    <x v="3"/>
    <s v="v=DMARC1; p=reject; fo=1; rua=mailto:servier.rua@emailsecurity.merox.io; ruf=mailto:servier.ruf@emailsecurity.merox.io"/>
    <m/>
    <m/>
    <x v="0"/>
    <x v="10"/>
    <x v="1"/>
  </r>
  <r>
    <s v="jonesoil.ie"/>
    <s v="minus"/>
    <x v="0"/>
    <s v="v=spf1 include:spf.protection.outlook.com -all"/>
    <s v="yes"/>
    <x v="3"/>
    <s v="v=DMARC1; p=reject; rua=mailto:dmarc@jonesoil.ie"/>
    <m/>
    <m/>
    <x v="0"/>
    <x v="10"/>
    <x v="1"/>
  </r>
  <r>
    <s v="grange.ie"/>
    <s v="tilde"/>
    <x v="1"/>
    <s v="v=spf1 include:spf.protection.outlook.com include:mailgun.org include:eu.zcsend.net ~all"/>
    <m/>
    <x v="0"/>
    <m/>
    <m/>
    <m/>
    <x v="0"/>
    <x v="10"/>
    <x v="1"/>
  </r>
  <r>
    <s v="epmooney.ie"/>
    <s v="minus"/>
    <x v="0"/>
    <s v="v=spf1 include:spf.protection.outlook.com -all"/>
    <m/>
    <x v="0"/>
    <m/>
    <m/>
    <m/>
    <x v="0"/>
    <x v="10"/>
    <x v="1"/>
  </r>
  <r>
    <s v="qualvecom.ie"/>
    <s v="minus"/>
    <x v="0"/>
    <s v="v=spf1 include:spf.protection.outlook.com include:spf1.emailsecurity.app include:spf.blacknight.com include:awses.qualvecom.com -all"/>
    <s v="yes"/>
    <x v="3"/>
    <s v="v=DMARC1; p=reject; fo=1; rua=mailto:rua+qualvecom.ie@dmarc.barracudanetworks.com,mailto:dkgjlkcr@rua.dmarceye.com; ruf=mailto:ruf+qualvecom.ie@dmarc.barracudanetworks.com; ri=86400"/>
    <m/>
    <m/>
    <x v="0"/>
    <x v="10"/>
    <x v="1"/>
  </r>
  <r>
    <s v="macneanrestaurant.com"/>
    <s v="minus"/>
    <x v="0"/>
    <s v="v=spf1 include:_spf.mlsend.com a include:spf.blacknight.ie -all"/>
    <m/>
    <x v="2"/>
    <s v="v=DMARC1; p=none;"/>
    <m/>
    <m/>
    <x v="11"/>
    <x v="10"/>
    <x v="1"/>
  </r>
  <r>
    <s v="barryroeco-op.ie"/>
    <s v="question"/>
    <x v="4"/>
    <s v="v=spf1 include:spf.protection.outlook.com ip4:212.78.228.74 ip4:84.51.253.158 ?all"/>
    <s v="yes"/>
    <x v="3"/>
    <s v="v=DMARC1;p=reject;sp=none;adkim=r;aspf=r;pct=100;fo=1;rf=afrf;ri=86400;rua=mailto:rua+barryroeco-op.ie@dmarc.barracudanetworks.com;ruf=mailto:ruf+barryroeco-op.ie@dmarc.barracudanetworks.com"/>
    <m/>
    <m/>
    <x v="1"/>
    <x v="10"/>
    <x v="1"/>
  </r>
  <r>
    <s v="ecco.com"/>
    <s v="minus"/>
    <x v="0"/>
    <s v="v=spf1 include:_spf6060.spfprotect.com -all"/>
    <s v="yes"/>
    <x v="3"/>
    <s v="v=DMARC1; p=reject; rua=mailto:61766da0c4377@dmarc.centerasecurity.com;"/>
    <m/>
    <m/>
    <x v="1"/>
    <x v="10"/>
    <x v="1"/>
  </r>
  <r>
    <s v="commonsinn.com"/>
    <s v="minus"/>
    <x v="0"/>
    <s v="v=spf1 include:spf.protection.outlook.com -all"/>
    <m/>
    <x v="2"/>
    <s v="v=DMARC1; p=none;"/>
    <m/>
    <m/>
    <x v="1"/>
    <x v="10"/>
    <x v="1"/>
  </r>
  <r>
    <s v="ancosan.com"/>
    <s v="minus"/>
    <x v="0"/>
    <s v="v=spf1 +a +mx +ip4:91.210.232.8 include:spf.webhostingireland.ie +ip4:185.43.232.251 +include:spf.protection.outlook.com -all"/>
    <s v="yes"/>
    <x v="0"/>
    <m/>
    <m/>
    <m/>
    <x v="0"/>
    <x v="10"/>
    <x v="1"/>
  </r>
  <r>
    <s v="ct-ireland.ie"/>
    <s v="tilde"/>
    <x v="1"/>
    <s v="v=spf1 include:%{ir}.%{v}.%{d}.spf.has.pphosted.com ~all"/>
    <s v="yes"/>
    <x v="3"/>
    <s v="v=DMARC1; p=reject; fo=1; rua=mailto:dmarc_rua@emaildefense.proofpoint.com; ruf=mailto:dmarc_ruf@emaildefense.proofpoint.com;"/>
    <m/>
    <m/>
    <x v="0"/>
    <x v="10"/>
    <x v="1"/>
  </r>
  <r>
    <s v="havok.com"/>
    <s v="minus"/>
    <x v="0"/>
    <s v="v=spf1 ip4:20.82.129.190 ip4:168.61.147.238 ip4:167.220.197.88 ip4:13.93.11.183 ip4:52.175.18.60 ip4:52.161.13.137 ip4:108.142.61.230 ip4:104.208.107.30 ip4:20.82.182.156 ip4:13.78.130.245 ip4:167.220.196.0/23 include:spf.protection.outlook.com include:m&quot; &quot;ail.zendesk.com -all"/>
    <m/>
    <x v="3"/>
    <s v="v=DMARC1; p=reject; pct=100; rua=mailto:rua@dmarc.microsoft; ruf=mailto:ruf@dmarc.microsoft; fo=1"/>
    <m/>
    <m/>
    <x v="0"/>
    <x v="10"/>
    <x v="1"/>
  </r>
  <r>
    <s v="independent-trustee.com"/>
    <s v="minus"/>
    <x v="0"/>
    <s v="v=spf1 include:spf.protection.outlook.com ip4:83.70.158.18 ip4:162.13.193.54 -all"/>
    <s v="yes"/>
    <x v="1"/>
    <s v="v=DMARC1; p=quarantine;rua=mailto:itfadmin@itcgroup.ie;"/>
    <m/>
    <m/>
    <x v="0"/>
    <x v="10"/>
    <x v="1"/>
  </r>
  <r>
    <s v="cranehire-ireland.com"/>
    <s v="no"/>
    <x v="2"/>
    <m/>
    <m/>
    <x v="0"/>
    <m/>
    <m/>
    <m/>
    <x v="0"/>
    <x v="10"/>
    <x v="1"/>
  </r>
  <r>
    <s v="menloparkhotel.com"/>
    <s v="minus"/>
    <x v="0"/>
    <s v="v=spf1 ip4:89.101.95.14 include:spf.protection.outlook.com include:netaffinity.net include:amazonses.com a:spamtitan.zenotec.ie -all"/>
    <s v="yes"/>
    <x v="1"/>
    <s v="v=DMARC1; p=quarantine; pct=100; rua=mailto:dmarc@zenotec.ie; ruf=mailto:dmarc@zenotec.ie; fo=1"/>
    <m/>
    <m/>
    <x v="7"/>
    <x v="10"/>
    <x v="1"/>
  </r>
  <r>
    <s v="killarneyavenue.com"/>
    <s v="tilde"/>
    <x v="1"/>
    <s v="v=spf1 a mx include:netaffinity.net include:spf.protection.outlook.com ip4:82.141.235.96 ip4:192.162.217.194 ip4:34.251.246.197/32 ip4:34.254.147.8/32 include:authsmtp.com include:sendgrid.net ~all"/>
    <s v="yes"/>
    <x v="2"/>
    <s v="v=DMARC1; p=none; ruf=mailto:paq@killarneyavenue.com; fua=mailto:dmarc_agg@vali.email; fo=1"/>
    <m/>
    <m/>
    <x v="14"/>
    <x v="10"/>
    <x v="1"/>
  </r>
  <r>
    <s v="longfordarms.ie"/>
    <s v="minus"/>
    <x v="0"/>
    <s v="v=spf1 include:spf.protection.outlook.com -all"/>
    <m/>
    <x v="0"/>
    <m/>
    <m/>
    <m/>
    <x v="20"/>
    <x v="10"/>
    <x v="1"/>
  </r>
  <r>
    <s v="lawlorshotel.com"/>
    <s v="tilde"/>
    <x v="1"/>
    <s v="v=spf1 include:netaffinity.net include:spf.protection.outlook.com include:spf1.emailsecurity.app include:spf.mailjet.com include:spf.mandrillapp.com ~all"/>
    <m/>
    <x v="0"/>
    <m/>
    <m/>
    <m/>
    <x v="10"/>
    <x v="10"/>
    <x v="1"/>
  </r>
  <r>
    <s v="mullingarparkhotel.com"/>
    <s v="tilde"/>
    <x v="1"/>
    <s v="v=spf1 a mx include:spf.newsletter.ie include:spf.protection.outlook.com include:oracleindustry.com ~all"/>
    <s v="yes"/>
    <x v="0"/>
    <m/>
    <m/>
    <m/>
    <x v="23"/>
    <x v="10"/>
    <x v="1"/>
  </r>
  <r>
    <s v="terradrive.ie"/>
    <s v="tilde"/>
    <x v="1"/>
    <s v="v=spf1 a include:spf.blacknight.ie include:_spf.google.com ~all"/>
    <m/>
    <x v="0"/>
    <m/>
    <m/>
    <m/>
    <x v="25"/>
    <x v="11"/>
    <x v="1"/>
  </r>
  <r>
    <s v="electronicconcepts.ie"/>
    <s v="minus"/>
    <x v="0"/>
    <s v="v=spf1 +a +mx +a:trojanit.dmacmedia.ie -all"/>
    <s v="yes"/>
    <x v="1"/>
    <s v="v=DMARC1; p=quarantine; adkim=s; aspf=s"/>
    <m/>
    <m/>
    <x v="7"/>
    <x v="11"/>
    <x v="1"/>
  </r>
  <r>
    <s v="wallsteel.ie"/>
    <s v="minus"/>
    <x v="0"/>
    <s v="v=spf1 include:mailanyone.net include:spf.protection.outlook.com -all"/>
    <m/>
    <x v="0"/>
    <m/>
    <m/>
    <m/>
    <x v="3"/>
    <x v="11"/>
    <x v="1"/>
  </r>
  <r>
    <s v="firstglass.ie"/>
    <s v="minus"/>
    <x v="0"/>
    <s v="v=spf1 ip4:185.156.197.105 ip4:159.134.105.121 mx -all"/>
    <m/>
    <x v="2"/>
    <s v="v=DMARC1; p=none; pct=100; fo=1; ri=3600; rua=mailto:62f9aae6@inbox.ondmarc.com; ruf=mailto:62f9aae6@inbox.ondmarc.com;"/>
    <m/>
    <m/>
    <x v="0"/>
    <x v="12"/>
    <x v="1"/>
  </r>
  <r>
    <s v="eschergroup.com"/>
    <s v="minus"/>
    <x v="0"/>
    <s v="v=spf1 include:spf.protection.outlook.com include:_spf.salesforce.com include:_spf.atlassian.net include:_aspf1.spf05.hubspotemail.net include:et._spf.pardot.com ip4:104.129.83.224/26 -all"/>
    <s v="yes"/>
    <x v="3"/>
    <s v="v=DMARC1;p=reject;sp=reject;pct=100;adkim=r;aspf=r;rua=mailto:egnotifications@eschergroup.com;ruf=mailto:egnotifications@eschergroup.com;ri=86400;fo=1"/>
    <m/>
    <m/>
    <x v="0"/>
    <x v="12"/>
    <x v="1"/>
  </r>
  <r>
    <s v="new.ie"/>
    <s v="tilde"/>
    <x v="1"/>
    <s v="v=spf1 include:_u.new.ie._spf.smart.ondmarc.com ~all"/>
    <s v="yes"/>
    <x v="3"/>
    <s v="v=DMARC1; p=reject; pct=100; sp=none; rua=mailto:f56fbd93@inbox.ondmarc.com; ruf=mailto:f56fbd93@inbox.ondmarc.com; adkim=r; aspf=r; fo=1; rf=afrf; ri=3600"/>
    <m/>
    <m/>
    <x v="0"/>
    <x v="12"/>
    <x v="1"/>
  </r>
  <r>
    <s v="clonmeloil.com"/>
    <s v="minus"/>
    <x v="0"/>
    <s v="v=spf1 include:spf.protection.outlook.com include:turbo-smtp.com -all"/>
    <m/>
    <x v="2"/>
    <s v="v=DMARC1; p=none;"/>
    <m/>
    <m/>
    <x v="13"/>
    <x v="12"/>
    <x v="1"/>
  </r>
  <r>
    <s v="raywhelan.ie"/>
    <s v="minus"/>
    <x v="0"/>
    <s v="v=spf1 mx ip4:109.123.107.79 mx:mail.raywhelan.ie a:webserver1.bizspacehost.com include:spf.protection.outlook.com include:spf.ess.de.barracudanetworks.com -all"/>
    <s v="yes"/>
    <x v="0"/>
    <m/>
    <m/>
    <m/>
    <x v="25"/>
    <x v="13"/>
    <x v="1"/>
  </r>
  <r>
    <s v="stmarkscs.ie"/>
    <s v="tilde"/>
    <x v="1"/>
    <s v="v=spf1 ip4:87.36.33.6 include:_spf.google.com ~all"/>
    <m/>
    <x v="0"/>
    <m/>
    <m/>
    <m/>
    <x v="0"/>
    <x v="13"/>
    <x v="1"/>
  </r>
  <r>
    <s v="filtertek.ie"/>
    <s v="tilde"/>
    <x v="1"/>
    <s v="v=spf1 ip4:83.70.176.121 ip4:88.87.175.210 include:spf.protection.outlook.com ~all"/>
    <m/>
    <x v="0"/>
    <m/>
    <m/>
    <m/>
    <x v="5"/>
    <x v="13"/>
    <x v="1"/>
  </r>
  <r>
    <s v="pensionsauthority.ie"/>
    <s v="minus"/>
    <x v="0"/>
    <s v="v=spf1 mx ip4:137.191.230.130 ip4:137.191.230.131 ip4:137.191.234.164 ip4:137.191.234.165 a:pdr.pensionsauthority.ie a:mail.pensionsauthority.ie a:mail1.pensionsauthority.ie a:mail2.pensionsauthority.ie include:servers.mcsv.net include:spfext.itservi&quot; &quot;ces.gov.ie include:relay.kinstamailservice.com -all"/>
    <m/>
    <x v="2"/>
    <s v="v=DMARC1; p=none;"/>
    <m/>
    <m/>
    <x v="0"/>
    <x v="13"/>
    <x v="1"/>
  </r>
  <r>
    <s v="consumerhelp.ie"/>
    <s v="no"/>
    <x v="2"/>
    <m/>
    <m/>
    <x v="0"/>
    <m/>
    <m/>
    <m/>
    <x v="0"/>
    <x v="14"/>
    <x v="1"/>
  </r>
  <r>
    <s v="thebarofireland.ie"/>
    <s v="no"/>
    <x v="2"/>
    <m/>
    <m/>
    <x v="0"/>
    <m/>
    <m/>
    <m/>
    <x v="0"/>
    <x v="14"/>
    <x v="1"/>
  </r>
  <r>
    <s v="horizondigitalprint.com"/>
    <s v="minus"/>
    <x v="0"/>
    <s v="v=spf1 include:spf.protection.outlook.com include:mailchimp.com include:rp.oracleemaildelivery.com include:ap.rp.oracleemaildelivery.com include:eu.rp.oracleemaildelivery.com -all"/>
    <s v="yes"/>
    <x v="0"/>
    <m/>
    <m/>
    <m/>
    <x v="0"/>
    <x v="14"/>
    <x v="1"/>
  </r>
  <r>
    <s v="brookhaven.ie"/>
    <s v="minus"/>
    <x v="0"/>
    <s v="v=spf1 include:spf1.emailsecurity.app include:spf.protection.outlook.com -all"/>
    <m/>
    <x v="0"/>
    <m/>
    <m/>
    <m/>
    <x v="17"/>
    <x v="14"/>
    <x v="1"/>
  </r>
  <r>
    <s v="assessireland.com"/>
    <s v="minus"/>
    <x v="0"/>
    <s v="v=spf1 ip4:52.208.120.156 include:spf.protection.outlook.com include:spf.reg365.net -all"/>
    <s v="yes"/>
    <x v="2"/>
    <s v="v=DMARC1; p=none;"/>
    <m/>
    <m/>
    <x v="14"/>
    <x v="14"/>
    <x v="1"/>
  </r>
  <r>
    <s v="luttrellstown.com"/>
    <s v="no"/>
    <x v="2"/>
    <m/>
    <m/>
    <x v="0"/>
    <m/>
    <m/>
    <m/>
    <x v="0"/>
    <x v="15"/>
    <x v="1"/>
  </r>
  <r>
    <s v="libertysrecycling.ie"/>
    <s v="no"/>
    <x v="2"/>
    <m/>
    <m/>
    <x v="0"/>
    <m/>
    <m/>
    <m/>
    <x v="0"/>
    <x v="15"/>
    <x v="1"/>
  </r>
  <r>
    <s v="kilcawleyconstruction.com"/>
    <s v="minus"/>
    <x v="0"/>
    <s v="v=spf1 +ip4:66.206.3.250 ip4:23.111.150.199 ip4:86.47.224.51 ip4:86.41.75.208 include:spf.protection.outlook.com include:spf.fusemail.net mx a -all"/>
    <m/>
    <x v="0"/>
    <m/>
    <m/>
    <m/>
    <x v="8"/>
    <x v="15"/>
    <x v="1"/>
  </r>
  <r>
    <s v="electricalrewinds.ie"/>
    <s v="minus"/>
    <x v="0"/>
    <s v="v=spf1 include:spf.protection.outlook.com mx -all"/>
    <m/>
    <x v="2"/>
    <s v="v=DMARC1; p=none;"/>
    <m/>
    <m/>
    <x v="5"/>
    <x v="15"/>
    <x v="1"/>
  </r>
  <r>
    <s v="kinsale-energy.ie"/>
    <s v="minus"/>
    <x v="0"/>
    <s v="v=spf1 include:spf.protection.outlook.com -all"/>
    <m/>
    <x v="0"/>
    <m/>
    <m/>
    <m/>
    <x v="1"/>
    <x v="15"/>
    <x v="1"/>
  </r>
  <r>
    <s v="itwsbi.com"/>
    <s v="tilde"/>
    <x v="1"/>
    <s v="v=spf1 include:spf.protection.outlook.com include:notifications.issuetrak.com include:et._spf.pardot.com ip4:209.49.53.10 ip4:24.247.23.98 ~all"/>
    <s v="yes"/>
    <x v="1"/>
    <s v="v=DMARC1; p=quarantine; rua=mailto:dmarc_agg@vali.email"/>
    <m/>
    <m/>
    <x v="1"/>
    <x v="15"/>
    <x v="1"/>
  </r>
  <r>
    <s v="wexfordcoco.ie"/>
    <s v="minus"/>
    <x v="0"/>
    <s v="v=spf1 exists:%{i}.spf.hc1696-6.eu.iphmx.com include:spf.protection.outlook.com include:spf.blacknight.com include:_spf.firmstep.com a:extdms.wexfordcoco.ie -all"/>
    <s v="yes"/>
    <x v="2"/>
    <s v="v=DMARC1;p=none;sp=none;adkim=s;rua=mailto:itsecurity@wexfordcoco.ie,mailto:211a5a2e44@rua.easydmarc.eu;ruf=mailto:itsecurity@wexfordcoco.ie,mailto:211a5a2e44@ruf.easydmarc.eu;ri=14400;fo=1"/>
    <m/>
    <m/>
    <x v="3"/>
    <x v="15"/>
    <x v="1"/>
  </r>
  <r>
    <s v="enniscommunitycollege.com"/>
    <s v="tilde"/>
    <x v="1"/>
    <s v="v=spf1 a mx include:spf.id.ie ~all"/>
    <m/>
    <x v="0"/>
    <m/>
    <m/>
    <m/>
    <x v="9"/>
    <x v="15"/>
    <x v="1"/>
  </r>
  <r>
    <s v="mountmercy.ie"/>
    <s v="tilde"/>
    <x v="1"/>
    <s v="v=spf1 ip4:184.173.239.120 a mx include:websitewelcome.com ~all"/>
    <m/>
    <x v="0"/>
    <m/>
    <m/>
    <m/>
    <x v="1"/>
    <x v="15"/>
    <x v="1"/>
  </r>
  <r>
    <s v="staidanscork.ie"/>
    <s v="minus"/>
    <x v="0"/>
    <s v="v=spf1 include:spf.protection.outlook.com -all"/>
    <s v="yes"/>
    <x v="3"/>
    <s v="v=DMARC1;p=reject;sp=reject"/>
    <m/>
    <m/>
    <x v="1"/>
    <x v="15"/>
    <x v="1"/>
  </r>
  <r>
    <s v="tmscc.ie"/>
    <s v="no"/>
    <x v="2"/>
    <m/>
    <m/>
    <x v="0"/>
    <m/>
    <m/>
    <m/>
    <x v="1"/>
    <x v="15"/>
    <x v="1"/>
  </r>
  <r>
    <s v="mountseskincc.ie"/>
    <s v="no"/>
    <x v="2"/>
    <m/>
    <s v="yes"/>
    <x v="0"/>
    <m/>
    <m/>
    <m/>
    <x v="0"/>
    <x v="15"/>
    <x v="1"/>
  </r>
  <r>
    <s v="stdavidscbs.ie"/>
    <s v="tilde"/>
    <x v="1"/>
    <s v="v=spf1 ip4:184.173.239.120 ip4:79.170.246.48 ip4:80.93.17.151 a mx include:websitewelcome.com ~all"/>
    <m/>
    <x v="0"/>
    <m/>
    <m/>
    <m/>
    <x v="0"/>
    <x v="15"/>
    <x v="1"/>
  </r>
  <r>
    <s v="stdominics.ie"/>
    <s v="tilde"/>
    <x v="1"/>
    <s v="v=spf1 ip4:200.69.13.100 +a +mx +ip4:78.153.200.188 +ip4:78.153.201.112 +ip4:94.229.76.210 +ip4:77.75.120.18 +ip4:173.194.199.26 +ip4:74.125.141.27 +ip4:173.194.219.26 +ip4:64.233.186.27 ~all"/>
    <s v="yes"/>
    <x v="2"/>
    <s v="v=DMARC1; p=none"/>
    <m/>
    <m/>
    <x v="0"/>
    <x v="15"/>
    <x v="1"/>
  </r>
  <r>
    <s v="stmaryshfcglasnevin.com"/>
    <s v="tilde"/>
    <x v="1"/>
    <s v="v=spf1 +a +mx +ip4:83.138.8.111 include:relay.mailchannels.net ~all"/>
    <s v="yes"/>
    <x v="0"/>
    <m/>
    <m/>
    <m/>
    <x v="0"/>
    <x v="15"/>
    <x v="1"/>
  </r>
  <r>
    <s v="naascbs.ie"/>
    <s v="tilde"/>
    <x v="1"/>
    <s v="v=spf1 include:_spf.google.com +mx +a +ip4:167.235.180.130 ~all"/>
    <s v="yes"/>
    <x v="2"/>
    <s v="v=DMARC1; P=none;"/>
    <m/>
    <m/>
    <x v="16"/>
    <x v="15"/>
    <x v="1"/>
  </r>
  <r>
    <s v="stfarnans.ie"/>
    <s v="no"/>
    <x v="2"/>
    <m/>
    <m/>
    <x v="0"/>
    <m/>
    <m/>
    <m/>
    <x v="16"/>
    <x v="15"/>
    <x v="1"/>
  </r>
  <r>
    <s v="stwolstans.ie"/>
    <s v="minus"/>
    <x v="0"/>
    <s v="v=spf1 include:spf.protection.outlook.com -all"/>
    <s v="yes"/>
    <x v="0"/>
    <m/>
    <m/>
    <m/>
    <x v="16"/>
    <x v="15"/>
    <x v="1"/>
  </r>
  <r>
    <s v="castlecomercs.com"/>
    <s v="minus"/>
    <x v="0"/>
    <s v="v=spf1 include:spf.protection.outlook.com -all"/>
    <m/>
    <x v="0"/>
    <m/>
    <m/>
    <m/>
    <x v="17"/>
    <x v="15"/>
    <x v="1"/>
  </r>
  <r>
    <s v="eurekasecondaryschool.ie"/>
    <s v="tilde"/>
    <x v="1"/>
    <s v="v=spf1 ip4:190.180.145.98 +a +mx +include:spf.dub1.servername.online ~all"/>
    <s v="yes"/>
    <x v="0"/>
    <m/>
    <m/>
    <m/>
    <x v="15"/>
    <x v="15"/>
    <x v="1"/>
  </r>
  <r>
    <s v="olss.ie"/>
    <s v="tilde"/>
    <x v="1"/>
    <s v="v=spf1 include:_spf.google.com ~all"/>
    <s v="yes"/>
    <x v="0"/>
    <m/>
    <m/>
    <m/>
    <x v="12"/>
    <x v="15"/>
    <x v="1"/>
  </r>
  <r>
    <s v="stmarysedenderry.ie"/>
    <s v="minus"/>
    <x v="0"/>
    <s v="v=spf1 include:spf.protection.outlook.com -all"/>
    <m/>
    <x v="0"/>
    <m/>
    <m/>
    <m/>
    <x v="21"/>
    <x v="15"/>
    <x v="1"/>
  </r>
  <r>
    <s v="summerhillcollege.ie"/>
    <s v="tilde"/>
    <x v="1"/>
    <s v="v=spf1 +a +mx +ip4:109.237.24.70 +include:_spf.google.com ~all"/>
    <s v="yes"/>
    <x v="3"/>
    <s v="v=DMARC1; p=reject; rua=mailto:sysadmin@summerhillcollege.ie; ruf=mailto:sysadmin@summerhillcollege.ie; pct=100;"/>
    <m/>
    <m/>
    <x v="8"/>
    <x v="15"/>
    <x v="1"/>
  </r>
  <r>
    <s v="newtownschool.ie"/>
    <s v="minus"/>
    <x v="0"/>
    <s v="v=spf1 include:spf.protection.outlook.com -all"/>
    <m/>
    <x v="0"/>
    <m/>
    <m/>
    <m/>
    <x v="10"/>
    <x v="15"/>
    <x v="1"/>
  </r>
  <r>
    <s v="ourladysbower.com"/>
    <s v="minus"/>
    <x v="0"/>
    <s v="v=spf1 include:spf.protection.outlook.com -all"/>
    <s v="yes"/>
    <x v="0"/>
    <m/>
    <m/>
    <m/>
    <x v="23"/>
    <x v="15"/>
    <x v="1"/>
  </r>
  <r>
    <s v="cbcarnew.ie"/>
    <s v="tilde"/>
    <x v="1"/>
    <s v="v=spf1 include:_spf.mail.hostinger.com ~all"/>
    <m/>
    <x v="0"/>
    <m/>
    <m/>
    <m/>
    <x v="24"/>
    <x v="15"/>
    <x v="1"/>
  </r>
  <r>
    <s v="paramounthotel.ie"/>
    <s v="minus"/>
    <x v="0"/>
    <s v="v=spf1 +ip4:91.210.232.40 +include:spf.protection.outlook.com -all"/>
    <s v="yes"/>
    <x v="0"/>
    <m/>
    <m/>
    <m/>
    <x v="0"/>
    <x v="15"/>
    <x v="1"/>
  </r>
  <r>
    <s v="radisonhotelgroup.com"/>
    <s v="no"/>
    <x v="2"/>
    <m/>
    <m/>
    <x v="0"/>
    <m/>
    <m/>
    <m/>
    <x v="0"/>
    <x v="15"/>
    <x v="1"/>
  </r>
  <r>
    <s v="themorgan.com"/>
    <s v="minus"/>
    <x v="0"/>
    <s v="v=spf1 ip4:81.173.15.74 include:spf.protection.outlook.com include:spf.mandrillapp.com include:_spf.bookassist.com Include:_spf.salesforce.com -all"/>
    <s v="yes"/>
    <x v="1"/>
    <s v="v=DMARC1; p=quarantine; pct=100; rua=mailto:dmarc@themorgan.com; ruf=mailto:dmarc@themorgan.com"/>
    <m/>
    <m/>
    <x v="0"/>
    <x v="15"/>
    <x v="1"/>
  </r>
  <r>
    <s v="manorwesthotel.ie"/>
    <s v="tilde"/>
    <x v="1"/>
    <s v="v=spf1 ip4:86.43.86.187 include:netaffinity.net include:email2.guestfolio.net include:spf.protection.outlook.com include:sendgrid.net ~all"/>
    <s v="yes"/>
    <x v="1"/>
    <s v="v=DMARC1; p=quarantine; rua=mailto:admin@manorwesthotel.ie;"/>
    <m/>
    <m/>
    <x v="14"/>
    <x v="15"/>
    <x v="1"/>
  </r>
  <r>
    <s v="botanicgardens.ie"/>
    <s v="minus"/>
    <x v="0"/>
    <s v="v=spf1 -all"/>
    <m/>
    <x v="0"/>
    <m/>
    <m/>
    <m/>
    <x v="0"/>
    <x v="15"/>
    <x v="1"/>
  </r>
  <r>
    <s v="barcouncil.ie"/>
    <s v="no"/>
    <x v="2"/>
    <m/>
    <m/>
    <x v="0"/>
    <m/>
    <m/>
    <m/>
    <x v="0"/>
    <x v="15"/>
    <x v="1"/>
  </r>
  <r>
    <s v="royallondon.ie"/>
    <s v="minus"/>
    <x v="0"/>
    <s v="v=spf1 mx a:relay2a-uk.clearswift.net a:relay2a-us.clearswift.net include:spf.protection.outlook.com -all"/>
    <m/>
    <x v="1"/>
    <s v="v=DMARC1; p=quarantine; fo=1; ri=3600; rua=mailto:royallondon@rua.agari-eu.com,mailto:DmarcReporting@royallondon.com; ruf=mailto:royallondon@ruf.agari-eu.com,mailto:DmarcFailureReporting@royallondon.com"/>
    <m/>
    <m/>
    <x v="0"/>
    <x v="15"/>
    <x v="1"/>
  </r>
  <r>
    <s v="bijurdelimon.com"/>
    <s v="tilde"/>
    <x v="1"/>
    <s v="v=spf1 ip4:92.51.204.182 ip4:92.51.204.181 ip4:188.111.40.2 ip4:145.253.161.210 ip4:172.126.121.162 include:spf.protection.outlook.com ~all"/>
    <s v="yes"/>
    <x v="3"/>
    <s v="v=DMARC1;p=reject;sp=reject;pct=100;rua=mailto:7e319f540f37465a9b1698aa477ddc22@dmarc-reports.cloudflare.net;ri=86400;aspf=s;fo=1"/>
    <m/>
    <m/>
    <x v="9"/>
    <x v="15"/>
    <x v="1"/>
  </r>
  <r>
    <s v="ventilux.ie"/>
    <s v="mis"/>
    <x v="3"/>
    <s v="v=spf1 redirect=_ser1wtifd.sdmarc.net"/>
    <s v="yes"/>
    <x v="3"/>
    <s v="v=DMARC1; p=reject; pct=100; rua=mailto:a.er1wtifd@sdmarc.net"/>
    <m/>
    <m/>
    <x v="24"/>
    <x v="15"/>
    <x v="1"/>
  </r>
  <r>
    <s v="modular.ie"/>
    <s v="no"/>
    <x v="2"/>
    <m/>
    <m/>
    <x v="0"/>
    <m/>
    <m/>
    <m/>
    <x v="19"/>
    <x v="15"/>
    <x v="1"/>
  </r>
  <r>
    <s v="chesapeakecorp.com"/>
    <s v="no"/>
    <x v="2"/>
    <m/>
    <m/>
    <x v="3"/>
    <s v="v=DMARC1; p=reject; fo=1; rua=mailto:dmarc_rua@emaildefense.proofpoint.com; ruf=mailto:dmarc_ruf@emaildefense.proofpoint.com"/>
    <m/>
    <m/>
    <x v="0"/>
    <x v="15"/>
    <x v="1"/>
  </r>
  <r>
    <s v="gerflor.com"/>
    <s v="minus"/>
    <x v="0"/>
    <s v="v=spf1 ip4:85.31.192.42/32 ip4:85.31.193.42/32 ip4:85.31.193.7/32 ip4:212.157.146.188/32 ip4:212.208.155.139/32 ip4:134.213.195.176/32 ip4:13.39.123.138/32 ip4:83.206.54.1/32 ip4:194.51.208.105/32 ip4:90.121.196.136/32 ip4:194.51.99.64/32 ip4:&quot; &quot;46.218.252.250/32 ip4:89.227.225.102/32 ip4:89.225.250.206/32 ip4:46.218.130.190/32 ip4:81.1.7.114/32 ip4:205.201.128.0/20 ip4:198.2.128.0/18 ip4:203.209.198.234/32 ip4:61.88.152.129/32 ip4:148.105.0.0/16 ip4:90.85.192.137/32 ip4:194.98.12.196&quot; &quot;/32 ip4:212.208.237.122/32 ip4:212.208.239.38/32 ip4:212.208.238.178/32 ip4:35.157.147.57/32 ip4:35.157.105.252/32 ip4:35.157.111.195/32 ip4:35.157.15.51/32 ip4:105.27.173.198/32 ip4:117.184.170.246/30 ip4:41.140.242.216/32 ip4:80.16.61.24/32 ip4:&quot; &quot;80.155.19.146/29 ip4:212.208.238.82/32 ip4:217.136.171.66/32 ip4:20.79.74.243/32 ip4:2.136.114.230/32 ip4:35.181.156.191/32 ip4:13.36.253.151/32 ip4:3.123.206.219/32 ip4:194.51.207.93/32 ip4:194.98.12.204/32 ip4:194.51.148.88/32 ip4:3.68.129.51&quot; &quot;/32 ip4:90.121.195.81/32 ip4:90.121.194.40/29 ip4:90.121.195.82/32 ip4:90.121.229.45/32 ip4:90.85.192.105/32 ip4:90.121.196.124/32 ip4:194.250.147.102/32 ip4:194.250.63.50/32 ip4:194.51.218.161/32 ip4:50.171.2.154/32 ip4:216.161.228.219&quot; &quot;/32 ip4:194.51.99.97/32 ip4:213.56.133.217/32 ip4:194.51.250.201/32 ip4:194.51.99.65/32 ip4:90.85.76.243&quot; &quot;/32 ip4:68.70.138.34/32 ip4:90.85.216.221/32 ip4:96.93.176.141/32 ip4:213.56.160.41/32 ip4:13.37.91.238/32 ip4:90.115.35.209/32 ip4:184.154.145.202/32 ip4:66.60.118.106/32 ip4:24.37.222.242/32 ip4:194.51.218.160/32 ip4:184.154.87.221&quot; &quot;/32 include:spf.protection.outlook.com include:spfcloud.letsignit.com include:spfa.cpmails.com include:eskerondemand.com include:amazonses.com include:mailers.novius.net -all"/>
    <s v="yes"/>
    <x v="2"/>
    <s v="v=DMARC1; p=none; rua=mailto:dmarc.reports@gerflor.com; ruf=mailto:dmarc.failures@gerflor.com;"/>
    <m/>
    <m/>
    <x v="12"/>
    <x v="15"/>
    <x v="1"/>
  </r>
  <r>
    <s v="fff.saint-gobain.com"/>
    <s v="no"/>
    <x v="2"/>
    <m/>
    <m/>
    <x v="0"/>
    <m/>
    <m/>
    <m/>
    <x v="9"/>
    <x v="15"/>
    <x v="1"/>
  </r>
  <r>
    <s v="amcor.com"/>
    <s v="minus"/>
    <x v="0"/>
    <s v="v=spf1 include:spf.protection.outlook.com ip4:51.143.2.119 ip4:13.66.130.121 ip4:20.96.2.88 ip4:20.230.234.206 ip4:20.122.27.14 ip4:52.177.186.121 ip4:142.54.44.35/32 ip4:142.54.44.34/32 ip4:142.54.44.33/32 ip4:142.54.44.21/32 ip4:206.164.255.95/32 ip4:20&quot; &quot;8.185.229.0/24 ip4:208.185.235.0/24 ip4:148.59.108.0/23 ip4:148.59.106.0/23 ip4:91.205.116.0/24 ip4:191.242.202.105/32 ip4:59.154.147.162/32 ip4:139.130.187.10/24 ip4:142.54.44.104/32 ip4:206.164.255.72/32 ip4:220.101.55.26/32 ip4:13.94.215.190/32 ip4:40.&quot; &quot;86.115.90/32 ip4:149.72.231.47/32 include:2176008.spf02.hubspotemail.net include:spf.bombbomb.email include:eskerondemand.com include:_spf.salesforce.com include:_spf.psm.knowbe4.com include:6af455.workshop-spf.net -all"/>
    <s v="yes"/>
    <x v="1"/>
    <s v="v=DMARC1; p=quarantine; rua=mailto:46glyn2v@ag.eu.dmarcian.com; ruf=mailto:46glyn2v@fr.eu.dmarcian.com; fo=1;"/>
    <m/>
    <m/>
    <x v="8"/>
    <x v="15"/>
    <x v="1"/>
  </r>
  <r>
    <s v="avoncourt.com"/>
    <s v="minus"/>
    <x v="0"/>
    <s v="v=spf1 include:spf.protection.outlook.com -all"/>
    <m/>
    <x v="0"/>
    <m/>
    <m/>
    <m/>
    <x v="1"/>
    <x v="15"/>
    <x v="1"/>
  </r>
  <r>
    <s v="guinness-storehouse.com"/>
    <s v="tilde"/>
    <x v="1"/>
    <s v="v=spf1 include:spf.secutix.com ~all"/>
    <m/>
    <x v="3"/>
    <s v="v=DMARC1; p=reject; rua=mailto:dmarc_agg@vali.email"/>
    <m/>
    <m/>
    <x v="0"/>
    <x v="15"/>
    <x v="1"/>
  </r>
  <r>
    <s v="muckross-house.ie"/>
    <s v="mis"/>
    <x v="3"/>
    <s v="v=spf1 include:spf.da2.radleys.ie"/>
    <m/>
    <x v="0"/>
    <m/>
    <m/>
    <m/>
    <x v="14"/>
    <x v="15"/>
    <x v="1"/>
  </r>
  <r>
    <s v="kilkennyormonde.com"/>
    <s v="minus"/>
    <x v="0"/>
    <s v="v=spf1 include:spf.guestjoy.com include:spf.newsletter.ie include:spf.protection.outlook.com -all "/>
    <s v="yes"/>
    <x v="2"/>
    <s v="v=DMARC1;p=none;sp=none;pct=100;rua=mailto:dmarcreports@kilkennyormonde.com;ruf=mailto:dmarcreports@kilkennyormonde.com;ri=86400;aspf=r;adkim=r;fo=1;"/>
    <m/>
    <m/>
    <x v="17"/>
    <x v="15"/>
    <x v="1"/>
  </r>
  <r>
    <s v="oasisgroup.com"/>
    <s v="tilde"/>
    <x v="1"/>
    <s v="v=spf1 include:sendgrid.net include:_spf.salesforce.com include:eu._netblocks.mimecast.com include:spf.protection.outlook.com&quot; &quot; include:aspmx.pardot.com ip4:31.221.83.247 ip4:136.146.0.0/15 ip4:50.31.40.151 ip4:81.149.174.150 ip4:137.116.230.135 ip4:31.221.83.241 ip4:62.13.128.0/24 ip4:62.13.129.128/25 ip4:62.13.136.0/22 ip4:62.13.140.0/22 ip4:62.13.144.0/22&quot; &quot; ip4:62.13.148.0/23 ip4:62.13.150.0/23 ip4:62.13.152.0/23 ip4:72.52.72.32/28 ip4:64.71.149.160/28 ~all"/>
    <s v="yes"/>
    <x v="1"/>
    <s v="v=DMARC1; p=quarantine"/>
    <m/>
    <m/>
    <x v="0"/>
    <x v="15"/>
    <x v="1"/>
  </r>
  <r>
    <s v="creggstone.com"/>
    <s v="minus"/>
    <x v="0"/>
    <s v="v=spf1 include:spf.protection.outlook.com -all"/>
    <s v="yes"/>
    <x v="0"/>
    <m/>
    <m/>
    <m/>
    <x v="7"/>
    <x v="15"/>
    <x v="1"/>
  </r>
  <r>
    <s v="kelkin.ie"/>
    <s v="minus"/>
    <x v="0"/>
    <s v="v=spf1 include:spf.protection.outlook.com include:de._netblocks.mimecast.com -all"/>
    <s v="yes"/>
    <x v="3"/>
    <s v="v=DMARC1; p=reject; rua=mailto:655d2a788d66450@rep.dmarcanalyzer.com; ruf=mailto:655d2a788d66450@for.dmarcanalyzer.com; fo=1;"/>
    <m/>
    <m/>
    <x v="0"/>
    <x v="15"/>
    <x v="1"/>
  </r>
  <r>
    <s v="coaction.e"/>
    <s v="no"/>
    <x v="2"/>
    <m/>
    <m/>
    <x v="0"/>
    <m/>
    <m/>
    <m/>
    <x v="1"/>
    <x v="15"/>
    <x v="1"/>
  </r>
  <r>
    <s v="bmc.com"/>
    <s v="tilde"/>
    <x v="1"/>
    <s v="v=spf1 include:%{ir}.%{v}.%{d}.spf.has.pphosted.com ~all"/>
    <s v="yes"/>
    <x v="1"/>
    <s v="v=DMARC1; p=quarantine; rua=mailto:dmarc_rua@emaildefense.proofpoint.com; ruf=mailto:dmarc_ruf@emaildefense.proofpoint.com; fo=1"/>
    <m/>
    <m/>
    <x v="0"/>
    <x v="15"/>
    <x v="1"/>
  </r>
  <r>
    <s v="carrandsons.ie"/>
    <s v="minus"/>
    <x v="0"/>
    <s v="v=spf1 ip4:190.180.145.98 include:spf.protection.outlook.com -all"/>
    <s v="yes"/>
    <x v="0"/>
    <m/>
    <m/>
    <m/>
    <x v="4"/>
    <x v="15"/>
    <x v="1"/>
  </r>
  <r>
    <s v="cfp.ie"/>
    <s v="minus"/>
    <x v="0"/>
    <s v="v=spf1 include:spf.protection.outlook.com -all"/>
    <m/>
    <x v="0"/>
    <m/>
    <m/>
    <m/>
    <x v="7"/>
    <x v="15"/>
    <x v="1"/>
  </r>
  <r>
    <s v="heaneymeats.ie"/>
    <s v="minus"/>
    <x v="0"/>
    <s v="v=spf1 include:spf.protection.outlook.com -all"/>
    <m/>
    <x v="0"/>
    <m/>
    <m/>
    <m/>
    <x v="7"/>
    <x v="15"/>
    <x v="1"/>
  </r>
  <r>
    <s v="ashmeats.ie"/>
    <s v="minus"/>
    <x v="0"/>
    <s v="v=spf1 include:spf.protection.outlook.com include:spf.emailsignatures365.com -all"/>
    <s v="yes"/>
    <x v="0"/>
    <m/>
    <m/>
    <m/>
    <x v="16"/>
    <x v="15"/>
    <x v="1"/>
  </r>
  <r>
    <s v="grove.ie"/>
    <s v="minus"/>
    <x v="0"/>
    <s v="v=spf1 a:dispatch-eu.ppe-hosted.com include:spf.protection.outlook.com include:authsmtp.com -all"/>
    <m/>
    <x v="2"/>
    <s v="v=DMARC1; p=none; rua=mailto:administrator@grove.ie;"/>
    <m/>
    <m/>
    <x v="12"/>
    <x v="15"/>
    <x v="1"/>
  </r>
  <r>
    <s v="rudds.ie"/>
    <s v="minus"/>
    <x v="0"/>
    <s v="v=spf1 include:spf.protection.outlook.com -all"/>
    <s v="yes"/>
    <x v="2"/>
    <s v="v=DMARC1; p=none;"/>
    <m/>
    <m/>
    <x v="21"/>
    <x v="15"/>
    <x v="1"/>
  </r>
  <r>
    <s v="holdenplantrentals.com"/>
    <s v="minus"/>
    <x v="0"/>
    <s v="v=spf1 include:spf.protection.outlook.com -all"/>
    <m/>
    <x v="0"/>
    <m/>
    <m/>
    <m/>
    <x v="17"/>
    <x v="15"/>
    <x v="1"/>
  </r>
  <r>
    <s v="ictservices.ie"/>
    <s v="tilde"/>
    <x v="1"/>
    <s v="v=spf1 include:spf.protection.outlook.com include:autotask.net ~all"/>
    <s v="yes"/>
    <x v="3"/>
    <s v="v=DMARC1; p=reject; fo=1; rua=mailto:DmarcReporting@ictservices.ie; ruf=mailto:DmarcReporting@ictservices.ie"/>
    <m/>
    <m/>
    <x v="0"/>
    <x v="15"/>
    <x v="1"/>
  </r>
  <r>
    <s v="stgabrielsnursinghome.ie"/>
    <s v="no"/>
    <x v="2"/>
    <m/>
    <m/>
    <x v="0"/>
    <m/>
    <m/>
    <m/>
    <x v="0"/>
    <x v="15"/>
    <x v="1"/>
  </r>
  <r>
    <s v="hm.com"/>
    <s v="tilde"/>
    <x v="1"/>
    <s v="v=spf1 include:spf.protection.outlook.com include:%{i}._ip.%{h}._ehlo.%{d}._spf.vali.email ~all"/>
    <s v="yes"/>
    <x v="3"/>
    <s v="v=DMARC1; p=reject; rua=mailto:dmarc_agg@vali.email"/>
    <s v="yes"/>
    <s v="https://vmc.digicert.com/96cfc8b7-6d6c-404a-b950-b6456484f912.svg"/>
    <x v="0"/>
    <x v="15"/>
    <x v="1"/>
  </r>
  <r>
    <s v="cunninghamlindsey.com"/>
    <s v="tilde"/>
    <x v="1"/>
    <s v="v=spf1 mx ip4:199.120.242.71 ip4:12.171.137.71 ip4:64.158.201.20 ip4:64.158.201.21 ip4:199.120.242.53 include:spf.protection.outlook.com include:spf2.sedgwick.com ~all"/>
    <m/>
    <x v="3"/>
    <s v="v=DMARC1; p=reject; fo=1; ri=3600; rua=mailto:sedgwick@rua.agari.com; ruf=mailto:sedgwick@ruf.agari.com"/>
    <m/>
    <m/>
    <x v="0"/>
    <x v="15"/>
    <x v="1"/>
  </r>
  <r>
    <s v="leaseplan.ie"/>
    <s v="minus"/>
    <x v="0"/>
    <s v="v=spf1 include:_spf-a.iap.socgen.com include:spf.protection.outlook.com exists:%{i}._spf.mta.salesforce.com a:production.eu01.leaseplan.demandware.net a:staging.eu01.leaseplan.demandware.net ip4:193.67.127.2 ip4:193.67.127.69/30 ip4:3.248.9.131 ip4:52.211&quot; &quot;.210.235 ip4:99.81.156.249 -all"/>
    <s v="yes"/>
    <x v="3"/>
    <s v="v=DMARC1; p=reject"/>
    <m/>
    <m/>
    <x v="0"/>
    <x v="15"/>
    <x v="1"/>
  </r>
  <r>
    <s v="gardenliving.ie"/>
    <s v="tilde"/>
    <x v="1"/>
    <s v="v=spf1 +mx +a +ip4:5.134.14.170 ~all"/>
    <s v="yes"/>
    <x v="0"/>
    <m/>
    <m/>
    <m/>
    <x v="18"/>
    <x v="15"/>
    <x v="1"/>
  </r>
  <r>
    <s v="annesullivan.ie"/>
    <s v="minus"/>
    <x v="0"/>
    <s v="v=spf1 include:_spf.google.com include:spf.protection.outlook.com -all"/>
    <m/>
    <x v="0"/>
    <m/>
    <m/>
    <m/>
    <x v="0"/>
    <x v="15"/>
    <x v="1"/>
  </r>
  <r>
    <s v="wtlireland.com"/>
    <s v="tilde"/>
    <x v="1"/>
    <s v="v=spf1 ip4:212.17.56.66 ip4:91.142.103.103 include:spf.protection.outlook.com include:_netblocks.mimecast.com include:sendgrid.net ~all"/>
    <m/>
    <x v="0"/>
    <m/>
    <m/>
    <m/>
    <x v="1"/>
    <x v="15"/>
    <x v="1"/>
  </r>
  <r>
    <s v="trailfinders.ie"/>
    <s v="no"/>
    <x v="2"/>
    <m/>
    <m/>
    <x v="0"/>
    <m/>
    <m/>
    <m/>
    <x v="0"/>
    <x v="15"/>
    <x v="1"/>
  </r>
  <r>
    <s v="ie.rs-online.com"/>
    <s v="no"/>
    <x v="2"/>
    <m/>
    <m/>
    <x v="0"/>
    <m/>
    <m/>
    <m/>
    <x v="0"/>
    <x v="15"/>
    <x v="1"/>
  </r>
  <r>
    <s v="basf.com"/>
    <s v="minus"/>
    <x v="0"/>
    <s v="v=spf1 ip4:20.101.12.10 ip4:20.23.134.203  ip4:141.6.2.0/24 ip4:141.6.72.0/24 include:spf.protection.outlook.com include:_trusted.basf.com -all"/>
    <s v="yes"/>
    <x v="3"/>
    <s v="v=DMARC1; p=reject; rua=mailto:dmarc_agg@basf.com"/>
    <m/>
    <m/>
    <x v="1"/>
    <x v="15"/>
    <x v="1"/>
  </r>
  <r>
    <s v="gowranabbeynursinghome.com"/>
    <s v="no"/>
    <x v="2"/>
    <m/>
    <m/>
    <x v="0"/>
    <m/>
    <m/>
    <m/>
    <x v="17"/>
    <x v="15"/>
    <x v="1"/>
  </r>
  <r>
    <s v="abbeycommunitycollege.com"/>
    <s v="minus"/>
    <x v="0"/>
    <s v="v=spf1 include:spf.protection.outlook.com include:spf.dcsnet.ie include:spf.core.kcetb.ie ip4:87.38.1.130 -all"/>
    <s v="yes"/>
    <x v="1"/>
    <s v="v=DMARC1; p=quarantine; pct=100; rua=mailto:DMARCReports@kcetb.ie; ruf=mailto:DMARCReports@KCETB.ie"/>
    <m/>
    <m/>
    <x v="10"/>
    <x v="16"/>
    <x v="1"/>
  </r>
  <r>
    <s v="mercyrochfortbridge.ie"/>
    <s v="minus"/>
    <x v="0"/>
    <s v="v=spf1 include:spf.protection.outlook.com -all"/>
    <m/>
    <x v="0"/>
    <m/>
    <m/>
    <m/>
    <x v="23"/>
    <x v="16"/>
    <x v="1"/>
  </r>
  <r>
    <s v="teneoholings.com"/>
    <s v="no"/>
    <x v="2"/>
    <m/>
    <m/>
    <x v="0"/>
    <m/>
    <m/>
    <m/>
    <x v="0"/>
    <x v="16"/>
    <x v="1"/>
  </r>
  <r>
    <s v="businesspost.ie"/>
    <s v="tilde"/>
    <x v="1"/>
    <s v="v=spf1 include:spf.protection.outlook.com include:navigacloud.com include:mandrillapp.com include:mailgun.org include:amazonses.com include:mail.rhs.org.uk ~all"/>
    <s v="yes"/>
    <x v="1"/>
    <s v="v=DMARC1; p=quarantine; rua=mailto:149844757bd94e31a1f692f11fd51abd@dmarc-reports.cloudflare.net;"/>
    <m/>
    <m/>
    <x v="0"/>
    <x v="16"/>
    <x v="1"/>
  </r>
  <r>
    <s v="fairfieldnursinghome.com"/>
    <s v="no"/>
    <x v="2"/>
    <m/>
    <m/>
    <x v="0"/>
    <m/>
    <m/>
    <m/>
    <x v="1"/>
    <x v="16"/>
    <x v="1"/>
  </r>
  <r>
    <s v="carthagenursinghome.com"/>
    <s v="no"/>
    <x v="2"/>
    <m/>
    <m/>
    <x v="0"/>
    <m/>
    <m/>
    <m/>
    <x v="21"/>
    <x v="16"/>
    <x v="1"/>
  </r>
  <r>
    <s v="zipfires.ie"/>
    <s v="tilde"/>
    <x v="1"/>
    <s v="v=spf1 include:spf.reg365.net ~all"/>
    <m/>
    <x v="0"/>
    <m/>
    <m/>
    <m/>
    <x v="2"/>
    <x v="17"/>
    <x v="1"/>
  </r>
  <r>
    <s v="stbrendanscsbirr.ie"/>
    <s v="minus"/>
    <x v="0"/>
    <s v="v=spf1 include:spf.protection.outlook.com -all"/>
    <s v="yes"/>
    <x v="0"/>
    <m/>
    <m/>
    <m/>
    <x v="21"/>
    <x v="18"/>
    <x v="1"/>
  </r>
  <r>
    <s v="kenmarebayhotel.com"/>
    <s v="minus"/>
    <x v="0"/>
    <s v="v=spf1 ip4:91.210.235.23 include:spf.webhostingireland.ie include:spf.protection.outlook.com include:_spf.bookassist.com include:spf.mailjet.com -all"/>
    <s v="yes"/>
    <x v="2"/>
    <s v="v=DMARC1; p=none; fo=1; rua=mailto:rua+kenmarebayhotel.com@dmarc.barracudanetworks.com; ruf=mailto:ruf+kenmarebayhotel.com@dmarc.barracudanetworks.com"/>
    <m/>
    <m/>
    <x v="14"/>
    <x v="18"/>
    <x v="1"/>
  </r>
  <r>
    <s v="johnsonbrothers.ie"/>
    <s v="no"/>
    <x v="2"/>
    <m/>
    <m/>
    <x v="0"/>
    <m/>
    <m/>
    <m/>
    <x v="15"/>
    <x v="18"/>
    <x v="1"/>
  </r>
  <r>
    <s v="frangos.ie"/>
    <s v="no"/>
    <x v="2"/>
    <m/>
    <m/>
    <x v="0"/>
    <m/>
    <m/>
    <m/>
    <x v="0"/>
    <x v="18"/>
    <x v="1"/>
  </r>
  <r>
    <s v="limerickcivictrust.ie"/>
    <s v="minus"/>
    <x v="0"/>
    <s v="v=spf1 include:spf.protection.outlook.com -all"/>
    <m/>
    <x v="0"/>
    <m/>
    <m/>
    <m/>
    <x v="5"/>
    <x v="18"/>
    <x v="1"/>
  </r>
  <r>
    <s v="rexxam.ie"/>
    <s v="no"/>
    <x v="2"/>
    <m/>
    <m/>
    <x v="0"/>
    <m/>
    <m/>
    <m/>
    <x v="2"/>
    <x v="18"/>
    <x v="1"/>
  </r>
  <r>
    <s v="lindalgroup.com"/>
    <s v="minus"/>
    <x v="0"/>
    <s v="v=spf1 a mx a:lindalgroup.managed-otrs.com ip4:212.184.124.10 ip4:62.134.67.210 include:eskerondemand.com include:spf.mailjet.com include:spf.protection.outlook.com include:spf-00945a01.pphosted.com -all"/>
    <s v="yes"/>
    <x v="2"/>
    <s v="v=DMARC1; p=none; rua=mailto:malware@lindalgroup.com; aspf=s"/>
    <m/>
    <m/>
    <x v="8"/>
    <x v="19"/>
    <x v="1"/>
  </r>
  <r>
    <s v="mayoleisurepoint.ie"/>
    <s v="mis"/>
    <x v="3"/>
    <s v="v=spf1 mx a ptr a:mail.iemx.net"/>
    <m/>
    <x v="0"/>
    <m/>
    <m/>
    <m/>
    <x v="4"/>
    <x v="20"/>
    <x v="1"/>
  </r>
  <r>
    <s v="larkinctr.com"/>
    <s v="tilde"/>
    <x v="1"/>
    <s v="v=spf1  ip4:95.45.224.50 ip4:93.94.114.107 ip4:93.94.114.108 mx a:spamtitan.cloud21.ie include:spf.outlook.com ~all"/>
    <m/>
    <x v="0"/>
    <m/>
    <m/>
    <m/>
    <x v="0"/>
    <x v="20"/>
    <x v="1"/>
  </r>
  <r>
    <s v="munstergroup.com"/>
    <s v="tilde"/>
    <x v="1"/>
    <s v="v=spf1 include:de._netblocks.mimecast.com  include:spf.protection.outlook.com ip4:185.224.196.120 ip4:213.190.153.234 include:relay.mailchannels.net ptr:appliedexch.co.uk ~all"/>
    <m/>
    <x v="2"/>
    <s v="v=DMARC1; p=none"/>
    <m/>
    <m/>
    <x v="9"/>
    <x v="20"/>
    <x v="1"/>
  </r>
  <r>
    <s v="doccs.ie"/>
    <s v="minus"/>
    <x v="0"/>
    <s v="v=spf1 include:spf.protection.outlook.com -all"/>
    <m/>
    <x v="0"/>
    <m/>
    <m/>
    <m/>
    <x v="0"/>
    <x v="20"/>
    <x v="1"/>
  </r>
  <r>
    <s v="leinsterrugby.ie"/>
    <s v="minus"/>
    <x v="0"/>
    <s v="v=spf1 include:amazonses.com include:spf.protection.outlook.com include:spf.exclaimer.net include:spf.soticservers.net -all"/>
    <m/>
    <x v="2"/>
    <s v="v=DMARC1; p=none; rua=mailto:dmarc@lantech.uriports.com; ruf=mailto:dmarc@lantech.uriports.com; fo=1:d:s"/>
    <m/>
    <m/>
    <x v="0"/>
    <x v="20"/>
    <x v="1"/>
  </r>
  <r>
    <s v="parnellsgaa.ie"/>
    <s v="no"/>
    <x v="2"/>
    <m/>
    <m/>
    <x v="0"/>
    <m/>
    <m/>
    <m/>
    <x v="0"/>
    <x v="20"/>
    <x v="1"/>
  </r>
  <r>
    <s v="ijmtimberframe.com"/>
    <s v="no"/>
    <x v="2"/>
    <m/>
    <m/>
    <x v="0"/>
    <m/>
    <m/>
    <m/>
    <x v="12"/>
    <x v="20"/>
    <x v="1"/>
  </r>
  <r>
    <s v="omp.ie"/>
    <s v="minus"/>
    <x v="0"/>
    <s v="v=spf1 include:spf.protection.outlook.com include:spf.emailsignatures365.com -all"/>
    <m/>
    <x v="0"/>
    <m/>
    <m/>
    <m/>
    <x v="0"/>
    <x v="20"/>
    <x v="1"/>
  </r>
  <r>
    <s v="gill.ie"/>
    <s v="minus"/>
    <x v="0"/>
    <s v="v=spf1 mx a include:spf.protection.outlook.com include:sendgrid.net include:mail.zendesk.com include:amazonses.com include:spf.mandrillapp.com -all"/>
    <s v="yes"/>
    <x v="1"/>
    <s v="v=DMARC1; p=quarantine; pct=1"/>
    <m/>
    <m/>
    <x v="0"/>
    <x v="20"/>
    <x v="1"/>
  </r>
  <r>
    <s v="complianceandrisks.com"/>
    <s v="mis"/>
    <x v="3"/>
    <s v="v=spf1 mx ip4:65.98.226.0/25  ip4:52.58.140.192 ip4:149.6.177.90 ip4:154.57.85.0/24 include:_spf.google.com include:mail.zendesk.com"/>
    <s v="yes"/>
    <x v="2"/>
    <s v="v=DMARC1; p=none; pct=95; sp=none"/>
    <m/>
    <m/>
    <x v="1"/>
    <x v="20"/>
    <x v="1"/>
  </r>
  <r>
    <s v="dpsgroupglobal.com"/>
    <s v="minus"/>
    <x v="0"/>
    <s v="v=spf1 include:spf.protection.outlook.com -all"/>
    <s v="yes"/>
    <x v="3"/>
    <s v="v=DMARC1; p=reject; rua=mailto:7qwmarcg@ag.dmarcian-eu.com"/>
    <m/>
    <m/>
    <x v="0"/>
    <x v="20"/>
    <x v="1"/>
  </r>
  <r>
    <s v="intrum.ie"/>
    <s v="minus"/>
    <x v="0"/>
    <s v="v=spf1 ip4:213.138.147.128/27 ip4:213.138.142.160/27 ip4:213.138.145.0/28 ip4:213.214.158.144/28 -all"/>
    <s v="yes"/>
    <x v="2"/>
    <s v="v=DMARC1;  p=none; rua=mailto:spamreport_aggregate@intrum.com,mailto:dmarc_agg@vali.email;"/>
    <m/>
    <m/>
    <x v="0"/>
    <x v="20"/>
    <x v="1"/>
  </r>
  <r>
    <s v="dhkn.ie"/>
    <s v="minus"/>
    <x v="0"/>
    <s v="v=spf1 -all"/>
    <m/>
    <x v="3"/>
    <s v="v=DMARC1; p=reject;"/>
    <m/>
    <m/>
    <x v="7"/>
    <x v="20"/>
    <x v="1"/>
  </r>
  <r>
    <s v="cuisle.ie"/>
    <s v="tilde"/>
    <x v="1"/>
    <s v="v=spf1 include:spf.reg365.net ~all"/>
    <m/>
    <x v="0"/>
    <m/>
    <m/>
    <m/>
    <x v="22"/>
    <x v="20"/>
    <x v="1"/>
  </r>
  <r>
    <s v="enva.com"/>
    <s v="tilde"/>
    <x v="1"/>
    <s v="v=spf1 include:spf.protection.outlook.com include:emaileuc.freshservice.com include:subspf.enva.com ~all"/>
    <s v="yes"/>
    <x v="3"/>
    <s v="v=DMARC1; p=reject; rua=mailto:194f0ef7e899056@rep.dmarcanalyzer.com; ruf=mailto:194f0ef7e899056@for.dmarcanalyzer.com; fo=1;"/>
    <m/>
    <m/>
    <x v="18"/>
    <x v="20"/>
    <x v="1"/>
  </r>
  <r>
    <s v="bsigroup.com"/>
    <s v="tilde"/>
    <x v="1"/>
    <s v="v=spf1 include:%{i}._ip.%{h}._ehlo.%{d}._spf.vali.email ~all"/>
    <s v="yes"/>
    <x v="1"/>
    <s v="v=DMARC1; p=quarantine; rua=mailto:dmarc_agg@vali.email,mailto:email.abuse@bsigroup.com; ruf=mailto:email.abuse@bsigroup.com; fo=1"/>
    <m/>
    <m/>
    <x v="0"/>
    <x v="20"/>
    <x v="1"/>
  </r>
  <r>
    <s v="siac.ie"/>
    <s v="minus"/>
    <x v="0"/>
    <s v="v=spf1 ip4:217.114.166.100 ip4:217.114.166.101 ip4:217.114.166.102 ip4:217.114.166.103 include:spf.protection.outlook.com -all"/>
    <s v="yes"/>
    <x v="2"/>
    <s v="v=DMARC1; p=none"/>
    <m/>
    <m/>
    <x v="0"/>
    <x v="20"/>
    <x v="1"/>
  </r>
  <r>
    <s v="dfl.ie"/>
    <s v="minus"/>
    <x v="0"/>
    <s v="v=spf1 include:spf.protection.outlook.com -all"/>
    <s v="yes"/>
    <x v="2"/>
    <s v="v=DMARC1;p=none;sp=none;pct=100;rua=mailto:dmarcreports@dfl.ie;ruf=mailto:dmarcreports@dfl.ie;ri=86400;aspf=r;adkim=r;fo=1;"/>
    <m/>
    <m/>
    <x v="10"/>
    <x v="20"/>
    <x v="1"/>
  </r>
  <r>
    <s v="mythenconstruction.ie"/>
    <s v="minus"/>
    <x v="0"/>
    <s v="v=spf1 a mx include:spf.mailanyone.net include:adana.webhostingireland.ie include:spf.protection.outlook.com -all"/>
    <s v="yes"/>
    <x v="0"/>
    <m/>
    <m/>
    <m/>
    <x v="3"/>
    <x v="20"/>
    <x v="1"/>
  </r>
  <r>
    <s v="kiernanelectrical.ie"/>
    <s v="minus"/>
    <x v="0"/>
    <s v="v=spf1 include:spf.protection.outlook.com include:_spf.wpcloud.com -all"/>
    <s v="yes"/>
    <x v="2"/>
    <s v="v=DMARC1;p=none;"/>
    <m/>
    <m/>
    <x v="1"/>
    <x v="20"/>
    <x v="1"/>
  </r>
  <r>
    <s v="cosgroveelectrical.ie"/>
    <s v="tilde"/>
    <x v="1"/>
    <s v="v=spf1 ip4:190.180.145.25 +a +mx +include:spf.dub1.servername.online include:spf.protection.outlook.com ~all"/>
    <s v="yes"/>
    <x v="0"/>
    <m/>
    <m/>
    <m/>
    <x v="0"/>
    <x v="20"/>
    <x v="1"/>
  </r>
  <r>
    <s v="burlingtonengineering.ie"/>
    <s v="minus"/>
    <x v="0"/>
    <s v="v=spf1 ip4:89.101.0.42 ip4:144.2.241.99 include:spf.protection.outlook.com -all"/>
    <m/>
    <x v="0"/>
    <m/>
    <m/>
    <m/>
    <x v="0"/>
    <x v="20"/>
    <x v="1"/>
  </r>
  <r>
    <s v="rynneng.ie"/>
    <s v="minus"/>
    <x v="0"/>
    <s v="v=spf1 include:spf.protection.outlook.com -all"/>
    <m/>
    <x v="0"/>
    <m/>
    <m/>
    <m/>
    <x v="7"/>
    <x v="20"/>
    <x v="1"/>
  </r>
  <r>
    <s v="kph.ie"/>
    <s v="minus"/>
    <x v="0"/>
    <s v="v=spf1 a include:spf.protection.outlook.com -all"/>
    <m/>
    <x v="0"/>
    <m/>
    <m/>
    <m/>
    <x v="14"/>
    <x v="20"/>
    <x v="1"/>
  </r>
  <r>
    <s v="prostainlessdesigns.com"/>
    <s v="tilde"/>
    <x v="1"/>
    <s v="v=spf1 a include:spf.blacknight.ie ~all"/>
    <m/>
    <x v="0"/>
    <m/>
    <m/>
    <m/>
    <x v="2"/>
    <x v="20"/>
    <x v="1"/>
  </r>
  <r>
    <s v="abec.com"/>
    <s v="minus"/>
    <x v="0"/>
    <s v="v=spf1 include:spf.protection.outlook.com include:_spf.psm.knowbe4.com ip4:4.152.130.49 ip4:23.21.109.197 ip4:23.21.109.212 ip4:20.1.146.51 ip4:20.161.169.216 ip4:20.57.123.62 ip4:147.160.167.0/26 ip4:207.172.197.50 ip4:75.98.96.114 ip4:204.186.231.154 ip&quot; &quot;4:176.52.221.167 ip4:83.147.153.22 ip4:176.52.221.168 ip4:78.137.132.122 ip4:12.14.247.195 include:sendgrid.net include:autotask.net MX -all"/>
    <s v="yes"/>
    <x v="1"/>
    <s v="v=DMARC1; p=quarantine;"/>
    <m/>
    <m/>
    <x v="15"/>
    <x v="20"/>
    <x v="1"/>
  </r>
  <r>
    <s v="baysports.ie"/>
    <s v="tilde"/>
    <x v="1"/>
    <s v="v=spf1 a mx include:_spf.google.com ip4:195.245.113.145 ~all"/>
    <m/>
    <x v="2"/>
    <s v="v=DMARC1; p=none"/>
    <m/>
    <m/>
    <x v="22"/>
    <x v="20"/>
    <x v="1"/>
  </r>
  <r>
    <s v="tarrantinternational.com"/>
    <s v="minus"/>
    <x v="0"/>
    <s v="v=spf1 include:_spf.google.com -all"/>
    <m/>
    <x v="0"/>
    <m/>
    <m/>
    <m/>
    <x v="1"/>
    <x v="20"/>
    <x v="1"/>
  </r>
  <r>
    <s v="jmc.ie"/>
    <s v="minus"/>
    <x v="0"/>
    <s v="v=spf1 ip4:81.17.251.219 include:spf.protection.outlook.com include:spf.topsec.com include:_spf.caspiomail.com -all"/>
    <m/>
    <x v="0"/>
    <m/>
    <m/>
    <m/>
    <x v="0"/>
    <x v="20"/>
    <x v="1"/>
  </r>
  <r>
    <s v="servicematters.ie"/>
    <s v="tilde"/>
    <x v="1"/>
    <s v="v=spf1 include:spf.protection.outlook.com  include:eu.mailgun.org include:spf.sendinblue.com mx ip4:213.191.226.38 ip4:83.147.149.253 ~all"/>
    <s v="yes"/>
    <x v="1"/>
    <s v="v=DMARC1; p=quarantine; adkim=s; aspf=s;"/>
    <m/>
    <m/>
    <x v="22"/>
    <x v="20"/>
    <x v="1"/>
  </r>
  <r>
    <s v="proxybiomedical.com"/>
    <s v="minus"/>
    <x v="0"/>
    <s v="v=spf1 include:spf.protection.outlook.com include:spf.messagelabs.com -all"/>
    <m/>
    <x v="0"/>
    <m/>
    <m/>
    <m/>
    <x v="7"/>
    <x v="20"/>
    <x v="1"/>
  </r>
  <r>
    <s v="ccpc.ie"/>
    <s v="minus"/>
    <x v="0"/>
    <s v="v=spf1 mx include:spf.topsec.com include:_spf.createsend.com include:mailgun.org include:spf.protection.outlook.com ip4:79.140.128.42 ip4:137.191.224.104 a:ext2.dfa.ie -all"/>
    <s v="yes"/>
    <x v="3"/>
    <s v="v=DMARC1;p=reject;sp=reject;rua=mailto:211a5a2e44@rua.easydmarc.eu;ruf=mailto:211a5a2e44@ruf.easydmarc.eu;fo=1"/>
    <m/>
    <m/>
    <x v="0"/>
    <x v="20"/>
    <x v="1"/>
  </r>
  <r>
    <s v="lgma.ie"/>
    <s v="minus"/>
    <x v="0"/>
    <s v="v=spf1 include:spf.protection.outlook.com ip4:193.178.1.218 ip4:193.178.30.231 ip4:193.178.1.1 ip4:193.178.7.67 ip4:193.178.7.126 ip4:193.178.30.150 -all"/>
    <m/>
    <x v="0"/>
    <m/>
    <m/>
    <m/>
    <x v="0"/>
    <x v="20"/>
    <x v="1"/>
  </r>
  <r>
    <s v="colaistemuire.ie"/>
    <s v="minus"/>
    <x v="0"/>
    <s v="v=spf1 include:spf.protection.outlook.com -all"/>
    <m/>
    <x v="0"/>
    <m/>
    <m/>
    <m/>
    <x v="9"/>
    <x v="20"/>
    <x v="1"/>
  </r>
  <r>
    <s v="bandongrammar.ie"/>
    <s v="no"/>
    <x v="2"/>
    <m/>
    <m/>
    <x v="0"/>
    <m/>
    <m/>
    <m/>
    <x v="1"/>
    <x v="20"/>
    <x v="1"/>
  </r>
  <r>
    <s v="cbccork.ie"/>
    <s v="no"/>
    <x v="2"/>
    <m/>
    <m/>
    <x v="0"/>
    <m/>
    <m/>
    <m/>
    <x v="1"/>
    <x v="20"/>
    <x v="1"/>
  </r>
  <r>
    <s v="colaisteanchraoibhin.com"/>
    <s v="no"/>
    <x v="2"/>
    <m/>
    <m/>
    <x v="0"/>
    <m/>
    <m/>
    <m/>
    <x v="1"/>
    <x v="20"/>
    <x v="1"/>
  </r>
  <r>
    <s v="kinsalecommunityschool.ie"/>
    <s v="minus"/>
    <x v="0"/>
    <s v="v=spf1 include:spf.protection.outlook.com -all"/>
    <m/>
    <x v="0"/>
    <m/>
    <m/>
    <m/>
    <x v="1"/>
    <x v="20"/>
    <x v="1"/>
  </r>
  <r>
    <s v="saintals.ie"/>
    <s v="no"/>
    <x v="2"/>
    <m/>
    <s v="yes"/>
    <x v="0"/>
    <m/>
    <m/>
    <m/>
    <x v="1"/>
    <x v="20"/>
    <x v="1"/>
  </r>
  <r>
    <s v="colmans.ie"/>
    <s v="tilde"/>
    <x v="1"/>
    <s v="v=spf1 mx a:spf.dcsnet.ie include:_spf.google.com ~all"/>
    <m/>
    <x v="0"/>
    <m/>
    <m/>
    <m/>
    <x v="1"/>
    <x v="20"/>
    <x v="1"/>
  </r>
  <r>
    <s v="avsdonegal.com"/>
    <s v="minus"/>
    <x v="0"/>
    <s v="v=spf1 +a +mx -all +a:control.dmacmedia.ie"/>
    <m/>
    <x v="0"/>
    <m/>
    <m/>
    <m/>
    <x v="6"/>
    <x v="20"/>
    <x v="1"/>
  </r>
  <r>
    <s v="loretoletterkenny.ie"/>
    <s v="tilde"/>
    <x v="1"/>
    <s v="v=spf1 a include:spf.blacknight.ie ~all"/>
    <m/>
    <x v="0"/>
    <m/>
    <m/>
    <m/>
    <x v="6"/>
    <x v="20"/>
    <x v="1"/>
  </r>
  <r>
    <s v="scoilmhuirebuncrana.ie"/>
    <s v="no"/>
    <x v="2"/>
    <m/>
    <m/>
    <x v="0"/>
    <m/>
    <m/>
    <m/>
    <x v="6"/>
    <x v="20"/>
    <x v="1"/>
  </r>
  <r>
    <s v="fingalcc.ie"/>
    <s v="minus"/>
    <x v="0"/>
    <s v="v=spf1 include:spf.protection.outlook.com ip4:77.107.211.222 ip4:77.107.210.71 -all"/>
    <s v="yes"/>
    <x v="0"/>
    <m/>
    <m/>
    <m/>
    <x v="0"/>
    <x v="20"/>
    <x v="1"/>
  </r>
  <r>
    <s v="firhousecommunitycollege.ie"/>
    <s v="no"/>
    <x v="2"/>
    <m/>
    <m/>
    <x v="0"/>
    <m/>
    <m/>
    <m/>
    <x v="0"/>
    <x v="20"/>
    <x v="1"/>
  </r>
  <r>
    <s v="loretoabbeydalkey.com"/>
    <s v="tilde"/>
    <x v="1"/>
    <s v="v=spf1 include:_spf.google.com ~all"/>
    <s v="yes"/>
    <x v="0"/>
    <m/>
    <m/>
    <m/>
    <x v="0"/>
    <x v="20"/>
    <x v="1"/>
  </r>
  <r>
    <s v="marinocollege.ie"/>
    <s v="minus"/>
    <x v="0"/>
    <s v="v=spf1 include:spf.protection.outlook.com -all"/>
    <m/>
    <x v="0"/>
    <m/>
    <m/>
    <m/>
    <x v="0"/>
    <x v="20"/>
    <x v="1"/>
  </r>
  <r>
    <s v="palmerstowncs.ie"/>
    <s v="tilde"/>
    <x v="1"/>
    <s v="v=spf1 include:spf.reg365.net ~all"/>
    <m/>
    <x v="0"/>
    <m/>
    <m/>
    <m/>
    <x v="0"/>
    <x v="20"/>
    <x v="1"/>
  </r>
  <r>
    <s v="stcolmcilles.ie"/>
    <s v="tilde"/>
    <x v="1"/>
    <s v="v=spf1 include:_spf.google.com ~all"/>
    <s v="yes"/>
    <x v="0"/>
    <m/>
    <m/>
    <m/>
    <x v="0"/>
    <x v="20"/>
    <x v="1"/>
  </r>
  <r>
    <s v="suttonparkschool.com"/>
    <s v="minus"/>
    <x v="0"/>
    <s v="v=spf1 include:spf.protection.outlook.com -all"/>
    <m/>
    <x v="0"/>
    <m/>
    <m/>
    <m/>
    <x v="0"/>
    <x v="20"/>
    <x v="1"/>
  </r>
  <r>
    <s v="tallaghtcs.com"/>
    <s v="no"/>
    <x v="2"/>
    <m/>
    <m/>
    <x v="0"/>
    <m/>
    <m/>
    <m/>
    <x v="0"/>
    <x v="20"/>
    <x v="1"/>
  </r>
  <r>
    <s v="presathenry.ie"/>
    <s v="no"/>
    <x v="2"/>
    <m/>
    <m/>
    <x v="0"/>
    <m/>
    <m/>
    <m/>
    <x v="7"/>
    <x v="20"/>
    <x v="1"/>
  </r>
  <r>
    <s v="colaistechiarain.com"/>
    <s v="no"/>
    <x v="2"/>
    <m/>
    <m/>
    <x v="0"/>
    <m/>
    <m/>
    <m/>
    <x v="16"/>
    <x v="20"/>
    <x v="1"/>
  </r>
  <r>
    <s v="ardscoil.com"/>
    <s v="minus"/>
    <x v="0"/>
    <s v="v=spf1 include:spf.protection.outlook.com -all"/>
    <m/>
    <x v="0"/>
    <m/>
    <m/>
    <m/>
    <x v="5"/>
    <x v="20"/>
    <x v="1"/>
  </r>
  <r>
    <s v="stv.ie"/>
    <s v="minus"/>
    <x v="0"/>
    <s v="v=spf1 include:spf.protection.outlook.com -all"/>
    <m/>
    <x v="2"/>
    <s v="v=DMARC1; p=none; rua=mailto:shane@stv.ie"/>
    <m/>
    <m/>
    <x v="2"/>
    <x v="20"/>
    <x v="1"/>
  </r>
  <r>
    <s v="stlouiscs.com"/>
    <s v="minus"/>
    <x v="0"/>
    <s v="v=spf1 include:spf.protection.outlook.com -all"/>
    <m/>
    <x v="2"/>
    <s v="v=DMARC1; p=none;"/>
    <m/>
    <m/>
    <x v="4"/>
    <x v="20"/>
    <x v="1"/>
  </r>
  <r>
    <s v="colaisteduniascaigh.ie"/>
    <s v="minus"/>
    <x v="0"/>
    <s v="v=spf1 mx a include:spf.protection.outlook.com -all"/>
    <s v="yes"/>
    <x v="2"/>
    <s v="v=DMARC1; p=none; ruf=mailto:info@colaisteduniascaigh.ie; rua=mailto:info@colaisteduniascaigh.ie"/>
    <m/>
    <m/>
    <x v="13"/>
    <x v="20"/>
    <x v="1"/>
  </r>
  <r>
    <s v="presthurles.ie"/>
    <s v="no"/>
    <x v="2"/>
    <m/>
    <m/>
    <x v="0"/>
    <m/>
    <m/>
    <m/>
    <x v="13"/>
    <x v="20"/>
    <x v="1"/>
  </r>
  <r>
    <s v="blackwatercs.com"/>
    <s v="minus"/>
    <x v="0"/>
    <s v="v=spf1 include:spf.protection.outlook.com -all"/>
    <s v="yes"/>
    <x v="2"/>
    <s v="v=DMARC1; p=none; rua=mailto:noel@solveit.ie; ruf=mailto:noel@solveit.ie; fo=1"/>
    <m/>
    <m/>
    <x v="10"/>
    <x v="20"/>
    <x v="1"/>
  </r>
  <r>
    <s v="ursw.ie"/>
    <s v="minus"/>
    <x v="0"/>
    <s v="v=spf1 include:spf.protection.outlook.com -all"/>
    <s v="yes"/>
    <x v="2"/>
    <s v="v=DMARC1; p=none; rua=mailto:austin@solveit.ie; ruf=mailto:austin@solveit.ie; fo=1"/>
    <m/>
    <m/>
    <x v="10"/>
    <x v="20"/>
    <x v="1"/>
  </r>
  <r>
    <s v="evc.ie"/>
    <s v="minus"/>
    <x v="0"/>
    <s v="v=spf1 ip6:fd1b:212c:a5f9::/48 -all"/>
    <m/>
    <x v="0"/>
    <m/>
    <m/>
    <m/>
    <x v="3"/>
    <x v="20"/>
    <x v="1"/>
  </r>
  <r>
    <s v="fcjbunclody.ie"/>
    <s v="minus"/>
    <x v="0"/>
    <s v="v=spf1 a mx a:mail-lf0-f53.google.com -all"/>
    <m/>
    <x v="0"/>
    <m/>
    <m/>
    <m/>
    <x v="3"/>
    <x v="20"/>
    <x v="1"/>
  </r>
  <r>
    <s v="loretobray.com"/>
    <s v="tilde"/>
    <x v="1"/>
    <s v="v=spf1 include:_spf.google.com ~all"/>
    <s v="yes"/>
    <x v="2"/>
    <s v="v=DMARC1; p=none; rua=mailto:dmarc-reports@"/>
    <m/>
    <m/>
    <x v="24"/>
    <x v="20"/>
    <x v="1"/>
  </r>
  <r>
    <s v="stkilianscs.com"/>
    <s v="minus"/>
    <x v="0"/>
    <s v="v=spf1 +a +mx +ip4:217.115.115.75 include:relay.mailchannels.net +ip4:217.115.112.200 +include:spf.protection.outlook.com -all"/>
    <s v="yes"/>
    <x v="0"/>
    <m/>
    <m/>
    <m/>
    <x v="24"/>
    <x v="20"/>
    <x v="1"/>
  </r>
  <r>
    <s v="treacyswestcounty.com"/>
    <s v="minus"/>
    <x v="0"/>
    <s v="v=spf1 include:spf.protection.outlook.com -all"/>
    <s v="yes"/>
    <x v="0"/>
    <m/>
    <m/>
    <m/>
    <x v="9"/>
    <x v="20"/>
    <x v="1"/>
  </r>
  <r>
    <s v="qualityclonakiltyhotel.com"/>
    <s v="minus"/>
    <x v="0"/>
    <s v="v=spf1 include:spf.protection.outlook.com -all"/>
    <m/>
    <x v="0"/>
    <m/>
    <m/>
    <m/>
    <x v="1"/>
    <x v="20"/>
    <x v="1"/>
  </r>
  <r>
    <s v="cpireland.com"/>
    <s v="minus"/>
    <x v="0"/>
    <s v="v=spf1 include:spf.protection.outlook.com -all"/>
    <m/>
    <x v="0"/>
    <m/>
    <m/>
    <m/>
    <x v="0"/>
    <x v="20"/>
    <x v="1"/>
  </r>
  <r>
    <s v="haddingtonhouse.ie"/>
    <s v="tilde"/>
    <x v="1"/>
    <s v="v=spf1 ip4:93.107.249.78 ip4:23.83.209.71 ip4:79.170.246.48 include:spf.protection.outlook.com include:servers.mcsv.net include:netaffinity.net ~all"/>
    <m/>
    <x v="0"/>
    <m/>
    <m/>
    <m/>
    <x v="0"/>
    <x v="20"/>
    <x v="1"/>
  </r>
  <r>
    <s v="gullaneshotel.com"/>
    <s v="mis"/>
    <x v="3"/>
    <s v="v=spf1 include:spf.protection.outlook.com  include:netaffinity.net"/>
    <m/>
    <x v="0"/>
    <m/>
    <m/>
    <m/>
    <x v="7"/>
    <x v="20"/>
    <x v="1"/>
  </r>
  <r>
    <s v="loughreahotelandspa.com"/>
    <s v="minus"/>
    <x v="0"/>
    <s v="v=spf1 include:spf.protection.outlook.com include:mailgun.org -all"/>
    <s v="yes"/>
    <x v="1"/>
    <s v="v=DMARC1; p=quarantine; rua=mailto:8b3700aba2aa640@rep.dmarcanalyzer.com; ruf=mailto:8b3700aba2aa640@for.dmarcanalyzer.com; sp=none; fo=1;"/>
    <m/>
    <m/>
    <x v="7"/>
    <x v="20"/>
    <x v="1"/>
  </r>
  <r>
    <s v="maldronhotelgalway.com"/>
    <s v="no"/>
    <x v="2"/>
    <m/>
    <m/>
    <x v="0"/>
    <m/>
    <m/>
    <m/>
    <x v="7"/>
    <x v="20"/>
    <x v="1"/>
  </r>
  <r>
    <s v="thetwelvehotel.ie"/>
    <s v="minus"/>
    <x v="0"/>
    <s v="v=spf1 include:spf.protection.outlook.com -all"/>
    <m/>
    <x v="0"/>
    <m/>
    <m/>
    <m/>
    <x v="7"/>
    <x v="20"/>
    <x v="1"/>
  </r>
  <r>
    <s v="aghadoeheights.com"/>
    <s v="minus"/>
    <x v="0"/>
    <s v="v=spf1 mx a a:mail.mindaclient.com include:spf.protection.outlook.com -all"/>
    <m/>
    <x v="0"/>
    <m/>
    <m/>
    <m/>
    <x v="14"/>
    <x v="20"/>
    <x v="1"/>
  </r>
  <r>
    <s v="crowneplazadundalk.ie"/>
    <s v="no"/>
    <x v="2"/>
    <m/>
    <m/>
    <x v="0"/>
    <m/>
    <m/>
    <m/>
    <x v="2"/>
    <x v="20"/>
    <x v="1"/>
  </r>
  <r>
    <s v="knockrannyhousehotel.ie"/>
    <s v="no"/>
    <x v="2"/>
    <m/>
    <m/>
    <x v="0"/>
    <m/>
    <m/>
    <m/>
    <x v="4"/>
    <x v="20"/>
    <x v="1"/>
  </r>
  <r>
    <s v="mcwilliamparkhotel.ie"/>
    <s v="minus"/>
    <x v="0"/>
    <s v="v=spf1 include:spf.protection.outlook.com -all"/>
    <s v="yes"/>
    <x v="2"/>
    <s v="v=DMARC1; p=none; rua=mailto:admin@mcwilliamparkhotel.onmicrosoft.com"/>
    <m/>
    <m/>
    <x v="4"/>
    <x v="20"/>
    <x v="1"/>
  </r>
  <r>
    <s v="hotelminella.com"/>
    <s v="minus"/>
    <x v="0"/>
    <s v="v=spf1 include:spf.protection.outlook.com -all"/>
    <m/>
    <x v="2"/>
    <s v="v=DMARC1; p=none;"/>
    <m/>
    <m/>
    <x v="13"/>
    <x v="20"/>
    <x v="1"/>
  </r>
  <r>
    <s v="marlfieldhouse.ie"/>
    <s v="minus"/>
    <x v="0"/>
    <s v="v=spf1 include:spf.protection.outlook.com include:netaffinity.net include:guestline.net include:roomlynx.net -all"/>
    <m/>
    <x v="2"/>
    <s v="v=DMARC1; p=none;"/>
    <m/>
    <m/>
    <x v="3"/>
    <x v="20"/>
    <x v="1"/>
  </r>
  <r>
    <s v="riversideparkhotel.com"/>
    <s v="tilde"/>
    <x v="1"/>
    <s v="v=spf1 ip4:83.70.152.173 include:spf.protection.outlook.com include:mailanyone.net include:sendgrid.net include:spf.dotmailer.com include:spfa.cpmails.com include:authsmtp.com ~all"/>
    <s v="yes"/>
    <x v="0"/>
    <m/>
    <m/>
    <m/>
    <x v="3"/>
    <x v="20"/>
    <x v="1"/>
  </r>
  <r>
    <s v="treacyshotel.com"/>
    <s v="no"/>
    <x v="2"/>
    <m/>
    <s v="yes"/>
    <x v="0"/>
    <m/>
    <m/>
    <m/>
    <x v="3"/>
    <x v="20"/>
    <x v="1"/>
  </r>
  <r>
    <s v="frkelly.com"/>
    <s v="minus"/>
    <x v="0"/>
    <s v="v=spf1 a ip4:62.77.176.35/32 a:mail.frkelly.ie include:spf.topsec.com include:spf.protection.outlook.com include:mailgun.org include:autotask.net  -all"/>
    <s v="yes"/>
    <x v="3"/>
    <s v="v=DMARC1;p=reject;sp=reject;rua=mailto:211a5a2e44@rua.easydmarc.eu;ruf=mailto:211a5a2e44@ruf.easydmarc.eu;fo=1;"/>
    <m/>
    <m/>
    <x v="0"/>
    <x v="20"/>
    <x v="1"/>
  </r>
  <r>
    <s v="tpro.ie"/>
    <s v="tilde"/>
    <x v="1"/>
    <s v="v=spf1 include:_spf.google.com ~all"/>
    <m/>
    <x v="0"/>
    <m/>
    <m/>
    <m/>
    <x v="0"/>
    <x v="20"/>
    <x v="1"/>
  </r>
  <r>
    <s v="kellyprecision.ie"/>
    <s v="minus"/>
    <x v="0"/>
    <s v="v=spf1 ip4:93.107.251.214 include:spf.protection.outlook.com include:spf1.emailsecurity.app -all"/>
    <m/>
    <x v="0"/>
    <m/>
    <m/>
    <m/>
    <x v="25"/>
    <x v="20"/>
    <x v="1"/>
  </r>
  <r>
    <s v="hilti.ie"/>
    <s v="minus"/>
    <x v="0"/>
    <s v="v=spf1 include:spf.protection.outlook.com -all"/>
    <m/>
    <x v="2"/>
    <s v="v=DMARC1; p=none; rua=mailto:dmarc_agg@vali.email"/>
    <m/>
    <m/>
    <x v="0"/>
    <x v="20"/>
    <x v="1"/>
  </r>
  <r>
    <s v="duolog.com"/>
    <s v="no"/>
    <x v="2"/>
    <m/>
    <m/>
    <x v="0"/>
    <m/>
    <m/>
    <m/>
    <x v="0"/>
    <x v="20"/>
    <x v="1"/>
  </r>
  <r>
    <s v="electroautomation.com"/>
    <s v="minus"/>
    <x v="0"/>
    <s v="v=spf1 ip4:79.143.177.30 ip4:5.149.172.10 ip4:5.149.172.11 ip4:78.137.164.238 include:_spf.smtp.com include:psi-fusion.com include:spf.protection.outlook.com include:spf-eu.emailsignatures365.com ip4:199.187.172.0/22 ip4:199.244.72.0/22 ip4:185.228.3&quot; &quot;6.0/22 -all"/>
    <s v="yes"/>
    <x v="1"/>
    <s v="v=DMARC1; p=quarantine"/>
    <m/>
    <m/>
    <x v="0"/>
    <x v="20"/>
    <x v="1"/>
  </r>
  <r>
    <s v="amt-sybex.com"/>
    <s v="minus"/>
    <x v="0"/>
    <s v="v=spf1 ip4:217.68.33.162 \010include:_spf.easit.net include:spf.protection.outlook.com include:mail.zohoanalytics.eu -all"/>
    <s v="yes"/>
    <x v="3"/>
    <s v="v=DMARC1; p=reject; rua=mailto:smb-dmarc-notifications@amt-sybex.com; aspf=r; adkim=r"/>
    <m/>
    <m/>
    <x v="0"/>
    <x v="20"/>
    <x v="1"/>
  </r>
  <r>
    <s v="grassland.ie"/>
    <s v="minus"/>
    <x v="0"/>
    <s v="v=spf1 mx a a:mx1.roullier.net include:spf.protection.outlook.com include:spf.fusemail.net include:_spf.salesforce.com -all"/>
    <s v="yes"/>
    <x v="1"/>
    <s v="v=DMARC1; p=quarantine; sp=none; rua=mailto:roullier.rua@emailsecurity.merox.io; adkim=r; aspf=r;"/>
    <m/>
    <m/>
    <x v="0"/>
    <x v="20"/>
    <x v="1"/>
  </r>
  <r>
    <s v="shoerack.ie"/>
    <s v="minus"/>
    <x v="0"/>
    <s v="v=spf1 +a include:spf.protection.outlook.com -all"/>
    <s v="yes"/>
    <x v="0"/>
    <m/>
    <m/>
    <m/>
    <x v="0"/>
    <x v="20"/>
    <x v="1"/>
  </r>
  <r>
    <s v="myson.ie"/>
    <s v="minus"/>
    <x v="0"/>
    <s v="v=spf1 mx include:spf.protection.outlook.com include:eds-fortinet-01.org.rettigicc.net include:eds-fortinet-o365.org.rettigicc.net -all"/>
    <m/>
    <x v="0"/>
    <m/>
    <m/>
    <m/>
    <x v="5"/>
    <x v="20"/>
    <x v="1"/>
  </r>
  <r>
    <s v="abb.com"/>
    <s v="tilde"/>
    <x v="1"/>
    <s v="v=spf1 include:spf.abb.com ip4:212.108.233.70 ip4:203.19.232.232 ip4:92.52.113.146 ip4:92.52.113.148 include:aspmx.pardot.com include:_spf.anpdm.com ip4:80.80.228.50 include:spf.mandrillapp.com ip4:168.138.226.49 ~all"/>
    <s v="yes"/>
    <x v="3"/>
    <s v="v=DMARC1; p=reject; sp=reject; rua=mailto:dmarc_agg@vali.email,mailto:abbcomdmarcrua@abb.com"/>
    <m/>
    <m/>
    <x v="2"/>
    <x v="20"/>
    <x v="1"/>
  </r>
  <r>
    <s v="midcorkpallets.com"/>
    <s v="minus"/>
    <x v="0"/>
    <s v="v=spf1 a include:spf.protection.outlook.com -all"/>
    <s v="yes"/>
    <x v="2"/>
    <s v="v=DMARC1; p=none; rua=mailto:steve@dcecomputers.ie;"/>
    <m/>
    <m/>
    <x v="1"/>
    <x v="20"/>
    <x v="1"/>
  </r>
  <r>
    <s v="tekno-surgical.com"/>
    <s v="minus"/>
    <x v="0"/>
    <s v="v=spf1 ip4:93.94.119.196 ip4:82.198.141.134 ip4:40.113.11.237 include:spf.protection.outlook.com -all"/>
    <s v="yes"/>
    <x v="2"/>
    <s v="v=DMARC1; p=none; rua=mailto:DMARCreports@unipharmedtech.com; pct=20;"/>
    <m/>
    <m/>
    <x v="0"/>
    <x v="20"/>
    <x v="1"/>
  </r>
  <r>
    <s v="bmr.ie"/>
    <s v="minus"/>
    <x v="0"/>
    <s v="v=spf1 include:spf.protection.outlook.com -all"/>
    <s v="yes"/>
    <x v="3"/>
    <s v="v=DMARC1; p=reject; aspf=s; adkim=s; fo=1"/>
    <m/>
    <m/>
    <x v="7"/>
    <x v="20"/>
    <x v="1"/>
  </r>
  <r>
    <s v="welchallyn.com"/>
    <s v="minus"/>
    <x v="0"/>
    <s v="v=spf1 exists:%{i}._i.%{d}._d.espf.agari-dns.net include:%{d}.c4.spf-protect.agari-dns.net -all"/>
    <s v="yes"/>
    <x v="3"/>
    <s v="v=DMARC1; p=reject; fo=1; pct=100; ri=3600; rua=mailto:baxter-international@rua.agari.com; ruf=mailto:baxter-international@ruf.agari.com"/>
    <m/>
    <m/>
    <x v="15"/>
    <x v="20"/>
    <x v="1"/>
  </r>
  <r>
    <s v="alucraft.ie"/>
    <s v="tilde"/>
    <x v="1"/>
    <s v="v=spf1 include:eu._netblocks.mimecast.com include:spf.protection.outlook.com include:_spf.elasticemail.com ~all"/>
    <s v="yes"/>
    <x v="2"/>
    <s v="v=DMARC1; p=none; rua=mailto:44255f35b13c926@rep.dmarcanalyzer.com; ruf=mailto:44255f35b13c926@for.dmarcanalyzer.com; fo=1;"/>
    <m/>
    <m/>
    <x v="0"/>
    <x v="20"/>
    <x v="1"/>
  </r>
  <r>
    <s v="galco.ie"/>
    <s v="minus"/>
    <x v="0"/>
    <s v="v=spf1 mx a ip4:89.101.77.100/29 ip4:173.243.133.118/29 include:spf.cloud.vadesecure.com include:spf.protection.outlook.com include:spf.brevo.com -all"/>
    <s v="yes"/>
    <x v="2"/>
    <s v="v=DMARC1; p=none; rua=mailto:dmarc-reports@galco.ie,mailto:rua@dmarc.brevo.com; ruf=mailto:dmarc-reports@galco.ie; fo=1"/>
    <m/>
    <m/>
    <x v="0"/>
    <x v="20"/>
    <x v="1"/>
  </r>
  <r>
    <s v="pressco.ie"/>
    <s v="tilde"/>
    <x v="1"/>
    <s v="v=spf1 ip4:81.173.14.227 ip4:31.216.233.150  ip4:93.107.146.47 include:_spf.google.com ~all"/>
    <s v="yes"/>
    <x v="1"/>
    <s v="v=DMARC1; p=quarantine; pct=100; rua=mailto:admin@pressco.ie"/>
    <m/>
    <m/>
    <x v="0"/>
    <x v="20"/>
    <x v="1"/>
  </r>
  <r>
    <s v="techrefrigeration.com"/>
    <s v="minus"/>
    <x v="0"/>
    <s v="v=spf1 include:spf.protection.outlook.com include:spf.mailanyone.net  -all"/>
    <m/>
    <x v="0"/>
    <m/>
    <m/>
    <m/>
    <x v="0"/>
    <x v="20"/>
    <x v="1"/>
  </r>
  <r>
    <s v="glennwood.ie"/>
    <s v="tilde"/>
    <x v="1"/>
    <s v="v=spf1 ip4:91.216.241.2 include:relay.mailchannels.net ip4:213.191.225.125 include:spf.seg.trustwave.com include:spf.ess.de.barracudanetworks.com ~all"/>
    <s v="yes"/>
    <x v="0"/>
    <m/>
    <m/>
    <m/>
    <x v="21"/>
    <x v="20"/>
    <x v="1"/>
  </r>
  <r>
    <s v="tippo.ie"/>
    <s v="tilde"/>
    <x v="1"/>
    <s v="v=spf1 include:spf.protection.outlook.com +ip4:83.138.8.118 ~all"/>
    <m/>
    <x v="0"/>
    <m/>
    <m/>
    <m/>
    <x v="13"/>
    <x v="20"/>
    <x v="1"/>
  </r>
  <r>
    <s v="weatherglaze.ie"/>
    <s v="question"/>
    <x v="4"/>
    <s v="v=spf1 ip4:91.210.235.40 include:spf.protection.outlook.com include:spf.webhostingireland.ie include:spf1.emailsecurity.app a mx ip4:193.36.43.30 a:mail.esat.net ?all"/>
    <m/>
    <x v="1"/>
    <s v="v=DMARC1; p=quarantine; rua=mailto:6d7837d6@mxtoolbox.dmarc-report.com,mailto:114a4427@mxtoolbox.dmarc-report.com; ruf=mailto:6d7837d6@forensics.dmarc-report.com,mailto:114a4427@forensics.dmarc-report.com; fo=1; pct=5"/>
    <m/>
    <m/>
    <x v="3"/>
    <x v="20"/>
    <x v="1"/>
  </r>
  <r>
    <s v="barclay.ie"/>
    <s v="minus"/>
    <x v="0"/>
    <s v="v=spf1 ip4:54.93.38.48 ip4:54.93.37.50 ip4:66.206.3.250 include:spf.messagelabs.com include:spf.protection.outlook.com -all"/>
    <s v="yes"/>
    <x v="2"/>
    <s v="v=DMARC1; p=none; rua=mailto:dmarc_agg@vali.email;"/>
    <m/>
    <m/>
    <x v="0"/>
    <x v="20"/>
    <x v="1"/>
  </r>
  <r>
    <s v="masontechnology.ie"/>
    <s v="tilde"/>
    <x v="1"/>
    <s v="v=spf1 ip4:190.180.145.25 +a +mx +include:spf.dub1.servername.online +include:mandrillapp.com ~all"/>
    <s v="yes"/>
    <x v="0"/>
    <m/>
    <m/>
    <m/>
    <x v="0"/>
    <x v="20"/>
    <x v="1"/>
  </r>
  <r>
    <s v="standex.com"/>
    <s v="minus"/>
    <x v="0"/>
    <s v="v=spf1 ip4:20.98.2.159 ip4:64.199.197.242 ip4:40.140.222.138 ip4:40.129.96.18 ip4:69.20.38.254 ip4:146.20.166.115 ip4:40.135.100.51 include:spf-008ff001.pphosted.com include:spf.protection.outlook.com -all"/>
    <m/>
    <x v="3"/>
    <s v="v=DMARC1; p=reject; rua=mailto:dmarc_rua@emaildefense.proofpoint.com; ruf=mailto:dmarc_ruf@emaildefense.proofpoint.com; fo=1;"/>
    <m/>
    <m/>
    <x v="18"/>
    <x v="20"/>
    <x v="1"/>
  </r>
  <r>
    <s v="ugpg2.eu"/>
    <s v="no"/>
    <x v="2"/>
    <m/>
    <m/>
    <x v="0"/>
    <m/>
    <m/>
    <m/>
    <x v="1"/>
    <x v="20"/>
    <x v="1"/>
  </r>
  <r>
    <s v="arranchemical.ie"/>
    <s v="tilde"/>
    <x v="1"/>
    <s v="v=spf1 mx include:aspmx.pardot.com include:spf.dynect.net include:_spf.salesforce.com include:smtp1.newtonsoftware.com include:spf.protection.outlook.com ~all"/>
    <s v="yes"/>
    <x v="2"/>
    <s v="v=DMARC1; p=none; rua=mailto:dmarcreports@almacgroup.com"/>
    <m/>
    <m/>
    <x v="22"/>
    <x v="20"/>
    <x v="1"/>
  </r>
  <r>
    <s v="nomadic-dairy.com"/>
    <s v="minus"/>
    <x v="0"/>
    <s v="v=spf1 include:spf.protection.outlook.com -all"/>
    <m/>
    <x v="0"/>
    <m/>
    <m/>
    <m/>
    <x v="6"/>
    <x v="20"/>
    <x v="1"/>
  </r>
  <r>
    <s v="blenders.ie"/>
    <s v="minus"/>
    <x v="0"/>
    <s v="v=spf1 include:spf.protection.outlook.com ip4:89.185.148.18 -all"/>
    <s v="yes"/>
    <x v="3"/>
    <s v="v=DMARC1;p=reject;rua=mailto:dmarc@paradyn.ie;ruf=mailto:dmarc@paradyn.ie;fo=1;"/>
    <m/>
    <m/>
    <x v="0"/>
    <x v="20"/>
    <x v="1"/>
  </r>
  <r>
    <s v="gleesongroup.ie"/>
    <s v="minus"/>
    <x v="0"/>
    <s v="v=spf1 a:mail0.candcgroup.ie a:mail1.candcgroup.ie a:mail2.candcgroup.ie a:mail3.candcgroup.ie a:mail5.candcgroup.ie a:mail6.candcgroup.ie include:spf.protection.outlook.com -all"/>
    <s v="yes"/>
    <x v="0"/>
    <m/>
    <m/>
    <m/>
    <x v="0"/>
    <x v="20"/>
    <x v="1"/>
  </r>
  <r>
    <s v="ifi.ie"/>
    <s v="minus"/>
    <x v="0"/>
    <s v="v=spf1 include:spf.protection.outlook.com include:spf.ess.uk.barracudanetworks.com include:spf1.emailsecurity.app -all"/>
    <m/>
    <x v="2"/>
    <s v="v=DMARC1; p=none; rua=mailto:dkgjlkcr@rua.dmarceye.com; fo=1; ri=86400"/>
    <m/>
    <m/>
    <x v="0"/>
    <x v="20"/>
    <x v="1"/>
  </r>
  <r>
    <s v="inflightdublin.com"/>
    <s v="tilde"/>
    <x v="1"/>
    <s v="v=spf1 include:spf.protection.outlook.com ~all"/>
    <m/>
    <x v="0"/>
    <m/>
    <m/>
    <m/>
    <x v="0"/>
    <x v="20"/>
    <x v="1"/>
  </r>
  <r>
    <s v="telegael.com"/>
    <s v="minus"/>
    <x v="0"/>
    <s v="v=spf1 mx a:mail.telegael.com a:mail1.telegael.com -all"/>
    <s v="yes"/>
    <x v="3"/>
    <s v="v=DMARC1; p=reject; pct=100; rua=mailto:dmarc@telegael.com; ruf=mailto:dmarc_forensic@telegael.com; sp=none; ri=86400"/>
    <m/>
    <m/>
    <x v="7"/>
    <x v="20"/>
    <x v="1"/>
  </r>
  <r>
    <s v="glenveaghnationalpark.ie"/>
    <s v="minus"/>
    <x v="0"/>
    <s v="v=spf1 -all"/>
    <m/>
    <x v="3"/>
    <s v="v=DMARC1;p=reject;sp=reject;adkim=s;aspf=s"/>
    <m/>
    <m/>
    <x v="6"/>
    <x v="20"/>
    <x v="1"/>
  </r>
  <r>
    <s v="jamesonwhiskey.com"/>
    <s v="minus"/>
    <x v="0"/>
    <s v="v=spf1 include:protection.outlook.com include:shops.shopify.com -all"/>
    <s v="yes"/>
    <x v="1"/>
    <s v="v=DMARC1; p=quarantine; rua=mailto:f69c87f16d2b232@rep.dmarcanalyzer.com; ruf=mailto:f69c87f16d2b232@for.dmarcanalyzer.com; fo=1"/>
    <m/>
    <m/>
    <x v="0"/>
    <x v="20"/>
    <x v="1"/>
  </r>
  <r>
    <s v="kylemoreabbey.com"/>
    <s v="minus"/>
    <x v="0"/>
    <s v="v=spf1 include:spf.protection.outlook.com a:cloudmail.ie a mx ip4:78.31.212.101/29 ip4:157.245.66.20 ip4:52.214.200.213 ip4:157.230.20.117 include:spf.mandrillapp.com include:_spf.elasticemail.com -all"/>
    <s v="yes"/>
    <x v="2"/>
    <s v="v=DMARC1; p=none; fo=1; rua=mailto:dmarc@sleepless.ie;ruf=mailto:dmarc@sleepless.ie;rf=afrf;pct=100"/>
    <m/>
    <m/>
    <x v="7"/>
    <x v="20"/>
    <x v="1"/>
  </r>
  <r>
    <s v="bandonvale.ie"/>
    <s v="minus"/>
    <x v="0"/>
    <s v="v=spf1 +include:spf.protection.outlook.com +include:relay.mailchannels.net +ip4:212.78.228.74 +ip4:93.95.83.44 +ip4:93.95.83.44 -all"/>
    <s v="yes"/>
    <x v="2"/>
    <s v="v=DMARC1; p=none; fo=1; rua=mailto:rua+bandonvale.ie@dmarc.barracudanetworks.com; ruf=mailto:ruf+bandonvale.ie@dmarc.barracudanetworks.com;"/>
    <m/>
    <m/>
    <x v="1"/>
    <x v="20"/>
    <x v="1"/>
  </r>
  <r>
    <s v="ingredientsolutions.net"/>
    <s v="minus"/>
    <x v="0"/>
    <s v="v=spf1 a:magnet1.ingredientsolutions.net ip4:87.198.173.166 ip4:87.198.178.190 include:spf.protection.outlook.com include:authsmtp.com -all"/>
    <m/>
    <x v="2"/>
    <s v="v=DMARC1; p=none"/>
    <m/>
    <m/>
    <x v="1"/>
    <x v="20"/>
    <x v="1"/>
  </r>
  <r>
    <s v="aurivo.ie"/>
    <s v="minus"/>
    <x v="0"/>
    <s v="v=spf1 a mx ip4:95.83.227.65 ip4:149.72.231.47 include:spf.protection.outlook.com include:mail.zendesk.com -all"/>
    <s v="yes"/>
    <x v="1"/>
    <s v="v=DMARC1; p=quarantine; rua=mailto:dmarcstats@aurivo.ie; ruf=mailto:dmarcstats@aurivo.ie; pct=100; fo=1;"/>
    <m/>
    <m/>
    <x v="22"/>
    <x v="20"/>
    <x v="1"/>
  </r>
  <r>
    <s v="westlodgehotel.ie"/>
    <s v="minus"/>
    <x v="0"/>
    <s v="v=spf1 a include:spf.protection.outlook.com -all"/>
    <s v="yes"/>
    <x v="0"/>
    <m/>
    <m/>
    <m/>
    <x v="1"/>
    <x v="20"/>
    <x v="1"/>
  </r>
  <r>
    <s v="universityarena.com"/>
    <s v="minus"/>
    <x v="0"/>
    <s v="v=spf1 -all"/>
    <s v="yes"/>
    <x v="0"/>
    <m/>
    <m/>
    <m/>
    <x v="5"/>
    <x v="20"/>
    <x v="1"/>
  </r>
  <r>
    <s v="woodforddolmenhotel.ie"/>
    <s v="minus"/>
    <x v="0"/>
    <s v="v=spf1 include:spf.protection.outlook.com include:authsmtp.com include:netaffinity.net include:guestline.net include:roomlynx.net +ip4:84.203.118.24 -all"/>
    <s v="yes"/>
    <x v="0"/>
    <m/>
    <m/>
    <m/>
    <x v="25"/>
    <x v="20"/>
    <x v="1"/>
  </r>
  <r>
    <s v="nch.ie"/>
    <s v="minus"/>
    <x v="0"/>
    <s v="v=spf1 ip4:89.185.136.227 ip4:138.201.167.223 ip4:138.201.167.222 ip4:74.200.12.248/30 include:_spf.audienceview.net include:spf.emailsignatures365.com include:spf.protection.outlook.com -all"/>
    <s v="yes"/>
    <x v="2"/>
    <s v="v=DMARC1;p=none;fo=1;rua=mailto:nch_ie_agg@mailwall.com;ruf=mailto:nch_ie_afrf@mailwall.com"/>
    <m/>
    <m/>
    <x v="0"/>
    <x v="20"/>
    <x v="1"/>
  </r>
  <r>
    <s v="nuremore.com"/>
    <s v="tilde"/>
    <x v="1"/>
    <s v="v=spf1 a mx ip4:199.16.129.190 ~all"/>
    <s v="yes"/>
    <x v="2"/>
    <s v="v=DMARC1; p=none"/>
    <m/>
    <m/>
    <x v="12"/>
    <x v="20"/>
    <x v="1"/>
  </r>
  <r>
    <s v="leehotels.com"/>
    <s v="minus"/>
    <x v="0"/>
    <s v="v=spf1 include:spf.guestjoy.com include:spf_3a.oracleindustry.com include:spf.protection.outlook.com include:netaffinity.net include:spf.mandrillapp.com -all"/>
    <s v="yes"/>
    <x v="1"/>
    <s v="v=DMARC1; p=quarantine; pct=100; fo=1"/>
    <m/>
    <m/>
    <x v="8"/>
    <x v="20"/>
    <x v="1"/>
  </r>
  <r>
    <s v="airfield.ie"/>
    <s v="minus"/>
    <x v="0"/>
    <s v="v=spf1 ip4:46.22.128.101 ip4:46.22.135.205 ip4:185.122.132.173 ip4:89.204.218.1 include:spf.mandrillapp.com include:spf.protection.outlook.com include:spf.mailanyone.net -all"/>
    <s v="yes"/>
    <x v="2"/>
    <s v="v=DMARC1; p=none;"/>
    <m/>
    <m/>
    <x v="0"/>
    <x v="20"/>
    <x v="1"/>
  </r>
  <r>
    <s v="jti.com"/>
    <s v="minus"/>
    <x v="0"/>
    <s v="v=spf1 include:spf.protection.outlook.com ip4:194.24.4.18 ip4:194.24.4.19 ip4:194.24.4.25 ip4:93.187.188.229 ip4:93.187.188.230 -all"/>
    <s v="yes"/>
    <x v="3"/>
    <s v="v=DMARC1; p=reject; adkim=s; aspf=s; rua=mailto:1mpftc7i@ag.eu.dmarcian.com; ruf=mailto:1mpftc7i@fr.eu.dmarcian.com; fo=1;"/>
    <s v="yes"/>
    <s v="https://files.jti.com/pages/bimi/jti-2024.svg"/>
    <x v="0"/>
    <x v="20"/>
    <x v="1"/>
  </r>
  <r>
    <s v="mcgowansprint.com"/>
    <s v="minus"/>
    <x v="0"/>
    <s v="v=spf1 include:spf.protection.outlook.com include:spf.mailanyone.net -all"/>
    <s v="yes"/>
    <x v="0"/>
    <m/>
    <m/>
    <m/>
    <x v="0"/>
    <x v="20"/>
    <x v="1"/>
  </r>
  <r>
    <s v="chtralee.com"/>
    <s v="minus"/>
    <x v="0"/>
    <s v="v=spf1 include:spf.protection.outlook.com include:amazonses.com include:spf.mandrillapp.com -all"/>
    <s v="yes"/>
    <x v="2"/>
    <s v="v=DMARC1; p=none;"/>
    <m/>
    <m/>
    <x v="14"/>
    <x v="20"/>
    <x v="1"/>
  </r>
  <r>
    <s v="specialolympics.ie"/>
    <s v="minus"/>
    <x v="0"/>
    <s v="v=spf1 +a +mx ip4:83.174.189.34 ip4:54.240.51.52 ip4:54.240.51.53 ip4:52.215.88.119 ip4:52.208.179.40 ip4:18.200.179.139 ip4:216.235.196.0/22 ip4:216.235.200.0/21 ip4:205.139.104.0/22 ip4:206.79.6.0/24 ip4:185.217.59.0/24 ip4:8.34.161.0/24 ip4:8.224.10.0/&quot; &quot;24 ip4:213.212.96.64/27 ip4:118.186.64.32/28 ip4:185.81.100.1/22 ip4:192.103.120.1/22 include:servers.mcsv.net include:spf.protection.outlook.com include:autotask.net include:sendgrid.net include:eu._netblocks.mimecast.com -all"/>
    <s v="yes"/>
    <x v="1"/>
    <s v="v=DMARC1; p=quarantine; rua=mailto:webmaster@specialolympics.ie;"/>
    <m/>
    <m/>
    <x v="0"/>
    <x v="20"/>
    <x v="1"/>
  </r>
  <r>
    <s v="foundation.ie"/>
    <s v="mis"/>
    <x v="3"/>
    <s v="v=spf1 include:spf.protection.outlook.com include:_spf.createsend.com include:smartsimple.com include:smartsimplemailer.com include:smartsimple.ie v=spf1 include:amazonses.com -all"/>
    <s v="yes"/>
    <x v="3"/>
    <s v="v=DMARC1; p=reject; pct=100;"/>
    <m/>
    <m/>
    <x v="0"/>
    <x v="20"/>
    <x v="1"/>
  </r>
  <r>
    <s v="ymca.ie"/>
    <s v="tilde"/>
    <x v="1"/>
    <s v="v=spf1 a include:spf.blacknight.ie ~all"/>
    <m/>
    <x v="0"/>
    <m/>
    <m/>
    <m/>
    <x v="0"/>
    <x v="20"/>
    <x v="1"/>
  </r>
  <r>
    <s v="kys.ie"/>
    <s v="no"/>
    <x v="2"/>
    <m/>
    <m/>
    <x v="0"/>
    <m/>
    <m/>
    <m/>
    <x v="16"/>
    <x v="20"/>
    <x v="1"/>
  </r>
  <r>
    <s v="moneymate.com"/>
    <s v="mis"/>
    <x v="3"/>
    <s v="v=spf1 redirect=confluence.com"/>
    <s v="yes"/>
    <x v="3"/>
    <s v="v=DMARC1; p=reject; rua=mailto:rdg12nvi@ag.eu.dmarcian.com,mailto:dmarc@confluence.com; ruf=mailto:rdg12nvi@fr.eu.dmarcian.com,mailto:dmarc-fr@confluence.com; fo=1:d:s"/>
    <m/>
    <m/>
    <x v="0"/>
    <x v="20"/>
    <x v="1"/>
  </r>
  <r>
    <s v="murex.com"/>
    <s v="tilde"/>
    <x v="1"/>
    <s v="v=spf1 ip4:185.197.84.5 exists:%{i}.spf.hc1163-86.c3s2.iphmx.com include:spf.protection.outlook.com include:_spf-sfdc.sapsf.com include:em8340.murex.com include:mktomail.com include:amazonses.com include:u2374998.wl249.sendgrid.net&quot; &quot; ip4:148.139.1.8/29 ip4:148.139.0.8/29 ip4:213.41.98.53 ~all"/>
    <s v="yes"/>
    <x v="3"/>
    <s v="v=DMARC1; p=reject; rua=mailto:qhvwsiub@ag.eu.dmarcadvisor.com;"/>
    <m/>
    <m/>
    <x v="0"/>
    <x v="20"/>
    <x v="1"/>
  </r>
  <r>
    <s v="ocuco.com"/>
    <s v="tilde"/>
    <x v="1"/>
    <s v="v=spf1 ip4:208.98.208.16 ip4:51.141.40.57 ip4:40.81.120.87 ip4:92.51.244.100 ip4:67.226.180.229 ip4:66.11.85.194 ip4:38.88.67.34 ip4:167.89.1.26 ip4:82.201.109.162 ip4:168.245.44.30 ip4:168.245.26.6 include:et._spf.pardot.com include:_spf.salesforce.com i&quot; &quot;nclude:cust-spf.exacttarget.com include:mailsenders.netsuite.com include:spf.emailsignatures365.com include:spf.protection.outlook.com include:spf.interconnect.nl include:139670173.spf05.hubspotemail.net ~all"/>
    <s v="yes"/>
    <x v="2"/>
    <s v="v=DMARC1; p=none; rua=mailto:dmarcagg@ocuco.com; fo=1"/>
    <m/>
    <m/>
    <x v="0"/>
    <x v="20"/>
    <x v="1"/>
  </r>
  <r>
    <s v="csgi.com"/>
    <s v="tilde"/>
    <x v="1"/>
    <s v="v=spf1 include:%{ir}.%{v}.%{d}.spf.has.pphosted.com ~all"/>
    <s v="yes"/>
    <x v="2"/>
    <s v="v=DMARC1; p=none; fo=1; rua=mailto:dmarc_rua@emaildefense.proofpoint.com; ruf=mailto:dmarc_ruf@emaildefense.proofpoint.com"/>
    <m/>
    <m/>
    <x v="7"/>
    <x v="20"/>
    <x v="1"/>
  </r>
  <r>
    <s v="caps.ie"/>
    <s v="minus"/>
    <x v="0"/>
    <s v="v=spf1 include:spf.protection.outlook.com -all"/>
    <s v="yes"/>
    <x v="0"/>
    <m/>
    <m/>
    <m/>
    <x v="7"/>
    <x v="20"/>
    <x v="1"/>
  </r>
  <r>
    <s v="dsgpack.ie"/>
    <s v="minus"/>
    <x v="0"/>
    <s v="v=spf1 include:spf.protection.outlook.com ip4:86.47.119.201 ip4:167.235.180.130 -all"/>
    <m/>
    <x v="0"/>
    <m/>
    <m/>
    <m/>
    <x v="16"/>
    <x v="20"/>
    <x v="1"/>
  </r>
  <r>
    <s v="anpost.com"/>
    <s v="minus"/>
    <x v="0"/>
    <s v="v=spf1 include:spf.protection.outlook.com include:spf.emailingemfasis.es ip4:52.155.248.80 ip4:52.158.43.182 ip4:167.89.86.131 -all"/>
    <s v="yes"/>
    <x v="2"/>
    <s v="v=DMARC1; p=none; pct=100; ri=86400; rua=mailto:DMARCreport@anpost.ie; adkim=r; aspf=r; sp=none;"/>
    <m/>
    <m/>
    <x v="1"/>
    <x v="20"/>
    <x v="1"/>
  </r>
  <r>
    <s v="dias.ie"/>
    <s v="tilde"/>
    <x v="1"/>
    <s v="v=spf1 ip4:160.6.33.4/24 ip6:2001:770:60:18::4 mx a:ogma.cp.dias.ie mx:admin.dias.ie mx:celt.dias.ie mx:stp.dias.ie ~all"/>
    <m/>
    <x v="2"/>
    <s v="v=DMARC1; p=none; sp=none; adkim=r; aspf=r; rua=mailto:dmarc@dias.ie; ruf=mailto:dmarcf@dias.ie"/>
    <m/>
    <m/>
    <x v="0"/>
    <x v="20"/>
    <x v="1"/>
  </r>
  <r>
    <s v="intuition.com"/>
    <s v="minus"/>
    <x v="0"/>
    <s v="v=spf1 mx a:mercury.intuition.com ip4:185.69.215.0/25 ip4:91.199.213.0/24 ip4:159.183.178.17 include:spf.protection.outlook.com include:mailgun.org include:spf.mandrillapp.com include:494176.spf05.hubspotemail.net -all"/>
    <s v="yes"/>
    <x v="1"/>
    <s v="v=DMARC1; p=quarantine; rua=mailto:techadmin@intuition.com,mailto:dmarc_agg@vali.email;"/>
    <m/>
    <m/>
    <x v="0"/>
    <x v="20"/>
    <x v="1"/>
  </r>
  <r>
    <s v="wwetbtraining.ie"/>
    <s v="minus"/>
    <x v="0"/>
    <s v="v=spf1 include:spf.blacknight.ie include:spf.protection.outlook.com -all"/>
    <m/>
    <x v="0"/>
    <m/>
    <m/>
    <m/>
    <x v="10"/>
    <x v="20"/>
    <x v="1"/>
  </r>
  <r>
    <s v="sacredhearthuntstown.weebly.com"/>
    <s v="no"/>
    <x v="2"/>
    <m/>
    <m/>
    <x v="0"/>
    <m/>
    <m/>
    <m/>
    <x v="0"/>
    <x v="20"/>
    <x v="1"/>
  </r>
  <r>
    <s v="stops.ie"/>
    <s v="no"/>
    <x v="2"/>
    <m/>
    <m/>
    <x v="0"/>
    <m/>
    <m/>
    <m/>
    <x v="0"/>
    <x v="20"/>
    <x v="1"/>
  </r>
  <r>
    <s v="stmartinssps.scoilnet.ie"/>
    <s v="no"/>
    <x v="2"/>
    <m/>
    <m/>
    <x v="0"/>
    <m/>
    <m/>
    <m/>
    <x v="10"/>
    <x v="20"/>
    <x v="1"/>
  </r>
  <r>
    <s v="coolcotts.com"/>
    <s v="tilde"/>
    <x v="1"/>
    <s v="v=spf1 include:_spf.google.com include:spf.graphedia.ie ~all"/>
    <s v="yes"/>
    <x v="2"/>
    <s v="v=DMARC1; p=none;"/>
    <m/>
    <m/>
    <x v="3"/>
    <x v="20"/>
    <x v="1"/>
  </r>
  <r>
    <s v="ccsecurity.ie"/>
    <s v="minus"/>
    <x v="0"/>
    <s v="v=spf1 include:spf.protection.outlook.com -all"/>
    <s v="yes"/>
    <x v="0"/>
    <m/>
    <m/>
    <m/>
    <x v="17"/>
    <x v="20"/>
    <x v="1"/>
  </r>
  <r>
    <s v="kerryfish.com"/>
    <s v="tilde"/>
    <x v="1"/>
    <s v="v=spf1 +a +mx +ip4:35.214.140.208  include:kerryfish.com.spf.auto.dnssmarthost.net ~all"/>
    <s v="yes"/>
    <x v="2"/>
    <s v="v=DMARC1; p=none; fo=1; rua=mailto:hello@kerryfish.com"/>
    <m/>
    <m/>
    <x v="14"/>
    <x v="20"/>
    <x v="1"/>
  </r>
  <r>
    <s v="irishbaconslicers.com"/>
    <s v="minus"/>
    <x v="0"/>
    <s v="v=spf1 a mx include:spf.protection.outlook.com -all"/>
    <m/>
    <x v="0"/>
    <m/>
    <m/>
    <m/>
    <x v="1"/>
    <x v="20"/>
    <x v="1"/>
  </r>
  <r>
    <s v="imancasing.com"/>
    <s v="minus"/>
    <x v="0"/>
    <s v="v=spf1 include:secureserver.net -all"/>
    <m/>
    <x v="0"/>
    <m/>
    <m/>
    <m/>
    <x v="4"/>
    <x v="20"/>
    <x v="1"/>
  </r>
  <r>
    <s v="allianzdirect.ie"/>
    <s v="tilde"/>
    <x v="1"/>
    <s v="v=spf1 mx include:spf.allianz.com ip4:80.93.29.199 ip4:80.93.29.201 ip4:168.114.112.22 ip4:168.114.112.23 ip4:54.229.2.165 ~all"/>
    <s v="yes"/>
    <x v="3"/>
    <s v="v=DMARC1; p=reject; fo=1; ri=3600; rua=mailto:Rua-allianz@allianz.com; ruf=mailto:Ruf-allianz@allianz.com"/>
    <m/>
    <m/>
    <x v="0"/>
    <x v="20"/>
    <x v="1"/>
  </r>
  <r>
    <s v="leafletcompany.ie"/>
    <s v="minus"/>
    <x v="0"/>
    <s v="v=spf1 include:spf.protection.outlook.com include:spf1.emailsecurity.app -all"/>
    <m/>
    <x v="0"/>
    <m/>
    <m/>
    <m/>
    <x v="0"/>
    <x v="20"/>
    <x v="1"/>
  </r>
  <r>
    <s v="kofintl.com"/>
    <s v="minus"/>
    <x v="0"/>
    <s v="v=spf1 include:spf.protection.outlook.com -all"/>
    <m/>
    <x v="0"/>
    <m/>
    <m/>
    <m/>
    <x v="13"/>
    <x v="20"/>
    <x v="1"/>
  </r>
  <r>
    <s v="98fm.com"/>
    <s v="tilde"/>
    <x v="1"/>
    <s v="v=spf1 include:_u.98fm.com._spf.smart.ondmarc.com ~all"/>
    <s v="yes"/>
    <x v="2"/>
    <s v="v=DMARC1; p=none;"/>
    <m/>
    <m/>
    <x v="0"/>
    <x v="20"/>
    <x v="1"/>
  </r>
  <r>
    <s v="fm104.ie"/>
    <s v="tilde"/>
    <x v="1"/>
    <s v="v=spf1 include:_spf.google.com include:spf-00596a01.pphosted.com ~all"/>
    <m/>
    <x v="2"/>
    <s v="v=DMARC1; p=none; fo=1; rua=mailto:dmarc_rua@emaildefense.proofpoint.com; ruf=mailto:dmarc_ruf@emaildefense.proofpoint.com"/>
    <m/>
    <m/>
    <x v="0"/>
    <x v="20"/>
    <x v="1"/>
  </r>
  <r>
    <s v="kwd.ie"/>
    <s v="minus"/>
    <x v="0"/>
    <s v="v=spf1 include:spf.protection.outlook.com include:authsmtp.com ip4:51.91.57.125 -all"/>
    <s v="yes"/>
    <x v="1"/>
    <s v="v=DMARC1; p=quarantine;"/>
    <m/>
    <m/>
    <x v="14"/>
    <x v="20"/>
    <x v="1"/>
  </r>
  <r>
    <s v="maryfieldnursinghome.ie"/>
    <s v="tilde"/>
    <x v="1"/>
    <s v="v=spf1 a include:spf.blacknight.ie ~all"/>
    <m/>
    <x v="0"/>
    <m/>
    <m/>
    <m/>
    <x v="0"/>
    <x v="20"/>
    <x v="1"/>
  </r>
  <r>
    <s v="stclaresnursing.ie"/>
    <s v="no"/>
    <x v="2"/>
    <m/>
    <m/>
    <x v="0"/>
    <m/>
    <m/>
    <m/>
    <x v="0"/>
    <x v="20"/>
    <x v="1"/>
  </r>
  <r>
    <s v="asboroughlodge.com"/>
    <s v="no"/>
    <x v="2"/>
    <m/>
    <m/>
    <x v="0"/>
    <m/>
    <m/>
    <m/>
    <x v="14"/>
    <x v="20"/>
    <x v="1"/>
  </r>
  <r>
    <s v="cuanchaitrionanursinghome.ie"/>
    <s v="no"/>
    <x v="2"/>
    <m/>
    <m/>
    <x v="0"/>
    <m/>
    <m/>
    <m/>
    <x v="4"/>
    <x v="20"/>
    <x v="1"/>
  </r>
  <r>
    <s v="stbrendansvillage.com"/>
    <s v="no"/>
    <x v="2"/>
    <m/>
    <m/>
    <x v="0"/>
    <m/>
    <m/>
    <m/>
    <x v="4"/>
    <x v="20"/>
    <x v="1"/>
  </r>
  <r>
    <s v="lawsonhouse.ie"/>
    <s v="minus"/>
    <x v="0"/>
    <s v="v=spf1 include:spf.protection.outlook.com -all"/>
    <m/>
    <x v="0"/>
    <m/>
    <m/>
    <m/>
    <x v="3"/>
    <x v="20"/>
    <x v="1"/>
  </r>
  <r>
    <s v="kayskitchen.ie"/>
    <s v="minus"/>
    <x v="0"/>
    <s v="v=spf1 include:spf.protection.outlook.com -all"/>
    <m/>
    <x v="0"/>
    <m/>
    <m/>
    <m/>
    <x v="0"/>
    <x v="20"/>
    <x v="1"/>
  </r>
  <r>
    <s v="thekingshead.ie"/>
    <s v="minus"/>
    <x v="0"/>
    <s v="v=spf1 mx a include:spf.protection.outlook.com a:webmail5.myitdepartment.ie a:incoming4.myitdepartment.ie -all"/>
    <s v="yes"/>
    <x v="1"/>
    <s v="v=DMARC1; p=quarantine; pct=100; rua=mailto:dmarc@zenotec.ie; ruf=mailto:dmarc@zenotec.ie; fo=1"/>
    <m/>
    <m/>
    <x v="7"/>
    <x v="20"/>
    <x v="1"/>
  </r>
  <r>
    <s v="jam.ie"/>
    <s v="tilde"/>
    <x v="1"/>
    <s v="v=spf1 include:_spf.mx.cloudflare.net ~all"/>
    <m/>
    <x v="0"/>
    <m/>
    <m/>
    <m/>
    <x v="14"/>
    <x v="20"/>
    <x v="1"/>
  </r>
  <r>
    <s v="merlinshowering.com"/>
    <s v="minus"/>
    <x v="0"/>
    <s v="v=spf1 ip6:fd9c:d030:168c::/48 -all"/>
    <m/>
    <x v="0"/>
    <m/>
    <m/>
    <m/>
    <x v="17"/>
    <x v="20"/>
    <x v="1"/>
  </r>
  <r>
    <s v="cevalogistics.com"/>
    <s v="tilde"/>
    <x v="1"/>
    <s v="v=spf1 include:spf.protection.outlook.com include:%{ir}.%{v}.%{d}.spf.has.pphosted.com include:spf.happyfox.com ~all"/>
    <s v="yes"/>
    <x v="3"/>
    <s v="v=DMARC1; p=reject; pct=100; rua=mailto:dmarc-reports@cevalogistics.com,mailto:dmarc_rua@emaildefense.proofpoint.com; ruf=mailto:dmarc-reports@cevalogistics.com,mailto:dmarc_ruf@emaildefense.proofpoint.com; fo=1; adkim=r; aspf=r"/>
    <m/>
    <m/>
    <x v="0"/>
    <x v="20"/>
    <x v="1"/>
  </r>
  <r>
    <s v="ari.ie"/>
    <s v="minus"/>
    <x v="0"/>
    <s v="v=spf1 ip4:54.77.99.99 ip4:52.19.76.163 ip4:91.214.173.12 include:amazonses.com include:spf.protection.outlook.com -all"/>
    <s v="yes"/>
    <x v="2"/>
    <s v="v=DMARC1; p=none; fo=1; rua=mailto:dmarc_agg@vali.email"/>
    <m/>
    <m/>
    <x v="9"/>
    <x v="20"/>
    <x v="1"/>
  </r>
  <r>
    <s v="icbf.com"/>
    <s v="mis"/>
    <x v="3"/>
    <s v="v=spf1 redirect=_seg64u6nf.sdmarc.net"/>
    <s v="yes"/>
    <x v="3"/>
    <s v="v=DMARC1; p=reject; pct=100; rua=mailto:a.eg64u6nf@sdmarc.net"/>
    <s v="yes"/>
    <s v="https://portal.sendmarc.com/storage/domains/bimi/mU7HhNB8jJKEdjsbPeR6MB41SiNwPUYkT0Yuwhle.svg"/>
    <x v="1"/>
    <x v="20"/>
    <x v="1"/>
  </r>
  <r>
    <s v="lynk.ie"/>
    <s v="minus"/>
    <x v="0"/>
    <s v="v=spf1 ip4:178.62.83.234 a:piper.hostireland.com a:mail2.lynk.ie ip4:185.156.198.163 ip4:185.32.255.233 ip4:185.32.255.40 ip4:34.252.91.1 include:amazonses.com include:mailgun.org include:eu.transmail.net include:spf.protection.outlook.com ip4:207.58&quot; &quot;.147.64/28 ip4:216.22.15.224/27 ip4:43.228.184.0/22 ip4:103.47.204.0/22 ip4:103.2.140.0/22 ip4:203.31.36.0/22 ip4:170.10.68.0/22 ip4:198.74.56.28 -all"/>
    <s v="yes"/>
    <x v="3"/>
    <s v="v=DMARC1; p=reject; rua=mailto:5586c3c24b@rep.dmarcanalyzer.com; ruf=mailto:dmarc1@lynk.ie; pct=60; fo=0:1:d:s"/>
    <m/>
    <m/>
    <x v="0"/>
    <x v="20"/>
    <x v="1"/>
  </r>
  <r>
    <s v="libertiescollege.ie"/>
    <s v="minus"/>
    <x v="0"/>
    <s v="v=spf1 include:spf.protection.outlook.com -all"/>
    <m/>
    <x v="0"/>
    <m/>
    <m/>
    <m/>
    <x v="0"/>
    <x v="20"/>
    <x v="1"/>
  </r>
  <r>
    <s v="anecto.com"/>
    <s v="tilde"/>
    <x v="1"/>
    <s v="v=spf1 ip4:66.206.3.250 a mx ip4:23.111.150.199 include:spf.protection.outlook.com ~all"/>
    <s v="yes"/>
    <x v="1"/>
    <s v="v=DMARC1; p=quarantine; rua=mailto:dmarc@anecto.com; ruf=mailto:dmarc@anecto.com; fo=1; pct=100; adkim=r; aspf=r"/>
    <m/>
    <m/>
    <x v="7"/>
    <x v="20"/>
    <x v="1"/>
  </r>
  <r>
    <s v="medentech.com"/>
    <s v="minus"/>
    <x v="0"/>
    <s v="v=spf1 include:spf.protection.outlook.com include:spf.exclaimer.net -all"/>
    <m/>
    <x v="0"/>
    <m/>
    <m/>
    <m/>
    <x v="3"/>
    <x v="20"/>
    <x v="1"/>
  </r>
  <r>
    <s v="stangelascollege.ie"/>
    <s v="tilde"/>
    <x v="1"/>
    <s v="v=spf1 ip4:185.199.220.55 a mx ip4:77.72.4.74 include:relay.k.io ~all"/>
    <s v="yes"/>
    <x v="0"/>
    <m/>
    <m/>
    <m/>
    <x v="8"/>
    <x v="20"/>
    <x v="1"/>
  </r>
  <r>
    <s v="abbeytravel.ie"/>
    <s v="tilde"/>
    <x v="1"/>
    <s v="v=spf1 include:de._netblocks.mimecast.com a:mail.clubtravel.ie a:mail-rs1.clubtravel.ie ip4:162.13.67.43 ip4:46.38.183.30 ip4:83.138.154.78 ip4:162.13.66.166 include:spf.protection.outlook.com include:nw007.com ~all"/>
    <s v="yes"/>
    <x v="2"/>
    <s v="v=DMARC1; p=none; ruf=mailto:dmarc-ruf@abbeytravel.ie; rua=mailto:dmarc-rua@abbeytravel.ie;"/>
    <m/>
    <m/>
    <x v="0"/>
    <x v="20"/>
    <x v="1"/>
  </r>
  <r>
    <s v="crystalski.ie"/>
    <s v="minus"/>
    <x v="0"/>
    <s v="v=spf1 include:spf.protection.outlook.com include:amazonses.com -all"/>
    <s v="yes"/>
    <x v="3"/>
    <s v="v=DMARC1; p=reject; pct=100; fo=1; ri=3600; rua=mailto:2256e681@inbox.ondmarc.com; ruf=mailto:2256e681@inbox.ondmarc.com;"/>
    <m/>
    <m/>
    <x v="0"/>
    <x v="20"/>
    <x v="1"/>
  </r>
  <r>
    <s v="carrgolf.com"/>
    <s v="minus"/>
    <x v="0"/>
    <s v="v=spf1 include:spf.protection.outlook.com include:19557406.spf04.hubspotemail.net -all"/>
    <m/>
    <x v="3"/>
    <s v="v=DMARC1; p=reject; pct=100; rua=mailto:dmarc@carrgolf.com; ruf=mailto:dmarc@carrgolf.com"/>
    <m/>
    <m/>
    <x v="0"/>
    <x v="20"/>
    <x v="1"/>
  </r>
  <r>
    <s v="castlecool.ie"/>
    <s v="tilde"/>
    <x v="1"/>
    <s v="v=spf1 include:spf.reg365.net ~all"/>
    <m/>
    <x v="0"/>
    <m/>
    <m/>
    <m/>
    <x v="12"/>
    <x v="20"/>
    <x v="1"/>
  </r>
  <r>
    <s v="gmsteel.com"/>
    <s v="minus"/>
    <x v="0"/>
    <s v="v=spf1 include:spf.protection.outlook.com -all"/>
    <s v="yes"/>
    <x v="2"/>
    <s v="v=DMARC1; p=none;"/>
    <m/>
    <m/>
    <x v="2"/>
    <x v="20"/>
    <x v="1"/>
  </r>
  <r>
    <s v="donohoedrinks.ie"/>
    <s v="no"/>
    <x v="2"/>
    <m/>
    <m/>
    <x v="0"/>
    <m/>
    <m/>
    <m/>
    <x v="3"/>
    <x v="20"/>
    <x v="1"/>
  </r>
  <r>
    <s v="macom.com"/>
    <s v="tilde"/>
    <x v="1"/>
    <s v="v=spf1 ip4:63.137.182.78 ip4:35.80.141.6 ip4:44.229.121.55 ip4:148.59.100.16/28 include:spf.sendwordnow.com include:spf.protection.outlook.com include:_netblocks.mimecast.com ~all"/>
    <m/>
    <x v="2"/>
    <s v="v=DMARC1; p=none; rua=mailto:c7e63aee1c62462eaea913f78ec72df7@dmarc-reports.cloudflare.net;"/>
    <m/>
    <m/>
    <x v="1"/>
    <x v="20"/>
    <x v="1"/>
  </r>
  <r>
    <s v="anord.ie"/>
    <s v="minus"/>
    <x v="0"/>
    <s v="v=spf1 include:spf.protection.outlook.com include:spf-002d6701.pphosted.com include:spf1.anord.ie include:spfa.cpmails.com ip4:205.173.129.112 ip4:158.116.232.202 ip4:158.116.214.70 -all"/>
    <s v="yes"/>
    <x v="3"/>
    <s v="v=DMARC1;p=reject;pct=100;aspf=r"/>
    <m/>
    <m/>
    <x v="2"/>
    <x v="20"/>
    <x v="1"/>
  </r>
  <r>
    <s v="londis.ie"/>
    <s v="minus"/>
    <x v="0"/>
    <s v="v=spf1 a mx ip4:185.2.66.37 include:spf.mandrillapp.com include:spf.hornetsecurity.com include:eu-west-1.amazonses.com -all"/>
    <m/>
    <x v="2"/>
    <s v="v=DMARC1; p=none"/>
    <m/>
    <m/>
    <x v="16"/>
    <x v="20"/>
    <x v="1"/>
  </r>
  <r>
    <s v="orders.zeuspackaging.com"/>
    <s v="no"/>
    <x v="2"/>
    <m/>
    <m/>
    <x v="0"/>
    <m/>
    <m/>
    <m/>
    <x v="0"/>
    <x v="20"/>
    <x v="1"/>
  </r>
  <r>
    <s v="uniphar.ie"/>
    <s v="minus"/>
    <x v="0"/>
    <s v="v=spf1 include:spf-00779101.pphosted.com include:spf.protection.outlook.com include:spf.zohomail360.eu a:mail.uniphar.ie ip4:89.101.228.97 -all"/>
    <s v="yes"/>
    <x v="2"/>
    <s v="v=DMARC1; p=none; rua=mailto:dmarc@uniphar.ie;"/>
    <m/>
    <m/>
    <x v="1"/>
    <x v="20"/>
    <x v="1"/>
  </r>
  <r>
    <s v="apexfire.ie"/>
    <s v="minus"/>
    <x v="0"/>
    <s v="v=spf1 ip4:217.115.115.31 include:relay.mailchannels.net ip4:217.115.115.36 ip4:159.183.10.91 ip4:217.115.115.155 ip4:52.240.150.170 ip4:216.55.104.92 ip4:62.255.126.94 include:spf.protection.outlook.com include:_spf.psm.knowbe4.com include:spf.mandrillap&quot; &quot;p.com include:spf.icontroller.eu a:send.lunitehosting.nl -all"/>
    <s v="yes"/>
    <x v="3"/>
    <s v="v=DMARC1; p=reject;"/>
    <m/>
    <m/>
    <x v="11"/>
    <x v="20"/>
    <x v="1"/>
  </r>
  <r>
    <s v="foamalite.ie"/>
    <s v="minus"/>
    <x v="0"/>
    <s v="v=spf1 include:spf.protection.outlook.com ip4:91.229.170.120 -all"/>
    <m/>
    <x v="0"/>
    <m/>
    <m/>
    <m/>
    <x v="11"/>
    <x v="20"/>
    <x v="1"/>
  </r>
  <r>
    <s v="glengarriffpark.com"/>
    <s v="minus"/>
    <x v="0"/>
    <s v="v=spf1 include:spf.protection.outlook.com -all"/>
    <m/>
    <x v="0"/>
    <m/>
    <m/>
    <m/>
    <x v="1"/>
    <x v="20"/>
    <x v="1"/>
  </r>
  <r>
    <s v="keohanereadymix.com"/>
    <s v="no"/>
    <x v="2"/>
    <m/>
    <m/>
    <x v="0"/>
    <m/>
    <m/>
    <m/>
    <x v="1"/>
    <x v="20"/>
    <x v="1"/>
  </r>
  <r>
    <s v="beechfieldmanor.com"/>
    <s v="no"/>
    <x v="2"/>
    <m/>
    <m/>
    <x v="0"/>
    <m/>
    <m/>
    <m/>
    <x v="0"/>
    <x v="20"/>
    <x v="1"/>
  </r>
  <r>
    <s v="carat.com"/>
    <s v="mis"/>
    <x v="3"/>
    <s v="v=spf1 include:spf1b.carat.com include:eu._netblocks.mimecast.com include:_spf.surveygenerator.com include:spf.onprem.dentsuaegis.com include:spf.protection.outlook.com include:emailsrvr.com ip4:176.34.133.159/32 ip4:52.31.132.175/32 ip4:5.61.115.80/28 -a&quot; &quot;ll"/>
    <m/>
    <x v="2"/>
    <s v="v=DMARC1; p=none; rua=mailto:f08515305fb8474@rep.dmarcanalyzer.com; ruf=mailto:f08515305fb8474@for.dmarcanalyzer.com; fo=1;"/>
    <m/>
    <m/>
    <x v="0"/>
    <x v="20"/>
    <x v="1"/>
  </r>
  <r>
    <s v="fitzwilliamhotel.com"/>
    <s v="minus"/>
    <x v="0"/>
    <s v="v=spf1 include:spf.protection.outlook.com include:spf.synxis.com include:oracleindustry.com  ip4:151.193.18.41 ip4:89.101.249.89 ip4:89.101.98.209 -all"/>
    <s v="yes"/>
    <x v="2"/>
    <s v="v=DMARC1; p=none;"/>
    <m/>
    <m/>
    <x v="0"/>
    <x v="20"/>
    <x v="1"/>
  </r>
  <r>
    <s v="dooleycarrentals.com"/>
    <s v="no"/>
    <x v="2"/>
    <m/>
    <m/>
    <x v="0"/>
    <m/>
    <m/>
    <m/>
    <x v="0"/>
    <x v="20"/>
    <x v="1"/>
  </r>
  <r>
    <s v="northgatevehiclehire.ie"/>
    <s v="minus"/>
    <x v="0"/>
    <s v="v=spf1 include:spf.protection.outlook.com -all"/>
    <s v="yes"/>
    <x v="2"/>
    <s v="v=DMARC1; p=none; rua=mailto:dmarc_agg@vali.email"/>
    <m/>
    <m/>
    <x v="0"/>
    <x v="20"/>
    <x v="1"/>
  </r>
  <r>
    <s v="killarneyparkhotel.ie"/>
    <s v="minus"/>
    <x v="0"/>
    <s v="v=spf1 include:spf.protection.outlook.com ip4:151.193.18.41 ip4:147.154.153.87 ip4:138.1.67.161 ip4:138.1.65.17 include:rezmail.synxis.com include:itxmail.synxis.com include:guestjoy.com include:spf.ireshotels.com include:spf.premiersoftware.co.uk include&quot; &quot;:spf.synxis.com include:spf_3a.oracleindustry.com -all"/>
    <s v="yes"/>
    <x v="2"/>
    <s v="v=DMARC1; p=none;"/>
    <m/>
    <m/>
    <x v="14"/>
    <x v="20"/>
    <x v="1"/>
  </r>
  <r>
    <s v="glenbrier.ie"/>
    <s v="minus"/>
    <x v="0"/>
    <s v="v=spf1 ip4:83.138.8.118 include:relay.mailchannels.net include:spf.mailanyone.net include:spf.protection.outlook.com -all"/>
    <s v="yes"/>
    <x v="0"/>
    <m/>
    <m/>
    <m/>
    <x v="15"/>
    <x v="20"/>
    <x v="1"/>
  </r>
  <r>
    <s v="heightforhire.com"/>
    <s v="minus"/>
    <x v="0"/>
    <s v="v=spf1 include:spf.protection.outlook.com include:spf.exclaimer.net include:_spf.createsend.com ip4:109.70.215.178 -all"/>
    <s v="yes"/>
    <x v="1"/>
    <s v="v=DMARC1; p=quarantine; pct=100"/>
    <m/>
    <m/>
    <x v="15"/>
    <x v="20"/>
    <x v="1"/>
  </r>
  <r>
    <s v="newgrangehotel.ie"/>
    <s v="minus"/>
    <x v="0"/>
    <s v="v=spf1 include:eu.guestline.net include:spf.protection.outlook.com mx include:netaffinity.net a:mail.cusackhotels.com -all"/>
    <m/>
    <x v="0"/>
    <m/>
    <m/>
    <m/>
    <x v="15"/>
    <x v="20"/>
    <x v="1"/>
  </r>
  <r>
    <s v="killeshal.com"/>
    <s v="tilde"/>
    <x v="1"/>
    <s v="v=spf1 include:spf.mailjet.com ip4:217.115.123.173 ip4:86.47.214.33 include:spf.protection.outlook.com ~all"/>
    <s v="yes"/>
    <x v="1"/>
    <s v="v=DMARC1; p=quarantine"/>
    <m/>
    <m/>
    <x v="21"/>
    <x v="20"/>
    <x v="1"/>
  </r>
  <r>
    <s v="treacyshotelwaterford.com"/>
    <s v="no"/>
    <x v="2"/>
    <m/>
    <s v="yes"/>
    <x v="0"/>
    <m/>
    <m/>
    <m/>
    <x v="10"/>
    <x v="20"/>
    <x v="1"/>
  </r>
  <r>
    <s v="woodlandshotel.ie"/>
    <s v="tilde"/>
    <x v="1"/>
    <s v="v=spf1 ip4:91.210.235.130 include:spf.webhostingireland.ie +a +mx ~all"/>
    <s v="yes"/>
    <x v="0"/>
    <m/>
    <m/>
    <m/>
    <x v="10"/>
    <x v="20"/>
    <x v="1"/>
  </r>
  <r>
    <s v="presentationcollegecarlow.com"/>
    <s v="tilde"/>
    <x v="1"/>
    <s v="v=spf1 include:spf.protection.outlook.com include:87.40.210.136 include:87.32.4.196 include:87.42.62.130 ~all"/>
    <s v="yes"/>
    <x v="0"/>
    <m/>
    <m/>
    <m/>
    <x v="25"/>
    <x v="21"/>
    <x v="1"/>
  </r>
  <r>
    <s v="ward.ie"/>
    <s v="minus"/>
    <x v="0"/>
    <s v="v=spf1 mx a ip4:93.94.119.240/28 ip4:84.45.11.0/24 ip4:52.138.174.3/32 ip4:87.252.209.160/28 include:3840654.spf07.hubspotemail.net include:eu._netblocks.mimecast.com include:spf.protection.outlook.com -all"/>
    <m/>
    <x v="1"/>
    <s v="v=DMARC1; p=quarantine; rua=mailto:e146adbe1392694@rep.dmarcanalyzer.com; ruf=mailto:e146adbe1392694@for.dmarcanalyzer.com; sp=quarantine; fo=1"/>
    <m/>
    <m/>
    <x v="0"/>
    <x v="21"/>
    <x v="1"/>
  </r>
  <r>
    <s v="cif.ie"/>
    <s v="tilde"/>
    <x v="1"/>
    <s v="v=spf1 include:_u.cif.ie._spf.smart.ondmarc.com ~all"/>
    <s v="yes"/>
    <x v="3"/>
    <s v="v=DMARC1; p=reject; pct=100; sp=none; rua=mailto:8c514ca4@inbox.ondmarc.com; ruf=mailto:8c514ca4@inbox.ondmarc.com; adkim=r; aspf=r; fo=0; rf=afrf; ri=3600"/>
    <m/>
    <m/>
    <x v="0"/>
    <x v="22"/>
    <x v="1"/>
  </r>
  <r>
    <s v="fitzgibbonsinteriors.ie"/>
    <s v="no"/>
    <x v="2"/>
    <m/>
    <m/>
    <x v="0"/>
    <m/>
    <m/>
    <m/>
    <x v="14"/>
    <x v="22"/>
    <x v="1"/>
  </r>
  <r>
    <s v="roche.com"/>
    <s v="mis"/>
    <x v="3"/>
    <s v="v=spf1 redirect=roche.com.hosted.spf-report.com"/>
    <s v="yes"/>
    <x v="3"/>
    <s v="v=DMARC1; p=reject; rua=mailto:88a488cb@mxtoolbox.dmarc-report.com,mailto:dmarc@ayba8dhs.uriports.com; ruf=mailto:88a488cb@forensics.dmarc-report.com,mailto:dmarc@ayba8dhs.uriports.com; fo=1; pct=100"/>
    <m/>
    <m/>
    <x v="0"/>
    <x v="23"/>
    <x v="1"/>
  </r>
  <r>
    <s v="protrans.ie"/>
    <s v="minus"/>
    <x v="0"/>
    <s v="v=spf1 +include:relay.mailchannels.net include:spf.protection.outlook.com -all"/>
    <m/>
    <x v="0"/>
    <m/>
    <m/>
    <m/>
    <x v="20"/>
    <x v="23"/>
    <x v="1"/>
  </r>
  <r>
    <s v="arancandy.com"/>
    <s v="minus"/>
    <x v="0"/>
    <s v="v=spf1 -all"/>
    <s v="yes"/>
    <x v="0"/>
    <m/>
    <m/>
    <m/>
    <x v="0"/>
    <x v="24"/>
    <x v="1"/>
  </r>
  <r>
    <s v="rexelindustrial.ie"/>
    <s v="minus"/>
    <x v="0"/>
    <s v="v=spf1 a mx ip4:82.147.15.84 ip4:5.102.187.6 ip4:203.174.144.1/26 ip4:5.102.187.12 ip4:5.102.187.10 include:spf.protection.outlook.com -all"/>
    <s v="yes"/>
    <x v="1"/>
    <s v="v=DMARC1; p=quarantine; pct=100; rua=mailto:dmarc-REIndustralIE@RexelIndustrial.IE; ruf=mailto:dmarc-REIndustralIE_ruf@RexelIndustrial.IE"/>
    <m/>
    <m/>
    <x v="5"/>
    <x v="24"/>
    <x v="1"/>
  </r>
  <r>
    <s v="stjosephsnursinghome.ie"/>
    <s v="tilde"/>
    <x v="1"/>
    <s v="v=spf1 include:spf.reg365.net ~all"/>
    <m/>
    <x v="0"/>
    <m/>
    <m/>
    <m/>
    <x v="11"/>
    <x v="24"/>
    <x v="1"/>
  </r>
  <r>
    <s v="todayfm.com"/>
    <s v="tilde"/>
    <x v="1"/>
    <s v="v=spf1 include:_u.todayfm.com._spf.smart.ondmarc.com ~all"/>
    <s v="yes"/>
    <x v="3"/>
    <s v="v=DMARC1; p=reject; pct=100; sp=reject; rua=mailto:5352a03e@inbox.eu.redsift.cloud; ruf=mailto:5352a03e@inbox.eu.redsift.cloud; adkim=r; aspf=r; fo=1; rf=afrf; ri=3600"/>
    <m/>
    <m/>
    <x v="0"/>
    <x v="24"/>
    <x v="1"/>
  </r>
  <r>
    <s v="reddyarchitecture.com"/>
    <s v="minus"/>
    <x v="0"/>
    <s v="v=spf1 ip4:88.211.77.14 include:spf.protection.outlook.com include:spf.smtp2go.com -all"/>
    <m/>
    <x v="2"/>
    <s v="v=DMARC1; p=none;"/>
    <m/>
    <m/>
    <x v="0"/>
    <x v="25"/>
    <x v="1"/>
  </r>
  <r>
    <s v="belfrypub.com"/>
    <s v="no"/>
    <x v="2"/>
    <m/>
    <m/>
    <x v="0"/>
    <m/>
    <m/>
    <m/>
    <x v="8"/>
    <x v="25"/>
    <x v="1"/>
  </r>
  <r>
    <s v="imi.ie"/>
    <s v="tilde"/>
    <x v="1"/>
    <s v="v=spf1 ip4:83.142.230.177 ip4:87.117.199.66 include:eu.mailgun.org include:outlook.com ~all"/>
    <s v="yes"/>
    <x v="1"/>
    <s v="v=DMARC1; p=quarantine;"/>
    <m/>
    <m/>
    <x v="0"/>
    <x v="25"/>
    <x v="1"/>
  </r>
  <r>
    <s v="mediacube.ie"/>
    <s v="tilde"/>
    <x v="1"/>
    <s v="v=spf1 +a +mx +ip4:35.214.169.65  include:mediacube.ie.spf.auto.dnssmarthost.net ~all"/>
    <s v="yes"/>
    <x v="2"/>
    <s v="v=DMARC1; p=none; aspf=r; adkim=r;"/>
    <m/>
    <m/>
    <x v="0"/>
    <x v="25"/>
    <x v="1"/>
  </r>
  <r>
    <s v="ism.ie"/>
    <s v="tilde"/>
    <x v="1"/>
    <s v="v=spf1 include:spf.mandrillapp.com include:eu._netblocks.mimecast.com include:sendgrid.net include:mailgun.org include:eu.zcsend.net include:spf.protection.outlook.com include:145786105.spf04.hubspotemail.net ~all"/>
    <s v="yes"/>
    <x v="1"/>
    <s v="v=DMARC1; p=quarantine"/>
    <m/>
    <m/>
    <x v="0"/>
    <x v="25"/>
    <x v="1"/>
  </r>
  <r>
    <s v="electricireland.ie"/>
    <s v="tilde"/>
    <x v="1"/>
    <s v="v=spf1 include:amazonses.com ~all"/>
    <s v="yes"/>
    <x v="2"/>
    <s v="v=DMARC1; p=none; pct=100; fo=1; ri=3600; rua=mailto:a4714750@inbox.ondmarc.com,mailto:dmarcnotifications@esb.ie; ruf=mailto:a4714750@inbox.ondmarc.com,mailto:dmarcnotifications@esb.ie;"/>
    <m/>
    <m/>
    <x v="0"/>
    <x v="25"/>
    <x v="1"/>
  </r>
  <r>
    <s v="fmservicesgroup.ie"/>
    <s v="tilde"/>
    <x v="1"/>
    <s v="v=spf1 include:_spf.hostedemail.com ~all"/>
    <m/>
    <x v="0"/>
    <m/>
    <m/>
    <m/>
    <x v="6"/>
    <x v="25"/>
    <x v="1"/>
  </r>
  <r>
    <s v="addictionireland.ie"/>
    <s v="tilde"/>
    <x v="1"/>
    <s v="v=spf1 a:spf.webtrade.ie include:relay.mailchannels.net ~all"/>
    <m/>
    <x v="2"/>
    <s v="v=DMARC1; p=none;"/>
    <m/>
    <m/>
    <x v="0"/>
    <x v="25"/>
    <x v="1"/>
  </r>
  <r>
    <s v="nationaltransport.ie"/>
    <s v="tilde"/>
    <x v="1"/>
    <s v="v=spf1 a mx a:mail.nationaltransport.ie a:sid.customerminds.com ip4:54.229.2.165 ip4:52.30.130.201 ip4:23.251.238.221 include:spf.protection.outlook.com ip4:134.213.243.206 ip4:137.191.247.149 ~all"/>
    <s v="yes"/>
    <x v="1"/>
    <s v="v=DMARC1; p=quarantine; pct=100; fo=1; rua=mailto:dmarc-reports@nationaltransport.ie; ruf=mailto:dmarc-forensics@nationaltransport.ie"/>
    <m/>
    <m/>
    <x v="0"/>
    <x v="25"/>
    <x v="1"/>
  </r>
  <r>
    <s v="kerryetb.ie"/>
    <s v="minus"/>
    <x v="0"/>
    <s v="v=spf1 ip4:83.71.152.33 ip4:137.191.249.74 ip4:212.147.128.121 ip4:86.42.146.97 ip4:137.191.224.102 include:spf.ymlp.com include:spf.dcsnet.ie include:spf1.kerryetb.ie include:spf-eu.emailsignatures365.com include:spf.topsec.com include:spf.protection.out&quot; &quot;look.com -all"/>
    <s v="yes"/>
    <x v="2"/>
    <s v="v=DMARC1;  p=none; rua=mailto:5e550f6b2e2f4d8eae0eb5c2e885b0f2@dmarc-reports.cloudflare.net"/>
    <m/>
    <m/>
    <x v="14"/>
    <x v="25"/>
    <x v="1"/>
  </r>
  <r>
    <s v="stcolumbascollege.ie"/>
    <s v="tilde"/>
    <x v="1"/>
    <s v="v=spf1 +mx +a +ip4:185.43.232.25 +include:spf.webhostingireland.ie ~all"/>
    <s v="yes"/>
    <x v="2"/>
    <s v="v=DMARC1; p=none;"/>
    <m/>
    <m/>
    <x v="6"/>
    <x v="25"/>
    <x v="1"/>
  </r>
  <r>
    <s v="calasanctius.ie"/>
    <s v="minus"/>
    <x v="0"/>
    <s v="v=spf1 include:spf.protection.outlook.com -all"/>
    <s v="yes"/>
    <x v="0"/>
    <m/>
    <m/>
    <m/>
    <x v="7"/>
    <x v="25"/>
    <x v="1"/>
  </r>
  <r>
    <s v="patriciansecondary.com"/>
    <s v="no"/>
    <x v="2"/>
    <m/>
    <s v="yes"/>
    <x v="0"/>
    <m/>
    <m/>
    <m/>
    <x v="16"/>
    <x v="25"/>
    <x v="1"/>
  </r>
  <r>
    <s v="mountrathcs.ie"/>
    <s v="no"/>
    <x v="2"/>
    <m/>
    <m/>
    <x v="0"/>
    <m/>
    <m/>
    <m/>
    <x v="18"/>
    <x v="25"/>
    <x v="1"/>
  </r>
  <r>
    <s v="crescentsj.com"/>
    <s v="minus"/>
    <x v="0"/>
    <s v="v=spf1 include:spf.protection.outlook.com include:sendgrid.net a mx ip4:51.144.176.17 -all"/>
    <m/>
    <x v="2"/>
    <s v="v=DMARC1; p=none; "/>
    <m/>
    <m/>
    <x v="5"/>
    <x v="25"/>
    <x v="1"/>
  </r>
  <r>
    <s v="johnthebaptistcs.ie"/>
    <s v="minus"/>
    <x v="0"/>
    <s v="v=spf1 include:spf.protection.outlook.com -all"/>
    <s v="yes"/>
    <x v="0"/>
    <m/>
    <m/>
    <m/>
    <x v="5"/>
    <x v="25"/>
    <x v="1"/>
  </r>
  <r>
    <s v="brackencourt.ie"/>
    <s v="minus"/>
    <x v="0"/>
    <s v="v=spf1 include:spf.protection.outlook.com include:netaffinity.net include:sendgrid.net -all"/>
    <s v="yes"/>
    <x v="2"/>
    <s v="v=DMARC1; p=none;"/>
    <m/>
    <m/>
    <x v="0"/>
    <x v="25"/>
    <x v="1"/>
  </r>
  <r>
    <s v="westcourt.ie"/>
    <s v="no"/>
    <x v="2"/>
    <m/>
    <m/>
    <x v="0"/>
    <m/>
    <m/>
    <m/>
    <x v="2"/>
    <x v="25"/>
    <x v="1"/>
  </r>
  <r>
    <s v="thehamlet.ie"/>
    <s v="tilde"/>
    <x v="1"/>
    <s v="v=spf1 +mx +a +ip4:184.171.244.113 +include:dimenoc.com ~all"/>
    <s v="yes"/>
    <x v="0"/>
    <m/>
    <m/>
    <m/>
    <x v="15"/>
    <x v="25"/>
    <x v="1"/>
  </r>
  <r>
    <s v="abbeyhotel.ie"/>
    <s v="minus"/>
    <x v="0"/>
    <s v="v=spf1 ip4:86.43.116.41 +a +mx include:netaffinity.net include:authsmtp.com include:spf.protection.outlook.com include:netaffinity.net -all"/>
    <s v="yes"/>
    <x v="2"/>
    <s v="v=DMARC1; p=none;"/>
    <m/>
    <m/>
    <x v="22"/>
    <x v="25"/>
    <x v="1"/>
  </r>
  <r>
    <s v="unbrako.com"/>
    <s v="tilde"/>
    <x v="1"/>
    <s v="v=spf1 redirect=_spf.mailhostbox.com include:spf.protection.outlook.com ~all"/>
    <m/>
    <x v="2"/>
    <s v="v=DMARC1; p=none; rua=mailto:c8ad4247@mxtoolbox.dmarc-report.com; ruf=mailto:c8ad4247@forensics.dmarc-report.com; fo=1"/>
    <m/>
    <m/>
    <x v="9"/>
    <x v="25"/>
    <x v="1"/>
  </r>
  <r>
    <s v="ovelle.ie"/>
    <s v="tilde"/>
    <x v="1"/>
    <s v="v=spf1 ip4:190.180.145.25 include:_spf.google.com ~all"/>
    <s v="yes"/>
    <x v="0"/>
    <m/>
    <m/>
    <m/>
    <x v="2"/>
    <x v="25"/>
    <x v="1"/>
  </r>
  <r>
    <s v="prestigefoods.ie"/>
    <s v="minus"/>
    <x v="0"/>
    <s v="v=spf1 include:spf.protection.outlook.com -all"/>
    <m/>
    <x v="0"/>
    <m/>
    <m/>
    <m/>
    <x v="14"/>
    <x v="25"/>
    <x v="1"/>
  </r>
  <r>
    <s v="mhlcleaning.com"/>
    <s v="minus"/>
    <x v="0"/>
    <s v="v=spf1 mx a include:spf1.tibus.net -all"/>
    <m/>
    <x v="2"/>
    <s v="v=DMARC1; p=none"/>
    <m/>
    <m/>
    <x v="10"/>
    <x v="25"/>
    <x v="1"/>
  </r>
  <r>
    <s v="4seasonshotel.ie"/>
    <s v="tilde"/>
    <x v="1"/>
    <s v="v=spf1 a:dispatch-eu.ppe-hosted.com include:netaffinity.net include:spf.protection.outlook.com include:authsmtp.com ~all"/>
    <s v="yes"/>
    <x v="2"/>
    <s v="v=DMARC1; p=none;"/>
    <m/>
    <m/>
    <x v="12"/>
    <x v="25"/>
    <x v="1"/>
  </r>
  <r>
    <s v="brunswickpress.ie"/>
    <s v="no"/>
    <x v="2"/>
    <m/>
    <m/>
    <x v="0"/>
    <m/>
    <m/>
    <m/>
    <x v="0"/>
    <x v="25"/>
    <x v="1"/>
  </r>
  <r>
    <s v="amdocs.com"/>
    <s v="tilde"/>
    <x v="1"/>
    <s v="v=spf1 ip4:5.61.115.80/28 ip4:69.150.27.64/26 ip4:202.91.135.67 ip4:202.91.135.133 ip4:193.43.244.133/28&quot; &quot; exists:%{i}.spf.hc834-32.eu.iphmx.com include:_spf.salesforce.com include:mktomail.com include:_spf-dc8.successfactors.com include:spf.mailjet.com include:_spf-dc4.sapsf.com ~all"/>
    <s v="yes"/>
    <x v="1"/>
    <s v="v=DMARC1; p=quarantine; fo=1; pct=0; ri=3600; rua=mailto:amdocs@rua.dmp.cisco.com; ruf=mailto:amdocs@ruf.dmp.cisco.com"/>
    <m/>
    <m/>
    <x v="0"/>
    <x v="25"/>
    <x v="1"/>
  </r>
  <r>
    <s v="rangelandfoods.com"/>
    <s v="minus"/>
    <x v="0"/>
    <s v="v=spf1 include:spf.blacknight.com include:spf.protection.outlook.com -all"/>
    <m/>
    <x v="0"/>
    <m/>
    <m/>
    <m/>
    <x v="12"/>
    <x v="25"/>
    <x v="1"/>
  </r>
  <r>
    <s v="drakelandshouse.com"/>
    <s v="no"/>
    <x v="2"/>
    <m/>
    <m/>
    <x v="0"/>
    <m/>
    <m/>
    <m/>
    <x v="17"/>
    <x v="25"/>
    <x v="1"/>
  </r>
  <r>
    <s v="flynnsoflackagh.com"/>
    <s v="no"/>
    <x v="2"/>
    <m/>
    <m/>
    <x v="0"/>
    <m/>
    <m/>
    <m/>
    <x v="7"/>
    <x v="25"/>
    <x v="1"/>
  </r>
  <r>
    <s v="kirchhoff.ie"/>
    <s v="no"/>
    <x v="2"/>
    <m/>
    <m/>
    <x v="0"/>
    <m/>
    <m/>
    <m/>
    <x v="6"/>
    <x v="25"/>
    <x v="1"/>
  </r>
  <r>
    <s v="toyota.ie"/>
    <s v="minus"/>
    <x v="0"/>
    <s v="v=spf1 mx include:spf.protection.outlook.com include:_spf.salesforce.com include:authsmtp.com -all"/>
    <s v="yes"/>
    <x v="1"/>
    <s v="v=DMARC1; p=quarantine; pct=100; rua=mailto:helpdesk@toyota.ie"/>
    <m/>
    <m/>
    <x v="0"/>
    <x v="25"/>
    <x v="1"/>
  </r>
  <r>
    <s v="iveco.com"/>
    <s v="minus"/>
    <x v="0"/>
    <s v="v=spf1 ip4:46.51.192.91  ip4:151.92.0.0/16 ip4:160.220.0.0/16 ip4:151.88.176.0/24 include:spf_out.ivecogroup.com -all"/>
    <s v="yes"/>
    <x v="1"/>
    <s v="v=DMARC1; p=quarantine; fo=1; rua=mailto:dmarc_rua@emaildefense.proofpoint.com; ruf=mailto:dmarc_ruf@emaildefense.proofpoint.com"/>
    <m/>
    <m/>
    <x v="0"/>
    <x v="25"/>
    <x v="1"/>
  </r>
  <r>
    <s v="atkins.ie"/>
    <s v="tilde"/>
    <x v="1"/>
    <s v="v=spf1 include:spf.protection.outlook.com include:spf.reg365.net include:authsmtp.com ~all"/>
    <m/>
    <x v="2"/>
    <s v="v=DMARC1; p=none; rua=mailto:rua@dmarc.brevo.com"/>
    <m/>
    <m/>
    <x v="1"/>
    <x v="25"/>
    <x v="1"/>
  </r>
  <r>
    <s v="tfmltd.com"/>
    <s v="minus"/>
    <x v="0"/>
    <s v="v=spf1 include:spf.protection.outlook.com a:mail.ibcosonline.co.uk include:spf.exclaimer.net IP4:78.40.32.100 IP4:78.40.32.110 IP4:148.252.9.94 -all"/>
    <s v="yes"/>
    <x v="1"/>
    <s v="v=DMARC1; p=quarantine; rua=mailto:dmarcreports@tfmltd.com; ruf=mailto:dmarcreports@tfmltd.com; fo=0; pct=100; adkim=r; aspf=r"/>
    <m/>
    <m/>
    <x v="13"/>
    <x v="25"/>
    <x v="1"/>
  </r>
  <r>
    <s v="mincon.com"/>
    <s v="minus"/>
    <x v="0"/>
    <s v="v=spf1 include:spf.protection.outlook.com -all"/>
    <s v="yes"/>
    <x v="2"/>
    <s v="v=DMARC1; p=none; rua=mailto:m365.alerts@mincon.com; ruf=mailto:m365.alerts@mincon.com; fo=1; pct=100"/>
    <m/>
    <m/>
    <x v="9"/>
    <x v="25"/>
    <x v="1"/>
  </r>
  <r>
    <s v="bunzl.ie"/>
    <s v="tilde"/>
    <x v="1"/>
    <s v="v=spf1 include:%{i}._ip.%{h}._ehlo.%{d}._spf.vali.email ~all"/>
    <s v="yes"/>
    <x v="1"/>
    <s v="v=DMARC1; p=quarantine; rua=mailto:dmarc_agg@vali.email; fo=1"/>
    <m/>
    <m/>
    <x v="0"/>
    <x v="25"/>
    <x v="1"/>
  </r>
  <r>
    <s v="irish-equine-centre.ie"/>
    <s v="no"/>
    <x v="2"/>
    <m/>
    <m/>
    <x v="0"/>
    <m/>
    <m/>
    <m/>
    <x v="16"/>
    <x v="25"/>
    <x v="1"/>
  </r>
  <r>
    <s v="glassonlakehouse.ie"/>
    <s v="minus"/>
    <x v="0"/>
    <s v="v=spf1 include:spf.protection.outlook.com include:spf.eu.exclaimer.net include:oracleindustry.com -all"/>
    <s v="yes"/>
    <x v="2"/>
    <s v="v=DMARC1; p=none;"/>
    <m/>
    <m/>
    <x v="23"/>
    <x v="26"/>
    <x v="1"/>
  </r>
  <r>
    <s v="isuzu.ie"/>
    <s v="minus"/>
    <x v="0"/>
    <s v="v=spf1 include:spf.protection.outlook.com -all"/>
    <s v="yes"/>
    <x v="1"/>
    <s v="v=DMARC1; p=quarantine; fo=1; rua=mailto:dmarc@isuzu.ie; ruf=mailto:dmarc@isuzu.ie; pct=90"/>
    <m/>
    <m/>
    <x v="0"/>
    <x v="26"/>
    <x v="1"/>
  </r>
  <r>
    <s v="irishcranehire.com"/>
    <s v="minus"/>
    <x v="0"/>
    <s v="v=spf1 include:spf.protection.outlook.com -all"/>
    <m/>
    <x v="0"/>
    <m/>
    <m/>
    <m/>
    <x v="3"/>
    <x v="26"/>
    <x v="1"/>
  </r>
  <r>
    <s v="protectionappeals.ie"/>
    <s v="minus"/>
    <x v="0"/>
    <s v="v=spf1 mx ip4:137.191.252.74 ip4:137.191.252.75 -all"/>
    <m/>
    <x v="0"/>
    <m/>
    <m/>
    <m/>
    <x v="0"/>
    <x v="27"/>
    <x v="1"/>
  </r>
  <r>
    <s v="osullivansbar.ie"/>
    <s v="tilde"/>
    <x v="1"/>
    <s v="v=spf1 ip4:185.43.232.184 a mx include:_spf.google.com include:spf.antispamcloud.com ~all"/>
    <s v="yes"/>
    <x v="0"/>
    <m/>
    <m/>
    <m/>
    <x v="1"/>
    <x v="28"/>
    <x v="1"/>
  </r>
  <r>
    <s v="bitc.ie"/>
    <s v="minus"/>
    <x v="0"/>
    <s v="v=spf1 include:spf.protection.outlook.com -all"/>
    <s v="yes"/>
    <x v="1"/>
    <s v="v=DMARC1; p=quarantine;"/>
    <m/>
    <m/>
    <x v="0"/>
    <x v="28"/>
    <x v="1"/>
  </r>
  <r>
    <s v="teg.com"/>
    <s v="minus"/>
    <x v="0"/>
    <s v="v=spf1 include:spf.protection.outlook.com +a +mx include:spf.topsec.com -all"/>
    <m/>
    <x v="0"/>
    <m/>
    <m/>
    <m/>
    <x v="23"/>
    <x v="29"/>
    <x v="1"/>
  </r>
  <r>
    <s v="eisneramper.ie"/>
    <s v="minus"/>
    <x v="0"/>
    <s v="v=spf1 include:spf.protection.outlook.com include:eu._netblocks.mimecast.com -all"/>
    <s v="yes"/>
    <x v="3"/>
    <s v="v=DMARC1;p=reject;sp=reject;pct=100;rua=mailto:cc789e6eee@rua.easydmarc.eu;ruf=mailto:cc789e6eee@ruf.easydmarc.eu;ri=86400;aspf=r;adkim=r;fo=1;"/>
    <m/>
    <m/>
    <x v="0"/>
    <x v="30"/>
    <x v="1"/>
  </r>
  <r>
    <s v="colaisteide.ie"/>
    <s v="minus"/>
    <x v="0"/>
    <s v="v=spf1 include:spf.protection.outlook.com -all"/>
    <s v="yes"/>
    <x v="0"/>
    <m/>
    <m/>
    <m/>
    <x v="0"/>
    <x v="30"/>
    <x v="1"/>
  </r>
  <r>
    <s v="ezlivinginteriors.com"/>
    <s v="tilde"/>
    <x v="1"/>
    <s v="v=spf1 include:spf.sendinblue.com mx a ip4:165.84.208.0/24 include:spf.protection.outlook.com include:spf.exclaimer.net include:spf2.ezlivinginteriors.com include:emailfreshdesk.com include:spf.mailanyone.net include:143502589.spf06.hubspotemail.net ~all"/>
    <s v="yes"/>
    <x v="2"/>
    <s v="v=DMARC1; p=none; sp=none; rua=mailto:dmarc@mailinblue.com!10m; ruf=mailto:dmarc@mailinblue.com!10m; rf=afrf; pct=100; ri=86400"/>
    <m/>
    <m/>
    <x v="1"/>
    <x v="30"/>
    <x v="1"/>
  </r>
  <r>
    <s v="jfp.ie"/>
    <s v="minus"/>
    <x v="0"/>
    <s v="v=spf1 include:spf.protection.outlook.com -all"/>
    <s v="yes"/>
    <x v="0"/>
    <m/>
    <m/>
    <m/>
    <x v="0"/>
    <x v="30"/>
    <x v="1"/>
  </r>
  <r>
    <s v="miml.ie"/>
    <s v="no"/>
    <x v="2"/>
    <m/>
    <m/>
    <x v="0"/>
    <m/>
    <m/>
    <m/>
    <x v="0"/>
    <x v="30"/>
    <x v="1"/>
  </r>
  <r>
    <s v="mrbinman.com"/>
    <s v="minus"/>
    <x v="0"/>
    <s v="v=spf1 +a +mx +ip4:91.210.232.8 include:spf.webhostingireland.ie +ip4:185.43.232.251 +include:spf.protection.outlook.com -all"/>
    <s v="yes"/>
    <x v="2"/>
    <s v="v=DMARC1; p=none; rua=mailto:maildmarc@mrbinman.com; ruf=mailto:maildmarc@mrbinman.com; sp=none; ri=86400"/>
    <m/>
    <m/>
    <x v="5"/>
    <x v="30"/>
    <x v="1"/>
  </r>
  <r>
    <s v="qrl.ie"/>
    <s v="minus"/>
    <x v="0"/>
    <s v="v=spf1 include:spf.protection.outlook.com ip4:84.51.251.227 ip4:212.78.224.147 a:cloud4.amcsgroup.com include:authsmtp.com -all"/>
    <s v="yes"/>
    <x v="0"/>
    <m/>
    <m/>
    <m/>
    <x v="13"/>
    <x v="30"/>
    <x v="1"/>
  </r>
  <r>
    <s v="nostra.ie"/>
    <s v="minus"/>
    <x v="0"/>
    <s v="v=spf1 include:spf.protection.outlook.com include:autotask.net include:eu._netblocks.mimecast.com include:spf.exclaimer.net include:servers.mcsv.net include:6586605.spf03.hubspotemail.net include:spf.smtp2go.com include:spf.mandrillapp.com ip4:205.234.30.&quot; &quot;154 ip4:13.69.226.128/25 -all"/>
    <s v="yes"/>
    <x v="1"/>
    <s v="v=DMARC1; p=quarantine; sp=quarantine; rua=mailto:dmarc@nostra.ie; ruf=mailto:dmarc@nostra.ie; fo=1; pct=100"/>
    <m/>
    <m/>
    <x v="0"/>
    <x v="30"/>
    <x v="1"/>
  </r>
  <r>
    <s v="asi-revenue.com"/>
    <s v="minus"/>
    <x v="0"/>
    <s v="v=spf1 include:spf.protection.outlook.com -all"/>
    <s v="yes"/>
    <x v="2"/>
    <s v="v=DMARC1; p=none; rua=mailto:rua@dmarc.brevo.com"/>
    <m/>
    <m/>
    <x v="0"/>
    <x v="30"/>
    <x v="1"/>
  </r>
  <r>
    <s v="ksn.ie"/>
    <s v="minus"/>
    <x v="0"/>
    <s v="v=spf1 include:spf.protection.outlook.com include:spf.exclaimer.net include:spf.mandrillapp.com -all"/>
    <s v="yes"/>
    <x v="1"/>
    <s v="v=DMARC1; p=quarantine; rua=mailto:hosting@ksn.ie; ruf=mailto:hosting@ksn.ie; fo=1; pct=75;"/>
    <m/>
    <m/>
    <x v="0"/>
    <x v="30"/>
    <x v="1"/>
  </r>
  <r>
    <s v="stewart.ie"/>
    <s v="minus"/>
    <x v="0"/>
    <s v="v=spf1 ip4:66.206.3.250 +a +mx +ip4:206.51.235.130 +ip4:20.26.227.71 +ip4:52.17.45.98 +ip4:52.16.190.81 +ip4:52.30.130.201 +ip4:54.229.2.165 +include:spf.protection.outlook.com -all"/>
    <s v="yes"/>
    <x v="1"/>
    <s v="v=DMARC1;p=quarantine;sp=none;adkim=r;aspf=r;pct=100;fo=0;rf=afrf;ri=86400"/>
    <m/>
    <m/>
    <x v="7"/>
    <x v="30"/>
    <x v="1"/>
  </r>
  <r>
    <s v="firstirelandspirits.com"/>
    <s v="minus"/>
    <x v="0"/>
    <s v="v=spf1 include:spf.protection.outlook.com include:spf-uk.emailsignatures365.com include:eu._netblocks.mimecast.com include:_spf.workforceready.eu -all"/>
    <s v="yes"/>
    <x v="2"/>
    <s v="v=DMARC1; p=none; rua=mailto:4c1433119850876@rep.dmarcanalyzer.com; ruf=mailto:4c1433119850876@for.dmarcanalyzer.com; fo=1;"/>
    <m/>
    <m/>
    <x v="18"/>
    <x v="30"/>
    <x v="1"/>
  </r>
  <r>
    <s v="edenderrypower.ie"/>
    <s v="minus"/>
    <x v="0"/>
    <s v="v=spf1 include:spf.topsec.com include:nw010.com include:spf.protection.outlook.com ip4:109.70.215.137 -all"/>
    <s v="yes"/>
    <x v="2"/>
    <s v="v=dmarc1; p=none"/>
    <m/>
    <m/>
    <x v="21"/>
    <x v="30"/>
    <x v="1"/>
  </r>
  <r>
    <s v="kingmoffatt.com"/>
    <s v="minus"/>
    <x v="0"/>
    <s v="v=spf1 ip4:83.219.42.59 ip4:185.52.92.138 include:turbo-smtp.com include:email.kianda.com include:spf.protection.outlook.com -all"/>
    <s v="yes"/>
    <x v="3"/>
    <s v="v=DMARC1; p=reject; rua=mailto:kpopqbei@ag.dmarcian-eu.com;"/>
    <m/>
    <m/>
    <x v="19"/>
    <x v="30"/>
    <x v="1"/>
  </r>
  <r>
    <s v="rwardenburke.com"/>
    <s v="no"/>
    <x v="2"/>
    <m/>
    <m/>
    <x v="0"/>
    <m/>
    <m/>
    <m/>
    <x v="1"/>
    <x v="30"/>
    <x v="1"/>
  </r>
  <r>
    <s v="msmeng.ie"/>
    <s v="no"/>
    <x v="2"/>
    <m/>
    <m/>
    <x v="0"/>
    <m/>
    <m/>
    <m/>
    <x v="14"/>
    <x v="30"/>
    <x v="1"/>
  </r>
  <r>
    <s v="felectaireland.com"/>
    <s v="no"/>
    <x v="2"/>
    <m/>
    <m/>
    <x v="0"/>
    <m/>
    <m/>
    <m/>
    <x v="15"/>
    <x v="30"/>
    <x v="1"/>
  </r>
  <r>
    <s v="inishowengateway.com"/>
    <s v="minus"/>
    <x v="0"/>
    <s v="v=spf1 include:spf.protection.outlook.com include:netaffinity.net include:guestline.net include:roomlynx.net -all"/>
    <m/>
    <x v="0"/>
    <m/>
    <m/>
    <m/>
    <x v="6"/>
    <x v="30"/>
    <x v="1"/>
  </r>
  <r>
    <s v="thekilleshin.com"/>
    <s v="minus"/>
    <x v="0"/>
    <s v="v=spf1 include:spf.protection.outlook.com include:mailgun.org -all"/>
    <m/>
    <x v="1"/>
    <s v="v=DMARC1; p=quarantine; rua=mailto:8b3700aba2aa640@rep.dmarcanalyzer.com; ruf=mailto:8b3700aba2aa640@for.dmarcanalyzer.com; sp=none; fo=1;"/>
    <m/>
    <m/>
    <x v="18"/>
    <x v="30"/>
    <x v="1"/>
  </r>
  <r>
    <s v="macroomhaulage.com"/>
    <s v="minus"/>
    <x v="0"/>
    <s v="v=spf1 include:spf.protection.outlook.com -all"/>
    <m/>
    <x v="0"/>
    <m/>
    <m/>
    <m/>
    <x v="1"/>
    <x v="30"/>
    <x v="1"/>
  </r>
  <r>
    <s v="def.ie"/>
    <s v="minus"/>
    <x v="0"/>
    <s v="v=spf1 include:spf.protection.outlook.com include:spf.topsec.com -all"/>
    <m/>
    <x v="0"/>
    <m/>
    <m/>
    <m/>
    <x v="6"/>
    <x v="30"/>
    <x v="1"/>
  </r>
  <r>
    <s v="oreillytransport.ie"/>
    <s v="tilde"/>
    <x v="1"/>
    <s v="v=spf1 ip4:185.122.132.45 ip4:185.122.132.65 include:spf.protection.outlook.com ~all"/>
    <m/>
    <x v="0"/>
    <m/>
    <m/>
    <m/>
    <x v="0"/>
    <x v="30"/>
    <x v="1"/>
  </r>
  <r>
    <s v="flemingtransport.com"/>
    <s v="minus"/>
    <x v="0"/>
    <s v="v=spf1 include:spf.protection.outlook.com -all"/>
    <m/>
    <x v="0"/>
    <m/>
    <m/>
    <m/>
    <x v="7"/>
    <x v="30"/>
    <x v="1"/>
  </r>
  <r>
    <s v="lottery.ie"/>
    <s v="minus"/>
    <x v="0"/>
    <s v="v=spf1 ip4:217.112.145.162 ip4:217.112.145.163 ip4:154.50.193.18 ip4:168.245.21.201 ip4:185.81.100.0/22 ip4:54.93.78.134 ip4:59.93.137.237 ip4:54.93.151.48 ip4:54.93.154.157 ip4:54.93.162.246 ip4:89.124.244.132 ip4:149.6.4.100 ip4:85.255.23.11 include:spf&quot; &quot;.protection.outlook.com include:mail.zendesk.com include:_spf.psm.knowbe4.com include:spf.mandrillapp.com include:servers.mcsv.net include:spf.eu.signature365.net -all"/>
    <s v="yes"/>
    <x v="1"/>
    <s v="v=DMARC1; p=quarantine; rua=mailto:h9pgmkye@ag.dmarcian.eu; ruf=mailto:h9pgmkye@fr.dmarcian.eu;"/>
    <m/>
    <m/>
    <x v="0"/>
    <x v="30"/>
    <x v="1"/>
  </r>
  <r>
    <s v="horizonpharma.com"/>
    <s v="tilde"/>
    <x v="1"/>
    <s v="v=spf1 include:servers.mcsv.net include:sendgrid.net include:email.peoplevine.com include:mailgun.org exists:%{i}._spf.mta.salesforce.com include:spf.protection.outlook.com include:spf-003eea01.pphosted.com ~all"/>
    <s v="yes"/>
    <x v="2"/>
    <s v="v=DMARC1; p=none; fo=1; rua=mailto:dmarc_rua@emaildefense.proofpoint.com; ruf=mailto:dmarc_ruf@emaildefense.proofpoint.com"/>
    <m/>
    <m/>
    <x v="0"/>
    <x v="30"/>
    <x v="1"/>
  </r>
  <r>
    <s v="piab.ie"/>
    <s v="tilde"/>
    <x v="1"/>
    <s v="v=spf1 mx ip4:62.77.181.0/24 ip4:137.191.232.16/29 ip4:137.191.224.114/32 ip4:137.191.232.176/28 ip4:193.178.98.68/31 ip4:51.140.50.9/32 include:scanscope.net include:spf.protection.outlook.com ~all"/>
    <s v="yes"/>
    <x v="1"/>
    <s v="v=DMARC1; p=quarantine; pct=100; rua=mailto:dmarc@piab.ie; ruf=mailto:dmarc@piab.ie; fo=1"/>
    <m/>
    <m/>
    <x v="1"/>
    <x v="30"/>
    <x v="1"/>
  </r>
  <r>
    <s v="bim.ie"/>
    <s v="minus"/>
    <x v="0"/>
    <s v="v=spf1 ip4:137.191.242.130 mx include:_spf.qp-mail.eu include:spf.protection.outlook.com include:_spf.salesforce.com include:servers.mcsv.net include:spf.stackmail.com -all"/>
    <s v="yes"/>
    <x v="1"/>
    <s v="v=DMARC1; p=quarantine; fo=1; rua=mailto:dmarc_reports@bim.ie; ruf=mailto:dmarc_reports@bim.ie"/>
    <m/>
    <m/>
    <x v="0"/>
    <x v="30"/>
    <x v="1"/>
  </r>
  <r>
    <s v="injuriesboard.ie"/>
    <s v="minus"/>
    <x v="0"/>
    <s v="v=spf1 mx ip4:62.77.181.0/24 ip4:137.191.232.16/29 ip4:137.191.224.114/32 ip4:137.191.232.176/28 ip4:193.178.98.68/31 ip4:51.140.50.9/32 include:scanscope.net include:spf.protection.outlook.com -all"/>
    <s v="yes"/>
    <x v="2"/>
    <s v="v=DMARC1; p=none; pct=100; rua=mailto:dmarc@injuriesboard.ie; ruf=mailto:dmarc@injuriesboard.ie; fo=1"/>
    <m/>
    <m/>
    <x v="0"/>
    <x v="30"/>
    <x v="1"/>
  </r>
  <r>
    <s v="udaras.ie"/>
    <s v="minus"/>
    <x v="0"/>
    <s v="v=spf1 +a +mx +ip4:137.191.235.213 +include:spf.protection.outlook.com +include:servers.mcsv.net +include:spfss1.udaras.ie -all"/>
    <s v="yes"/>
    <x v="1"/>
    <s v="v=DMARC1; p=quarantine; rua=mailto:dmarc@udaras.ie; ruf=mailto:dmarc@udaras.ie; pct=100;  fo=1;"/>
    <m/>
    <m/>
    <x v="7"/>
    <x v="30"/>
    <x v="1"/>
  </r>
  <r>
    <s v="stleoscarlow.ie"/>
    <s v="minus"/>
    <x v="0"/>
    <s v="v=spf1 include:spf.protection.outlook.com -all"/>
    <m/>
    <x v="0"/>
    <m/>
    <m/>
    <m/>
    <x v="25"/>
    <x v="30"/>
    <x v="1"/>
  </r>
  <r>
    <s v="belvederecollege.ie"/>
    <s v="tilde"/>
    <x v="1"/>
    <s v="v=spf1 ip4:10.10.4.24 include:spf.protection.outlook.com include:_spf.intacct.com include:27120253.spf08.hubspotemail.net exists:%{i}._spf.inkyphishfence.com ~all"/>
    <s v="yes"/>
    <x v="1"/>
    <s v="v=DMARC1; p=quarantine; rua=mailto:postmaster.be@belvederecollege.ie;"/>
    <m/>
    <m/>
    <x v="0"/>
    <x v="30"/>
    <x v="1"/>
  </r>
  <r>
    <s v="cabinteelycs.ie"/>
    <s v="minus"/>
    <x v="0"/>
    <s v="v=spf1 a include:spf.protection.outlook.com include:spf.blacknight.com -all"/>
    <m/>
    <x v="0"/>
    <m/>
    <m/>
    <m/>
    <x v="0"/>
    <x v="30"/>
    <x v="1"/>
  </r>
  <r>
    <s v="loretobalbriggan.ie"/>
    <s v="tilde"/>
    <x v="1"/>
    <s v="v=spf1 ip4:185.224.198.54 include:_spf.google.com ~all"/>
    <s v="yes"/>
    <x v="0"/>
    <m/>
    <m/>
    <m/>
    <x v="0"/>
    <x v="30"/>
    <x v="1"/>
  </r>
  <r>
    <s v="lucancc.ie"/>
    <s v="minus"/>
    <x v="0"/>
    <s v="v=spf1 include:spf.protection.outlook.com ip4:77.107.211.222 ip4:77.107.210.71 -all"/>
    <s v="yes"/>
    <x v="0"/>
    <m/>
    <m/>
    <m/>
    <x v="0"/>
    <x v="30"/>
    <x v="1"/>
  </r>
  <r>
    <s v="skerriescommunitycollege.ie"/>
    <s v="tilde"/>
    <x v="1"/>
    <s v="v=spf1 a include:spf.blacknight.ie  ~all"/>
    <m/>
    <x v="0"/>
    <m/>
    <m/>
    <m/>
    <x v="0"/>
    <x v="30"/>
    <x v="1"/>
  </r>
  <r>
    <s v="saintaugustines.ie"/>
    <s v="tilde"/>
    <x v="1"/>
    <s v="v=spf1 include:spf.protection.outlook.com ~all"/>
    <m/>
    <x v="0"/>
    <m/>
    <m/>
    <m/>
    <x v="0"/>
    <x v="30"/>
    <x v="1"/>
  </r>
  <r>
    <s v="stmichaelsfinglas.scoilnet.ie"/>
    <s v="no"/>
    <x v="2"/>
    <m/>
    <m/>
    <x v="0"/>
    <m/>
    <m/>
    <m/>
    <x v="0"/>
    <x v="30"/>
    <x v="1"/>
  </r>
  <r>
    <s v="sligogrammarschool.org"/>
    <s v="tilde"/>
    <x v="1"/>
    <s v="v=spf1 mx ip4:164.92.217.69 ip4:104.248.81.172 include:relay.mailchannels.net include:spf.protection.outlook.com ~all"/>
    <m/>
    <x v="0"/>
    <m/>
    <m/>
    <m/>
    <x v="8"/>
    <x v="30"/>
    <x v="1"/>
  </r>
  <r>
    <s v="cashelcommunityschool.ie"/>
    <s v="tilde"/>
    <x v="1"/>
    <s v="v=spf1 +a +mx +ip4:81.17.241.121 include:spf.webhostingireland.ie include:_spf.google.com ~all"/>
    <s v="yes"/>
    <x v="2"/>
    <s v="v=DMARC1; p=none; pct=100"/>
    <m/>
    <m/>
    <x v="13"/>
    <x v="30"/>
    <x v="1"/>
  </r>
  <r>
    <s v="delasallewaterford.com"/>
    <s v="no"/>
    <x v="2"/>
    <m/>
    <m/>
    <x v="0"/>
    <m/>
    <m/>
    <m/>
    <x v="10"/>
    <x v="30"/>
    <x v="1"/>
  </r>
  <r>
    <s v="wcfe.ie"/>
    <s v="tilde"/>
    <x v="1"/>
    <s v="v=spf1 ip4:162.253.153.85 +a +mx +ip4:162.253.153.83 ~all"/>
    <s v="yes"/>
    <x v="0"/>
    <m/>
    <m/>
    <m/>
    <x v="10"/>
    <x v="30"/>
    <x v="1"/>
  </r>
  <r>
    <s v="hotelkilmore.ie"/>
    <s v="minus"/>
    <x v="0"/>
    <s v="v=spf1 include:spf.protection.outlook.com -all"/>
    <s v="yes"/>
    <x v="2"/>
    <s v="v=DMARC1; p=none"/>
    <m/>
    <m/>
    <x v="11"/>
    <x v="30"/>
    <x v="1"/>
  </r>
  <r>
    <s v="bluehavenkinsale.com"/>
    <s v="tilde"/>
    <x v="1"/>
    <s v="v=spf1 mx ip4:92.52.113.135 ip4:212.64.131.152 ip4:162.13.103.214 ip4:66.96.128.0/18 include:spf.protection.outlook.com include:netaffinity.net ~all"/>
    <m/>
    <x v="2"/>
    <s v="v=DMARC1; p=none;"/>
    <m/>
    <m/>
    <x v="1"/>
    <x v="30"/>
    <x v="1"/>
  </r>
  <r>
    <s v="mcgettiganshotel.com"/>
    <s v="tilde"/>
    <x v="1"/>
    <s v="v=spf1 include:_spf.google.com include:netaffinity.net ~all"/>
    <s v="yes"/>
    <x v="2"/>
    <s v="v=DMARC1; p=none; pct=100; fo=1"/>
    <m/>
    <m/>
    <x v="6"/>
    <x v="30"/>
    <x v="1"/>
  </r>
  <r>
    <s v="claytonhoteldublinairport.com"/>
    <s v="no"/>
    <x v="2"/>
    <m/>
    <m/>
    <x v="0"/>
    <m/>
    <m/>
    <m/>
    <x v="0"/>
    <x v="30"/>
    <x v="1"/>
  </r>
  <r>
    <s v="dublinskylonhotel.com"/>
    <s v="minus"/>
    <x v="0"/>
    <s v="v=spf1 a mx ip4:20.76.82.246 ip4:20.76.82.120 ip4:20.50.2.51 ip4:20.76.82.215 ip4:20.76.82.224 ip4:20.76.83.36 ip4:20.76.83.56 include:spf.protection.outlook.com include:netaffinity.net include:sendgrid.net -all"/>
    <m/>
    <x v="2"/>
    <s v="v=DMARC1; p=none; pct=100; fo=1"/>
    <m/>
    <m/>
    <x v="0"/>
    <x v="30"/>
    <x v="1"/>
  </r>
  <r>
    <s v="dylan.ie"/>
    <s v="minus"/>
    <x v="0"/>
    <s v="v=spf1 include:spf.protection.outlook.com include:amazonses.com ip4:35.192.181.145 ip4:35.222.49.21 ip4:34.132.184.222 ip4:34.69.44.134 ip4:35.223.170.93 ip4:34.86.254.203 ip4:34.85.182.168 ip4:34.145.244.232 ip4:34.150.215.45 ip4:35.245.27.80 &quot; &quot;include:netaffinity.net include:eu.rp.oracleemaildelivery.com -all"/>
    <s v="yes"/>
    <x v="3"/>
    <s v="v=DMARC1; p=reject; rua=mailto:sgraham@dylan.ie; ruf=mailto:sgraham@dylan.ie; sp=reject; aspf=s; ri=86400"/>
    <m/>
    <m/>
    <x v="0"/>
    <x v="30"/>
    <x v="1"/>
  </r>
  <r>
    <s v="claregalwayhotel.ie"/>
    <s v="minus"/>
    <x v="0"/>
    <s v="v=spf1 include:guestline.net include:sendgrid.net include:roomlynx.net include:spf.protection.outlook.com include:darwin.krystal.co.uk include:mail1.wpengine.com ip4:52.166.124.85 ip4:20.184.12.41 ip4:149.72.1.66 -all"/>
    <m/>
    <x v="0"/>
    <m/>
    <m/>
    <m/>
    <x v="7"/>
    <x v="30"/>
    <x v="1"/>
  </r>
  <r>
    <s v="thegalmont.com"/>
    <s v="minus"/>
    <x v="0"/>
    <s v="v=spf1 ip4:89.101.65.89 include:spf.protection.outlook.com include:spf.premiersoftware.co.uk include:spf.mandrillapp.com include:_spf.bookassist.com Include:_spf.salesforce.com -all"/>
    <s v="yes"/>
    <x v="1"/>
    <s v="v=DMARC1; p=quarantine; pct=100; rua=mailto:dmarc@thegalmont.com; ruf=mailto:dmarc@thegalmont.com"/>
    <m/>
    <m/>
    <x v="7"/>
    <x v="30"/>
    <x v="1"/>
  </r>
  <r>
    <s v="killarneyinternational.com"/>
    <s v="minus"/>
    <x v="0"/>
    <s v="v=spf1 include:spf.protection.outlook.com include:netaffinity.net -all"/>
    <m/>
    <x v="2"/>
    <s v="v=DMARC1; p=none;"/>
    <m/>
    <m/>
    <x v="14"/>
    <x v="30"/>
    <x v="1"/>
  </r>
  <r>
    <s v="lyrath.com"/>
    <s v="minus"/>
    <x v="0"/>
    <s v="v=spf1 include:spf.protection.outlook.com -all"/>
    <s v="yes"/>
    <x v="2"/>
    <s v="v=DMARC1; p=none;"/>
    <m/>
    <m/>
    <x v="17"/>
    <x v="30"/>
    <x v="1"/>
  </r>
  <r>
    <s v="springhillcourt.com"/>
    <s v="minus"/>
    <x v="0"/>
    <s v="v=spf1 ip4:213.191.226.7 include:spf.protection.outlook.com include:netaffinity.net -all"/>
    <m/>
    <x v="0"/>
    <m/>
    <m/>
    <m/>
    <x v="17"/>
    <x v="30"/>
    <x v="1"/>
  </r>
  <r>
    <s v="hotelwestport.ie"/>
    <s v="minus"/>
    <x v="0"/>
    <s v="v=spf1 include:spf.protection.outlook.com include:eu._netblocks.mimecast.com include:spf.emailsignatures365.com include:netaffinity.net -all"/>
    <s v="yes"/>
    <x v="1"/>
    <s v="v=DMARC1; p=quarantine"/>
    <m/>
    <m/>
    <x v="4"/>
    <x v="30"/>
    <x v="1"/>
  </r>
  <r>
    <s v="citynorthhotel.com"/>
    <s v="minus"/>
    <x v="0"/>
    <s v="v=spf1 include:spf.protection.outlook.com include:_spf.bookassist.com include:guestline.net -all"/>
    <s v="yes"/>
    <x v="2"/>
    <s v="v=DMARC1; p=none; rua=mailto:admin@citynorthhotel.com; ruf=mailto:dmarc@citynorthhotel.com; sp=none; fo=1;"/>
    <m/>
    <m/>
    <x v="15"/>
    <x v="30"/>
    <x v="1"/>
  </r>
  <r>
    <s v="ardboynehotel.com"/>
    <s v="tilde"/>
    <x v="1"/>
    <s v="v=spf1 mx a:mail.cusackhotels.com include:spf.protection.outlook.com ip4:86.47.104.18 ip4:159.134.198.135 include:netaffinity.net ~all"/>
    <m/>
    <x v="0"/>
    <m/>
    <m/>
    <m/>
    <x v="15"/>
    <x v="30"/>
    <x v="1"/>
  </r>
  <r>
    <s v="grevillearmshotel.ie"/>
    <s v="minus"/>
    <x v="0"/>
    <s v="v=spf1 ip4:209.124.66.28 ip4:35.214.241.152 include:spf.supercp.com include:spf.protection.outlook.com -all"/>
    <s v="yes"/>
    <x v="0"/>
    <m/>
    <m/>
    <m/>
    <x v="23"/>
    <x v="30"/>
    <x v="1"/>
  </r>
  <r>
    <s v="brandonhousehotel.ie"/>
    <s v="minus"/>
    <x v="0"/>
    <s v="v=spf1 a:mail.brandonhousehotel.ie include:spf.guestjoy.com include:netaffinity.net include:spf.mailanyone.net include:spf.protection.outlook.com include:roomlynx.net ip4:205.201.128.0/20 ip4:198.2.128.0/18 ip4:148.105.8.0/21 ip4:52.166.124.85 ip4:20&quot; &quot;.184.12.41 ip4:149.72.1.66 -all"/>
    <m/>
    <x v="0"/>
    <m/>
    <m/>
    <m/>
    <x v="3"/>
    <x v="30"/>
    <x v="1"/>
  </r>
  <r>
    <s v="riverbankhousehotel.com"/>
    <s v="tilde"/>
    <x v="1"/>
    <s v="v=spf1 include:spf.protection.outlook.com a mx include:netaffinity.net include:spf.blacknight.ie include:spfa.cpmails.com ~all"/>
    <s v="yes"/>
    <x v="3"/>
    <s v="v=DMARC1; p=reject; pct=100; fo=1; ri=3600; rua=mailto:3fb8dd5c@inbox.ondmarc.com; ruf=mailto:3fb8dd5c@inbox.ondmarc.com;"/>
    <m/>
    <m/>
    <x v="3"/>
    <x v="30"/>
    <x v="1"/>
  </r>
  <r>
    <s v="whitfordhousehotel.ie"/>
    <s v="no"/>
    <x v="2"/>
    <m/>
    <m/>
    <x v="0"/>
    <m/>
    <m/>
    <m/>
    <x v="3"/>
    <x v="30"/>
    <x v="1"/>
  </r>
  <r>
    <s v="legalaidboard.ie"/>
    <s v="minus"/>
    <x v="0"/>
    <s v="v=spf1 a mx ip4:137.191.230.178 include:spf.protection.outlook.com  -all"/>
    <s v="yes"/>
    <x v="3"/>
    <s v="v=DMARC1; p=reject; pct=0; rua=mailto:6356a653ba@rua.easydmarc.eu; ruf=mailto:6356a653ba@ruf.easydmarc.eu;ri=3600;fo=1"/>
    <m/>
    <m/>
    <x v="0"/>
    <x v="30"/>
    <x v="1"/>
  </r>
  <r>
    <s v="wilkergroup.com"/>
    <s v="minus"/>
    <x v="0"/>
    <s v="v=spf1 include:spf.protection.outlook.com -all"/>
    <s v="yes"/>
    <x v="0"/>
    <m/>
    <m/>
    <m/>
    <x v="21"/>
    <x v="30"/>
    <x v="1"/>
  </r>
  <r>
    <s v="fwmetals.com"/>
    <s v="minus"/>
    <x v="0"/>
    <s v="v=spf1 mx a:exchange.fwmetals.com a:mail.fwmetals.com a:router.fwmetals.com include:spf.protection.outlook.com include:dnsma.accellion.com include:dnsus1.accellion.com include:dnsus2.accellion.com include:aspmx.pardot.com include:_spf.salesforce.com inclu&quot; &quot;de:_spf.psm.knowbe4.com -all"/>
    <s v="yes"/>
    <x v="2"/>
    <s v="v=DMARC1;  p=none; rua=mailto:a5fc4285a66b4bd09e42313761f54088@dmarc-reports.cloudflare.net"/>
    <m/>
    <m/>
    <x v="4"/>
    <x v="30"/>
    <x v="1"/>
  </r>
  <r>
    <s v="info@oconnorsbakery.com"/>
    <s v="no"/>
    <x v="2"/>
    <m/>
    <m/>
    <x v="0"/>
    <m/>
    <m/>
    <m/>
    <x v="9"/>
    <x v="30"/>
    <x v="1"/>
  </r>
  <r>
    <s v="thundersbakery.ie"/>
    <s v="minus"/>
    <x v="0"/>
    <s v="v=spf1 include:spf.protection.outlook.com include:amazonses.com -all"/>
    <m/>
    <x v="0"/>
    <m/>
    <m/>
    <m/>
    <x v="0"/>
    <x v="30"/>
    <x v="1"/>
  </r>
  <r>
    <s v="flogas.ie"/>
    <s v="minus"/>
    <x v="0"/>
    <s v="v=spf1 include:spf.protection.outlook.com include:emaileuc.freshservice.com include:workforceready.eu include:shops.shopify.com include:sendgrid.net include:spf.mandrillapp.com ip4:149.72.159.162 ip4:104.198.207.207 -all"/>
    <s v="yes"/>
    <x v="3"/>
    <s v="v=DMARC1; p=reject; rua=mailto:fraudalert@flogas.ie; ruf=mailto:fraudalert@flogas.ie; sp=quarantine; ri=86400"/>
    <m/>
    <m/>
    <x v="2"/>
    <x v="30"/>
    <x v="1"/>
  </r>
  <r>
    <s v="taylormadeglass.com"/>
    <s v="minus"/>
    <x v="0"/>
    <s v="v=spf1 exists:%{i}.spf.lci1.iphmx.com ip4:68.232.135.248 ip4:68.232.131.51 include:spf.protection.outlook.com -all"/>
    <m/>
    <x v="2"/>
    <s v="v=DMARC1; p=none; rua=mailto:db85daabc5b7606@rep.dmarcanalyzer.com; ruf=mailto:db85daabc5b7606@for.dmarcanalyzer.com; sp=none; fo=1;"/>
    <m/>
    <m/>
    <x v="13"/>
    <x v="30"/>
    <x v="1"/>
  </r>
  <r>
    <s v="reagecon.com"/>
    <s v="minus"/>
    <x v="0"/>
    <s v="v=spf1 include:spf.protection.outlook.com -all"/>
    <s v="yes"/>
    <x v="0"/>
    <m/>
    <m/>
    <m/>
    <x v="9"/>
    <x v="30"/>
    <x v="1"/>
  </r>
  <r>
    <s v="newbridgesilverware.com"/>
    <s v="minus"/>
    <x v="0"/>
    <s v="v=spf1 include:spf.protection.outlook.com include:sg.newbridgesilverware.com include:sendgrid.net include:azurespf.irpcommerce.com -all"/>
    <s v="yes"/>
    <x v="2"/>
    <s v="v=DMARC1;p=none;rua=mailto:dmarcreports@newbridgesilverware.com"/>
    <m/>
    <m/>
    <x v="16"/>
    <x v="30"/>
    <x v="1"/>
  </r>
  <r>
    <s v="kubekitchens.ie"/>
    <s v="no"/>
    <x v="2"/>
    <m/>
    <m/>
    <x v="0"/>
    <m/>
    <m/>
    <m/>
    <x v="0"/>
    <x v="30"/>
    <x v="1"/>
  </r>
  <r>
    <s v="toyotaforklifts.ie"/>
    <s v="no"/>
    <x v="2"/>
    <m/>
    <m/>
    <x v="0"/>
    <m/>
    <m/>
    <m/>
    <x v="0"/>
    <x v="30"/>
    <x v="1"/>
  </r>
  <r>
    <s v="roramotion.com"/>
    <s v="minus"/>
    <x v="0"/>
    <s v="v=spf1 include:spf.protection.outlook.de include:spf.protection.outlook.com -all"/>
    <m/>
    <x v="0"/>
    <m/>
    <m/>
    <m/>
    <x v="14"/>
    <x v="30"/>
    <x v="1"/>
  </r>
  <r>
    <s v="tmblinds.com"/>
    <s v="tilde"/>
    <x v="1"/>
    <s v="v=spf1 include:%{ir}.%{v}.%{d}.spf.has.pphosted.com ip4:78.153.216.58 ip4:149.5.37.42 include:eu._extnetblocks.mimecast.com include:eu._netblocks.mimecast.com include:spf.sendinblue.com include:spf.protection.outlook.com include:spf.fusemail.net incl&quot; &quot;ude:_spf.soluno.se ~all"/>
    <s v="yes"/>
    <x v="2"/>
    <s v="v=DMARC1; p=none; sp=none; rua=mailto:dmarc@mailinblue.com!10m; ruf=mailto:dmarc@mailinblue.com!10m; rf=afrf; pct=100; ri=86400"/>
    <m/>
    <m/>
    <x v="0"/>
    <x v="30"/>
    <x v="1"/>
  </r>
  <r>
    <s v="pei.ie"/>
    <s v="mis"/>
    <x v="3"/>
    <s v="v=spf1 ip4:68.232.159.152/32 ip4:68.232.151.139/32 include:spf.protection.outlook.com include:spf.ers.ie include:spf.zendesk.com "/>
    <s v="yes"/>
    <x v="1"/>
    <s v="v=DMARC1; p=quarantine; rua=mailto:dmarc_reports@pei.ie;"/>
    <m/>
    <m/>
    <x v="0"/>
    <x v="30"/>
    <x v="1"/>
  </r>
  <r>
    <s v="neuravi.com"/>
    <s v="no"/>
    <x v="2"/>
    <m/>
    <m/>
    <x v="0"/>
    <m/>
    <m/>
    <m/>
    <x v="7"/>
    <x v="30"/>
    <x v="1"/>
  </r>
  <r>
    <s v="duggansteel.ie"/>
    <s v="minus"/>
    <x v="0"/>
    <s v="v=spf1 include:spf.protection.outlook.com -all"/>
    <s v="yes"/>
    <x v="1"/>
    <s v="v=DMARC1; p=quarantine;"/>
    <m/>
    <m/>
    <x v="1"/>
    <x v="30"/>
    <x v="1"/>
  </r>
  <r>
    <s v="harringtonconcrete.ie"/>
    <s v="minus"/>
    <x v="0"/>
    <s v="v=spf1 include:spf.protection.outlook.com include:nes1.nostra.ie ip4:88.81.127.190 include:spf.emailsignatures365.com include:spf.google.com -all"/>
    <s v="yes"/>
    <x v="4"/>
    <s v=" v=DMARC1; r=reject"/>
    <m/>
    <m/>
    <x v="4"/>
    <x v="30"/>
    <x v="1"/>
  </r>
  <r>
    <s v="ams.ie"/>
    <s v="tilde"/>
    <x v="1"/>
    <s v="v=spf1 include:_spf.google.com include:spf.protection.outlook.com include:eu.transmail.net include:mailcontrol.com ~all"/>
    <s v="yes"/>
    <x v="2"/>
    <s v="v=DMARC1;  p=none; rua=mailto:7ab21bb240fe46628997048c1e0f92d2@dmarc-reports.cloudflare.net"/>
    <m/>
    <m/>
    <x v="1"/>
    <x v="30"/>
    <x v="1"/>
  </r>
  <r>
    <s v="kingspancentury.com"/>
    <s v="tilde"/>
    <x v="1"/>
    <s v="v=spf1 include:spf.kingspan.com ~all"/>
    <s v="yes"/>
    <x v="0"/>
    <m/>
    <m/>
    <m/>
    <x v="12"/>
    <x v="30"/>
    <x v="1"/>
  </r>
  <r>
    <s v="bespace.ie"/>
    <s v="tilde"/>
    <x v="1"/>
    <s v="v=spf1 include:spf.hornetsecurity.com include:spf.reg365.net include:spf.protection.outlook.com ~all"/>
    <s v="yes"/>
    <x v="2"/>
    <s v="v=DMARC1; p=none; rua=mailto:dmarc@bespace.ie"/>
    <m/>
    <m/>
    <x v="0"/>
    <x v="30"/>
    <x v="1"/>
  </r>
  <r>
    <s v="romaquip.com"/>
    <s v="minus"/>
    <x v="0"/>
    <s v="v=spf1 include:spf.protection.outlook.com -all"/>
    <m/>
    <x v="1"/>
    <s v="v=DMARC1; p=quarantine; rua=mailto:postmaster.ro@romaquip.com"/>
    <m/>
    <m/>
    <x v="21"/>
    <x v="30"/>
    <x v="1"/>
  </r>
  <r>
    <s v="taconic-ipd.com"/>
    <s v="no"/>
    <x v="2"/>
    <m/>
    <m/>
    <x v="0"/>
    <m/>
    <m/>
    <m/>
    <x v="23"/>
    <x v="30"/>
    <x v="1"/>
  </r>
  <r>
    <s v="diasorin.com"/>
    <s v="tilde"/>
    <x v="1"/>
    <s v="v=spf1 include:us._netblocks.mimecast.com include:aspmx.pardot.com include:_spfeu.qmarkets-dns.org include:_netblocks1.luxsci.com include:cust-spf.exacttarget.com ip4:67.225.240.149 ip4:66.206.198.103 ip4:198.37.154.52 ip4:158.247.28.163 ip4:158.247.26.47&quot; &quot; ip4:212.237.48.207 ip4:148.251.206.68 ip4:67.225.240.149 ip4:198.37.155.44 include:spf.protection.outlook.com ~all"/>
    <s v="yes"/>
    <x v="2"/>
    <s v="v=DMARC1; p=none"/>
    <m/>
    <m/>
    <x v="0"/>
    <x v="30"/>
    <x v="1"/>
  </r>
  <r>
    <s v="silverpail.com"/>
    <s v="tilde"/>
    <x v="1"/>
    <s v="v=spf1 ip4:185.51.105.134  include:spf.protection.outlook.com ~all"/>
    <s v="yes"/>
    <x v="2"/>
    <s v="v=DMARC1; p=none"/>
    <m/>
    <m/>
    <x v="1"/>
    <x v="30"/>
    <x v="1"/>
  </r>
  <r>
    <s v="petstop.ie"/>
    <s v="tilde"/>
    <x v="1"/>
    <s v="v=spf1 +ip4:178.79.134.19 +a +mx +ip4:46.101.4.51 +ip4:199.102.228.136 +ip4:81.94.196.136 +include:_spf.google.com +include:petstop.ie ~all"/>
    <s v="yes"/>
    <x v="1"/>
    <s v="v=DMARC1; p=quarantine; rua=mailto:info@petstop.ie"/>
    <m/>
    <m/>
    <x v="0"/>
    <x v="30"/>
    <x v="1"/>
  </r>
  <r>
    <s v="jmob.ie"/>
    <s v="minus"/>
    <x v="0"/>
    <s v="v=spf1 include:spf.protection.outlook.com include:spf.topsec.com -all"/>
    <s v="yes"/>
    <x v="1"/>
    <s v="v=DMARC1;p=quarantine;sp=none;adkim=r;aspf=r;pct=100;fo=1;rf=afrf;ri=86400;rua=mailto:dmarc@jmob.ie;ruf=mailto:dmarc@jmob.ie"/>
    <m/>
    <m/>
    <x v="0"/>
    <x v="30"/>
    <x v="1"/>
  </r>
  <r>
    <s v="mcguirks.com"/>
    <s v="minus"/>
    <x v="0"/>
    <s v="v=spf1 ip6:fd1b:212c:a5f9::/48 -all"/>
    <m/>
    <x v="0"/>
    <m/>
    <m/>
    <m/>
    <x v="0"/>
    <x v="30"/>
    <x v="1"/>
  </r>
  <r>
    <s v="abbeymachinery.com"/>
    <s v="tilde"/>
    <x v="1"/>
    <s v="v=spf1 ipv4:78.153.209.23 ipv4:185.61.0.173 include:authsmtp.com include:mxsmtp.sendpulse.com include:spf.elive.net +a +mx include:spf.protection.outlook.com include:authsmtp.com ~all"/>
    <s v="yes"/>
    <x v="3"/>
    <s v="v=DMARC1;p=reject;pct=100;rua=mailto:50a8ff601e@rua.easydmarc.eu,mailto:dmarc-reports@abbeymachinery.com;ruf=mailto:50a8ff601e@ruf.easydmarc.eu;ri=86400;fo=1;"/>
    <m/>
    <m/>
    <x v="13"/>
    <x v="30"/>
    <x v="1"/>
  </r>
  <r>
    <s v="cartencontrols.com"/>
    <s v="minus"/>
    <x v="0"/>
    <s v="v=spf1 include:spf.protection.outlook.com -all"/>
    <s v="yes"/>
    <x v="0"/>
    <m/>
    <m/>
    <m/>
    <x v="10"/>
    <x v="30"/>
    <x v="1"/>
  </r>
  <r>
    <s v="weirandsons.com"/>
    <s v="minus"/>
    <x v="0"/>
    <s v="v=spf1 include:spf.protection.outlook.com -all"/>
    <m/>
    <x v="0"/>
    <m/>
    <m/>
    <m/>
    <x v="0"/>
    <x v="30"/>
    <x v="1"/>
  </r>
  <r>
    <s v="portwest.com"/>
    <s v="minus"/>
    <x v="0"/>
    <s v="v=spf1 include:spf.protection.outlook.com include:_netblocks.mimecast.com include:spf.emailsignatures365.com include:spf.smtp2go.com ip4:83.71.238.82  ip4:69.72.40.93 ip4:69.72.40.94 ip4:69.72.40.95 ip4:69.72.40.96 ip4:69.72.40.97 ip4:69.72.40.98 ip4:69.7&quot; &quot;2.40.99 ip4:69.72.47.205 ip4:185.250.239.148 ip4:185.250.239.168 ip4:185.250.239.190 -all"/>
    <s v="yes"/>
    <x v="1"/>
    <s v="v=DMARC1; p=quarantine;"/>
    <m/>
    <m/>
    <x v="4"/>
    <x v="30"/>
    <x v="1"/>
  </r>
  <r>
    <s v="windmilllane.com"/>
    <s v="tilde"/>
    <x v="1"/>
    <s v="v=spf1 include:_spf.google.com ~all"/>
    <s v="yes"/>
    <x v="3"/>
    <s v="v=DMARC1; p=reject; sp=reject; rua=mailto:dmarc-general@windmilllane.com; ruf=mailto:dmarc-forensic@windmilllane.com; pct=100"/>
    <m/>
    <m/>
    <x v="0"/>
    <x v="30"/>
    <x v="1"/>
  </r>
  <r>
    <s v="tg4.ie"/>
    <s v="minus"/>
    <x v="0"/>
    <s v="v=spf1 ip4:40.107.14.130 include:spf.protection.outlook.com include:amazonses.com include:spf.exclaimer.net -all"/>
    <s v="yes"/>
    <x v="3"/>
    <s v="v=DMARC1;p=reject;sp=reject;pct=100;rua=mailto:abuse@tg4.ie;ruf=mailto:deliveryfailure@tg4.ie;ri=86400;aspf=r;fo=1"/>
    <m/>
    <m/>
    <x v="7"/>
    <x v="30"/>
    <x v="1"/>
  </r>
  <r>
    <s v="rhk.ie"/>
    <s v="tilde"/>
    <x v="1"/>
    <s v="v=spf1 a include:spf.blacknight.ie ~all"/>
    <m/>
    <x v="0"/>
    <m/>
    <m/>
    <m/>
    <x v="0"/>
    <x v="30"/>
    <x v="1"/>
  </r>
  <r>
    <s v="scor.com"/>
    <s v="minus"/>
    <x v="0"/>
    <s v="v=spf1 include:spf-005a4501.pphosted.com include:spf.protection.outlook.com include:_spf1.scor.com include:_spf2.scor.com include:spf_c.oraclecloud.com -all"/>
    <m/>
    <x v="3"/>
    <s v="v=DMARC1; p=reject; fo=1; rua=mailto:dmarc_rua@emaildefense.proofpoint.com; ruf=mailto:dmarc_ruf@emaildefense.proofpoint.com"/>
    <m/>
    <m/>
    <x v="0"/>
    <x v="30"/>
    <x v="1"/>
  </r>
  <r>
    <s v="clona.ie"/>
    <s v="minus"/>
    <x v="0"/>
    <s v="v=spf1 include:spf.protection.outlook.com -all"/>
    <s v="yes"/>
    <x v="2"/>
    <s v="v=DMARC1; p=none; fo=1; rua=mailto:rua+clona.ie@dmarc.barracudanetworks.com; ruf=mailto:ruf+clona.ie@dmarc.barracudanetworks.com"/>
    <m/>
    <m/>
    <x v="1"/>
    <x v="30"/>
    <x v="1"/>
  </r>
  <r>
    <s v="mcmonaglestone.ie"/>
    <s v="minus"/>
    <x v="0"/>
    <s v="v=spf1 include:spf.protection.outlook.com -all"/>
    <s v="yes"/>
    <x v="2"/>
    <s v="v=DMARC1; p=none; rua=mailto:admin@mcmonaglestone.ie; ruf=mailto:admin@mcmonaglestone.ie; fo=1"/>
    <m/>
    <m/>
    <x v="6"/>
    <x v="30"/>
    <x v="1"/>
  </r>
  <r>
    <s v="treacysoakwoodhotel.com"/>
    <s v="no"/>
    <x v="2"/>
    <m/>
    <m/>
    <x v="0"/>
    <m/>
    <m/>
    <m/>
    <x v="9"/>
    <x v="30"/>
    <x v="1"/>
  </r>
  <r>
    <s v="finnstowncastlehotel.com"/>
    <s v="tilde"/>
    <x v="1"/>
    <s v="v=spf1 +a +mx +ip4:141.94.206.245 ~all"/>
    <s v="yes"/>
    <x v="0"/>
    <m/>
    <m/>
    <m/>
    <x v="0"/>
    <x v="30"/>
    <x v="1"/>
  </r>
  <r>
    <s v="thehardiman.ie"/>
    <s v="minus"/>
    <x v="0"/>
    <s v="v=spf1 include:spf.protection.outlook.com include:spf.mandrillapp.com include:authsmtp.com -all"/>
    <s v="yes"/>
    <x v="0"/>
    <m/>
    <m/>
    <m/>
    <x v="7"/>
    <x v="30"/>
    <x v="1"/>
  </r>
  <r>
    <s v="kdkscaffolding.ie"/>
    <s v="minus"/>
    <x v="0"/>
    <s v="v=spf1 a mx include:mailanyone.net include:spf.protection.outlook.com  include:spf.graphedia.ie -all"/>
    <m/>
    <x v="0"/>
    <m/>
    <m/>
    <m/>
    <x v="3"/>
    <x v="30"/>
    <x v="1"/>
  </r>
  <r>
    <s v="quintas.ie"/>
    <s v="minus"/>
    <x v="0"/>
    <s v="v=spf1 include:spf.protection.outlook.com include:eu._netblocks.mimecast.com include:spf.mandrillapp.com ip4:89.204.209.221 ip4:89.234.93.246 -all"/>
    <m/>
    <x v="0"/>
    <m/>
    <m/>
    <m/>
    <x v="1"/>
    <x v="30"/>
    <x v="1"/>
  </r>
  <r>
    <s v="gsi.ie"/>
    <s v="minus"/>
    <x v="0"/>
    <s v="v=spf1 ip4:137.191.239.189 ip4:193.1.193.135 ip4:193.178.1.33 ip4:137.191.244.220 include:spfext.itservices.gov.ie -all"/>
    <m/>
    <x v="2"/>
    <s v="v=DMARC1; p=none;"/>
    <m/>
    <m/>
    <x v="0"/>
    <x v="30"/>
    <x v="1"/>
  </r>
  <r>
    <s v="jbbarry.ie"/>
    <s v="minus"/>
    <x v="0"/>
    <s v="v=spf1 include:spf.protection.outlook.com -all"/>
    <s v="yes"/>
    <x v="1"/>
    <s v="v=DMARC1;p=quarantine;sp=none;adkim=r;aspf=r;pct=100;fo=1;rf=afrf;ri=3600;rua=mailto:dmarc@jbbarry.ie;ruf=mailto:dmarc@jbbarry.ie"/>
    <m/>
    <m/>
    <x v="0"/>
    <x v="30"/>
    <x v="1"/>
  </r>
  <r>
    <s v="prochem.ie"/>
    <s v="minus"/>
    <x v="0"/>
    <s v="v=spf1 include:_spf.mailersend.net a ip4:31.193.220.3 ip4:89.234.93.102 ip4:213.79.45.129 ip4:87.198.240.82 include:spf.protection.outlook.com a:outbound-smtp02.blacknight.com include:spf.dynect.net include:servers.mcsv.net include:spf.mandrillapp.com inc&quot; &quot;lude:spf.topsec.co&quot; &quot;m  -all"/>
    <s v="yes"/>
    <x v="3"/>
    <s v="v=DMARC1; p=reject; rua=mailto:cf2e266b888140c39d7e682f1bb352ba@dmarc-reports.cloudflare.net"/>
    <m/>
    <m/>
    <x v="17"/>
    <x v="30"/>
    <x v="1"/>
  </r>
  <r>
    <s v="bryansryan.ie"/>
    <s v="tilde"/>
    <x v="1"/>
    <s v="v=spf1 mx ip4:89.101.216.18 ip4:78.137.172.17 ip4:195.200.146.201 include:eu.zcsend.net include:spf.protection.outlook.com include:spf.ess.uk.barracudanetworks.com ~all"/>
    <m/>
    <x v="2"/>
    <s v="v=DMARC1; p=none;"/>
    <m/>
    <m/>
    <x v="0"/>
    <x v="30"/>
    <x v="1"/>
  </r>
  <r>
    <s v="axis-ballymun.ie"/>
    <s v="minus"/>
    <x v="0"/>
    <s v="v=spf1 ip6:fd1b:212c:a5f9::/48 -all"/>
    <m/>
    <x v="0"/>
    <m/>
    <m/>
    <m/>
    <x v="0"/>
    <x v="30"/>
    <x v="1"/>
  </r>
  <r>
    <s v="citizensinformationboard.ie"/>
    <s v="minus"/>
    <x v="0"/>
    <s v="v=spf1 include:spf.protection.outlook.com -all"/>
    <m/>
    <x v="0"/>
    <m/>
    <m/>
    <m/>
    <x v="0"/>
    <x v="30"/>
    <x v="1"/>
  </r>
  <r>
    <s v="ispcc.ie"/>
    <s v="tilde"/>
    <x v="1"/>
    <s v="v=spf1 include:spf.protection.outlook.com include:raiselysite.com +include:outboundmail.blackbaud.net ~all"/>
    <s v="yes"/>
    <x v="1"/>
    <s v="v=DMARC1; p=quarantine"/>
    <m/>
    <m/>
    <x v="0"/>
    <x v="30"/>
    <x v="1"/>
  </r>
  <r>
    <s v="limerickcil.com"/>
    <s v="minus"/>
    <x v="0"/>
    <s v="v=spf1 ip4:185.43.232.170 ip4:80.93.29.15 +a +mx +ip4:80.93.29.236 +ip4:86.41.26.167 +include:spf.protection.outlook.com include:spf.hornetsecurity.com -all"/>
    <s v="yes"/>
    <x v="0"/>
    <m/>
    <m/>
    <m/>
    <x v="5"/>
    <x v="30"/>
    <x v="1"/>
  </r>
  <r>
    <s v="sligocil.ie"/>
    <s v="minus"/>
    <x v="0"/>
    <s v="v=spf1 ip4:83.138.8.118 include:relay.mailchannels.net include:spf.protection.outlook.com -all"/>
    <m/>
    <x v="0"/>
    <m/>
    <m/>
    <m/>
    <x v="8"/>
    <x v="30"/>
    <x v="1"/>
  </r>
  <r>
    <s v="redhat.com"/>
    <s v="mis"/>
    <x v="3"/>
    <s v="v=spf1 redirect=73t7ezjz._spf._d.mim.ec"/>
    <s v="yes"/>
    <x v="1"/>
    <s v="v=DMARC1; p=quarantine; rua=mailto:5f1992045035946@rep.dmarcanalyzer.com; ruf=mailto:5f1992045035946@for.dmarcanalyzer.com; fo=1;"/>
    <m/>
    <m/>
    <x v="1"/>
    <x v="30"/>
    <x v="1"/>
  </r>
  <r>
    <s v="rrcd.com"/>
    <s v="tilde"/>
    <x v="1"/>
    <s v="v=spf1 +a +mx ~all ip4:63.111.67.0/24"/>
    <m/>
    <x v="0"/>
    <m/>
    <m/>
    <m/>
    <x v="1"/>
    <x v="30"/>
    <x v="1"/>
  </r>
  <r>
    <s v="capitaibs.ie"/>
    <s v="no"/>
    <x v="2"/>
    <m/>
    <m/>
    <x v="0"/>
    <m/>
    <m/>
    <m/>
    <x v="0"/>
    <x v="30"/>
    <x v="1"/>
  </r>
  <r>
    <s v="mapflow.com"/>
    <s v="minus"/>
    <x v="0"/>
    <s v="v=spf1 ip4:66.241.37.182/32 ip4:209.243.59.74/32 ip4:12.38.207.30/32 ip4:216.133.255.171/32 ip4:34.252.159.188/32 ip4:198.185.18.9/32 ip4:198.185.18.10/32 include:_netblocks.eloqua.com include:_spf.qualtrics.com include:spf.protection.outlook.com -all"/>
    <m/>
    <x v="0"/>
    <m/>
    <m/>
    <m/>
    <x v="0"/>
    <x v="30"/>
    <x v="1"/>
  </r>
  <r>
    <s v="allfinanz.com"/>
    <s v="minus"/>
    <x v="0"/>
    <s v="v=spf1 ip4:178.250.112.192/28 ip4:193.120.126.120/29 include:spf-00652401.pphosted.com -all"/>
    <m/>
    <x v="2"/>
    <s v="v=DMARC1; p=none; fo=1; rua=mailto:8f1f5ab1@mxtoolbox.dmarc-report.com; ruf=mailto:8f1f5ab1@forensics.dmarc-report.com;"/>
    <m/>
    <m/>
    <x v="0"/>
    <x v="30"/>
    <x v="1"/>
  </r>
  <r>
    <s v="sas.com"/>
    <s v="minus"/>
    <x v="0"/>
    <s v="v=spf1 include:spf.protection.outlook.com ip4:192.31.37.0/24 ip4:192.31.22.0/24 ip4:149.173.0.0/16 include:service-now.com include:_spf.sas.com -all"/>
    <s v="yes"/>
    <x v="3"/>
    <s v="v=DMARC1;p=reject;rua=mailto:MCTDMARC@sas.com;"/>
    <m/>
    <m/>
    <x v="0"/>
    <x v="30"/>
    <x v="1"/>
  </r>
  <r>
    <s v="siemens.ie"/>
    <s v="minus"/>
    <x v="0"/>
    <s v="v=spf1 -all"/>
    <m/>
    <x v="3"/>
    <s v="v=DMARC1; p=reject; pct=100; rua=mailto:DMARC.rua@siemens.com; aspf=r"/>
    <m/>
    <m/>
    <x v="0"/>
    <x v="30"/>
    <x v="1"/>
  </r>
  <r>
    <s v="vizorsoftware.com"/>
    <s v="minus"/>
    <x v="0"/>
    <s v="v=spf1 include:spf.protection.outlook.com -all"/>
    <s v="yes"/>
    <x v="2"/>
    <s v="v=DMARC1; p=none; rua=mailto:it.manager@vizorsoftware.com"/>
    <m/>
    <m/>
    <x v="0"/>
    <x v="30"/>
    <x v="1"/>
  </r>
  <r>
    <s v="actionpoint.ie"/>
    <s v="minus"/>
    <x v="0"/>
    <s v="v=spf1 ip4:92.51.197.0/28 ip4:185.61.1.160/28 ip4:84.51.251.227/32 ip4:212.78.224.147/32 include:spf.protection.outlook.com include:spf.eu.exclaimer.net include:spf.smtp2go.com include:spf.msdp1.com include:smtp.smileback.com -all"/>
    <s v="yes"/>
    <x v="0"/>
    <m/>
    <m/>
    <m/>
    <x v="5"/>
    <x v="30"/>
    <x v="1"/>
  </r>
  <r>
    <s v="diamondglass.ie"/>
    <s v="tilde"/>
    <x v="1"/>
    <s v="v=spf1 ip4:93.119.26.121 include:spf.protection.outlook.com ~all"/>
    <m/>
    <x v="0"/>
    <m/>
    <m/>
    <m/>
    <x v="0"/>
    <x v="30"/>
    <x v="1"/>
  </r>
  <r>
    <s v="acornlife.ie"/>
    <s v="tilde"/>
    <x v="1"/>
    <s v="v=spf1 ip4:204.11.100.136 ip4:173.45.158.5 ip4:93.94.116.14 ip4:52.212.19.177 ip4:46.22.139.137 ip4:78.153.200.57 ip4:209.15.27.81 ip4:87.198.188.148 ip4:168.245.62.19 ip4:91.210.235.226 ip4:78.153.200.57 ip4:87.253.232.0/21 ip4:185.189.236.0/22 ip4:&quot; &quot;185.211.120.0/22 ip4:185.250.236.0/22 ip4:54.157.90.193 ip4:173.45.158.5 ip4:168.245.62.19 include:spf.protection.outlook.com include:_spf_cd.spamtitan.com include:amazonses.com ~all"/>
    <s v="yes"/>
    <x v="1"/>
    <s v="v=DMARC1; p=quarantine; rua=mailto:dmarc_agg@vali.email"/>
    <m/>
    <m/>
    <x v="7"/>
    <x v="30"/>
    <x v="1"/>
  </r>
  <r>
    <s v="brooklodge.com"/>
    <s v="minus"/>
    <x v="0"/>
    <s v="v=spf1 mx a ip4:78.136.42.6 ip4:78.136.42.7 ip4:94.236.71.102 ip4:92.52.88.156 ip4:5.79.11.180 ip4:52.16.225.174 ip4:212.100.234.137 include:_spf.google.com include:spf.topsec.com include:authsmtp.com include:spf.protection.outlook.com -all"/>
    <m/>
    <x v="2"/>
    <s v="v=DMARC1; p=none;"/>
    <m/>
    <m/>
    <x v="24"/>
    <x v="30"/>
    <x v="1"/>
  </r>
  <r>
    <s v="buttimer.ie"/>
    <s v="tilde"/>
    <x v="1"/>
    <s v="v=spf1 ip4:217.115.115.147 ip4:185.202.17.188 ip4:185.152.4.110 ip4:159.134.106.34  include:spf1.emailsecurity.app include:spf.protection.outlook.com ~all"/>
    <m/>
    <x v="0"/>
    <m/>
    <m/>
    <m/>
    <x v="13"/>
    <x v="30"/>
    <x v="1"/>
  </r>
  <r>
    <s v="biomnis.ie"/>
    <s v="no"/>
    <x v="2"/>
    <m/>
    <m/>
    <x v="0"/>
    <m/>
    <m/>
    <m/>
    <x v="0"/>
    <x v="30"/>
    <x v="1"/>
  </r>
  <r>
    <s v="qqi.ie"/>
    <s v="minus"/>
    <x v="0"/>
    <s v="v=spf1 include:spf.protection.outlook.com include:spf.emailsignatures365.com include:sendgrid.net -all"/>
    <s v="yes"/>
    <x v="3"/>
    <s v="v=DMARC1; p=reject; pct=100; adkim=r; aspf=r; fo=1; rf=afrf; ri=3600; rua=mailto:be6c3992@inbox.ondmarc.com,mailto:gjdmjrtv@ag.dmarcian-eu.com; ruf=mailto:be6c3992@inbox.ondmarc.com,mailto:dmarc@qqi.ie"/>
    <m/>
    <m/>
    <x v="0"/>
    <x v="30"/>
    <x v="1"/>
  </r>
  <r>
    <s v="ofi.ie"/>
    <s v="minus"/>
    <x v="0"/>
    <s v="v=spf1 +a +mx -all +a:web16.webcore.cloud"/>
    <m/>
    <x v="0"/>
    <m/>
    <m/>
    <m/>
    <x v="2"/>
    <x v="30"/>
    <x v="1"/>
  </r>
  <r>
    <s v="holyfamilyschoolcharleville.com"/>
    <s v="minus"/>
    <x v="0"/>
    <s v="v=spf1 include:spf.protection.outlook.com -all"/>
    <m/>
    <x v="0"/>
    <m/>
    <m/>
    <m/>
    <x v="1"/>
    <x v="30"/>
    <x v="1"/>
  </r>
  <r>
    <s v="anrinn.com"/>
    <s v="minus"/>
    <x v="0"/>
    <s v="v=spf1 mx a a:relay.blacknight.com a:relay1.blacknight.com a:relay4.blacknight.com a:deise02.blacknight.ie a:deise.blacknight.ie a:plesk.deisedesign.com include:spf.protection.outlook.com -all"/>
    <m/>
    <x v="0"/>
    <m/>
    <m/>
    <m/>
    <x v="10"/>
    <x v="30"/>
    <x v="1"/>
  </r>
  <r>
    <s v="recallsecurity.ie"/>
    <s v="tilde"/>
    <x v="1"/>
    <s v="v=spf1 a include:spf.blacknight.ie  ~all"/>
    <m/>
    <x v="0"/>
    <m/>
    <m/>
    <m/>
    <x v="13"/>
    <x v="30"/>
    <x v="1"/>
  </r>
  <r>
    <s v="oakparkfoods.ie"/>
    <s v="minus"/>
    <x v="0"/>
    <s v="v=spf1 ip4:89.101.209.173 ip4:213.79.57.232 include:spf.protection.outlook.com a:fep27.mx.upcmail.net include:spf1.emailsecurity.app -all"/>
    <m/>
    <x v="0"/>
    <m/>
    <m/>
    <m/>
    <x v="13"/>
    <x v="30"/>
    <x v="1"/>
  </r>
  <r>
    <s v="bbdo.ie"/>
    <s v="minus"/>
    <x v="0"/>
    <s v="v=spf1 include:_spf.oneomnicom.com include:servers.mcsv.net include:relay.mailchannels.net -all"/>
    <s v="yes"/>
    <x v="3"/>
    <s v="v=DMARC1; p=reject; rua=mailto:rc7yjbis@ag.us.dmarcian.com;"/>
    <m/>
    <m/>
    <x v="0"/>
    <x v="30"/>
    <x v="1"/>
  </r>
  <r>
    <s v="marinehotel.ie"/>
    <s v="tilde"/>
    <x v="1"/>
    <s v="v=spf1 include:_u.marinehotel.ie._spf.smart.ondmarc.com include:guestline.net include:roomlynx.net ~all"/>
    <s v="yes"/>
    <x v="3"/>
    <s v="v=DMARC1; p=reject; pct=100; sp=none; rua=mailto:3fb8dd5c@inbox.ondmarc.com; ruf=mailto:3fb8dd5c@inbox.ondmarc.com; adkim=r; aspf=r; fo=1; rf=afrf; ri=3600"/>
    <m/>
    <m/>
    <x v="0"/>
    <x v="30"/>
    <x v="1"/>
  </r>
  <r>
    <s v="goldendiscs.ie"/>
    <s v="minus"/>
    <x v="0"/>
    <s v="v=spf1 include:spf.protection.outlook.com include:shops.shopify.com  include:mailgun.org ip4:89.100.2.226 -all"/>
    <s v="yes"/>
    <x v="3"/>
    <s v="v=DMARC1; p=reject; sp=reject; adkim=s; aspf=s; pct=100;"/>
    <m/>
    <m/>
    <x v="0"/>
    <x v="30"/>
    <x v="1"/>
  </r>
  <r>
    <s v="brookfieldcc.ie"/>
    <s v="minus"/>
    <x v="0"/>
    <s v="v=spf1 include:spf.protection.outlook.com -all"/>
    <s v="yes"/>
    <x v="2"/>
    <s v="v=DMARC1; p=none;"/>
    <m/>
    <m/>
    <x v="1"/>
    <x v="30"/>
    <x v="1"/>
  </r>
  <r>
    <s v="apree.ie"/>
    <s v="no"/>
    <x v="2"/>
    <m/>
    <m/>
    <x v="0"/>
    <m/>
    <m/>
    <m/>
    <x v="1"/>
    <x v="30"/>
    <x v="1"/>
  </r>
  <r>
    <s v="anh.com"/>
    <s v="minus"/>
    <x v="0"/>
    <s v="v=spf1 include:spf.protection.outlook.com -all"/>
    <s v="yes"/>
    <x v="0"/>
    <m/>
    <m/>
    <m/>
    <x v="0"/>
    <x v="30"/>
    <x v="1"/>
  </r>
  <r>
    <s v="saintjosephsshankill.ie"/>
    <s v="no"/>
    <x v="2"/>
    <m/>
    <m/>
    <x v="0"/>
    <m/>
    <m/>
    <m/>
    <x v="0"/>
    <x v="30"/>
    <x v="1"/>
  </r>
  <r>
    <s v="stanthonysnursinghome.ie"/>
    <s v="tilde"/>
    <x v="1"/>
    <s v="v=spf1 +a +mx +ip4:35.214.237.160  include:stanthonysnursinghome.ie.spf.auto.dnssmarthost.net ~all"/>
    <s v="yes"/>
    <x v="2"/>
    <s v="v=DMARC1; p=none; aspf=r; adkim=r;"/>
    <m/>
    <m/>
    <x v="5"/>
    <x v="30"/>
    <x v="1"/>
  </r>
  <r>
    <s v="moorehalllodge.ie"/>
    <s v="no"/>
    <x v="2"/>
    <m/>
    <m/>
    <x v="0"/>
    <m/>
    <m/>
    <m/>
    <x v="2"/>
    <x v="30"/>
    <x v="1"/>
  </r>
  <r>
    <s v="ardeencheshirehome.com"/>
    <s v="no"/>
    <x v="2"/>
    <m/>
    <m/>
    <x v="0"/>
    <m/>
    <m/>
    <m/>
    <x v="24"/>
    <x v="30"/>
    <x v="1"/>
  </r>
  <r>
    <s v="mansionhouse.ie"/>
    <s v="minus"/>
    <x v="0"/>
    <s v="v=spf1 include:spf.protection.outlook.com include:spf.topsec.com include:mailgun.org include:spf.mandrillapp.com -all"/>
    <m/>
    <x v="2"/>
    <s v="v=DMARC1; p=none"/>
    <m/>
    <m/>
    <x v="0"/>
    <x v="30"/>
    <x v="1"/>
  </r>
  <r>
    <s v="keadeenhotel.ie"/>
    <s v="tilde"/>
    <x v="1"/>
    <s v="v=spf1 ip4:213.171.216.0/24 ip4:212.17.32.37 include:spf.protection.outlook.com include:_spf.wire.threatspike.com include:authsmtp.com ~all"/>
    <m/>
    <x v="2"/>
    <s v="v=DMARC1; p=none;"/>
    <m/>
    <m/>
    <x v="16"/>
    <x v="30"/>
    <x v="1"/>
  </r>
  <r>
    <s v="kavanaghgroup.ie"/>
    <s v="minus"/>
    <x v="0"/>
    <s v="v=spf1 mx a ip4:213.94.206.189 ip4:83.71.135.65 ip4:83.71.135.98 include:spf.amris.com include:spf.protection.outlook.com -all"/>
    <m/>
    <x v="2"/>
    <s v="v=DMARC1;p=none;pct=100;rua=mailto:postmaster@kavanaghgroup.ie"/>
    <m/>
    <m/>
    <x v="4"/>
    <x v="30"/>
    <x v="1"/>
  </r>
  <r>
    <s v="murphygunn.com"/>
    <s v="no"/>
    <x v="2"/>
    <m/>
    <m/>
    <x v="0"/>
    <m/>
    <m/>
    <m/>
    <x v="0"/>
    <x v="30"/>
    <x v="1"/>
  </r>
  <r>
    <s v="nvd.ie"/>
    <s v="tilde"/>
    <x v="1"/>
    <s v="v=spf1 mx include:_spf.google.com include:_spf.salesforce.com  ~all"/>
    <m/>
    <x v="0"/>
    <m/>
    <m/>
    <m/>
    <x v="3"/>
    <x v="30"/>
    <x v="1"/>
  </r>
  <r>
    <s v="aceexpressgroup.com"/>
    <s v="mis"/>
    <x v="3"/>
    <s v="v=spf1 a ip=37.59.160.103 mx"/>
    <m/>
    <x v="0"/>
    <m/>
    <m/>
    <m/>
    <x v="0"/>
    <x v="30"/>
    <x v="1"/>
  </r>
  <r>
    <s v="johnston-shopfitters.com"/>
    <s v="tilde"/>
    <x v="1"/>
    <s v="v=spf1 ip4:185.32.153.94 ip4:80.93.20.129 include:spf.protection.outlook.com include:spf.smtp2go.com include:spf.ess.de.barracudanetworks.com ~all"/>
    <m/>
    <x v="2"/>
    <s v="v=DMARC1; p=none"/>
    <m/>
    <m/>
    <x v="0"/>
    <x v="30"/>
    <x v="1"/>
  </r>
  <r>
    <s v="kcdfrs.com"/>
    <s v="no"/>
    <x v="2"/>
    <m/>
    <m/>
    <x v="0"/>
    <m/>
    <m/>
    <m/>
    <x v="17"/>
    <x v="30"/>
    <x v="1"/>
  </r>
  <r>
    <s v="veoliawater.ie"/>
    <s v="tilde"/>
    <x v="1"/>
    <s v="v=spf1 ip4:213.212.70.213 ip4:62.73.149.6 include:_spf.google.com ~all"/>
    <s v="yes"/>
    <x v="1"/>
    <s v="v=DMARC1; p=quarantine; pct=100; rua=mailto:pfavnw3o@ag.dmarcian.com; ruf=mailto:pfavnw3o@fr.dmarcian.com"/>
    <m/>
    <m/>
    <x v="17"/>
    <x v="30"/>
    <x v="1"/>
  </r>
  <r>
    <s v="carlowcollege.ie"/>
    <s v="tilde"/>
    <x v="1"/>
    <s v="v=spf1 +a +mx +ip4:91.210.235.173 include:spf.webhostingireland.ie ~all"/>
    <s v="yes"/>
    <x v="0"/>
    <m/>
    <m/>
    <m/>
    <x v="25"/>
    <x v="30"/>
    <x v="1"/>
  </r>
  <r>
    <s v="nmci.ie"/>
    <s v="minus"/>
    <x v="0"/>
    <s v="v=spf1 ip4:193.120.143.134 include:spf.protection.outlook.com include:_spf.granite.ie -all"/>
    <s v="yes"/>
    <x v="2"/>
    <s v="v=DMARC1; p=none; rua=mailto:SVC_Dmarc@mtu.ie"/>
    <m/>
    <m/>
    <x v="1"/>
    <x v="30"/>
    <x v="1"/>
  </r>
  <r>
    <s v="tullamorecollege.ie"/>
    <s v="minus"/>
    <x v="0"/>
    <s v="v=spf1 include:spf.protection.outlook.com a:mail1.dcsnet.ie a:mail2.dcsnet.ie -all"/>
    <s v="yes"/>
    <x v="1"/>
    <s v="v=DMARC1; p=quarantine; pct=100; rua=mailto:ict@loetb.ie"/>
    <m/>
    <m/>
    <x v="21"/>
    <x v="30"/>
    <x v="1"/>
  </r>
  <r>
    <s v="fcmtravel.ie"/>
    <s v="minus"/>
    <x v="0"/>
    <s v="v=spf1 ip4:87.198.172.189  ip4:86.188.148.38 ip4:217.33.142.36 ip4:217.33.142.41 include:de._netblocks.mimecast.com include:_relay.amadeus.com include:_spf.salesforce.com -all"/>
    <m/>
    <x v="3"/>
    <s v="v=DMARC1; p=reject; sp=reject; rua=mailto:bf5603eb6697076@rep.dmarcanalyzer.com; ruf=mailto:bf5603eb6697076@for.dmarcanalyzer.com; fo=1;"/>
    <m/>
    <m/>
    <x v="0"/>
    <x v="30"/>
    <x v="1"/>
  </r>
  <r>
    <s v="gohop.ie"/>
    <s v="minus"/>
    <x v="0"/>
    <s v="v=spf1 ip6:fd1b:212c:a5f9::/48 -all"/>
    <m/>
    <x v="0"/>
    <m/>
    <m/>
    <m/>
    <x v="0"/>
    <x v="30"/>
    <x v="1"/>
  </r>
  <r>
    <s v="ipw.ie"/>
    <s v="tilde"/>
    <x v="1"/>
    <s v="v=spf1 ip4:217.115.115.198 +a +mx +ip4:217.115.113.32 include:relay.mailchannels.net +ip4:93.95.87.234 +include:spf.protection.outlook.com ~all"/>
    <s v="yes"/>
    <x v="0"/>
    <m/>
    <m/>
    <m/>
    <x v="1"/>
    <x v="30"/>
    <x v="1"/>
  </r>
  <r>
    <s v="barryscoaches.com"/>
    <s v="minus"/>
    <x v="0"/>
    <s v="v=spf1 include:spf.protection.outlook.com a:mailfromwebsite.barryscoaches.com -all"/>
    <m/>
    <x v="0"/>
    <m/>
    <m/>
    <m/>
    <x v="1"/>
    <x v="30"/>
    <x v="1"/>
  </r>
  <r>
    <s v="major-equipment.com"/>
    <s v="minus"/>
    <x v="0"/>
    <s v="v=spf1 ip4: 89.35.118.168 ip4:165.232.43.149 include:servers.mcsv.net include:spf.protection.outlook.com ip4:52.210.82.10 include:spf.sendinblue.com ip4:92.51.199.234 -all"/>
    <s v="yes"/>
    <x v="1"/>
    <s v="v=DMARC1; p=quarantine; pct=100; rua=mailto:dmarc@zenotec.ie,mailto:rua@dmarc.brevo.com; ruf=mailto:dmarc@zenotec.ie; fo=1;sp=none;rf=afrf;ri=86400"/>
    <m/>
    <m/>
    <x v="4"/>
    <x v="30"/>
    <x v="1"/>
  </r>
  <r>
    <s v="comans.ie"/>
    <s v="minus"/>
    <x v="0"/>
    <s v="v=spf1 include:spf.protection.outlook.com ip4:82.141.226.170/32 a:gainarelay.gainasoftware.com -all"/>
    <s v="yes"/>
    <x v="0"/>
    <m/>
    <m/>
    <m/>
    <x v="0"/>
    <x v="30"/>
    <x v="1"/>
  </r>
  <r>
    <s v="2ssg.com"/>
    <s v="minus"/>
    <x v="0"/>
    <s v="v=spf1 -all"/>
    <s v="yes"/>
    <x v="0"/>
    <m/>
    <m/>
    <m/>
    <x v="8"/>
    <x v="30"/>
    <x v="1"/>
  </r>
  <r>
    <s v="omctechnologies.com"/>
    <s v="tilde"/>
    <x v="1"/>
    <s v="v=spf1 a include:spf.blacknight.com include:spf0101.titan.email ~all"/>
    <m/>
    <x v="0"/>
    <m/>
    <m/>
    <m/>
    <x v="5"/>
    <x v="30"/>
    <x v="1"/>
  </r>
  <r>
    <s v="sial.com"/>
    <s v="tilde"/>
    <x v="1"/>
    <s v="v=spf1 include:o12jx5tpef.powerspf.com ~all"/>
    <s v="yes"/>
    <x v="3"/>
    <s v="v=DMARC1; p=reject; sp=reject; fo=1; rua=mailto:b4wunsj437@rua.powerdmarc.com, mailto:dmarcreport@sial.com; ruf=mailto:dmarcreport@sial.com"/>
    <m/>
    <m/>
    <x v="24"/>
    <x v="30"/>
    <x v="1"/>
  </r>
  <r>
    <s v="autoglass.ie"/>
    <s v="minus"/>
    <x v="0"/>
    <s v="v=spf1 ip4:52.169.140.75 include:spf.protection.outlook.com -all"/>
    <s v="yes"/>
    <x v="1"/>
    <s v="v=DMARC1; p=quarantine; rua=mailto:dmarcfeedback@autoglass.ie; fo=1"/>
    <m/>
    <m/>
    <x v="0"/>
    <x v="30"/>
    <x v="1"/>
  </r>
  <r>
    <s v="goodfish.ie"/>
    <s v="minus"/>
    <x v="0"/>
    <s v="v=spf1 a mx ip4:93.107.248.83 include:spf.protection.outlook.com include:spf.elive.net -all"/>
    <m/>
    <x v="0"/>
    <m/>
    <m/>
    <m/>
    <x v="1"/>
    <x v="30"/>
    <x v="1"/>
  </r>
  <r>
    <s v="harveyspoint.com"/>
    <s v="minus"/>
    <x v="0"/>
    <s v="v=spf1 include:spf.protection.outlook.com include:authsmtp.com -all"/>
    <s v="yes"/>
    <x v="2"/>
    <s v="v=DMARC1; p=none; rua=mailto:dmarc@lantech.uriports.com; ruf=mailto:dmarc@lantech.uriports.com; fo=1:d:s"/>
    <m/>
    <m/>
    <x v="6"/>
    <x v="30"/>
    <x v="1"/>
  </r>
  <r>
    <s v="inisheng.com"/>
    <s v="minus"/>
    <x v="0"/>
    <s v="v=spf1 include:spf.protection.outlook.com -all"/>
    <s v="yes"/>
    <x v="1"/>
    <s v="v=DMARC1; p=quarantine; pct=100"/>
    <m/>
    <m/>
    <x v="6"/>
    <x v="30"/>
    <x v="1"/>
  </r>
  <r>
    <s v="avoca.ie"/>
    <s v="tilde"/>
    <x v="1"/>
    <s v="v=spf1 mx include:emailantidote.com a ip4:217.78.5.135 include:spf.mailanyone.net include:spf.mxsweep.com include:spf.electric.net ~all"/>
    <m/>
    <x v="0"/>
    <m/>
    <m/>
    <m/>
    <x v="0"/>
    <x v="30"/>
    <x v="1"/>
  </r>
  <r>
    <s v="dawnlough.com"/>
    <s v="minus"/>
    <x v="0"/>
    <s v="v=spf1 +a +mx +ip4:91.210.235.173 include:spf.protection.outlook.com a:mail9.digiweb.ie a:mail9.viatel.com a:spamtitan.zenotec.ie include:spf.stackmail.com +ip4:13.79.160.206 +ip4:83.147.148.214 include:spf.webhostingireland.ie -all"/>
    <s v="yes"/>
    <x v="1"/>
    <s v="v=DMARC1; p=quarantine; pct=100; rua=mailto:dmarc@zenotec.ie; ruf=mailto:dmarc@zenotec.ie; fo=1"/>
    <m/>
    <m/>
    <x v="7"/>
    <x v="30"/>
    <x v="1"/>
  </r>
  <r>
    <s v="thebrehon.com"/>
    <s v="minus"/>
    <x v="0"/>
    <s v="v=spf1 ip4:52.166.124.85 mx include:_spf.bookassist.com include:spf.mandrillapp.com ip4:52.166.124.85 ip4:20.184.12.41 ip4:149.72.1.66 ip4:149.72.1.66 ip4:52.166.124.85 ip4:51.105.222.244 ip4:192.254.117.44 include:spf.protection.outlook.com ip4:13.95.66.&quot; &quot;253 include:authsmtp.com -all"/>
    <s v="yes"/>
    <x v="2"/>
    <s v="v=DMARC1; p=none; fo=1; rua=mailto:rua+thebrehon.com@dmarc.barracudanetworks.com; ruf=mailto:ruf+thebrehon.com@dmarc.barracudanetworks.com"/>
    <m/>
    <m/>
    <x v="14"/>
    <x v="30"/>
    <x v="1"/>
  </r>
  <r>
    <s v="takumiprecision.com"/>
    <s v="minus"/>
    <x v="0"/>
    <s v="v=spf1 ip4:86.47.45.45 ip4:217.115.117.83 ip4:195.176.194.193 include:spf.protection.outlook.com include:spf.spamfree.ie -all"/>
    <s v="yes"/>
    <x v="1"/>
    <s v="v=DMARC1; p=quarantine; rua=mailto:9d957756ae1b4144ba6dc57825621568@dmarc-reports.cloudflare.net,mailto:dmarc-reports@takumiprecision.com; ruf=mailto:dmarc-reports@takumiprecision.com; fo=1; sp=quarantine"/>
    <m/>
    <m/>
    <x v="5"/>
    <x v="30"/>
    <x v="1"/>
  </r>
  <r>
    <s v="westerncare.com"/>
    <s v="minus"/>
    <x v="0"/>
    <s v="v=spf1 ip4:91.210.235.125 include:spf.webhostingireland.ie include:spf.protection.outlook.com include:_spf_cd.spamtitan.com ip4:137.191.234.243 ip4:193.120.143.134 ip4:193.120.143.138 ip4:193.120.142.176 ip4:193.120.143.70 -all"/>
    <s v="yes"/>
    <x v="1"/>
    <s v="v=DMARC1; p=quarantine; rua=mailto:dmarc@westerncare.com; ruf=mailto:dmarc@westerncare.com; fo=1;"/>
    <m/>
    <m/>
    <x v="4"/>
    <x v="30"/>
    <x v="1"/>
  </r>
  <r>
    <s v="floodprecast.com"/>
    <s v="minus"/>
    <x v="0"/>
    <s v="v=spf1 include:spf.protection.outlook.com -all"/>
    <m/>
    <x v="0"/>
    <m/>
    <m/>
    <m/>
    <x v="15"/>
    <x v="30"/>
    <x v="1"/>
  </r>
  <r>
    <s v="mdburns.ie"/>
    <s v="tilde"/>
    <x v="1"/>
    <s v="v=spf1 a include:spf.blacknight.ie +a:mdburns.dmacmedia.ie ~all"/>
    <m/>
    <x v="0"/>
    <m/>
    <m/>
    <m/>
    <x v="15"/>
    <x v="30"/>
    <x v="1"/>
  </r>
  <r>
    <s v="columban.com"/>
    <s v="no"/>
    <x v="2"/>
    <m/>
    <m/>
    <x v="0"/>
    <m/>
    <m/>
    <m/>
    <x v="15"/>
    <x v="30"/>
    <x v="1"/>
  </r>
  <r>
    <s v="qme.ie"/>
    <s v="tilde"/>
    <x v="1"/>
    <s v="v=spf1 include:spf.protection.outlook.com include:servers.mcsv.net include:spf.hornetsecurity.com ~all"/>
    <m/>
    <x v="0"/>
    <m/>
    <m/>
    <m/>
    <x v="15"/>
    <x v="30"/>
    <x v="1"/>
  </r>
  <r>
    <s v="tds.ie"/>
    <s v="minus"/>
    <x v="0"/>
    <s v="v=spf1 ip4:89.19.94.146 include:_spf.google.com include:mail.zendesk.com include:_spf.salesforce.com include:spf.protection.outlook.com -all"/>
    <s v="yes"/>
    <x v="0"/>
    <m/>
    <m/>
    <m/>
    <x v="0"/>
    <x v="31"/>
    <x v="1"/>
  </r>
  <r>
    <s v="astrazeneca.ie"/>
    <s v="no"/>
    <x v="2"/>
    <m/>
    <m/>
    <x v="0"/>
    <m/>
    <m/>
    <m/>
    <x v="0"/>
    <x v="31"/>
    <x v="1"/>
  </r>
  <r>
    <s v="daracommunityliving.ie"/>
    <s v="minus"/>
    <x v="0"/>
    <s v="v=spf1 ip4:35.214.155.26 ip4:86.43.67.100 include:spf.protection.outlook.com -all"/>
    <s v="yes"/>
    <x v="3"/>
    <s v="v=DMARC1; p=reject; sp=none; fo=1; pct=100;"/>
    <m/>
    <m/>
    <x v="16"/>
    <x v="31"/>
    <x v="1"/>
  </r>
  <r>
    <s v="utc.com"/>
    <s v="tilde"/>
    <x v="1"/>
    <s v="v=spf1 include:%{ir}.%{v}.%{d}.spf.has.pphosted.com ~all"/>
    <m/>
    <x v="2"/>
    <s v="v=DMARC1; p=none; sp=reject; fo=1; rua=mailto:dmarc_rua@emaildefense.proofpoint.com; ruf=mailto:dmarc_ruf@emaildefense.proofpoint.com"/>
    <m/>
    <m/>
    <x v="9"/>
    <x v="31"/>
    <x v="1"/>
  </r>
  <r>
    <s v="ashcom.ie"/>
    <s v="minus"/>
    <x v="0"/>
    <s v="v=spf1 include:spf.protection.outlook.com -all"/>
    <s v="yes"/>
    <x v="3"/>
    <s v="v=DMARC1; p=reject; rua=mailto:365@ashcom.ie"/>
    <m/>
    <m/>
    <x v="15"/>
    <x v="32"/>
    <x v="1"/>
  </r>
  <r>
    <s v="wavin.ie"/>
    <s v="no"/>
    <x v="2"/>
    <m/>
    <m/>
    <x v="0"/>
    <m/>
    <m/>
    <m/>
    <x v="0"/>
    <x v="32"/>
    <x v="1"/>
  </r>
  <r>
    <s v="sandymounthotel.ie"/>
    <s v="minus"/>
    <x v="0"/>
    <s v="v=spf1 include:spf.protection.outlook.com include:guestline.net include:roomlynx.net include:sendgrid.net include:netaffinity.net -all"/>
    <s v="yes"/>
    <x v="2"/>
    <s v="v=DMARC1; p=none; rua=mailto:dmarc@lantech.uriports.com; ruf=mailto:dmarc@lantech.uriports.com; fo=1:d:s"/>
    <m/>
    <m/>
    <x v="0"/>
    <x v="33"/>
    <x v="1"/>
  </r>
  <r>
    <s v="toffs.eu"/>
    <s v="tilde"/>
    <x v="1"/>
    <s v="v=spf1 include:_spf.mx.cloudflare.net ~all"/>
    <m/>
    <x v="0"/>
    <m/>
    <m/>
    <m/>
    <x v="8"/>
    <x v="33"/>
    <x v="1"/>
  </r>
  <r>
    <s v="neodyne.ie"/>
    <s v="tilde"/>
    <x v="1"/>
    <s v="v=spf1 a:dispatch-eu.ppe-hosted.com ip4:83.71.134.145 a:mail.neodyne.ie include:spf.protection.outlook.com ~all"/>
    <s v="yes"/>
    <x v="2"/>
    <s v="v=DMARC1; p=none; rua=mailto:rua@dmarc.brevo.com"/>
    <m/>
    <m/>
    <x v="1"/>
    <x v="33"/>
    <x v="1"/>
  </r>
  <r>
    <s v="headhuntinternational.com"/>
    <s v="tilde"/>
    <x v="1"/>
    <s v="v=spf1 ip4:206.54.170.70 include:spf.protection.outlook.com ~all"/>
    <s v="yes"/>
    <x v="0"/>
    <m/>
    <m/>
    <m/>
    <x v="0"/>
    <x v="33"/>
    <x v="1"/>
  </r>
  <r>
    <s v="fundassist.com"/>
    <s v="minus"/>
    <x v="0"/>
    <s v="v=spf1 ip4:193.95.188.74 ip4:83.71.64.34 ip4:46.245.211.4 ip4:213.94.209.2 ip4:193.120.84.66 -all"/>
    <m/>
    <x v="0"/>
    <m/>
    <m/>
    <m/>
    <x v="0"/>
    <x v="33"/>
    <x v="1"/>
  </r>
  <r>
    <s v="mwp.ie"/>
    <s v="tilde"/>
    <x v="1"/>
    <s v="v=spf1 mx a:elive.net ip4:89.204.174.12 ip4:80.233.77.53 ip4:81.24.249.18 ip4:87.198.180.58 ip4:93.107.149.57 include:spf.elive.net ip4:86.43.120.176 ip4:83.71.64.26 ip4:83.70.135.85 ip4:80.233.77.53 include:spf.protection.outlook.com ~all"/>
    <s v="yes"/>
    <x v="2"/>
    <s v="v=DMARC1; p=none"/>
    <m/>
    <m/>
    <x v="1"/>
    <x v="33"/>
    <x v="1"/>
  </r>
  <r>
    <s v="glenline.ie"/>
    <s v="minus"/>
    <x v="0"/>
    <s v="v=spf1 include:spf.protection.outlook.com -all"/>
    <s v="yes"/>
    <x v="1"/>
    <s v="v=DMARC1; p=quarantine; rua=mailto:postmaster.gl@glenline.ie"/>
    <m/>
    <m/>
    <x v="16"/>
    <x v="33"/>
    <x v="1"/>
  </r>
  <r>
    <s v="boynecs.com"/>
    <s v="no"/>
    <x v="2"/>
    <m/>
    <s v="yes"/>
    <x v="0"/>
    <m/>
    <m/>
    <m/>
    <x v="15"/>
    <x v="33"/>
    <x v="1"/>
  </r>
  <r>
    <s v="dunshaughlincc.ie"/>
    <s v="no"/>
    <x v="2"/>
    <m/>
    <m/>
    <x v="0"/>
    <m/>
    <m/>
    <m/>
    <x v="15"/>
    <x v="33"/>
    <x v="1"/>
  </r>
  <r>
    <s v="thedunloe.com"/>
    <s v="minus"/>
    <x v="0"/>
    <s v="v=spf1  include:spf.protection.outlook.com -all"/>
    <s v="yes"/>
    <x v="2"/>
    <s v="v=DMARC1; p=none; sp=none; aspf=s; fo=1;rua=mailto:dmarc_rua@emaildefense.proofpoint.com; ruf=mailto:dmarc_ruf@emaildefense.proofpoint.com"/>
    <m/>
    <m/>
    <x v="14"/>
    <x v="33"/>
    <x v="1"/>
  </r>
  <r>
    <s v="westportcoasthotel.ie"/>
    <s v="minus"/>
    <x v="0"/>
    <s v="v=spf1 include:spf.newsletter.ie include:spf.protection.outlook.com -all"/>
    <s v="yes"/>
    <x v="2"/>
    <s v="v=DMARC1; p=none;"/>
    <m/>
    <m/>
    <x v="4"/>
    <x v="33"/>
    <x v="1"/>
  </r>
  <r>
    <s v="castolin.com"/>
    <s v="minus"/>
    <x v="0"/>
    <s v="v=spf1 mx include:_spf.cerum.no include:sendgrid.net include:spf.protection.outlook.com ip4:34.241.191.143 include:spf.de.cancom-mase.com ip4:195.144.31.146 ip4:195.144.31.147 ip4:195.135.142.200 -all"/>
    <s v="yes"/>
    <x v="2"/>
    <s v="v=DMARC1; p=none; rua=mailto:dmarc_agg@vali.email,mailto:DMARC-Reports@castolin.com "/>
    <m/>
    <m/>
    <x v="0"/>
    <x v="33"/>
    <x v="1"/>
  </r>
  <r>
    <s v="phonestores.ie"/>
    <s v="no"/>
    <x v="2"/>
    <m/>
    <m/>
    <x v="0"/>
    <m/>
    <m/>
    <m/>
    <x v="0"/>
    <x v="33"/>
    <x v="1"/>
  </r>
  <r>
    <s v="gouldings.ie"/>
    <s v="minus"/>
    <x v="0"/>
    <s v="v=spf1 include:de._netblocks.mimecast.com include:_u.gouldings.ie._spf.dmarcly.com include:spf.protection.outlook.com -all"/>
    <s v="yes"/>
    <x v="1"/>
    <s v="v=DMARC1; p=quarantine; rua=mailto:5e4f93cf786a8@ag.dmarcly.com; ruf=mailto:5e4f93cf786a8@fo.dmarcly.com; sp=none; fo=0:1:d:s;"/>
    <m/>
    <m/>
    <x v="1"/>
    <x v="33"/>
    <x v="1"/>
  </r>
  <r>
    <s v="oneviewhealthcare.com"/>
    <s v="minus"/>
    <x v="0"/>
    <s v="v=spf1 +ip4:67.227.154.76 +include:spf.protection.outlook.com +include:mail.zendesk.com +include:4730085.spf06.hubspotemail.net -all"/>
    <s v="yes"/>
    <x v="1"/>
    <s v="v=DMARC1; p=quarantine"/>
    <m/>
    <m/>
    <x v="0"/>
    <x v="33"/>
    <x v="1"/>
  </r>
  <r>
    <s v="swiftfinefoods.com"/>
    <s v="minus"/>
    <x v="0"/>
    <s v="v=spf1 include:spf.protection.outlook.com include:spf.everycloudtech.com include:spf.hornetsecurity.com -all"/>
    <s v="yes"/>
    <x v="4"/>
    <s v="v=DMARC1; p= quarantine; fo=1; rua=mailto:dmarc@swiftfinefoods.com; ruf=mailto:dmarc@swiftfinefoods.com;"/>
    <m/>
    <m/>
    <x v="12"/>
    <x v="33"/>
    <x v="1"/>
  </r>
  <r>
    <s v="farrelloffice.com"/>
    <s v="minus"/>
    <x v="0"/>
    <s v="v=spf1 include:spf.protection.outlook.com include:spf-eu.emailsignatures365.com -all"/>
    <s v="yes"/>
    <x v="3"/>
    <s v="v=DMARC1; p=reject; rua=mailto:it@farrelloffice.com; ruf=mailto:it@farrelloffice.com; fo=1; pct=100"/>
    <m/>
    <m/>
    <x v="2"/>
    <x v="33"/>
    <x v="1"/>
  </r>
  <r>
    <s v="pdst.ie"/>
    <s v="minus"/>
    <x v="0"/>
    <s v="v=spf1 include:spf.protection.outlook.com include:pdst.ie.spf.auto.dnssmarthost.net -all"/>
    <s v="yes"/>
    <x v="2"/>
    <s v="v=DMARC1; p=none; aspf=r; adkim=r;"/>
    <m/>
    <m/>
    <x v="0"/>
    <x v="33"/>
    <x v="1"/>
  </r>
  <r>
    <s v="sureskills.com"/>
    <s v="minus"/>
    <x v="0"/>
    <s v="v=spf1 mx include:spf.protection.outlook.com ip4:83.138.177.146 ip4:83.138.177.148 ip4:83.138.177.150 ip4:83.138.177.151 ip4:89.234.41.218 ip4:89.234.41.219 ip4:89.234.41.220 ip4:89.234.41.221 ip4:83.138.184.240 ip4:83.138.184.242&quot; &quot; ip4:83.138.184.243 ip4:83.138.184.244 ip4:162.13.21.138 include:_spf2.circulator.com include:one.zoho.eu include:4917866.spf01.hubspotemail.net include:eu.transmail.net -all"/>
    <s v="yes"/>
    <x v="2"/>
    <s v="v=DMARC1; p=none; sp=none; fo=1;"/>
    <m/>
    <m/>
    <x v="0"/>
    <x v="33"/>
    <x v="1"/>
  </r>
  <r>
    <s v="kmk.ie"/>
    <s v="minus"/>
    <x v="0"/>
    <s v="v=spf1 ip4:54.217.48.90 include:spf.protection.outlook.com  -all"/>
    <m/>
    <x v="1"/>
    <s v="v=DMARC1; p=quarantine; pct=100; rua=mailto:denise@kmk.ie"/>
    <m/>
    <m/>
    <x v="21"/>
    <x v="33"/>
    <x v="1"/>
  </r>
  <r>
    <s v="aercap.com"/>
    <s v="minus"/>
    <x v="0"/>
    <s v="v=spf1 a:mail.stream.aero ip4:54.240.89.250 ip4:173.199.155.165 ip4:151.236.49.146 ip4:52.155.165.114 ip4:54.240.96.71 include:de._netblocks.mimecast.com include:spf.protection.outlook.com include:spf.salesforce.com -all"/>
    <s v="yes"/>
    <x v="2"/>
    <s v="v=DMARC1; p=none;rua=mailto:DMARCReporting@AerCap.com"/>
    <m/>
    <m/>
    <x v="9"/>
    <x v="33"/>
    <x v="1"/>
  </r>
  <r>
    <s v="ryaninstitute.ie"/>
    <s v="no"/>
    <x v="2"/>
    <m/>
    <s v="yes"/>
    <x v="0"/>
    <m/>
    <m/>
    <m/>
    <x v="7"/>
    <x v="33"/>
    <x v="1"/>
  </r>
  <r>
    <s v="toc.ie"/>
    <s v="tilde"/>
    <x v="1"/>
    <s v="v=spf1 mx a include:spf.elive.net include:spf.protection.outlook.com ~all"/>
    <m/>
    <x v="0"/>
    <m/>
    <m/>
    <m/>
    <x v="5"/>
    <x v="33"/>
    <x v="1"/>
  </r>
  <r>
    <s v="nichegenerics.com"/>
    <s v="minus"/>
    <x v="0"/>
    <s v="v=spf1 include:spf.protection.outlook.com -all"/>
    <m/>
    <x v="0"/>
    <m/>
    <m/>
    <m/>
    <x v="0"/>
    <x v="33"/>
    <x v="1"/>
  </r>
  <r>
    <s v="noyeks.ie"/>
    <s v="minus"/>
    <x v="0"/>
    <s v="v=spf1 mx include:spf.topsec.com include:spf.protection.outlook.com include:spf-eu.emailsignatures365.com ip4:93.119.27.195 -all"/>
    <s v="yes"/>
    <x v="0"/>
    <m/>
    <m/>
    <m/>
    <x v="0"/>
    <x v="33"/>
    <x v="1"/>
  </r>
  <r>
    <s v="rothco.ie"/>
    <s v="minus"/>
    <x v="0"/>
    <s v="v=spf1 -all"/>
    <m/>
    <x v="3"/>
    <s v="v=DMARC1;p=reject;fo=1;rua=mailto:dmarc_rua@emaildefense.proofpoint.com;ruf=mailto:dmarc_ruf@emaildefense.proofpoint.com"/>
    <m/>
    <m/>
    <x v="0"/>
    <x v="33"/>
    <x v="1"/>
  </r>
  <r>
    <s v="hondaireland.ie"/>
    <s v="minus"/>
    <x v="0"/>
    <s v="v=spf1 include:spf.protection.outlook.com ip4:46.22.137.96 -all"/>
    <m/>
    <x v="0"/>
    <m/>
    <m/>
    <m/>
    <x v="0"/>
    <x v="34"/>
    <x v="1"/>
  </r>
  <r>
    <s v="hevac.ie"/>
    <s v="minus"/>
    <x v="0"/>
    <s v="v=spf1 ip4:51.140.50.9  include:spf.protection.outlook.com include:amazonses.com ip4:89.204.241.30 ip4:89.204.241.24 ip4:188.93.177.246 ip4:185.190.206.78 mx -all"/>
    <s v="yes"/>
    <x v="1"/>
    <s v="v=DMARC1; p=quarantine; pct=100; rua=mailto:re+pyk7ssirlkp@dmarc.postmarkapp.com"/>
    <m/>
    <m/>
    <x v="0"/>
    <x v="34"/>
    <x v="1"/>
  </r>
  <r>
    <s v="4sitenetworks.com"/>
    <s v="minus"/>
    <x v="0"/>
    <s v="v=spf1 include:spf.protection.outlook.com -all"/>
    <s v="yes"/>
    <x v="3"/>
    <s v="v=DMARC1;p=reject;sp=reject;adkim=s;aspf=s;"/>
    <m/>
    <m/>
    <x v="5"/>
    <x v="34"/>
    <x v="1"/>
  </r>
  <r>
    <s v="nli.ie"/>
    <s v="tilde"/>
    <x v="1"/>
    <s v="v=spf1 a:dispatch-eu.ppe-hosted.com include:spf.protection.outlook.com ip4:137.191.242.53 mx ~all"/>
    <s v="yes"/>
    <x v="1"/>
    <s v="v=DMARC1; p=quarantine; pct=100"/>
    <m/>
    <m/>
    <x v="0"/>
    <x v="35"/>
    <x v="1"/>
  </r>
  <r>
    <s v="oakviewnh.ie"/>
    <s v="minus"/>
    <x v="0"/>
    <s v="v=spf1 include:spf.protection.outlook.com -all"/>
    <s v="yes"/>
    <x v="3"/>
    <s v="v=DMARC1; p=reject; rua=mailto:dmarcsupport@oakviewnh.ie"/>
    <m/>
    <m/>
    <x v="11"/>
    <x v="36"/>
    <x v="1"/>
  </r>
  <r>
    <s v="caceis.com"/>
    <s v="minus"/>
    <x v="0"/>
    <s v="v=spf1 a mx a:spf.credit-agricole.fr/24 include:spfDXC.caceis.com ip4:83.244.201.208/28 ip4:80.85.75.0/24 ip4:93.91.22.0/24 ip4:93.89.86.0/24 ip4:212.159.237.33 ip4:198.96.131.1 &quot; &quot;ip4:104.40.205.111 ip4:52.28.207.52 exists:%{i}.spf.santandergroup.c3s2.iphmx.com ip4:156.133.108.1 ip4:156.133.108.132 include:spfhost.messageprovider.com -all"/>
    <s v="yes"/>
    <x v="3"/>
    <s v="v=DMARC1; p=reject; sp=reject; rua=mailto:rua@dmarc.ca-gip.fr, mailto:devensys-caceis.rua@emailsecurity.merox.io;"/>
    <m/>
    <m/>
    <x v="0"/>
    <x v="37"/>
    <x v="1"/>
  </r>
  <r>
    <s v="mooreireland.ie"/>
    <s v="minus"/>
    <x v="0"/>
    <s v="v=spf1 include:eu._netblocks.mimecast.com +include:mandrillapp.com -all"/>
    <m/>
    <x v="2"/>
    <s v="v=DMARC1; p=none;"/>
    <m/>
    <m/>
    <x v="1"/>
    <x v="37"/>
    <x v="1"/>
  </r>
  <r>
    <s v="xsdirect.com"/>
    <s v="tilde"/>
    <x v="1"/>
    <s v="v=spf1 ip4:195.211.227.117 ip4:89.28.176.51 ip4:209.15.27.81 include:spf.protection.outlook.com include:spf.fusemail.net include:_netblocks.mimecast.com ~all"/>
    <m/>
    <x v="2"/>
    <s v="v=DMARC1; p=none; rua=mailto:lsnp4a7r@ag.eu.dmarcian.com, mailto:e5797c2bc8c9859@rep.dmarcanalyzer.com; ruf=mailto:e5797c2bc8c9859@for.dmarcanalyzer.com; fo=1;"/>
    <m/>
    <m/>
    <x v="0"/>
    <x v="37"/>
    <x v="1"/>
  </r>
  <r>
    <s v="irishturkeys.ie"/>
    <s v="tilde"/>
    <x v="1"/>
    <s v="v=spf1 +a +mx include:irishturkeys.ie.spf.auto.dnssmarthost.net ~all"/>
    <s v="yes"/>
    <x v="2"/>
    <s v="v=DMARC1; p=none; aspf=r; adkim=r;"/>
    <m/>
    <m/>
    <x v="12"/>
    <x v="37"/>
    <x v="1"/>
  </r>
  <r>
    <s v="facilitysupportservices.ie"/>
    <s v="no"/>
    <x v="2"/>
    <m/>
    <m/>
    <x v="0"/>
    <m/>
    <m/>
    <m/>
    <x v="0"/>
    <x v="37"/>
    <x v="1"/>
  </r>
  <r>
    <s v="barclays.ie"/>
    <s v="minus"/>
    <x v="0"/>
    <s v="v=spf1 -all"/>
    <m/>
    <x v="3"/>
    <s v="v=DMARC1; p=reject; fo=1; rua=mailto:dmarc_rua@emaildefense.proofpoint.com; ruf=mailto:dmarc_ruf@emaildefense.proofpoint.com"/>
    <m/>
    <m/>
    <x v="0"/>
    <x v="37"/>
    <x v="1"/>
  </r>
  <r>
    <s v="ironmountain.ie"/>
    <s v="tilde"/>
    <x v="1"/>
    <s v="v=spf1 mx ip4:208.66.139.0/27 ip4:216.229.156.0/27 ip4:193.30.233.17 ip4:193.30.233.116 include:_spf.google.com ~all"/>
    <s v="yes"/>
    <x v="3"/>
    <s v="v=DMARC1;p=reject;rua=mailto:ckaiqst3@ag.dmarcian.com"/>
    <m/>
    <m/>
    <x v="0"/>
    <x v="37"/>
    <x v="1"/>
  </r>
  <r>
    <s v="essltd.ie"/>
    <s v="minus"/>
    <x v="0"/>
    <s v="v=spf1 include:spf.protection.outlook.com include:_spf.salesforce.com -all"/>
    <s v="yes"/>
    <x v="1"/>
    <s v="v=DMARC1; p=quarantine; pct=100; rua=mailto:rua@essltd.ie; ruf=mailto:ruf@essltd.ie"/>
    <m/>
    <m/>
    <x v="5"/>
    <x v="37"/>
    <x v="1"/>
  </r>
  <r>
    <s v="thesmartcrowd.com"/>
    <s v="no"/>
    <x v="2"/>
    <m/>
    <m/>
    <x v="0"/>
    <m/>
    <m/>
    <m/>
    <x v="4"/>
    <x v="37"/>
    <x v="1"/>
  </r>
  <r>
    <s v="precision.ie"/>
    <s v="minus"/>
    <x v="0"/>
    <s v="v=spf1 include:spf.protection.outlook.com -all"/>
    <m/>
    <x v="0"/>
    <m/>
    <m/>
    <m/>
    <x v="0"/>
    <x v="37"/>
    <x v="1"/>
  </r>
  <r>
    <s v="zenithtechnologies.com"/>
    <s v="minus"/>
    <x v="0"/>
    <s v="v=spf1 a mx ip4:54.36.1.228 ip4:85.115.32.0/19 ip4:86.111.216.0/23 ip4:116.50.56.0/21 ip4:208.87.232.0/21 ip4:86.111.220.0/22 ip4:103.1.196.0/22 ip4:177.39.96.0/22 ip4:196.216.238.0/23 ip4:185.136.189.88 ip4:185.136.188.88 ip4:80.69.20.160/2 include:_spf.&quot; &quot;bullhornmail.com -all"/>
    <s v="yes"/>
    <x v="1"/>
    <s v="v=DMARC1;p=quarantine;sp=quarantine;adkim=r;aspf=r;pct=100;fo=0;rf=afrf;ri=86400;rua=mailto:DMARC@zenithtechnologies.com;ruf=mailto:DMARC@zenithtechnologies.com"/>
    <m/>
    <m/>
    <x v="1"/>
    <x v="37"/>
    <x v="1"/>
  </r>
  <r>
    <s v="atkinsireland.ie"/>
    <s v="no"/>
    <x v="2"/>
    <m/>
    <m/>
    <x v="0"/>
    <m/>
    <m/>
    <m/>
    <x v="0"/>
    <x v="37"/>
    <x v="1"/>
  </r>
  <r>
    <s v="capitaassetservices.ie"/>
    <s v="no"/>
    <x v="2"/>
    <m/>
    <m/>
    <x v="0"/>
    <m/>
    <m/>
    <m/>
    <x v="16"/>
    <x v="37"/>
    <x v="1"/>
  </r>
  <r>
    <s v="breentransport.com"/>
    <s v="tilde"/>
    <x v="1"/>
    <s v="v=spf1 include:spf.protection.outlook.com include:spf.mailanyone.net ~all"/>
    <s v="yes"/>
    <x v="0"/>
    <m/>
    <m/>
    <m/>
    <x v="3"/>
    <x v="37"/>
    <x v="1"/>
  </r>
  <r>
    <s v="perennialfreight.com"/>
    <s v="tilde"/>
    <x v="1"/>
    <s v="v=spf1 a include:spf.blacknight.ie include:spf.protection.outlook.com include:spf.ess.de.barracudanetworks.com ~all"/>
    <s v="yes"/>
    <x v="0"/>
    <m/>
    <m/>
    <m/>
    <x v="3"/>
    <x v="37"/>
    <x v="1"/>
  </r>
  <r>
    <s v="betdaq.com"/>
    <s v="minus"/>
    <x v="0"/>
    <s v="v=spf1 include:spf.protection.outlook.com -all"/>
    <s v="yes"/>
    <x v="2"/>
    <s v="v=DMARC1;  p=none; rua=mailto:45106cc1d9ac4b22911cea437f64805f@dmarc-reports.cloudflare.net"/>
    <m/>
    <m/>
    <x v="0"/>
    <x v="37"/>
    <x v="1"/>
  </r>
  <r>
    <s v="cru.ie"/>
    <s v="minus"/>
    <x v="0"/>
    <s v="v=spf1 include:_u.cru.ie._spf.smart.ondmarc.com -all"/>
    <s v="yes"/>
    <x v="3"/>
    <s v="v=DMARC1; p=reject; pct=100; fo=1; ri=3600; rua=mailto:9c51ab0c@inbox.ondmarc.com; ruf=mailto:9c51ab0c@inbox.ondmarc.com;"/>
    <m/>
    <m/>
    <x v="0"/>
    <x v="37"/>
    <x v="1"/>
  </r>
  <r>
    <s v="hfcs.ie"/>
    <s v="minus"/>
    <x v="0"/>
    <s v="v=spf1 include:spf.protection.outlook.com -all"/>
    <m/>
    <x v="0"/>
    <m/>
    <m/>
    <m/>
    <x v="0"/>
    <x v="37"/>
    <x v="1"/>
  </r>
  <r>
    <s v="malahidecs.ie"/>
    <s v="tilde"/>
    <x v="1"/>
    <s v="v=spf1 include:_spf.google.com ~all"/>
    <m/>
    <x v="0"/>
    <m/>
    <m/>
    <m/>
    <x v="0"/>
    <x v="37"/>
    <x v="1"/>
  </r>
  <r>
    <s v="highschooldublin.com"/>
    <s v="minus"/>
    <x v="0"/>
    <s v="v=spf1 include:spf.protection.outlook.com -all"/>
    <m/>
    <x v="2"/>
    <s v="v=DMARC1;p=none;pct=100;rua=mailto:administrator@highschooldublin.com"/>
    <m/>
    <m/>
    <x v="0"/>
    <x v="37"/>
    <x v="1"/>
  </r>
  <r>
    <s v="carevillage.ie"/>
    <s v="tilde"/>
    <x v="1"/>
    <s v="v=spf1 include:spf.reg365.net ~all"/>
    <m/>
    <x v="0"/>
    <m/>
    <m/>
    <m/>
    <x v="1"/>
    <x v="37"/>
    <x v="1"/>
  </r>
  <r>
    <s v="cavancrystalhotel.com"/>
    <s v="minus"/>
    <x v="0"/>
    <s v="v=spf1 include:spf.protection.outlook.com include:authsmtp.com include:spf.newsletter.ie -all"/>
    <s v="yes"/>
    <x v="2"/>
    <s v="v=DMARC1; p=none; rua=mailto:dmarc@lantech.uriports.com; ruf=mailto:dmarc@lantech.uriports.com; fo=1:d:s"/>
    <m/>
    <m/>
    <x v="11"/>
    <x v="37"/>
    <x v="1"/>
  </r>
  <r>
    <s v="bunrattycastlehotel.com"/>
    <s v="minus"/>
    <x v="0"/>
    <s v="v=spf1 include:spf.protection.outlook.com include:spf.topsec.com -all"/>
    <m/>
    <x v="2"/>
    <s v="v=DMARC1;p=none;sp=none;rua=mailto:211a5a2e44@rua.easydmarc.eu;ruf=mailto:211a5a2e44@ruf.easydmarc.eu;fo=1"/>
    <m/>
    <m/>
    <x v="9"/>
    <x v="37"/>
    <x v="1"/>
  </r>
  <r>
    <s v="hibernianhotelmallow.com"/>
    <s v="tilde"/>
    <x v="1"/>
    <s v="v=spf1 include:spf.blacknight.ie include:netaffinity.net include:guestline.net include:roomlynx.net ~all"/>
    <m/>
    <x v="0"/>
    <m/>
    <m/>
    <m/>
    <x v="1"/>
    <x v="37"/>
    <x v="1"/>
  </r>
  <r>
    <s v="villarose.net"/>
    <s v="minus"/>
    <x v="0"/>
    <s v="v=spf1 include:spf.protection.outlook.com mx ip4:109.169.74.175 ip4:81.17.254.9 mx:inbound-smtp.cp.blacknight.com ip4:216.119.106.54 include:spf.blacknight.com mx:smtp1r.cp.blacknight.com include:netaffinity.net include:authsmtp.com -all"/>
    <s v="yes"/>
    <x v="2"/>
    <s v="v=DMARC1; p=none; rua=mailto:leslie@leslielong.ie"/>
    <m/>
    <m/>
    <x v="6"/>
    <x v="37"/>
    <x v="1"/>
  </r>
  <r>
    <s v="fitzwilliamhoteldublin.com"/>
    <s v="mis"/>
    <x v="3"/>
    <s v="v=spf1 include:spf.synxis.com"/>
    <m/>
    <x v="0"/>
    <m/>
    <m/>
    <m/>
    <x v="0"/>
    <x v="37"/>
    <x v="1"/>
  </r>
  <r>
    <s v="riverhousehotel.com"/>
    <s v="no"/>
    <x v="2"/>
    <m/>
    <m/>
    <x v="3"/>
    <s v="v=DMARC1; p=reject; adkim=r; aspf=r; rua=mailto:dmarc_rua@onsecureserver.net;"/>
    <m/>
    <m/>
    <x v="0"/>
    <x v="37"/>
    <x v="1"/>
  </r>
  <r>
    <s v="scottshotelkillarney.com"/>
    <s v="minus"/>
    <x v="0"/>
    <s v="v=spf1 ip4:52.166.124.85 mx include:spf.mandrillapp.com include:spf.protection.outlook.com ip4:13.95.66.253 +a:vm.inec.ie -all"/>
    <m/>
    <x v="0"/>
    <m/>
    <m/>
    <m/>
    <x v="14"/>
    <x v="37"/>
    <x v="1"/>
  </r>
  <r>
    <s v="knightsbrook.com"/>
    <s v="minus"/>
    <x v="0"/>
    <s v="v=spf1 include:spf.protection.outlook.com include:netaffinity.net include:spf.premiersoftware.co.uk include:authsmtp.com -all"/>
    <m/>
    <x v="2"/>
    <s v="v=DMARC1; p=none"/>
    <m/>
    <m/>
    <x v="15"/>
    <x v="37"/>
    <x v="1"/>
  </r>
  <r>
    <s v="clonmelparkhotel.com"/>
    <s v="tilde"/>
    <x v="1"/>
    <s v="v=spf1 include:spf.protection.outlook.com  include:netaffinity.net ~all"/>
    <m/>
    <x v="2"/>
    <s v="v=DMARC1; p=none;"/>
    <m/>
    <m/>
    <x v="13"/>
    <x v="37"/>
    <x v="1"/>
  </r>
  <r>
    <s v="knightfrank.ie"/>
    <s v="tilde"/>
    <x v="1"/>
    <s v="v=spf1 a:ebarrier.providentit.com a:ebarrier1.providentit.com a:remote.kfdublin.ie include:in25app.com\010include:spf.ess.de.barracudanetworks.com include:spf.protection.outlook.com include:spf.EU.exclaimer.net ~all"/>
    <s v="yes"/>
    <x v="0"/>
    <m/>
    <m/>
    <m/>
    <x v="0"/>
    <x v="37"/>
    <x v="1"/>
  </r>
  <r>
    <s v="quinnrv.com"/>
    <s v="minus"/>
    <x v="0"/>
    <s v="v=spf1 include:spf.protection.outlook.com ip4:93.107.124.176 a:spamtitan.zenotec.ie -all"/>
    <s v="yes"/>
    <x v="2"/>
    <s v="v=DMARC1; p=none; pct=100; rua=mailto:dmarc@zenotec.ie; ruf=mailto:dmarc@zenotec.ie; fo=1"/>
    <m/>
    <m/>
    <x v="7"/>
    <x v="37"/>
    <x v="1"/>
  </r>
  <r>
    <s v="exitex.com"/>
    <s v="minus"/>
    <x v="0"/>
    <s v="v=spf1 include:appriver.com -all"/>
    <s v="yes"/>
    <x v="2"/>
    <s v="v=DMARC1; p=none; pct=100; rua=mailto:re+d8hwhfcufst@dmarc.postmarkapp.com; sp=none; aspf=r;"/>
    <m/>
    <m/>
    <x v="2"/>
    <x v="37"/>
    <x v="1"/>
  </r>
  <r>
    <s v="condronconcrete.com"/>
    <s v="minus"/>
    <x v="0"/>
    <s v="v=spf1 include:spf.protection.outlook.com -all"/>
    <m/>
    <x v="2"/>
    <s v="v=DMARC1; p=none;"/>
    <m/>
    <m/>
    <x v="21"/>
    <x v="37"/>
    <x v="1"/>
  </r>
  <r>
    <s v="brettbrothers.ie"/>
    <s v="minus"/>
    <x v="0"/>
    <s v="v=spf1 include:spf.protection.outlook.com +a +mx +ip4:91.210.232.245 include:spf.webhostingireland.ie include:spf1.emailsecurity.app +ip4:82.141.238.194 ip4:84.51.253.158 -all"/>
    <s v="yes"/>
    <x v="0"/>
    <m/>
    <m/>
    <m/>
    <x v="17"/>
    <x v="37"/>
    <x v="1"/>
  </r>
  <r>
    <s v="cylon.com"/>
    <s v="minus"/>
    <x v="0"/>
    <s v="v=spf1 ip4:89.101.141.32/27 include:spf.protection.outlook.com include:_spf.salesforce.com -all"/>
    <s v="yes"/>
    <x v="1"/>
    <s v="v=DMARC1; p=quarantine"/>
    <m/>
    <m/>
    <x v="0"/>
    <x v="37"/>
    <x v="1"/>
  </r>
  <r>
    <s v="amcsgroup.com"/>
    <s v="tilde"/>
    <x v="1"/>
    <s v="v=spf1 ip4:198.21.4.52 ip4:40.92.0.0/15 ip4:167.89.31.27 ip4:40.107.0.0/16 ip4:52.100.0.0/14 ip4:104.47.0.0/17 ip4:3.222.0.24/29 ip4:69.72.32.0/20 ip4:13.111.0.0/16 ip4:167.89.0.0/17 ip4:50.31.32.0/19 ip4:198.21.0.0/21 ip4:149.72.0.0/16 ip4:66.102.0.0/20 &quot; &quot;ip4:74.125.0.0/16 ip4:35.191.0.0/16 ip4:62.13.128.0/24 ip4:62.13.136.0/22 ip4:62.13.140.0/22 ip4:62.13.144.0/22 ip4:62.13.148.0/23 ip4:62.13.150.0/23 include:_spf0000000.amcsgroup.com ~all"/>
    <s v="yes"/>
    <x v="3"/>
    <s v="v=DMARC1; p=reject; rua=mailto:dmarc_reports@amcsgroup.com,mailto:c90542a0@mxtoolbox.dmarc-report.com; ruf=mailto:dmarc_reports@amcsgroup.com,mailto:c90542a0@forensics.dmarc-report.com; rf=afrf; fo=1:d:s; pct=100;  ri=86400; adkim=r; aspf=r;"/>
    <m/>
    <m/>
    <x v="5"/>
    <x v="37"/>
    <x v="1"/>
  </r>
  <r>
    <s v="readychef.ie"/>
    <s v="tilde"/>
    <x v="1"/>
    <s v="v=spf1 include:%{ir}.%{v}.%{d}.spf.has.pphosted.com ~all"/>
    <s v="yes"/>
    <x v="3"/>
    <s v="v=DMARC1; p=reject; fo=1; rua=mailto:dmarc_rua@emaildefense.proofpoint.com; ruf=mailto:dmarc_ruf@emaildefense.proofpoint.com"/>
    <m/>
    <m/>
    <x v="0"/>
    <x v="37"/>
    <x v="1"/>
  </r>
  <r>
    <s v="ecijcb.ie"/>
    <s v="minus"/>
    <x v="0"/>
    <s v="v=spf1 ip4:172.167.98.229 include:spf.protection.outlook.com include:mail.ibcosonline.co.uk -all"/>
    <m/>
    <x v="0"/>
    <m/>
    <m/>
    <m/>
    <x v="0"/>
    <x v="37"/>
    <x v="1"/>
  </r>
  <r>
    <s v="boylanprintgroup.ie"/>
    <s v="tilde"/>
    <x v="1"/>
    <s v="v=spf1 ip4:185.199.220.88 include:relay.k.io a mx ip4:77.72.0.150 ~all"/>
    <s v="yes"/>
    <x v="0"/>
    <m/>
    <m/>
    <m/>
    <x v="2"/>
    <x v="37"/>
    <x v="1"/>
  </r>
  <r>
    <s v="gea.com"/>
    <s v="minus"/>
    <x v="0"/>
    <s v="v=spf1 ip4:178.77.90.228 ip4:40.68.136.81 ip4:40.114.253.6 ip4:195.50.76.232 ip4:195.50.76.237 ip4:149.235.15.0/24 ip4:130.214.105.240/28 ip4:130.214.134.192/28 ip4:130.214.240.208/28 ip4:130.214.163.240/28 include:spf.protection.outlook.com ip4:85.214.&quot; &quot;129.169 ip4:197.97.85.97 ip4:185.93.143.53 ip4:185.215.218.82 include:_spf.online.superoffice.com -all"/>
    <s v="yes"/>
    <x v="3"/>
    <s v="v=DMARC1; p=reject; rua=mailto:dmarc_agg@vali.email,mailto:dmarc@inbound.flowmailer.net; ruf=mailto:dmarc@inbound.flowmailer.net; fo=1;"/>
    <m/>
    <m/>
    <x v="16"/>
    <x v="37"/>
    <x v="1"/>
  </r>
  <r>
    <s v="dulux.ie"/>
    <s v="minus"/>
    <x v="0"/>
    <s v="v=spf1 include:spf1.akzonobel.com a:static.msdp1.com ip4:52.16.11.63 include:spf.newsletter.ie -all"/>
    <s v="yes"/>
    <x v="1"/>
    <s v="v=DMARC1; p=quarantine; pct=100; rua=mailto:dmarc-report@sensorpro.net; ruf=mailto:dmarc-report@sensorpro.net"/>
    <m/>
    <m/>
    <x v="1"/>
    <x v="37"/>
    <x v="1"/>
  </r>
  <r>
    <s v="l'oreal.com"/>
    <s v="no"/>
    <x v="2"/>
    <m/>
    <m/>
    <x v="0"/>
    <m/>
    <m/>
    <m/>
    <x v="0"/>
    <x v="37"/>
    <x v="1"/>
  </r>
  <r>
    <s v="abgrouppackaging.com"/>
    <s v="minus"/>
    <x v="0"/>
    <s v="v=spf1 include:spf.protection.outlook.com include:sent-via.netsuite.com -all"/>
    <m/>
    <x v="0"/>
    <m/>
    <m/>
    <m/>
    <x v="24"/>
    <x v="37"/>
    <x v="1"/>
  </r>
  <r>
    <s v="wppg.com"/>
    <s v="minus"/>
    <x v="0"/>
    <s v="v=spf1 a ip4:158.120.85.36 ip4:62.64.249.230/31 ip4:213.170.190.9/29 ip4:213.170.190.209/28 ip4:80.65.107.16/28 ip4:84.19.51.146/29 ip4:195.243.14.154/29 ip4:2.136.200.80 ip4:149.36.231.242 ip4:89.125.252.224 ip4:89.125.254.217 ip4:78.137.137.130 ip4:213.&quot; &quot;136.12.0/24 ip4:84.19.51.146/32 ip4:91.2.23.239/32 ip4:162.254.89.7 ip4:85.232.20.185 ip4:85.62.12.78 ip4:187.251.246.197 ip4:81.0.74.180 ip4:194.143.244.198 ip4:85.134.132.253 ip4:189.51.0.163 ip4:192.174.81.41/26 ip4:37.251.181.124/31 ip4:178.62.218.212&quot; &quot;/32 ip4:114.143.235.114 ip4:187.251.246.30 ip4:152.169.190.214 ip4:65.56.40.90 ip6:2001:7b8:3:5::25:0/112 include:spf.protection.outlook.com include:sendgrid.net include:spf-breaks-email.bit.nl include:servers.mcsv.net include:emaileuc.freshservice.com in&quot; &quot;clude:de._netblocks.mimecast.com -all"/>
    <s v="yes"/>
    <x v="3"/>
    <s v="v=DMARC1;p=reject;sp=reject;pct=100;rua=mailto:dmarc@wppg.com"/>
    <m/>
    <m/>
    <x v="5"/>
    <x v="37"/>
    <x v="1"/>
  </r>
  <r>
    <s v="mars.com"/>
    <s v="tilde"/>
    <x v="1"/>
    <s v="v=spf1 include:spf.mars-inc.com include:spf.protection.outlook.com include:spf.mandrillapp.com include:_spf.salesforce.com ~all"/>
    <s v="yes"/>
    <x v="3"/>
    <s v="v=DMARC1; p=reject; fo=1; ri=3600; rua=mailto:mars@rua.agari.com; ruf=mailto:mars@ruf.agari.com"/>
    <m/>
    <m/>
    <x v="0"/>
    <x v="37"/>
    <x v="1"/>
  </r>
  <r>
    <s v="galmere.ie"/>
    <s v="minus"/>
    <x v="0"/>
    <s v="v=spf1 include:spf.protection.outlook.com -all"/>
    <s v="yes"/>
    <x v="0"/>
    <m/>
    <m/>
    <m/>
    <x v="7"/>
    <x v="37"/>
    <x v="1"/>
  </r>
  <r>
    <s v="kilcarrigquarries.ie"/>
    <s v="minus"/>
    <x v="0"/>
    <s v="v=spf1 include:spf.protection.outlook.com -all"/>
    <m/>
    <x v="0"/>
    <m/>
    <m/>
    <m/>
    <x v="25"/>
    <x v="37"/>
    <x v="1"/>
  </r>
  <r>
    <s v="cartoonsaloon.ie"/>
    <s v="tilde"/>
    <x v="1"/>
    <s v="v=spf1 include:_spf.google.com ~all"/>
    <s v="yes"/>
    <x v="0"/>
    <m/>
    <m/>
    <m/>
    <x v="17"/>
    <x v="37"/>
    <x v="1"/>
  </r>
  <r>
    <s v="allianzworldwidecare.com"/>
    <s v="tilde"/>
    <x v="1"/>
    <s v="v=spf1 include:spf.allianz.com ip4:87.106.1.21 ip4:208.86.168.7 ip4:135.84.68.123 ip4:193.240.14.113 ip4:204.93.80.116 ip4:204.93.80.117 include:_spf.allianzworldwidecare.com include:esaas.inmoment.eu ~all"/>
    <s v="yes"/>
    <x v="3"/>
    <s v="v=DMARC1; p=reject; fo=1; ri=3600; rua=mailto:Rua-allianz@allianz.com; ruf=mailto:Ruf-allianz@allianz.com"/>
    <m/>
    <m/>
    <x v="0"/>
    <x v="37"/>
    <x v="1"/>
  </r>
  <r>
    <s v="faithlegg.com"/>
    <s v="minus"/>
    <x v="0"/>
    <s v="v=spf1 ip4:66.102.128.96 ip4:91.136.49.203 ip4:207.55.255.4 include:spf.protection.outlook.com include:authsmtp.com include:netaffinity.net include:turbo-smtp.com -all"/>
    <s v="yes"/>
    <x v="3"/>
    <s v="v=DMARC1;p=reject;pct=0"/>
    <m/>
    <m/>
    <x v="10"/>
    <x v="37"/>
    <x v="1"/>
  </r>
  <r>
    <s v="camdencourthotel.com"/>
    <s v="minus"/>
    <x v="0"/>
    <s v="v=spf1 include:spf.protection.outlook.com include:_spf.bookassist.com  -all"/>
    <m/>
    <x v="0"/>
    <m/>
    <m/>
    <m/>
    <x v="0"/>
    <x v="37"/>
    <x v="1"/>
  </r>
  <r>
    <s v="hsscu.ie"/>
    <s v="minus"/>
    <x v="0"/>
    <s v="v=spf1 include:spf.protection.outlook.com include:_spf.soluno.se include:spf.cuonline.well-it.com include:spf.mailjet.com include:spf.happyfox.com -all"/>
    <s v="yes"/>
    <x v="1"/>
    <s v="v=DMARC1; p=quarantine"/>
    <m/>
    <m/>
    <x v="0"/>
    <x v="37"/>
    <x v="1"/>
  </r>
  <r>
    <s v="essentrapackaging.com"/>
    <s v="no"/>
    <x v="2"/>
    <m/>
    <s v="yes"/>
    <x v="0"/>
    <m/>
    <m/>
    <m/>
    <x v="0"/>
    <x v="37"/>
    <x v="1"/>
  </r>
  <r>
    <s v="walshcolourprint.com"/>
    <s v="minus"/>
    <x v="0"/>
    <s v="v=spf1 include:spf.protection.outlook.com a:server1.printlogicsystem.com a:server2.printlogicsystem.com -all"/>
    <s v="yes"/>
    <x v="2"/>
    <s v="v=DMARC1; p=none; rua=mailto:backup@infinity2.ie; ruf=mailto:backup@infinity2.ie; fo=1"/>
    <m/>
    <m/>
    <x v="14"/>
    <x v="37"/>
    <x v="1"/>
  </r>
  <r>
    <s v="crestsolutions.ie"/>
    <s v="minus"/>
    <x v="0"/>
    <s v="v=spf1 ip4:212.17.60.82 include:spf.protection.outlook.com include:_spf.clockwise.info include:farahilde.clockwise.info include:servers.mcsv.net include:marketing.dynamics.com -all"/>
    <s v="yes"/>
    <x v="1"/>
    <s v="v=DMARC1; p=quarantine; rua=mailto:david.burke@crestsolutions.ie; ruf=mailto:david.burke@crestsolutions.ie;"/>
    <m/>
    <m/>
    <x v="1"/>
    <x v="37"/>
    <x v="1"/>
  </r>
  <r>
    <s v="airconmech.com"/>
    <s v="minus"/>
    <x v="0"/>
    <s v="v=spf1 mx a  ip4:94.102.198.214 ip4:212.126.59.52 ip4:212.126.58.192/27  a:mail.airconmech.com include:spf.ess.uk.barracudanetworks.com include:spf.protection.outlook.com include:sendgrid.net -all"/>
    <s v="yes"/>
    <x v="1"/>
    <s v="v=DMARC1; p=quarantine; rua=mailto:dmarc@airconmech.com; ruf=mailto:dmarc@airconmech.com; fo=1; adkim=r; aspf=r"/>
    <m/>
    <m/>
    <x v="3"/>
    <x v="37"/>
    <x v="1"/>
  </r>
  <r>
    <s v="scoilghobnatan.com"/>
    <s v="minus"/>
    <x v="0"/>
    <s v="v=spf1 include:spf.protection.outlook.com -all"/>
    <m/>
    <x v="0"/>
    <m/>
    <m/>
    <m/>
    <x v="1"/>
    <x v="37"/>
    <x v="1"/>
  </r>
  <r>
    <s v="sunday-times.ie"/>
    <s v="tilde"/>
    <x v="1"/>
    <s v="v=spf1 include:_spf.news.co.uk ~all"/>
    <s v="yes"/>
    <x v="3"/>
    <s v="v=DMARC1; p=reject; fo=1; rua=mailto:dmarc_rua@emaildefense.proofpoint.com; ruf=mailto:dmarc_ruf@emaildefense.proofpoint.com"/>
    <m/>
    <m/>
    <x v="0"/>
    <x v="37"/>
    <x v="1"/>
  </r>
  <r>
    <s v="hml.ltd"/>
    <s v="minus"/>
    <x v="0"/>
    <s v="v=spf1 include:spf.protection.outlook.com -all"/>
    <m/>
    <x v="2"/>
    <s v="v=DMARC1; p=none;"/>
    <m/>
    <m/>
    <x v="6"/>
    <x v="37"/>
    <x v="1"/>
  </r>
  <r>
    <s v="brooklyn.ie"/>
    <s v="mis"/>
    <x v="3"/>
    <s v="v=spf1 redirect=_sei5h55j5.sdmarc.net"/>
    <s v="yes"/>
    <x v="3"/>
    <s v="v=DMARC1; p=reject; pct=100; rua=mailto:a.ei5h55j5@sdmarc.net"/>
    <m/>
    <m/>
    <x v="0"/>
    <x v="37"/>
    <x v="1"/>
  </r>
  <r>
    <s v="connectcentre.ie"/>
    <s v="no"/>
    <x v="2"/>
    <m/>
    <m/>
    <x v="0"/>
    <m/>
    <m/>
    <m/>
    <x v="0"/>
    <x v="37"/>
    <x v="1"/>
  </r>
  <r>
    <s v="retirementservices.ie"/>
    <s v="mis"/>
    <x v="3"/>
    <s v="v=spf1 a mx include:spf.irishdomains.com"/>
    <m/>
    <x v="0"/>
    <m/>
    <m/>
    <m/>
    <x v="11"/>
    <x v="37"/>
    <x v="1"/>
  </r>
  <r>
    <s v="newtownparkhouse.ie"/>
    <s v="minus"/>
    <x v="0"/>
    <s v="v=spf1 include:spf.protection.outlook.com -all"/>
    <m/>
    <x v="0"/>
    <m/>
    <m/>
    <m/>
    <x v="0"/>
    <x v="37"/>
    <x v="1"/>
  </r>
  <r>
    <s v="supervalufermoy.ie"/>
    <s v="no"/>
    <x v="2"/>
    <m/>
    <m/>
    <x v="0"/>
    <m/>
    <m/>
    <m/>
    <x v="1"/>
    <x v="37"/>
    <x v="1"/>
  </r>
  <r>
    <s v="joycesupermarket.com"/>
    <s v="minus"/>
    <x v="0"/>
    <s v="v=spf1 include:spf.protection.outlook.com ip4:83.70.80.17 ip4:86.43.114.181 ip4:83.70.80.21 ip4:86.43.84.46 ip4:78.143.178.30 ip4:83.70.80.22 ip4:86.43.100.112 -all"/>
    <s v="yes"/>
    <x v="0"/>
    <m/>
    <m/>
    <m/>
    <x v="7"/>
    <x v="37"/>
    <x v="1"/>
  </r>
  <r>
    <s v="supervalu.com"/>
    <s v="tilde"/>
    <x v="1"/>
    <s v="v=spf1 include:%{ir}.%{v}.%{d}.spf.has.pphosted.com ~all"/>
    <m/>
    <x v="3"/>
    <s v="v=DMARC1; p=reject; fo=1; rua=mailto:dmarc_rua@emaildefense.proofpoint.com; ruf=mailto:dmarc_ruf@emaildefense.proofpoint.com"/>
    <m/>
    <m/>
    <x v="23"/>
    <x v="37"/>
    <x v="1"/>
  </r>
  <r>
    <s v="arboretum.com"/>
    <s v="question"/>
    <x v="4"/>
    <s v="v=spf1 a mx ptr include:hostmonster.com ?all"/>
    <m/>
    <x v="0"/>
    <m/>
    <m/>
    <m/>
    <x v="25"/>
    <x v="37"/>
    <x v="1"/>
  </r>
  <r>
    <s v="brooksgroup.ie"/>
    <s v="tilde"/>
    <x v="1"/>
    <s v="v=spf1 ip4:93.94.115.204 ip4:109.237.17.211 ip4:5.134.91.56/29 ip4:109.237.17.249 ip4:195.69.94.245 ip4:78.153.220.223 ip4:168.245.102.0 ip4:198.2.136.252 ip4:194.39.167.152 include:eu._netblocks.mimecast.com include:sendgrid.net include:spf.protection.ou&quot; &quot;tlook.com include:spf.mandrillapp.com include:servers.mcsv.net include:spf.emailsignatures365.com ~all"/>
    <s v="yes"/>
    <x v="0"/>
    <m/>
    <m/>
    <m/>
    <x v="0"/>
    <x v="37"/>
    <x v="1"/>
  </r>
  <r>
    <s v="crownroofing.ie"/>
    <s v="minus"/>
    <x v="0"/>
    <s v="v=spf1 ip4:83.147.183.6 include:spf.protection.outlook.com include:spf.ess.de.barracudanetworks.com include:servers.mcsv.net include:spf.exclaimer.net include:_spf.elasticemail.com -all"/>
    <s v="yes"/>
    <x v="2"/>
    <s v="v=DMARC1;p=none;pct=100;aspf=r;adkim=r;"/>
    <m/>
    <m/>
    <x v="24"/>
    <x v="37"/>
    <x v="1"/>
  </r>
  <r>
    <s v="frankkeanebmw.ie"/>
    <s v="tilde"/>
    <x v="1"/>
    <s v="v=spf1 a mx include:spf.protection.outlook.com include:spf.mandrillapp.com ip4:178.250.116.82 ip4:82.198.158.249 ip4:144.2.246.213 ip4:62.77.169.41 ip4:213.94.190.12 ip4:159.134.118.18 ip4:62.77.169.42 include:_spf.netdirector.auto ~all"/>
    <s v="yes"/>
    <x v="2"/>
    <s v="v=DMARC1;  p=none; rua=mailto:23f2961f5c814f5e8bebc7da1ed9f13d@dmarc-reports.cloudflare.net"/>
    <m/>
    <m/>
    <x v="0"/>
    <x v="37"/>
    <x v="1"/>
  </r>
  <r>
    <s v="gpwood.ie"/>
    <s v="tilde"/>
    <x v="1"/>
    <s v="v=spf1 +a +mx +a:web1.iseek.host +a:mail.darklite.ie include:spf.protection.outlook.com ip4:40.107.105.124 ip4:78.153.205.192/27 ip4:92.60.192.115 ip4:89.100.159.89 ip4:89.100.116.81 ~all"/>
    <s v="yes"/>
    <x v="2"/>
    <s v="v=DMARC1; p=none"/>
    <m/>
    <m/>
    <x v="1"/>
    <x v="37"/>
    <x v="1"/>
  </r>
  <r>
    <s v="cavaninstitute.ie"/>
    <s v="minus"/>
    <x v="0"/>
    <s v="v=spf1 include:spf.protection.outlook.com include:spf.dcsnet.ie ip4:137.191.239.238 ip4:159.183.154.182 ip4:159.183.137.76 -all"/>
    <s v="yes"/>
    <x v="3"/>
    <s v="v=DMARC1;p=reject;rua=mailto:dmarcsupport@cavaninstitute.ie"/>
    <m/>
    <m/>
    <x v="11"/>
    <x v="37"/>
    <x v="1"/>
  </r>
  <r>
    <s v="bayer.com"/>
    <s v="minus"/>
    <x v="0"/>
    <s v="v=spf1 a mx ip4:192.237.159.170 ip4:166.78.71.146 ip4:192.237.159.44 ip4:23.253.183.59 ip4:212.64.225.225  ip4:212.64.225.226 include:spf.bayer.com -all"/>
    <s v="yes"/>
    <x v="2"/>
    <s v="v=DMARC1; p=none; rua=mailto:abejo5ak@ag.eu.dmarcian.com"/>
    <m/>
    <m/>
    <x v="0"/>
    <x v="37"/>
    <x v="1"/>
  </r>
  <r>
    <s v="iitc.ie"/>
    <s v="minus"/>
    <x v="0"/>
    <s v="v=spf1 +a +mx +a:web2.iseek.host ip4:84.51.253.158 ip4:213.191.227.247 ip4:78.153.205.192/27 include:spf.protection.outlook.com ip4:78.143.184.206 -all"/>
    <s v="yes"/>
    <x v="2"/>
    <s v="v=DMARC1; p=none"/>
    <m/>
    <m/>
    <x v="1"/>
    <x v="37"/>
    <x v="1"/>
  </r>
  <r>
    <s v="cr2.com"/>
    <s v="minus"/>
    <x v="0"/>
    <s v="v=spf1 ip4:80.169.141.162 ip4:80.169.141.164 ip4:82.212.89.7 ip4:80.90.165.197 ip4:159.196.201.80 ip4:51.145.174.105 mx include:eu._netblocks.mimecast.com include:_spf.salesforce.com include:19711316.spf04.hubspotemail.net -all"/>
    <s v="yes"/>
    <x v="2"/>
    <s v="v=DMARC1;p=none;"/>
    <s v="yes"/>
    <s v="https://images.bimi-report.com/cr2.com.svg"/>
    <x v="0"/>
    <x v="37"/>
    <x v="1"/>
  </r>
  <r>
    <s v="fsai.ie"/>
    <s v="minus"/>
    <x v="0"/>
    <s v="v=spf1 include:spf.protection.outlook.com ip4:137.191.237.116 -all"/>
    <m/>
    <x v="0"/>
    <m/>
    <m/>
    <m/>
    <x v="0"/>
    <x v="37"/>
    <x v="1"/>
  </r>
  <r>
    <s v="theardilaunhotel.ie"/>
    <s v="minus"/>
    <x v="0"/>
    <s v="v=spf1 include:spf.protection.outlook.com ip4:5.9.72.76 include:smtproutes.com include:sendgrid.net include:authsmtp.com -all"/>
    <s v="yes"/>
    <x v="1"/>
    <s v="v=DMARC1; p=quarantine; sp=quarantine; rua=mailto:dmarc@theardilaunhotel.ie; ruf=mailto:dmarc@theardilaunhotel.ie; fo=1; pct=100"/>
    <m/>
    <m/>
    <x v="7"/>
    <x v="37"/>
    <x v="1"/>
  </r>
  <r>
    <s v="larchfieldpark.ie"/>
    <s v="tilde"/>
    <x v="1"/>
    <s v="v=spf1 +mx +a +ip4:91.210.235.140 include:spf.protection.outlook.com ~all"/>
    <s v="yes"/>
    <x v="0"/>
    <m/>
    <m/>
    <m/>
    <x v="16"/>
    <x v="37"/>
    <x v="1"/>
  </r>
  <r>
    <s v="slcontrols.com"/>
    <s v="minus"/>
    <x v="0"/>
    <s v="v=spf1 include:spf.protection.outlook.com ip4:212.17.32.37 include:spf.topsec.com include:servers.mcsv.net -all"/>
    <m/>
    <x v="0"/>
    <m/>
    <m/>
    <m/>
    <x v="8"/>
    <x v="38"/>
    <x v="1"/>
  </r>
  <r>
    <s v="sle.ie"/>
    <s v="tilde"/>
    <x v="1"/>
    <s v="v=spf1 a mx include:spf.elive.net ip4:83.71.139.201 include:spf.protection.outlook.com ~all"/>
    <m/>
    <x v="2"/>
    <s v="v=DMARC1; p=none; sp=none; rf=afrf; pct=100; ri=86400"/>
    <m/>
    <m/>
    <x v="9"/>
    <x v="39"/>
    <x v="1"/>
  </r>
  <r>
    <s v="teel.com"/>
    <s v="tilde"/>
    <x v="1"/>
    <s v="v=spf1 ip4:162.245.183.32/28 ip4:4.43.193.184/29 include:spf.protection.outlook.com ~all"/>
    <s v="yes"/>
    <x v="2"/>
    <s v="v=DMARC1; p=none;"/>
    <m/>
    <m/>
    <x v="16"/>
    <x v="39"/>
    <x v="1"/>
  </r>
  <r>
    <s v="eskerlodgenursinghome.ie"/>
    <s v="tilde"/>
    <x v="1"/>
    <s v="v=spf1 ip4:185.32.253.250 include:spf.protection.outlook.com include:spf.mailanyone.net include:spf-esec.heimdalsecurity.com include:spf.smtp2go.com ~all"/>
    <s v="yes"/>
    <x v="0"/>
    <m/>
    <m/>
    <m/>
    <x v="11"/>
    <x v="40"/>
    <x v="1"/>
  </r>
  <r>
    <s v="stflannanscollege.ie"/>
    <s v="minus"/>
    <x v="0"/>
    <s v="v=spf1 +ip4:116.202.210.197 +include:spf.protection.outlook.com -all"/>
    <s v="yes"/>
    <x v="0"/>
    <m/>
    <m/>
    <m/>
    <x v="9"/>
    <x v="41"/>
    <x v="1"/>
  </r>
  <r>
    <s v="dunreidy.com"/>
    <s v="minus"/>
    <x v="0"/>
    <s v="v=spf1 include:servers.mcsv.net a:cleanmail1.deycom.com a:cleanmail2.deycom.com a:remote.deycom.com a:remote.dunreidy.com a:mail.dunreidy.com include:spf.protection.outlook.com include:_spf.elasticemail.com -all"/>
    <s v="yes"/>
    <x v="2"/>
    <s v="v=DMARC1; p=none;"/>
    <m/>
    <m/>
    <x v="17"/>
    <x v="41"/>
    <x v="1"/>
  </r>
  <r>
    <s v="tente.com"/>
    <s v="minus"/>
    <x v="0"/>
    <s v="v=spf1 ip4:157.55.9.128/25 ip4:65.54.121.120/29 ip4:65.55.81.48/28 ip4:65.55.234.192/26 ip4:207.46.200.0/27 ip4:65.55.52.224/27 ip4:94.245.112.10/31 i&quot; &quot;p4:94.245.112.0/27 ip4:111.221.26.0/27 ip4:207.46.50.192/26 ip4:207.46.50.224 ip4:207.68.169.173/30 ip4:207.68.176.0/26 ip4:207.46.132.128/27 ip4:207.&quot; &quot;68.176.96/27 ip4:65.55.238.129/26 ip4:207.46.116.128/29 ip4:65.55.178.128/27 ip4:213.199.161.128/27 ip4:65.55.33.64/28 ip4:167.220.67.238 ip4:51.4.71.&quot; &quot;62 ip4:23.103.131.7 ip4:131.253.121.20 ip4:131.253.121.52 ip4:65.55.81.54/31 ip4:65.54.121.124/31 ip4:103.9.8.121 ip4:51.144.115.48 ip4:103.9.8.122 ip&quot; &quot;4:103.9.8.123 ip4:42.159.163.81 ip4:42.159.163.82 ip4:42.159.163.83 ip4:157.55.0.192/26 ip4:157.55.1.128/26 ip4:157.55.2.0/25 ip4:65.54.190.0/24 ip4:6&quot; &quot;5.54.51.64/26 ip4:65.54.61.64/26 ip4:65.55.111.0/24 ip4:65.55.116.0/25 ip4:65.55.34.0/24 ip4:65.55.90.0/24 ip4:65.54.241.0/24 ip4:207.46.117.0/24 ip4:&quot; &quot;65.55.78.128/25 ip4:111.221.112.0/21 ip4:207.46.58.128/25 ip4:111.221.69.128/25 ip4:111.221.66.0/25 ip4:111.221.23.128/25 ip4:70.37.151.128/25 ip4:157&quot; &quot;.56.248.0/21 ip4:213.199.177.0/26 ip4:157.55.225.0/25 ip4:157.55.11.0/25 ip4:185.104.73.142 ip4:89.202.39.129 ip4:91.205.116.251 ip4:193.179.14.98 ip4&quot; &quot;:193.179.14.99 ip4:69.61.206.162 ip4:82.76.191.79 ip4:37.228.154.183 ip4:37.228.154.77 ip4:213.163.164.201 ip4:213.163.169.136 ip4:46.105.67.29 ip4:19&quot; &quot;3.242.174.52 ip4:195.215.31.222 ip4:62.55.182.68 ip4:3.68.40.83 ip4:18.198.18.157 ip4:3.68.17.221 ip4:3.67.235.98 ip4:3.68.38.23 ip4:18.198.149.19 ip4&quot; &quot;:3.64.131.199 ip4:3.64.88.217 ip4:3.64.142.243 ip4:87.53.90.22 ip4:78.24.15.64/26 ip4:185.68.68.0/22 ip4:185.115.1.86 ip4:102.22.194.100 ip4:41.120.17&quot; &quot;.188 ip4:3.67.178.138  include:spf.protection.outlook.com include:spf.emailsignatures365.com include:emaileu.clickdimensions.com include:_spf.cmail.on&quot; &quot;demand.com include:spf.plutex.de a:managedmail.3ict.nl include:spfv4.sosafe.de include:spfv6.sosafe.de -all"/>
    <s v="yes"/>
    <x v="1"/>
    <s v="v=DMARC1; p=quarantine; rua=mailto:dmarc.de@tente.com; fo=0; adkim=r; aspf=r; rf=afrf; sp=none; pct=100"/>
    <m/>
    <m/>
    <x v="8"/>
    <x v="41"/>
    <x v="1"/>
  </r>
  <r>
    <s v="sheenfallslodge.ie"/>
    <s v="tilde"/>
    <x v="1"/>
    <s v="v=spf1 ip4:185.51.105.225 ip4:149.72.150.15 ip4:168.245.107.83 ip4:149.72.136.158 include:spf.protection.outlook.com include:spf.mtasv.net include:mailgun.org include:spf.premiersoftware.co.uk include:spf.mailjet.com ~all"/>
    <s v="yes"/>
    <x v="2"/>
    <s v="v=DMARC1; p=none; fo=1; rua=mailto:rua+sheenfallslodge.ie@dmarc.barracudanetworks.com; ruf=mailto:ruf+sheenfallslodge.ie@dmarc.barracudanetworks.com"/>
    <m/>
    <m/>
    <x v="14"/>
    <x v="41"/>
    <x v="1"/>
  </r>
  <r>
    <s v="amberoil.ie"/>
    <s v="tilde"/>
    <x v="1"/>
    <s v="v=spf1 include:%{i}._ip.%{h}._ehlo.%{d}._spf.vali.email ~all"/>
    <m/>
    <x v="3"/>
    <s v="v=DMARC1; p=reject; rua=mailto:dmarc_agg@vali.email,mailto:DMARC.RUF@greenergy.com; ruf=mailto:DMARC.RUF@greenergy.com"/>
    <m/>
    <m/>
    <x v="1"/>
    <x v="41"/>
    <x v="1"/>
  </r>
  <r>
    <s v="svhf.ie"/>
    <s v="tilde"/>
    <x v="1"/>
    <s v="v=spf1 include:spf.protection.outlook.com a:mail1.svhf.ie  ~all"/>
    <m/>
    <x v="0"/>
    <m/>
    <m/>
    <m/>
    <x v="0"/>
    <x v="42"/>
    <x v="1"/>
  </r>
  <r>
    <s v="bolgers.com"/>
    <s v="tilde"/>
    <x v="1"/>
    <s v="v=spf1 include:spf.topsec.com include:spf.protection.outlook.com ip4:93.107.109.52/32 ~all"/>
    <m/>
    <x v="0"/>
    <m/>
    <m/>
    <m/>
    <x v="9"/>
    <x v="42"/>
    <x v="1"/>
  </r>
  <r>
    <s v="moog.com"/>
    <s v="minus"/>
    <x v="0"/>
    <s v="v=spf1 ip4:104.193.137.41 ip4:104.193.137.227 ip4:104.193.137.209 include:spf-00184801.pphosted.com include:_spf.moog.com include:_spf.createsend.com include:servers.mcsv.net -all"/>
    <s v="yes"/>
    <x v="3"/>
    <s v="v=DMARC1; p=reject; fo=1; rua=mailto:dmarc_rua@emaildefense.proofpoint.com; ruf=mailto:dmarc_ruf@emaildefense.proofpoint.com"/>
    <m/>
    <m/>
    <x v="1"/>
    <x v="42"/>
    <x v="1"/>
  </r>
  <r>
    <s v="corktaxi.ie"/>
    <s v="tilde"/>
    <x v="1"/>
    <s v="v=spf1 +a +mx +ip4:66.206.3.250 +ip4:104.47.14.57 include:spf.protection.outlook.com include:spf.reg365.net ~all"/>
    <m/>
    <x v="0"/>
    <m/>
    <m/>
    <m/>
    <x v="1"/>
    <x v="42"/>
    <x v="1"/>
  </r>
  <r>
    <s v="bellurgan.com"/>
    <s v="minus"/>
    <x v="0"/>
    <s v="v=spf1 ip4:109.234.99.146 include:spf.protection.outlook.com -all"/>
    <s v="yes"/>
    <x v="1"/>
    <s v="v=DMARC1; p=quarantine; rua=mailto:dmarc@bellurgan.com"/>
    <m/>
    <m/>
    <x v="2"/>
    <x v="43"/>
    <x v="1"/>
  </r>
  <r>
    <s v="caw.ie"/>
    <s v="tilde"/>
    <x v="1"/>
    <s v="v=spf1 include:spf.protection.outlook.com include:smtp.cologlobal.com ip4:89.101.151.145 ~all"/>
    <m/>
    <x v="0"/>
    <m/>
    <m/>
    <m/>
    <x v="0"/>
    <x v="44"/>
    <x v="1"/>
  </r>
  <r>
    <s v="stwarchitects.com"/>
    <s v="minus"/>
    <x v="0"/>
    <s v="v=spf1 include:spf.protection.outlook.com -all"/>
    <m/>
    <x v="0"/>
    <m/>
    <m/>
    <m/>
    <x v="0"/>
    <x v="45"/>
    <x v="1"/>
  </r>
  <r>
    <s v="quinns.ie"/>
    <s v="mis"/>
    <x v="3"/>
    <s v="v=spf1 a mx include:spf.irishdomains.com"/>
    <m/>
    <x v="0"/>
    <m/>
    <m/>
    <m/>
    <x v="24"/>
    <x v="45"/>
    <x v="1"/>
  </r>
  <r>
    <s v="faacgroup.com"/>
    <s v="minus"/>
    <x v="0"/>
    <s v="v=spf1 mx include:spf.protection.outlook.com include:_spf.elasticemail.com include:servers.mcsv.net include:spf.icontroller.eu include:musvc.com include:spf.constantcontact.com include:_spf.mlsend.com ip4:149.72.171.119 ip4:217.8.248.0/25 exists:%{i}.spf.&quot; &quot;hc2493-46.eu.iphmx.com -all"/>
    <s v="yes"/>
    <x v="3"/>
    <s v="v=DMARC1; p=reject; pct=100; rua=mailto:dmarca@faacgroup.com; ruf=mailto:dmarcf@faacgroup.com; fo=1"/>
    <m/>
    <m/>
    <x v="0"/>
    <x v="45"/>
    <x v="1"/>
  </r>
  <r>
    <s v="crowehorwath.ie"/>
    <s v="minus"/>
    <x v="0"/>
    <s v="v=spf1 include:spf.topsec.com include:spf.sendinblue.com include:spf.protection.outlook.com mx -all"/>
    <m/>
    <x v="2"/>
    <s v="v=DMARC1; p=none; rua=mailto:dmarcreports@crowe.ie; ruf=mailto:dmarcreports@crowe.ie; fo=1; adkim=s; aspf=s;"/>
    <m/>
    <m/>
    <x v="0"/>
    <x v="46"/>
    <x v="1"/>
  </r>
  <r>
    <s v="charteredaccountants.ie"/>
    <s v="tilde"/>
    <x v="1"/>
    <s v="v=spf1 mx a ip4:193.120.76.114 ip4:89.185.150.44 include:spf.protection.outlook.com include:cmail1.com include:_spf.arlo.co include:msgfocus.com ~all"/>
    <s v="yes"/>
    <x v="1"/>
    <s v="v=DMARC1; p=quarantine; sp=none; rua=mailto:webmaster@charteredaccountants.ie;"/>
    <m/>
    <m/>
    <x v="0"/>
    <x v="46"/>
    <x v="1"/>
  </r>
  <r>
    <s v="irishrugby.ie"/>
    <s v="minus"/>
    <x v="0"/>
    <s v="v=spf1 include:spf.myconnectwise.net include:spf.protection.outlook.com include:spf.soticservers.net include:eu._netblocks.mimecast.com include:_spf-dc55.sapsf.eu -all"/>
    <s v="yes"/>
    <x v="3"/>
    <s v="v=DMARC1; p=reject; rua=mailto:00576b64b191795@rep.dmarcanalyzer.com; ruf=mailto:00576b64b191795@for.dmarcanalyzer.com; fo=1;"/>
    <m/>
    <m/>
    <x v="0"/>
    <x v="46"/>
    <x v="1"/>
  </r>
  <r>
    <s v="goracing.ie"/>
    <s v="minus"/>
    <x v="0"/>
    <s v="v=spf1 exists:%{i}.spf.acme.iphmx.com ip4:137.191.244.169 ip4:137.191.244.177 ip4:139.138.61.113 ip4:139.138.61.197 ip4:139.138.36.15 ip4:139.138.36.238 ip4:208.91.114.151 include:spf.protection.outlook.com -all"/>
    <m/>
    <x v="1"/>
    <s v="v=DMARC1; p=quarantine; rua=mailto:357d325411d64ab7aaff9cb2b19582f7@dmarc-reports.cloudflare.net"/>
    <m/>
    <m/>
    <x v="16"/>
    <x v="46"/>
    <x v="1"/>
  </r>
  <r>
    <s v="accreate.com"/>
    <s v="tilde"/>
    <x v="1"/>
    <s v="v=spf1 include:spf2.premiergp.com include:spf.premiergp.com ~all"/>
    <s v="yes"/>
    <x v="2"/>
    <s v="v=DMARC1; p=none; rua=mailto:mailadministator@accreate.com; ruf=mailto:mailadministator@accreate.com; sp=none; fo=1; ri=86400"/>
    <m/>
    <m/>
    <x v="0"/>
    <x v="46"/>
    <x v="1"/>
  </r>
  <r>
    <s v="ashfieldhealthcare.com"/>
    <s v="tilde"/>
    <x v="1"/>
    <s v="v=spf1 include:eu._netblocks.mimecast.com include:mailgun.org include:_spf.salesforce.com ip4:38.100.206.240/32 ip4:79.137.16.192/27 ip4:198.2.132.142/32 ~all"/>
    <m/>
    <x v="1"/>
    <s v="v=DMARC1; p=quarantine; rua=mailto:rua@ashfieldhealthcare.com; ruf=mailto:ruf@ashfieldhealthcare.com"/>
    <m/>
    <m/>
    <x v="0"/>
    <x v="46"/>
    <x v="1"/>
  </r>
  <r>
    <s v="parcaviation.com"/>
    <s v="tilde"/>
    <x v="1"/>
    <s v="v=spf1 include:outlook.com ~all"/>
    <m/>
    <x v="2"/>
    <s v="v=DMARC1;p=none;rua=mailto:iyh2whum@ag.ca.dmarcian.com;"/>
    <m/>
    <m/>
    <x v="0"/>
    <x v="46"/>
    <x v="1"/>
  </r>
  <r>
    <s v="morganmckinley.com"/>
    <s v="tilde"/>
    <x v="1"/>
    <s v="v=spf1 include:spf2.premiergp.com include:spf.premiergp.com ~all"/>
    <s v="yes"/>
    <x v="2"/>
    <s v="v=DMARC1;p=none;rua=mailto:mailadministator@morganmckinley.com,mailto:6167661274@rua.easydmarc.eu;ruf=mailto:mailadministator@morganmckinley.com,mailto:6167661274@ruf.easydmarc.eu;fo=1;"/>
    <m/>
    <m/>
    <x v="0"/>
    <x v="46"/>
    <x v="1"/>
  </r>
  <r>
    <s v="glennons.ie"/>
    <s v="tilde"/>
    <x v="1"/>
    <s v="v=spf1 a mx include:_spf.createsend.com include:sendgrid.net include:spf.protection.outlook.com include:_spf.salesforce.com ip4:88.150.142.67 ip4:20.234.96.176 ip4:13.74.114.132 ip4:13.69.157.38 ip4:83.142.230.177 ip4:20.234.123.147 ip4:20.234.113.38 ip4:&quot; &quot;85.255.23.51 ~all"/>
    <s v="yes"/>
    <x v="1"/>
    <s v="v=DMARC1; p=quarantine; rua=mailto:dmarc_rua@glennons.ie;"/>
    <m/>
    <m/>
    <x v="0"/>
    <x v="46"/>
    <x v="1"/>
  </r>
  <r>
    <s v="fotaisland.ie"/>
    <s v="minus"/>
    <x v="0"/>
    <s v="v=spf1 include:eu-sender.zohosubscriptions.com include:spf.eu.exclaimer.net include:_spf.granite.ie include:spf.protection.outlook.com include:email2.guestfolio.net include:sendgrid.net include:oracleindustry.com -all"/>
    <s v="yes"/>
    <x v="2"/>
    <s v="v=DMARC1; p=none; rua=mailto:dmarc_agg@vali.email;"/>
    <m/>
    <m/>
    <x v="1"/>
    <x v="46"/>
    <x v="1"/>
  </r>
  <r>
    <s v="worldrugby.org"/>
    <s v="mis"/>
    <x v="3"/>
    <s v="v=spf1 redirect=baoh8se5._spf._d.mim.ec"/>
    <s v="yes"/>
    <x v="3"/>
    <s v="v=DMARC1; p=reject; rua=mailto:02ba35546e8c330@rep.dmarcanalyzer.com, mailto:dmarc_agg@vali.email; ruf=mailto:02ba35546e8c330@for.dmarcanalyzer.com; fo=1;"/>
    <m/>
    <m/>
    <x v="0"/>
    <x v="46"/>
    <x v="1"/>
  </r>
  <r>
    <s v="jcdecaux.ie"/>
    <s v="minus"/>
    <x v="0"/>
    <s v="v=spf1 include:spf.jcdecaux.com -all"/>
    <s v="yes"/>
    <x v="0"/>
    <m/>
    <m/>
    <m/>
    <x v="0"/>
    <x v="46"/>
    <x v="1"/>
  </r>
  <r>
    <s v="omd.com"/>
    <s v="minus"/>
    <x v="0"/>
    <s v="v=spf1 include:spf.protection.outlook.com include:servers.mcsv.net include:2432162.spf08.hubspotemail.net include:_spf.kase.se include:_spfmo.mediaocean.com -all"/>
    <s v="yes"/>
    <x v="3"/>
    <s v="v=DMARC1; p=reject; rua=mailto:rc7yjbis@ag.us.dmarcian.com;"/>
    <m/>
    <m/>
    <x v="0"/>
    <x v="46"/>
    <x v="1"/>
  </r>
  <r>
    <s v="electricgalway.com"/>
    <s v="minus"/>
    <x v="0"/>
    <s v="v=spf1 include:spf.protection.outlook.com a:vie01a-dmta-pe01-2.mx.upcmail.net -all"/>
    <m/>
    <x v="0"/>
    <m/>
    <m/>
    <m/>
    <x v="7"/>
    <x v="46"/>
    <x v="1"/>
  </r>
  <r>
    <s v="parkrite.ie"/>
    <s v="minus"/>
    <x v="0"/>
    <s v="v=spf1 include:spf.protection.outlook.com -all"/>
    <m/>
    <x v="0"/>
    <m/>
    <m/>
    <m/>
    <x v="0"/>
    <x v="46"/>
    <x v="1"/>
  </r>
  <r>
    <s v="trabolgan.com"/>
    <s v="minus"/>
    <x v="0"/>
    <s v="v=spf1 include:mail.campmanager.com ip4:86.47.226.59 ip4:91.210.232.140 ip4:78.137.168.236 include:spf.constantcontact.com include:servers.mcsv.net include:spf.protection.outlook.com -all"/>
    <s v="yes"/>
    <x v="2"/>
    <s v="v=DMARC1; p=none;"/>
    <m/>
    <m/>
    <x v="1"/>
    <x v="46"/>
    <x v="1"/>
  </r>
  <r>
    <s v="rabobank.ie"/>
    <s v="minus"/>
    <x v="0"/>
    <s v="v=spf1 MX -all"/>
    <m/>
    <x v="3"/>
    <s v="v=DMARC1; p=reject; rua=mailto:difuwh3e@ag.eu.dmarcadvisor.com"/>
    <m/>
    <m/>
    <x v="0"/>
    <x v="46"/>
    <x v="1"/>
  </r>
  <r>
    <s v="greyhound.ie"/>
    <s v="minus"/>
    <x v="0"/>
    <s v="v=spf1 include:spf.protection.outlook.com ip4:52.209.222.127 -all"/>
    <s v="yes"/>
    <x v="2"/>
    <s v="v=DMARC1; p=none;"/>
    <m/>
    <m/>
    <x v="0"/>
    <x v="46"/>
    <x v="1"/>
  </r>
  <r>
    <s v="mulleadygroup.com"/>
    <s v="no"/>
    <x v="2"/>
    <m/>
    <m/>
    <x v="0"/>
    <m/>
    <m/>
    <m/>
    <x v="20"/>
    <x v="46"/>
    <x v="1"/>
  </r>
  <r>
    <s v="corvil.com"/>
    <s v="tilde"/>
    <x v="1"/>
    <s v="v=spf1 mx ip4:31.193.216.71 include:aspmx.pardot.com include:docebosaas.com include:spf.protection.outlook.com include:_spf.salesforce.com ~all"/>
    <s v="yes"/>
    <x v="3"/>
    <s v="v=DMARC1; p=reject; pct=100; rua=mailto:re+cnejrc6vg96@dmarc.postmarkapp.com; sp=none; aspf=r;"/>
    <m/>
    <m/>
    <x v="0"/>
    <x v="46"/>
    <x v="1"/>
  </r>
  <r>
    <s v="lynskeyeng.ie"/>
    <s v="tilde"/>
    <x v="1"/>
    <s v="v=spf1 +a +mx +ip4:31.25.185.186 +include:relay.mailchannels.net +ip4:185.108.130.131 +ip4:31.216.237.218 +include:spf.protection.outlook.com ~all"/>
    <s v="yes"/>
    <x v="1"/>
    <s v="v=DMARC1; p=quarantine; rua=mailto:dmarc@infinitetechnology.ie; ruf=mailto:dmarc@infinitetechnology.ie; fo=1;"/>
    <m/>
    <m/>
    <x v="0"/>
    <x v="46"/>
    <x v="1"/>
  </r>
  <r>
    <s v="malonegroup.com"/>
    <s v="tilde"/>
    <x v="1"/>
    <s v="v=spf1 include:spf.protection.outlook.com include:spf.exclaimer.net include:spf.helpdesk.com ~all"/>
    <s v="yes"/>
    <x v="3"/>
    <s v="v=DMARC1; p=reject; rua=mailto:e507e39da11c427a981e8f15bc4d86b8@dmarc-reports.cloudflare.net,mailto:6g8ir3ci@ag.eu.dmarcadvisor.com;"/>
    <m/>
    <m/>
    <x v="0"/>
    <x v="46"/>
    <x v="1"/>
  </r>
  <r>
    <s v="cygnum.ie"/>
    <s v="minus"/>
    <x v="0"/>
    <s v="v=spf1 include:spf.protection.outlook.com ip4:78.153.205.201 -all"/>
    <m/>
    <x v="2"/>
    <s v="v=DMARC1; p=none"/>
    <m/>
    <m/>
    <x v="1"/>
    <x v="46"/>
    <x v="1"/>
  </r>
  <r>
    <s v="myhome.ie"/>
    <s v="tilde"/>
    <x v="1"/>
    <s v="v=spf1 ip4:217.112.147.0/24 ip4:195.7.33.0/24 include:_spf.google.com include:spf.protection.outlook.com ~all"/>
    <s v="yes"/>
    <x v="2"/>
    <s v="v=DMARC1; p=none;"/>
    <m/>
    <m/>
    <x v="0"/>
    <x v="46"/>
    <x v="1"/>
  </r>
  <r>
    <s v="extraspacesolutions.com"/>
    <s v="no"/>
    <x v="2"/>
    <m/>
    <m/>
    <x v="0"/>
    <m/>
    <m/>
    <m/>
    <x v="0"/>
    <x v="46"/>
    <x v="1"/>
  </r>
  <r>
    <s v="clancy.ie"/>
    <s v="tilde"/>
    <x v="1"/>
    <s v="v=spf1 +a +mx +ip4:92.51.242.205 +ip4:92.51.242.54 +ip4:91.142.102.188 +a:smtp.upcmail.ie +a:mail.eircom.net +a:spamblock.clancy.ie +include:spf.protection.outlook.com +a:remote.clancy.ie ~all"/>
    <s v="yes"/>
    <x v="2"/>
    <s v="v=DMARC1;p=none;sp=none;adkim=r;aspf=r;pct=100;fo=1;rf=afrf;ri=86400;rua=mailto:rep-dmarc@i-dmarc.com;ruf=mailto:for-dmarc@i-dmarc.com"/>
    <m/>
    <m/>
    <x v="13"/>
    <x v="46"/>
    <x v="1"/>
  </r>
  <r>
    <s v="bennettconstruction.ie"/>
    <s v="minus"/>
    <x v="0"/>
    <s v="v=spf1 include:spf.protection.outlook.com include:spf.blacknight.com include:spf.topsec.com include:_spf_cd.spamtitan.com -all"/>
    <m/>
    <x v="0"/>
    <m/>
    <m/>
    <m/>
    <x v="23"/>
    <x v="46"/>
    <x v="1"/>
  </r>
  <r>
    <s v="energia.ie"/>
    <s v="minus"/>
    <x v="0"/>
    <s v="v=spf1 mx ip4:5.61.115.48/28 ip4:5.61.115.32/28 ip4:81.20.37.9 ip4:185.129.177.9 ip4:31.121.9.142 ip4:31.121.9.181 ip4:31.121.9.203 ip4:23.21.109.197 ip4:23.21.109.212 ip4:147.160.167.14 ip4:147.160.167.15 ip4:52.49.235.189 ip4:52.49.201.246 include:spf.p&quot; &quot;rotection.outlook.com include:_spf.salesforce.com include:mandrillapp.com include:_spf.eu.mailgun.org include:_spf.mailgun.org -all"/>
    <s v="yes"/>
    <x v="1"/>
    <s v="v=DMARC1; p=quarantine; rua=mailto:dmarc@energia.ie,mailto:brziax9u@ag.eu.dmarcian.com; fo=1"/>
    <m/>
    <m/>
    <x v="0"/>
    <x v="46"/>
    <x v="1"/>
  </r>
  <r>
    <s v="collengroup.com"/>
    <s v="no"/>
    <x v="2"/>
    <m/>
    <m/>
    <x v="0"/>
    <m/>
    <m/>
    <m/>
    <x v="0"/>
    <x v="46"/>
    <x v="1"/>
  </r>
  <r>
    <s v="byrnemech.ie"/>
    <s v="minus"/>
    <x v="0"/>
    <s v="v=spf1 a include:spf.protection.outlook.com a:spamtitan.zenotec.ie ip4:93.107.177.179  include:spf.topsec.com -all"/>
    <s v="yes"/>
    <x v="1"/>
    <s v="v=DMARC1; p=quarantine; pct=100; rua=mailto:dmarc@zenotec.ie; ruf=mailto:dmarc@zenotec.ie; fo=1"/>
    <m/>
    <m/>
    <x v="7"/>
    <x v="46"/>
    <x v="1"/>
  </r>
  <r>
    <s v="alsglobal.com"/>
    <s v="tilde"/>
    <x v="1"/>
    <s v="v=spf1 include:spf.protection.outlook.com include:%{i}._ip.%{h}._ehlo.%{d}._spf.vali.email ~all"/>
    <s v="yes"/>
    <x v="3"/>
    <s v="v=DMARC1; p=reject; rua=mailto:dmarc_agg@vali.email"/>
    <s v="yes"/>
    <s v="https://amplify.valimail.com/bimi/als-laboratory-group/d3DGfkbvUfD-CMYK-ALS-LogoCircle-Blue.svg"/>
    <x v="7"/>
    <x v="46"/>
    <x v="1"/>
  </r>
  <r>
    <s v="itsa.ie"/>
    <s v="tilde"/>
    <x v="1"/>
    <s v="v=spf1 include:SPF.protection.outlook.com ~all"/>
    <m/>
    <x v="0"/>
    <m/>
    <m/>
    <m/>
    <x v="0"/>
    <x v="46"/>
    <x v="1"/>
  </r>
  <r>
    <s v="lscatering.ie"/>
    <s v="no"/>
    <x v="2"/>
    <m/>
    <m/>
    <x v="0"/>
    <m/>
    <m/>
    <m/>
    <x v="0"/>
    <x v="46"/>
    <x v="1"/>
  </r>
  <r>
    <s v="klasmann-deilmann.com"/>
    <s v="minus"/>
    <x v="0"/>
    <s v="v=spf1 a ip4:82.165.57.128 ip4:80.228.84.131 ip4:80.228.84.130 ip4:217.160.0.65 ip4:212.227.126.130 include:amazonses.com include:spf-de.emailsignatures365.com include:spf.protection.outlook.com -all"/>
    <s v="yes"/>
    <x v="1"/>
    <s v="v=DMARC1; p=quarantine; sp=none;"/>
    <m/>
    <m/>
    <x v="23"/>
    <x v="46"/>
    <x v="1"/>
  </r>
  <r>
    <s v="eurofound.europa.eu"/>
    <s v="tilde"/>
    <x v="1"/>
    <s v="v=spf1  ip4:6.105.61.53 ip4:193.1.10.137 include:spf.protection.outlook.com include:spf.emailsignatures365.com include:customers.clickdimensions.com include:network.mynewsdesk.com ~all"/>
    <s v="yes"/>
    <x v="2"/>
    <s v="v=DMARC1; p=none; rua=mailto:d103bys7@ag.eu.dmarcadvisor.com; adkim=r; aspf=r; sp=none"/>
    <m/>
    <m/>
    <x v="0"/>
    <x v="46"/>
    <x v="1"/>
  </r>
  <r>
    <s v="annerhotel.com"/>
    <s v="minus"/>
    <x v="0"/>
    <s v="v=spf1 -all"/>
    <m/>
    <x v="0"/>
    <m/>
    <m/>
    <m/>
    <x v="13"/>
    <x v="46"/>
    <x v="1"/>
  </r>
  <r>
    <s v="syncreon.com"/>
    <s v="tilde"/>
    <x v="1"/>
    <s v="v=spf1 mx a ptr ip4:198.54.218.0/24 a:mailus.syncreon.com a:mailus1.syncreon.com include:us._netblocks.mimecast.com include:spf.afas.online include:_spf.salesforce.com include:spf.protection.outlook.com ~all"/>
    <m/>
    <x v="0"/>
    <m/>
    <m/>
    <m/>
    <x v="0"/>
    <x v="46"/>
    <x v="1"/>
  </r>
  <r>
    <s v="flemingtransport.ie"/>
    <s v="no"/>
    <x v="2"/>
    <m/>
    <m/>
    <x v="0"/>
    <m/>
    <m/>
    <m/>
    <x v="0"/>
    <x v="46"/>
    <x v="1"/>
  </r>
  <r>
    <s v="qtponline.com"/>
    <s v="tilde"/>
    <x v="1"/>
    <s v="v=spf1 ip4:165.72.200.104 ip4:165.72.200.105 ip4:165.72.200.106 ip4:165.72.200.107 include:sendgrid.net include:fdspfus.freshemail.io include:fdspfeuc.freshemail.io include:fdspfind.freshemail.io include:fdspfaus.freshemail.io include:spf.protection.&quot; &quot;outlook.com ~all"/>
    <s v="yes"/>
    <x v="1"/>
    <s v="v=DMARC1;p=quarantine;pct=100;rua=mailto:it@qtponline.com;ri=86400;fo=1"/>
    <m/>
    <m/>
    <x v="23"/>
    <x v="46"/>
    <x v="1"/>
  </r>
  <r>
    <s v="vitalograph.ie"/>
    <s v="tilde"/>
    <x v="1"/>
    <s v="v=spf1 ip4:31.121.82.196  include:spf.fusemail.net include:spf.mailanyone.net include:_spf.psm.knowbe4.com include:20292539.spf10.hubspotemail.net include:_spf.psm.knowbe4.com ~all"/>
    <s v="yes"/>
    <x v="2"/>
    <s v="v=DMARC1; p=none; pct=100; rua=mailto:dmarc_agg@vali.email; sp=none; aspf=r;"/>
    <m/>
    <m/>
    <x v="9"/>
    <x v="46"/>
    <x v="1"/>
  </r>
  <r>
    <s v="bordbia.ie"/>
    <s v="tilde"/>
    <x v="1"/>
    <s v="v=spf1 mx ip4:137.191.239.166 a:autotask.net include:spf.mandrillapp.com include:spf.protection.outlook.com include:spf.exclaimer.net include:_spf.salesforce.com include:sendgrid.net include:autotask.net ~all"/>
    <s v="yes"/>
    <x v="2"/>
    <s v="v=DMARC1; p=none; rua=mailto:dmarc@bordbia.ie; ruf=mailto:dmarc@bordbia.ie; aspf=r"/>
    <m/>
    <m/>
    <x v="0"/>
    <x v="46"/>
    <x v="1"/>
  </r>
  <r>
    <s v="cro.ie"/>
    <s v="tilde"/>
    <x v="1"/>
    <s v="v=spf1 ip4:137.191.224.104 include:spf.sendinblue.com mx ~all"/>
    <m/>
    <x v="3"/>
    <s v="v=DMARC1; p=reject; pct=100; fo=1; ri=3600; rua=mailto:bfa65a29@inbox.ondmarc.com; ruf=mailto:bfa65a29@inbox.ondmarc.com;"/>
    <m/>
    <m/>
    <x v="0"/>
    <x v="46"/>
    <x v="1"/>
  </r>
  <r>
    <s v="carrigcs.ie"/>
    <s v="tilde"/>
    <x v="1"/>
    <s v="v=spf1 ip4:95.215.226.190 include:thewebhostserver.com include:_spf.google.com ~all"/>
    <s v="yes"/>
    <x v="2"/>
    <s v="v=DMARC1;  p=none; rua=mailto:a0815128270a44ed92047f5d942c6546@dmarc-reports.cloudflare.net"/>
    <m/>
    <m/>
    <x v="1"/>
    <x v="46"/>
    <x v="1"/>
  </r>
  <r>
    <s v="christkingschool.com"/>
    <s v="no"/>
    <x v="2"/>
    <m/>
    <s v="yes"/>
    <x v="0"/>
    <m/>
    <m/>
    <m/>
    <x v="1"/>
    <x v="46"/>
    <x v="1"/>
  </r>
  <r>
    <s v="glanmirecc.ie"/>
    <s v="tilde"/>
    <x v="1"/>
    <s v="v=spf1 +a +mx include:spf.protection.outlook.com include:spf.dcsnet.ie +a:mail.glanmirecc.ie +a:scanner.scoilnet.ie ip4:78.153.205.203 ip4:87.36.28.4 ~all"/>
    <s v="yes"/>
    <x v="3"/>
    <s v="v=DMARC1;p=reject;sp=reject"/>
    <m/>
    <m/>
    <x v="1"/>
    <x v="46"/>
    <x v="1"/>
  </r>
  <r>
    <s v="carndonaghcs.ie"/>
    <s v="minus"/>
    <x v="0"/>
    <s v="v=spf1 include:spf.protection.outlook.com -all"/>
    <m/>
    <x v="0"/>
    <m/>
    <m/>
    <m/>
    <x v="6"/>
    <x v="46"/>
    <x v="1"/>
  </r>
  <r>
    <s v="alexandracollege.ie"/>
    <s v="tilde"/>
    <x v="1"/>
    <s v="v=spf1 include:servers.mcsv.net include:_spf.google.com include:schoolmail.aladdin.ie ~all"/>
    <s v="yes"/>
    <x v="1"/>
    <s v="v=DMARC1; p=quarantine; rua=mailto:dmarc@alexandracollege.ie; pct=90; sp=none"/>
    <m/>
    <m/>
    <x v="0"/>
    <x v="46"/>
    <x v="1"/>
  </r>
  <r>
    <s v="colaistedhulaighpp.ie"/>
    <s v="minus"/>
    <x v="0"/>
    <s v="v=spf1 include:spf.protection.outlook.com -all"/>
    <s v="yes"/>
    <x v="0"/>
    <m/>
    <m/>
    <m/>
    <x v="0"/>
    <x v="46"/>
    <x v="1"/>
  </r>
  <r>
    <s v="collinstownpark.ie"/>
    <s v="minus"/>
    <x v="0"/>
    <s v="v=spf1 include:spf.protection.outlook.com ip4:77.107.211.222 ip4:77.107.210.71 -all"/>
    <s v="yes"/>
    <x v="0"/>
    <m/>
    <m/>
    <m/>
    <x v="0"/>
    <x v="46"/>
    <x v="1"/>
  </r>
  <r>
    <s v="coolminecs.ie"/>
    <s v="minus"/>
    <x v="0"/>
    <s v="v=spf1 include:spf.protection.outlook.com include:spf.irishdomains.com -all"/>
    <m/>
    <x v="0"/>
    <m/>
    <m/>
    <m/>
    <x v="0"/>
    <x v="46"/>
    <x v="1"/>
  </r>
  <r>
    <s v="hartstowncs.ie"/>
    <s v="minus"/>
    <x v="0"/>
    <s v="v=spf1 include:spf.protection.outlook.com -all"/>
    <m/>
    <x v="0"/>
    <m/>
    <m/>
    <m/>
    <x v="0"/>
    <x v="46"/>
    <x v="1"/>
  </r>
  <r>
    <s v="kylemorecollege.ie"/>
    <s v="minus"/>
    <x v="0"/>
    <s v="v=spf1 include:spf.protection.outlook.com -all"/>
    <s v="yes"/>
    <x v="0"/>
    <m/>
    <m/>
    <m/>
    <x v="0"/>
    <x v="46"/>
    <x v="1"/>
  </r>
  <r>
    <s v="mounttemple.ie"/>
    <s v="tilde"/>
    <x v="1"/>
    <s v="v=spf1 a include:spf.blacknight.com include:_spf.google.com ~all"/>
    <m/>
    <x v="0"/>
    <m/>
    <m/>
    <m/>
    <x v="0"/>
    <x v="46"/>
    <x v="1"/>
  </r>
  <r>
    <s v="oldbawncs.ie"/>
    <s v="tilde"/>
    <x v="1"/>
    <s v="v=spf1 a mx include:spf.webhost.ie ~all"/>
    <m/>
    <x v="0"/>
    <m/>
    <m/>
    <m/>
    <x v="0"/>
    <x v="46"/>
    <x v="1"/>
  </r>
  <r>
    <s v="stmacdaras.ie"/>
    <s v="minus"/>
    <x v="0"/>
    <s v="v=spf1 include:spf.protection.outlook.com include:spf.dcsnet.ie -all"/>
    <s v="yes"/>
    <x v="0"/>
    <m/>
    <m/>
    <m/>
    <x v="0"/>
    <x v="46"/>
    <x v="1"/>
  </r>
  <r>
    <s v="clongowes.com"/>
    <s v="tilde"/>
    <x v="1"/>
    <s v="v=spf1 include:_spf.google.com ~all"/>
    <s v="yes"/>
    <x v="0"/>
    <m/>
    <m/>
    <m/>
    <x v="16"/>
    <x v="46"/>
    <x v="1"/>
  </r>
  <r>
    <s v="phcol.ie"/>
    <s v="no"/>
    <x v="2"/>
    <m/>
    <m/>
    <x v="0"/>
    <m/>
    <m/>
    <m/>
    <x v="16"/>
    <x v="46"/>
    <x v="1"/>
  </r>
  <r>
    <s v="kilkennycollege.ie"/>
    <s v="tilde"/>
    <x v="1"/>
    <s v="v=spf1 +a +mx +ip4:185.224.198.96 +include:antispamcloud.com +include:spf.sendinblue.com +include:autotask.net +include:spf.protection.outlook.com ~all"/>
    <s v="yes"/>
    <x v="2"/>
    <s v="v=DMARC1; p=none; sp=none; rua=mailto:dmarc@mailinblue.com!10m; ruf=mailto:dmarc@mailinblue.com!10m; rf=afrf; pct=100; ri=86400"/>
    <m/>
    <m/>
    <x v="17"/>
    <x v="46"/>
    <x v="1"/>
  </r>
  <r>
    <s v="castletroycollege.ie"/>
    <s v="no"/>
    <x v="2"/>
    <m/>
    <m/>
    <x v="0"/>
    <m/>
    <m/>
    <m/>
    <x v="5"/>
    <x v="46"/>
    <x v="1"/>
  </r>
  <r>
    <s v="rockwellcollege.ie"/>
    <s v="minus"/>
    <x v="0"/>
    <s v="v=spf1 include:spf.protection.outlook.com -all"/>
    <s v="yes"/>
    <x v="2"/>
    <s v="v=DMARC1; p=none"/>
    <m/>
    <m/>
    <x v="13"/>
    <x v="46"/>
    <x v="1"/>
  </r>
  <r>
    <s v="athlonecc.ie"/>
    <s v="tilde"/>
    <x v="1"/>
    <s v="v=spf1 include:_spf.google.com ~all"/>
    <m/>
    <x v="0"/>
    <m/>
    <m/>
    <m/>
    <x v="23"/>
    <x v="46"/>
    <x v="1"/>
  </r>
  <r>
    <s v="moatecs.com"/>
    <s v="mis"/>
    <x v="3"/>
    <s v="v=spf1 redirect=_sn47aipob.sdmarc.net"/>
    <s v="yes"/>
    <x v="3"/>
    <s v="v=DMARC1; p=reject; pct=100; rua=mailto:a.n47aipob@sdmarc.net"/>
    <m/>
    <m/>
    <x v="23"/>
    <x v="46"/>
    <x v="1"/>
  </r>
  <r>
    <s v="walshmushrooms.com"/>
    <s v="minus"/>
    <x v="0"/>
    <s v="v=spf1 include:spf.protection.outlook.com include:emails.recplus.co.uk~co.uk -all"/>
    <m/>
    <x v="0"/>
    <m/>
    <m/>
    <m/>
    <x v="3"/>
    <x v="46"/>
    <x v="1"/>
  </r>
  <r>
    <s v="stfrancisprivatehospital.com"/>
    <s v="tilde"/>
    <x v="1"/>
    <s v="v=spf1 a:remote.stfrancisprivatehospital.com include:spf.protection.outlook.com include:spf.topsec.com ~all"/>
    <s v="yes"/>
    <x v="3"/>
    <s v="v=DMARC1;p=reject;sp=reject;pct=100;rua=mailto:ed324e1168@rua.easydmarc.eu;ruf=mailto:ed324e1168@ruf.easydmarc.eu;ri=86400;fo=1"/>
    <m/>
    <m/>
    <x v="23"/>
    <x v="46"/>
    <x v="1"/>
  </r>
  <r>
    <s v="corkinternationalhotel.com"/>
    <s v="minus"/>
    <x v="0"/>
    <s v="v=spf1 a mx ip4:84.203.232.226 ip4:84.203.232.227 ip4:83.147.183.82 ip4:80.93.21.0/24 include:email2.guestfolio.net include:spf.protection.outlook.com include:guestline.net include:roomlynx.net include:netaffinity.net -all"/>
    <s v="yes"/>
    <x v="2"/>
    <s v="v=DMARC1; p=none; fo=1; rua=mailto:rua+corkinternationalhotel.com@dmarc.barracudanetworks.com; ruf=mailto:ruf+corkinternationalhotel.com@dmarc.barracudanetworks.com"/>
    <m/>
    <m/>
    <x v="1"/>
    <x v="46"/>
    <x v="1"/>
  </r>
  <r>
    <s v="dunmorehousehotel.ie"/>
    <s v="minus"/>
    <x v="0"/>
    <s v="v=spf1 include:spf.protection.outlook.com -all"/>
    <m/>
    <x v="0"/>
    <m/>
    <m/>
    <m/>
    <x v="1"/>
    <x v="46"/>
    <x v="1"/>
  </r>
  <r>
    <s v="fernhillhousehotel.com"/>
    <s v="minus"/>
    <x v="0"/>
    <s v="v=spf1 include:_spf.google.com include:spf.blacknight.ie include:guestline.net include:roomlynx.net include:authsmtp.com -all"/>
    <m/>
    <x v="0"/>
    <m/>
    <m/>
    <m/>
    <x v="1"/>
    <x v="46"/>
    <x v="1"/>
  </r>
  <r>
    <s v="garryvoehotel.com"/>
    <s v="minus"/>
    <x v="0"/>
    <s v="v=spf1 include:spf.protection.outlook.com -all"/>
    <m/>
    <x v="2"/>
    <s v="v=DMARC1; p=none;"/>
    <m/>
    <m/>
    <x v="1"/>
    <x v="46"/>
    <x v="1"/>
  </r>
  <r>
    <s v="jacksonshotel.ie"/>
    <s v="tilde"/>
    <x v="1"/>
    <s v="v=spf1 include:spf.protection.outlook.com include:netaffinity.net include:authsmtp.com ip4:51.89.164.148 ip6:2a01:111:f403:2612::70f/128 ~all"/>
    <s v="yes"/>
    <x v="2"/>
    <s v="v=DMARC1; p=none; rua=mailto:leslie@leslielong.ie"/>
    <m/>
    <m/>
    <x v="6"/>
    <x v="46"/>
    <x v="1"/>
  </r>
  <r>
    <s v="solislougheskecastle.com"/>
    <s v="no"/>
    <x v="2"/>
    <m/>
    <m/>
    <x v="0"/>
    <m/>
    <m/>
    <m/>
    <x v="6"/>
    <x v="46"/>
    <x v="1"/>
  </r>
  <r>
    <s v="carnegiecourthotel.com"/>
    <s v="no"/>
    <x v="2"/>
    <m/>
    <m/>
    <x v="0"/>
    <m/>
    <m/>
    <m/>
    <x v="0"/>
    <x v="46"/>
    <x v="1"/>
  </r>
  <r>
    <s v="maldronhoteldublinairport.com"/>
    <s v="no"/>
    <x v="2"/>
    <m/>
    <m/>
    <x v="0"/>
    <m/>
    <m/>
    <m/>
    <x v="0"/>
    <x v="46"/>
    <x v="1"/>
  </r>
  <r>
    <s v="morrisonhotel.ie"/>
    <s v="minus"/>
    <x v="0"/>
    <s v="v=spf1 include:spf.protection.outlook.com -all"/>
    <s v="yes"/>
    <x v="2"/>
    <s v="v=DMARC1;p=none;sp=none;pct=100;rua=mailto:dmarcreports@morrisonhotel.ie;ruf=mailto:dmarcreports@morrisonhotel.ie;ri=86400;aspf=r;adkim=r;fo=1"/>
    <m/>
    <m/>
    <x v="0"/>
    <x v="46"/>
    <x v="1"/>
  </r>
  <r>
    <s v="ballsbridgehotel.com"/>
    <s v="no"/>
    <x v="2"/>
    <m/>
    <m/>
    <x v="0"/>
    <m/>
    <m/>
    <m/>
    <x v="0"/>
    <x v="46"/>
    <x v="1"/>
  </r>
  <r>
    <s v="louisfitzgeraldhotel.com"/>
    <s v="tilde"/>
    <x v="1"/>
    <s v="v=spf1 a mx ip4:89.101.218.38 include:oracleindustry.com include:eu.rp.oracleemaildelivery.com ~all"/>
    <m/>
    <x v="2"/>
    <s v="v=DMARC1; p=none"/>
    <m/>
    <m/>
    <x v="0"/>
    <x v="46"/>
    <x v="1"/>
  </r>
  <r>
    <s v="plazahotel.ie"/>
    <s v="minus"/>
    <x v="0"/>
    <s v="v=spf1 include:spf.protection.outlook.com -all"/>
    <m/>
    <x v="0"/>
    <m/>
    <m/>
    <m/>
    <x v="0"/>
    <x v="46"/>
    <x v="1"/>
  </r>
  <r>
    <s v="thespencerhotel.com"/>
    <s v="minus"/>
    <x v="0"/>
    <s v="v=spf1 ip4:5.149.174.186 include:spf.protection.outlook.com include:spf.mandrillapp.com include:hemlock.avvio.com include:_spf.bookassist.com Include:_spf.salesforce.com -all"/>
    <s v="yes"/>
    <x v="1"/>
    <s v="v=DMARC1; p=quarantine; pct=100; rua=mailto:dmarc@thespencerhotel.com; ruf=mailto:dmarc@thespencerhotel.com"/>
    <m/>
    <m/>
    <x v="0"/>
    <x v="46"/>
    <x v="1"/>
  </r>
  <r>
    <s v="shearwaterhotel.com"/>
    <s v="minus"/>
    <x v="0"/>
    <s v="v=spf1 a mx include:spf.protection.outlook.com include:netaffinity.net -all"/>
    <m/>
    <x v="1"/>
    <s v="v=DMARC1; p=quarantine; pct=100; fo=1"/>
    <m/>
    <m/>
    <x v="7"/>
    <x v="46"/>
    <x v="1"/>
  </r>
  <r>
    <s v="parknasillahotel.ie"/>
    <s v="tilde"/>
    <x v="1"/>
    <s v="v=spf1 include:_spf.google.com ip4:91.216.241.78 include:authsmtp.com  include:eu.rp.oracleemmaildelivery.com ~all"/>
    <m/>
    <x v="2"/>
    <s v="v=DMARC1; p=none; rua=mailto:dmarc-reports@parknasillahotel.ie"/>
    <m/>
    <m/>
    <x v="14"/>
    <x v="46"/>
    <x v="1"/>
  </r>
  <r>
    <s v="springfieldhotel.ie"/>
    <s v="minus"/>
    <x v="0"/>
    <s v="v=spf1 mx include:spf.protection.outlook.com include:netaffinity.net include:spamtitan.tierneys.ie include:_spf.wire.threatspike.com -all"/>
    <s v="yes"/>
    <x v="2"/>
    <s v="v=DMARC1; p=none;"/>
    <m/>
    <m/>
    <x v="16"/>
    <x v="46"/>
    <x v="1"/>
  </r>
  <r>
    <s v="langtons.ie"/>
    <s v="minus"/>
    <x v="0"/>
    <s v="v=spf1 ip4:89.101.223.26 include:spf.protection.outlook.com ip4:91.220.45.250 include:spf.topsec.com include:netaffinity.net -all"/>
    <m/>
    <x v="2"/>
    <s v="v=DMARC1; p=none;"/>
    <m/>
    <m/>
    <x v="17"/>
    <x v="46"/>
    <x v="1"/>
  </r>
  <r>
    <s v="mountfalcon.com"/>
    <s v="minus"/>
    <x v="0"/>
    <s v="v=spf1 a mx ip4:88.91.97.2 include:spf.protection.outlook.com include:spf.mandrillapp.com include:netaffinity.net include:authsmtp.com -all"/>
    <s v="yes"/>
    <x v="2"/>
    <s v="v=DMARC1; p=none;"/>
    <m/>
    <m/>
    <x v="4"/>
    <x v="46"/>
    <x v="1"/>
  </r>
  <r>
    <s v="castleleslie.com"/>
    <s v="minus"/>
    <x v="0"/>
    <s v="v=spf1 a:sid.customerminds.com a mx include:spf.topsec.com ip4:23.253.183.212 include:spf.protection.outlook.com -all"/>
    <m/>
    <x v="2"/>
    <s v="v=DMARC1; p=none; ruf=mailto:ruf@castleleslie.com; rua=mailto:rua@castleleslie.com;"/>
    <m/>
    <m/>
    <x v="12"/>
    <x v="46"/>
    <x v="1"/>
  </r>
  <r>
    <s v="granville-hotel.ie"/>
    <s v="tilde"/>
    <x v="1"/>
    <s v="v=spf1 ip4:194.165.184.231 ip4:89.101.218.195 include:spf.protection.outlook.com include:spf.ess.de.barracudanetworks.com include:spf.guestjoy.com ~all"/>
    <s v="yes"/>
    <x v="0"/>
    <m/>
    <m/>
    <m/>
    <x v="10"/>
    <x v="46"/>
    <x v="1"/>
  </r>
  <r>
    <s v="annebrook.ie"/>
    <s v="minus"/>
    <x v="0"/>
    <s v="v=spf1 include:spf.protection.outlook.com include:spf.resdiary.com -all"/>
    <s v="yes"/>
    <x v="3"/>
    <s v="v=DMARC1; p=reject;"/>
    <m/>
    <m/>
    <x v="23"/>
    <x v="46"/>
    <x v="1"/>
  </r>
  <r>
    <s v="talbothotel.ie"/>
    <s v="minus"/>
    <x v="0"/>
    <s v="v=spf1 include:spf.protection.outlook.com include:netaffinity.net include:authsmtp.com include:spf.emailing.loungeup.com include:sendgrid.net -all"/>
    <s v="yes"/>
    <x v="2"/>
    <s v="v=DMARC1; p=none;"/>
    <m/>
    <m/>
    <x v="3"/>
    <x v="46"/>
    <x v="1"/>
  </r>
  <r>
    <s v="themartello.ie"/>
    <s v="minus"/>
    <x v="0"/>
    <s v="v=spf1 +a +mx +ip4:185.43.233.229 +include:spf.antispamcloud.com -all"/>
    <s v="yes"/>
    <x v="2"/>
    <s v="v=DMARC1; p=none"/>
    <m/>
    <m/>
    <x v="24"/>
    <x v="46"/>
    <x v="1"/>
  </r>
  <r>
    <s v="efc.ie"/>
    <s v="tilde"/>
    <x v="1"/>
    <s v="v=spf1 mx a:securemail.efc.ie include:spf.topsec.com include:spf.protection.outlook.com include:nw005.com include:c9a32dc6-spf.mta.getcheckrecipient.com ~all"/>
    <m/>
    <x v="0"/>
    <m/>
    <m/>
    <m/>
    <x v="0"/>
    <x v="46"/>
    <x v="1"/>
  </r>
  <r>
    <s v="fieldfisher.com"/>
    <s v="minus"/>
    <x v="0"/>
    <s v="v=spf1 include:eu._netblocks.mimecast.com include:de._netblocks.mimecast.com include:_spf.zimpel.de include:spf.eu.exclaimer.net ip4:192.0.5.0/24 ip4:103.2.142.87/32 -all"/>
    <s v="yes"/>
    <x v="3"/>
    <s v="v=DMARC1; p=reject; fo=1; rua=mailto:informationsecurity@fieldfisher.com; ruf=mailto:informationsecurity@fieldfisher.com"/>
    <m/>
    <m/>
    <x v="0"/>
    <x v="46"/>
    <x v="1"/>
  </r>
  <r>
    <s v="ivorfitzpatrick.ie"/>
    <s v="minus"/>
    <x v="0"/>
    <s v="v=spf1 include:spf.protection.outlook.com include:spf.messagelabs.com include:sendgrid.net include:mailgun.org -all"/>
    <s v="yes"/>
    <x v="2"/>
    <s v="v=DMARC1; pct=100; p=none; rua=mailto:helpdesk@ivorfitzpatrick.ie"/>
    <m/>
    <m/>
    <x v="0"/>
    <x v="46"/>
    <x v="1"/>
  </r>
  <r>
    <s v="aceautobody.ie"/>
    <s v="minus"/>
    <x v="0"/>
    <s v="v=spf1 include:spf.protection.outlook.com a:s1-se.blacknight.ie a:s2-se.blacknight.ie include:spf1.emailsecurity.app -all"/>
    <m/>
    <x v="0"/>
    <m/>
    <m/>
    <m/>
    <x v="0"/>
    <x v="46"/>
    <x v="1"/>
  </r>
  <r>
    <s v="suretank.com"/>
    <s v="tilde"/>
    <x v="1"/>
    <s v="v=spf1 a mx include:_spf.elasticemail.com include:spf.hornetsecurity.com include:spf.protection.outlook.com  ~all"/>
    <m/>
    <x v="2"/>
    <s v="v=DMARC1; p=none;"/>
    <m/>
    <m/>
    <x v="2"/>
    <x v="46"/>
    <x v="1"/>
  </r>
  <r>
    <s v="kentstainless.com"/>
    <s v="tilde"/>
    <x v="1"/>
    <s v="v=spf1 mx include:mailanyone.net include:spf.protection.outlook.com include:_spf.elasticemail.com ~all"/>
    <m/>
    <x v="2"/>
    <s v="v=DMARC1; p=none;"/>
    <m/>
    <m/>
    <x v="3"/>
    <x v="46"/>
    <x v="1"/>
  </r>
  <r>
    <s v="amneal.com"/>
    <s v="mis"/>
    <x v="3"/>
    <s v="&quot;v=spf1 ip4:45.79.128.24 ip4:23.239.15.18 ip4:174.128.40.224/27 ip4:208.80.200.0/21 ip4:52.170.85.198 ip4:40.118.163.33 ip4:54.240.43.16 include:spf-003ba101.pphosted.com include:spf.protection.outlook.com  include:_spf.salesforce.com&quot; &quot;include:_spf.q4press.com include:40023361.spf10.hubspotemail.net include:docebosaas.com -all&quot;"/>
    <s v="yes"/>
    <x v="2"/>
    <s v="v=DMARC1; p=none; fo=1; rua=mailto:dmarc_rua@emaildefense.proofpoint.com; ruf=mailto:dmarc_ruf@emaildefense.proofpoint.com"/>
    <m/>
    <m/>
    <x v="13"/>
    <x v="46"/>
    <x v="1"/>
  </r>
  <r>
    <s v="milishfoods.ie"/>
    <s v="minus"/>
    <x v="0"/>
    <s v="v=spf1 ip4:149.71.160.226 ip4:52.31.106.198 include:spf.reg365.net include:spf.protection.outlook.com -all"/>
    <s v="yes"/>
    <x v="3"/>
    <s v="v=DMARC1; p=reject"/>
    <m/>
    <m/>
    <x v="0"/>
    <x v="46"/>
    <x v="1"/>
  </r>
  <r>
    <s v="oreillyconcrete.com"/>
    <s v="minus"/>
    <x v="0"/>
    <s v="v=spf1 ip4:82.198.136.162 include:spf.protection.outlook.com include:spf.zoho.eu include:eu.transmail.net -all"/>
    <s v="yes"/>
    <x v="4"/>
    <s v="v=DMARC1; p=reject; pct=100; rua=mailto:itex-rua@oreillyconcrete.com; ruf=mailto:itex-ruf@oreillyconcrete.com; fo=1 ;v=DMARC1; p=none;"/>
    <m/>
    <m/>
    <x v="11"/>
    <x v="46"/>
    <x v="1"/>
  </r>
  <r>
    <s v="lagan-group.com"/>
    <s v="no"/>
    <x v="2"/>
    <m/>
    <m/>
    <x v="0"/>
    <m/>
    <m/>
    <m/>
    <x v="23"/>
    <x v="46"/>
    <x v="1"/>
  </r>
  <r>
    <s v="cwscomms.ie"/>
    <s v="minus"/>
    <x v="0"/>
    <s v="v=spf1 ip4:89.34.16.71 include:spf.protection.outlook.com -all"/>
    <s v="yes"/>
    <x v="0"/>
    <m/>
    <m/>
    <m/>
    <x v="0"/>
    <x v="46"/>
    <x v="1"/>
  </r>
  <r>
    <s v="mjflood.ie"/>
    <s v="tilde"/>
    <x v="1"/>
    <s v="v=spf1 a mx ip4:148.252.8.110 ip4:13.74.87.196 ip4:148.163.155.188 include:_netblocks.mimecast.com include:spf.protection.outlook.com include:spf.elive.net include:websitewelcome.com include:email.freshdesk.com ~all"/>
    <m/>
    <x v="0"/>
    <m/>
    <m/>
    <m/>
    <x v="0"/>
    <x v="46"/>
    <x v="1"/>
  </r>
  <r>
    <s v="oceanconnect.com"/>
    <s v="minus"/>
    <x v="0"/>
    <s v="v=spf1 -all"/>
    <m/>
    <x v="0"/>
    <m/>
    <m/>
    <m/>
    <x v="0"/>
    <x v="46"/>
    <x v="1"/>
  </r>
  <r>
    <s v="enet.ie"/>
    <s v="minus"/>
    <x v="0"/>
    <s v="v=spf1 ip4:10.2.1.52 ip4:10.1.1.180 ip4:193.120.142.174 include:spf.protection.outlook.com include:_spf.psm.knowbe4.com include:aspmx.pardot.com include:_spf.salesforce.com include:spf.eu.exclaimer.net include:authsmtp.com -all"/>
    <s v="yes"/>
    <x v="2"/>
    <s v="v=DMARC1; p=none; ruf=mailto:security@enet.ie; fo=1; pct=100"/>
    <m/>
    <m/>
    <x v="5"/>
    <x v="46"/>
    <x v="1"/>
  </r>
  <r>
    <s v="rigid.ie"/>
    <s v="no"/>
    <x v="2"/>
    <m/>
    <m/>
    <x v="0"/>
    <m/>
    <m/>
    <m/>
    <x v="5"/>
    <x v="46"/>
    <x v="1"/>
  </r>
  <r>
    <s v="ganlys.ie"/>
    <s v="minus"/>
    <x v="0"/>
    <s v="v=spf1 include:spf.protection.outlook.com include:spf1.ganlys.ie -all"/>
    <s v="yes"/>
    <x v="1"/>
    <s v="v=DMARC1; p=quarantine; fo=1; rua=mailto:webmaster@ganlys.ie"/>
    <m/>
    <m/>
    <x v="22"/>
    <x v="46"/>
    <x v="1"/>
  </r>
  <r>
    <s v="led.ie"/>
    <s v="minus"/>
    <x v="0"/>
    <s v="v=spf1 include:spf.protection.outlook.com ip4:89.101.121.225 ip4:27.126.148.96/27 ip4:27.126.147.96/27 ip4:27.126.146.96/27 ip4:205.166.177.0/24 ip4:204.75.142.0/24 ip4:203.55.21.0/24 ip4:103.28.42.0/24 include:authsmtp.com -all"/>
    <s v="yes"/>
    <x v="2"/>
    <s v="v=DMARC1;p=none;pct=100;rua=mailto:itsupport@led.ie"/>
    <m/>
    <m/>
    <x v="0"/>
    <x v="46"/>
    <x v="1"/>
  </r>
  <r>
    <s v="lifeline.ie"/>
    <s v="tilde"/>
    <x v="1"/>
    <s v="v=spf1 include:_spf.google.com include:spf.protection.outlook.com ~all"/>
    <m/>
    <x v="2"/>
    <s v="v=DMARC1; p=none; fo=1"/>
    <m/>
    <m/>
    <x v="16"/>
    <x v="46"/>
    <x v="1"/>
  </r>
  <r>
    <s v="cwc-ae.com"/>
    <s v="question"/>
    <x v="4"/>
    <s v="v=spf1 +a +mx +ip4:66.147.244.69 ?all"/>
    <m/>
    <x v="3"/>
    <s v="v=DMARC1; p=reject; fo=1; rua=mailto:dmarc_rua@emaildefense.proofpoint.com; ruf=mailto:dmarc_ruf@emaildefense.proofpoint.com"/>
    <m/>
    <m/>
    <x v="0"/>
    <x v="46"/>
    <x v="1"/>
  </r>
  <r>
    <s v="ardaghgroup.com"/>
    <s v="mis"/>
    <x v="3"/>
    <s v="v=spf1 mx a ip4:194.156.135.50 ip4:67.231.144.99 ip4:208.86.201.212 ip4:162.18.16.90 ip4:5.79.0.191 ip4:196.5.108.72 ip4:196.5.108.73 include:spf.protection.outlook.com include:servers.mcsv.net include:marketing.dynamics.com include:_spf-dc33.sapsf.eu ~al&quot; &quot;l"/>
    <s v="yes"/>
    <x v="1"/>
    <s v="v=DMARC1; p=quarantine; pct=100; rua=mailto:dmarc@ardaghgroup.com; sp=quarantine; aspf=r;"/>
    <m/>
    <m/>
    <x v="0"/>
    <x v="46"/>
    <x v="1"/>
  </r>
  <r>
    <s v="staffordlynch.ie"/>
    <s v="minus"/>
    <x v="0"/>
    <s v="v=spf1 include:spf.protection.outlook.com -all"/>
    <s v="yes"/>
    <x v="1"/>
    <s v="v=DMARC1;p=quarantine;pct=100;rua=mailto:dmarc@staffordlynch.ie"/>
    <m/>
    <m/>
    <x v="0"/>
    <x v="46"/>
    <x v="1"/>
  </r>
  <r>
    <s v="renishaw.com"/>
    <s v="minus"/>
    <x v="0"/>
    <s v="v=spf1 include:spf.protection.outlook.com a:hybrid.renishaw.com a:admin.journyx.com a:c.spf.service-now.com a:d.spf.service-now.com include:spf-part1.renishaw.com ip4:64.14.29.8 ip4:167.89.5.8 ip4:213.120.89.45 ip4:210.57.51.241 -all"/>
    <s v="yes"/>
    <x v="3"/>
    <s v="v=DMARC1; p=reject; rua=mailto:dmarc_agg@vali.email,mailto:8e1f20543db7378@rep.dmarcanalyzer.com; ruf=mailto:dmarc@renishaw.com"/>
    <m/>
    <m/>
    <x v="0"/>
    <x v="46"/>
    <x v="1"/>
  </r>
  <r>
    <s v="vwr.com"/>
    <s v="minus"/>
    <x v="0"/>
    <s v="v=spf1 include:spf1.vwr.com include:spf2.vwr.com -all"/>
    <s v="yes"/>
    <x v="1"/>
    <s v="v=DMARC1;p=quarantine;rua=mailto:dmarc.reports@vwr.com;ruf=mailto:dmarc.reports@vwr.com;sp=reject;ri=84600"/>
    <m/>
    <m/>
    <x v="0"/>
    <x v="46"/>
    <x v="1"/>
  </r>
  <r>
    <s v="orona-mwl.ie"/>
    <s v="mis"/>
    <x v="3"/>
    <s v="v=spf1 redirect=orona.es"/>
    <s v="yes"/>
    <x v="3"/>
    <s v="v=DMARC1; p=reject;pct=15;rua=mailto:b1ey2bt8@ag.eu.dmarcian.com,mailto:dmarc@orona-group.com; ruf=mailto:b1ey2bt8@fr.eu.dmarcian.com,mailto:dmarc@orona-group.com; fo=1;"/>
    <m/>
    <m/>
    <x v="5"/>
    <x v="46"/>
    <x v="1"/>
  </r>
  <r>
    <s v="irishmerchants.com"/>
    <s v="tilde"/>
    <x v="1"/>
    <s v="v=spf1 include:%{i}._ip.%{h}._ehlo.%{d}._spf.vali.email ~all"/>
    <s v="yes"/>
    <x v="1"/>
    <s v="v=DMARC1; p=quarantine; rua=mailto:dmarc_agg@vali.email; fo=1"/>
    <m/>
    <m/>
    <x v="0"/>
    <x v="46"/>
    <x v="1"/>
  </r>
  <r>
    <s v="concast.ie"/>
    <s v="minus"/>
    <x v="0"/>
    <s v="v=spf1 include:spf.protection.outlook.com -all"/>
    <m/>
    <x v="0"/>
    <m/>
    <m/>
    <m/>
    <x v="0"/>
    <x v="46"/>
    <x v="1"/>
  </r>
  <r>
    <s v="graceconstruction.com"/>
    <s v="no"/>
    <x v="2"/>
    <m/>
    <m/>
    <x v="0"/>
    <m/>
    <m/>
    <m/>
    <x v="0"/>
    <x v="46"/>
    <x v="1"/>
  </r>
  <r>
    <s v="cascadedesigns.com"/>
    <s v="minus"/>
    <x v="0"/>
    <s v="v=spf1 ip4:209.245.166.14 ip4:166.78.70.233 ip4:65.61.97.12 include:mail.zendesk.com include:_spf.samanage.com include:spf.workfront.com include:spf.protection.outlook.com include:turbo-smtp.com -all"/>
    <s v="yes"/>
    <x v="2"/>
    <s v="v=DMARC1; p=none"/>
    <m/>
    <m/>
    <x v="1"/>
    <x v="46"/>
    <x v="1"/>
  </r>
  <r>
    <s v="cambusmedical.com"/>
    <s v="minus"/>
    <x v="0"/>
    <s v="v=spf1 ip4:83.70.207.254 ip4:178.20.87.205 ip4:54.36.17.64 ip4:75.16.150.25 ip4:89.204.212.101 ip4:66.206.3.250 include:spf.protection.outlook.com -all"/>
    <s v="yes"/>
    <x v="1"/>
    <s v="v=DMARC1; p=quarantine; fo=1"/>
    <m/>
    <m/>
    <x v="7"/>
    <x v="46"/>
    <x v="1"/>
  </r>
  <r>
    <s v="goodmanmedical.ie"/>
    <s v="minus"/>
    <x v="0"/>
    <s v="v=spf1 ip4:86.43.69.72 ip4:213.79.33.78 ip4:84.203.181.158 include:spf.protection.outlook.com -all"/>
    <m/>
    <x v="0"/>
    <m/>
    <m/>
    <m/>
    <x v="7"/>
    <x v="46"/>
    <x v="1"/>
  </r>
  <r>
    <s v="mcaree-eng.com"/>
    <s v="minus"/>
    <x v="0"/>
    <s v="v=spf1 include:spf.everycloudtech.com include:spf.protection.outlook.com -all"/>
    <m/>
    <x v="0"/>
    <m/>
    <m/>
    <m/>
    <x v="12"/>
    <x v="46"/>
    <x v="1"/>
  </r>
  <r>
    <s v="novum.ie"/>
    <s v="minus"/>
    <x v="0"/>
    <s v="v=spf1 include:spf.protection.outlook.com include:spf.newsletter.ie ip4:89.101.134.201 -all"/>
    <s v="yes"/>
    <x v="1"/>
    <s v="v=DMARC1; p=quarantine; rua=mailto:dmarc.reports@novum.ie; ruf=mailto:dmarc.reports@novum.ie; fo=1"/>
    <m/>
    <m/>
    <x v="0"/>
    <x v="46"/>
    <x v="1"/>
  </r>
  <r>
    <s v="cognex.com"/>
    <s v="minus"/>
    <x v="0"/>
    <s v="v=spf1 a mx include:mailgun.org include:spf.protection.outlook.com include:_spf.salesforce.com -all"/>
    <s v="yes"/>
    <x v="1"/>
    <s v="v=DMARC1; p=quarantine; pct=100; rua=mailto:securityops@cognex.com; ruf=mailto:securityops@cognex.com; fo=1"/>
    <m/>
    <m/>
    <x v="1"/>
    <x v="46"/>
    <x v="1"/>
  </r>
  <r>
    <s v="ppi.ie"/>
    <s v="minus"/>
    <x v="0"/>
    <s v="v=spf1 ip4:185.43.232.187 include:spf.protection.outlook.com include:spf1.emailsecurity.app -all"/>
    <m/>
    <x v="2"/>
    <s v="v=DMARC1; p=none; rua=mailto:2f589ab2@mxtoolbox.dmarc-report.com; ruf=mailto:2f589ab2@forensics.dmarc-report.com; fo=1"/>
    <m/>
    <m/>
    <x v="10"/>
    <x v="46"/>
    <x v="1"/>
  </r>
  <r>
    <s v="framesdirect.ie"/>
    <s v="minus"/>
    <x v="0"/>
    <s v="v=spf1 include:spf.protection.outlook.com -all"/>
    <m/>
    <x v="2"/>
    <s v="v=DMARC1; p=none;"/>
    <m/>
    <m/>
    <x v="6"/>
    <x v="46"/>
    <x v="1"/>
  </r>
  <r>
    <s v="gradyjoinery.com"/>
    <s v="minus"/>
    <x v="0"/>
    <s v="v=spf1 +a +mx ip4:93.107.24.63 ip4:88.81.126.213 include:spf.protection.outlook.com include:_spf.elasticemail.com include:spf.topsec.com -all"/>
    <m/>
    <x v="2"/>
    <s v="v=DMARC1; p=none;"/>
    <m/>
    <m/>
    <x v="4"/>
    <x v="46"/>
    <x v="1"/>
  </r>
  <r>
    <s v="coldchon.ie"/>
    <s v="minus"/>
    <x v="0"/>
    <s v="v=spf1 include:spf1.speig.fr include:spf2.speig.fr include:spf3.speig.fr include:spf4.speig.fr -all"/>
    <m/>
    <x v="0"/>
    <m/>
    <m/>
    <m/>
    <x v="7"/>
    <x v="46"/>
    <x v="1"/>
  </r>
  <r>
    <s v="milupa.ie"/>
    <s v="minus"/>
    <x v="0"/>
    <s v="v=spf1 include:%{ir}.%{v}.%{d}.spf.has.pphosted.com -all"/>
    <m/>
    <x v="3"/>
    <s v="v=DMARC1; p=reject; fo=1; rua=mailto:dmarc_rua@emaildefense.proofpoint.com; ruf=mailto:dmarc_ruf@emaildefense.proofpoint.com"/>
    <m/>
    <m/>
    <x v="0"/>
    <x v="46"/>
    <x v="1"/>
  </r>
  <r>
    <s v="easons.com"/>
    <s v="minus"/>
    <x v="0"/>
    <s v="v=spf1 mx a:hybrid.easons.com include:spf.protection.outlook.com include:_spf.salesforce.com -all"/>
    <s v="yes"/>
    <x v="2"/>
    <s v="v=DMARC1; p=none; pct=100; rua=mailto:DMARC@easons.com, mailto:dmarc_agg@vali.email; ruf=mailto:DMARC@easons.com; fo=1"/>
    <m/>
    <m/>
    <x v="0"/>
    <x v="46"/>
    <x v="1"/>
  </r>
  <r>
    <s v="carapartners.ie"/>
    <s v="minus"/>
    <x v="0"/>
    <s v="v=spf1 mx include:_spf.schwabe-group.com ip4:89.234.97.194 -all"/>
    <m/>
    <x v="0"/>
    <m/>
    <m/>
    <m/>
    <x v="1"/>
    <x v="46"/>
    <x v="1"/>
  </r>
  <r>
    <s v="chemco.ie"/>
    <s v="minus"/>
    <x v="0"/>
    <s v="v=spf1 ip4:83.70.173.186 include:spf.mailanyone.net include:spf.protection.outlook.com mx a include:_spf.salesforce.com -all"/>
    <m/>
    <x v="2"/>
    <s v="v=DMARC1; p=none; rua=mailto:DMARCReport@chemco.ie; adkim=r; aspf=r; rf=afrf"/>
    <m/>
    <m/>
    <x v="0"/>
    <x v="46"/>
    <x v="1"/>
  </r>
  <r>
    <s v="athlone-laboratories.com"/>
    <s v="no"/>
    <x v="2"/>
    <m/>
    <m/>
    <x v="0"/>
    <m/>
    <m/>
    <m/>
    <x v="22"/>
    <x v="46"/>
    <x v="1"/>
  </r>
  <r>
    <s v="elanco.com"/>
    <s v="tilde"/>
    <x v="1"/>
    <s v="v=spf1 include:%{i}._ip.%{h}._ehlo.%{d}._spf.vali.email ~all"/>
    <s v="yes"/>
    <x v="3"/>
    <s v="v=DMARC1; p=reject; pct=100; rua=mailto:dmarc_agg@vali.email"/>
    <s v="yes"/>
    <s v="https://amplify.valimail.com/bimi/elanco-animal-health/3hdEKd-aUK2-elanco_animal_health_incorporated_848399708.svg"/>
    <x v="8"/>
    <x v="46"/>
    <x v="1"/>
  </r>
  <r>
    <s v="caulfieldindustrial.com"/>
    <s v="minus"/>
    <x v="0"/>
    <s v="v=spf1 a mx a:spamtitan.caulfieldindustrial.com ip4:84.203.176.97/29 include:spf.protection.outlook.com include:amazonses.com -all"/>
    <s v="yes"/>
    <x v="2"/>
    <s v="v=DMARC1; p=none"/>
    <m/>
    <m/>
    <x v="7"/>
    <x v="46"/>
    <x v="1"/>
  </r>
  <r>
    <s v="protechplastics.org"/>
    <s v="no"/>
    <x v="2"/>
    <m/>
    <m/>
    <x v="0"/>
    <m/>
    <m/>
    <m/>
    <x v="1"/>
    <x v="46"/>
    <x v="1"/>
  </r>
  <r>
    <s v="jfc.ie"/>
    <s v="minus"/>
    <x v="0"/>
    <s v="v=spf1 include:spf.protection.outlook.com -all"/>
    <s v="yes"/>
    <x v="1"/>
    <s v="v=DMARC1; p=quarantine; rua=mailto:it@jfc.ie,mailto:dmarc_agg@vali.email; ruf=mailto:it@jfc.ie; fo=1"/>
    <m/>
    <m/>
    <x v="7"/>
    <x v="46"/>
    <x v="1"/>
  </r>
  <r>
    <s v="toolandplastic.ie"/>
    <s v="no"/>
    <x v="2"/>
    <m/>
    <m/>
    <x v="0"/>
    <m/>
    <m/>
    <m/>
    <x v="20"/>
    <x v="46"/>
    <x v="1"/>
  </r>
  <r>
    <s v="gemplastics.ie"/>
    <s v="minus"/>
    <x v="0"/>
    <s v="v=spf1 include:spf.protection.outlook.com include:spf.everycloudtech.com mx a ip4:31.193.219.218 ip4:193.28.176.0/24 ip4:86.43.69.183  -all"/>
    <s v="yes"/>
    <x v="1"/>
    <s v="v=DMARC1; p=quarantine;"/>
    <m/>
    <m/>
    <x v="11"/>
    <x v="46"/>
    <x v="1"/>
  </r>
  <r>
    <s v="automaticplastics.com"/>
    <s v="minus"/>
    <x v="0"/>
    <s v="v=spf1 a:cleanmail1.deycom.com ip4:83.71.22.139 ip4:185.182.74.121 include:spf.protection.outlook.com include:spf.ess.de.barracudanetworks.com -all"/>
    <m/>
    <x v="0"/>
    <m/>
    <m/>
    <m/>
    <x v="24"/>
    <x v="46"/>
    <x v="1"/>
  </r>
  <r>
    <s v="glenmarshellfish.com"/>
    <s v="minus"/>
    <x v="0"/>
    <s v="v=spf1 include:spf.protection.outlook.com -all"/>
    <s v="yes"/>
    <x v="0"/>
    <m/>
    <m/>
    <m/>
    <x v="1"/>
    <x v="46"/>
    <x v="1"/>
  </r>
  <r>
    <s v="paneltofoods.ie"/>
    <s v="tilde"/>
    <x v="1"/>
    <s v="v=spf1 a mx ip4:208.43.75.107 ip4:89.101.86.88 ip4:75.126.136.162 ip4:184.172.50.186 ip4:185.61.3.153 ip4:86.47.87.169 include:de._netblocks.mimecast.com include:sendgrid.net include:spf.smtp2go.com include:spf.protection.outlook.com ~all"/>
    <s v="yes"/>
    <x v="2"/>
    <s v="v=DMARC1; p=none; rua=mailto:527cec69a3c3496@rep.dmarcanalyzer.com;"/>
    <m/>
    <m/>
    <x v="20"/>
    <x v="46"/>
    <x v="1"/>
  </r>
  <r>
    <s v="mrcrumb.ie"/>
    <s v="minus"/>
    <x v="0"/>
    <s v="v=spf1 mx include:spf.protection.outlook.com ip4:82.141.207.155 -all"/>
    <m/>
    <x v="0"/>
    <m/>
    <m/>
    <m/>
    <x v="23"/>
    <x v="46"/>
    <x v="1"/>
  </r>
  <r>
    <s v="manningsbakery.com"/>
    <s v="minus"/>
    <x v="0"/>
    <s v="v=spf1 include:spf.protection.outlook.com -all"/>
    <m/>
    <x v="0"/>
    <m/>
    <m/>
    <m/>
    <x v="0"/>
    <x v="46"/>
    <x v="1"/>
  </r>
  <r>
    <s v="portasol.com"/>
    <s v="minus"/>
    <x v="0"/>
    <s v="v=spf1 ip4:173.212.236.170 include:spf.protection.outlook.com include:spf1.emailsecurity.app -all"/>
    <m/>
    <x v="0"/>
    <m/>
    <m/>
    <m/>
    <x v="25"/>
    <x v="46"/>
    <x v="1"/>
  </r>
  <r>
    <s v="marsh.ie"/>
    <s v="no"/>
    <x v="2"/>
    <m/>
    <m/>
    <x v="0"/>
    <m/>
    <m/>
    <m/>
    <x v="0"/>
    <x v="46"/>
    <x v="1"/>
  </r>
  <r>
    <s v="strathroydairy.ie"/>
    <s v="tilde"/>
    <x v="1"/>
    <s v="v=spf1 ip4:89.204.213.73 include:spf.hornetsecurity.com include:spf.protection.outlook.com ~all"/>
    <m/>
    <x v="0"/>
    <m/>
    <m/>
    <m/>
    <x v="0"/>
    <x v="46"/>
    <x v="1"/>
  </r>
  <r>
    <s v="mcgrathquarries.ie"/>
    <s v="minus"/>
    <x v="0"/>
    <s v="v=spf1 ip4:80.93.26.51 ip4:80.93.26.52 include:spf.protection.outlook.com -all"/>
    <m/>
    <x v="0"/>
    <m/>
    <m/>
    <m/>
    <x v="9"/>
    <x v="46"/>
    <x v="1"/>
  </r>
  <r>
    <s v="harcourthotel.ie"/>
    <s v="minus"/>
    <x v="0"/>
    <s v="v=spf1 include:spf.protection.outlook.com include:netaffinity.net -all"/>
    <s v="yes"/>
    <x v="2"/>
    <s v="v=DMARC1; p=none;"/>
    <m/>
    <m/>
    <x v="0"/>
    <x v="46"/>
    <x v="1"/>
  </r>
  <r>
    <s v="abccleaning.ie"/>
    <s v="mis"/>
    <x v="3"/>
    <s v="v=spf1 include:eu-sender.zoho-inventory.com"/>
    <s v="yes"/>
    <x v="3"/>
    <s v="v=DMARC1; p=reject; fo=1; ua=mailto:dmarcreporting@abccleaning.ie ruf=mailto:dmarcreporting@abccleaning.ie; sp=reject; ri=84600;"/>
    <m/>
    <m/>
    <x v="14"/>
    <x v="46"/>
    <x v="1"/>
  </r>
  <r>
    <s v="theinnatdromoland.ie"/>
    <s v="minus"/>
    <x v="0"/>
    <s v="v=spf1 include:spamtitan.tierneys.ie include:spf.protection.outlook.com include:oracleindustry.com -all"/>
    <m/>
    <x v="0"/>
    <m/>
    <m/>
    <m/>
    <x v="9"/>
    <x v="46"/>
    <x v="1"/>
  </r>
  <r>
    <s v="mounterrigal.com"/>
    <s v="tilde"/>
    <x v="1"/>
    <s v="v=spf1 include:_spf.google.com include:netaffinity.net include:spf.guestjoy.com include:guestline.net include:roomlynx.net  ~all"/>
    <m/>
    <x v="0"/>
    <m/>
    <m/>
    <m/>
    <x v="6"/>
    <x v="46"/>
    <x v="1"/>
  </r>
  <r>
    <s v="templebarhotel.com"/>
    <s v="no"/>
    <x v="2"/>
    <m/>
    <m/>
    <x v="0"/>
    <m/>
    <m/>
    <m/>
    <x v="0"/>
    <x v="46"/>
    <x v="1"/>
  </r>
  <r>
    <s v="dublin.hilton.com"/>
    <s v="no"/>
    <x v="2"/>
    <m/>
    <m/>
    <x v="0"/>
    <m/>
    <m/>
    <m/>
    <x v="0"/>
    <x v="46"/>
    <x v="1"/>
  </r>
  <r>
    <s v="talbothotelstillorgan.com"/>
    <s v="minus"/>
    <x v="0"/>
    <s v="v=spf1 include:spf.protection.outlook.com ip4:205.201.128.0/20 ip4:198.2.128.0/18 ip4:148.105.8.0/21 include:netaffinity.net include:mindaclient.com -all"/>
    <m/>
    <x v="2"/>
    <s v="v=DMARC1; p=none; pct=100; fo=1"/>
    <m/>
    <m/>
    <x v="0"/>
    <x v="46"/>
    <x v="1"/>
  </r>
  <r>
    <s v="theccd.ie"/>
    <s v="tilde"/>
    <x v="1"/>
    <s v="v=spf1 ip4:190.180.144.237 +a +mx +ip4:207.55.255.4 +include:spf.protection.outlook.com +exists:%{i}.spf.hc1133-43.c3s2.iphmx.com +ip4:89.101.192.1 +include:spf.exclaimer.net ~all +include:_spf.createsend.com ~all"/>
    <s v="yes"/>
    <x v="1"/>
    <s v="v=DMARC1;p=quarantine;sp=quarantine;adkim=r;aspf=r;pct=100;fo=0;rf=afrf;ri=86400"/>
    <m/>
    <m/>
    <x v="0"/>
    <x v="46"/>
    <x v="1"/>
  </r>
  <r>
    <s v="connemaracoast.ie"/>
    <s v="minus"/>
    <x v="0"/>
    <s v="v=spf1 include:spf.protection.outlook.com include:authsmtp.com -all"/>
    <s v="yes"/>
    <x v="2"/>
    <s v="v=DMARC1; p=none; rua=mailto:dmarc@lantech.uriports.com; ruf=mailto:dmarc@lantech.uriports.com; fo=1:d:s"/>
    <m/>
    <m/>
    <x v="7"/>
    <x v="46"/>
    <x v="1"/>
  </r>
  <r>
    <s v="claytonhotellimerick.com"/>
    <s v="minus"/>
    <x v="0"/>
    <s v="v=spf1 include:spf.protection.outlook.com -all"/>
    <m/>
    <x v="0"/>
    <m/>
    <m/>
    <m/>
    <x v="5"/>
    <x v="46"/>
    <x v="1"/>
  </r>
  <r>
    <s v="ballymascanlon.com"/>
    <s v="minus"/>
    <x v="0"/>
    <s v="v=spf1 ip4:86.47.36.160 include:spf.protection.outlook.com include:netaffinity.net include:authsmtp.com -all"/>
    <s v="yes"/>
    <x v="2"/>
    <s v="v=DMARC1; p=none; rua=mailto:dmarc@lantech.uriports.com; ruf=mailto:dmarc@lantech.uriports.com; fo=1:d:s"/>
    <m/>
    <m/>
    <x v="2"/>
    <x v="46"/>
    <x v="1"/>
  </r>
  <r>
    <s v="esri.ie"/>
    <s v="minus"/>
    <x v="0"/>
    <s v="v=spf1 include:spf.protection.outlook.com include:nw008.com -all"/>
    <s v="yes"/>
    <x v="3"/>
    <s v="v=DMARC1; p=reject; rua=mailto:dmarc_agg@vali.email;"/>
    <m/>
    <m/>
    <x v="0"/>
    <x v="46"/>
    <x v="1"/>
  </r>
  <r>
    <s v="apcoa.ie"/>
    <s v="minus"/>
    <x v="0"/>
    <s v="v=spf1 include:spf.protection.outlook.com include:spf.topdesk.net include:mail.zendesk.com -all"/>
    <m/>
    <x v="0"/>
    <m/>
    <m/>
    <m/>
    <x v="0"/>
    <x v="46"/>
    <x v="1"/>
  </r>
  <r>
    <s v="sig.com"/>
    <s v="minus"/>
    <x v="0"/>
    <s v="v=spf1 ip4:217.112.146.130 include:susq.com include:_spf.bluematrix.com include:_u.sig.com._spf.smart.ondmarc.com -all"/>
    <s v="yes"/>
    <x v="2"/>
    <s v="v=DMARC1; p=none; sp=none; pct=100; aspf=s; fo=1; ri=3600; rua=mailto:499aaf2e@inbox.ondmarc.com,mailto:dmarcreplies@sig.com; ruf=mailto:499aaf2e@inbox.ondmarc.com,mailto:dmarcreplies@sig.com;"/>
    <m/>
    <m/>
    <x v="0"/>
    <x v="46"/>
    <x v="1"/>
  </r>
  <r>
    <s v="gempackfoods.ie"/>
    <s v="minus"/>
    <x v="0"/>
    <s v="v=spf1 ip4:83.70.133.98 ip4:83.70.133.97 include:spf.protection.outlook.com -all"/>
    <m/>
    <x v="1"/>
    <s v="v=DMARC1; p=quarantine; sp=quarantine; ri=3600; rua=mailto:6fuehgkv@ag.dmarcian-eu.com"/>
    <m/>
    <m/>
    <x v="0"/>
    <x v="46"/>
    <x v="1"/>
  </r>
  <r>
    <s v="nicholasodwyer.com"/>
    <s v="minus"/>
    <x v="0"/>
    <s v="v=spf1 include:spf.protection.outlook.com -all"/>
    <s v="yes"/>
    <x v="1"/>
    <s v="v=DMARC1; p=quarantine; sp=none; rua=mailto:dmarc@nicholasodwyer.ie!10m; ruf=mailto:dmarc@nicholasodwyer.ie!10m; rf=afrf; pct=100; ri=86400;"/>
    <m/>
    <m/>
    <x v="0"/>
    <x v="46"/>
    <x v="1"/>
  </r>
  <r>
    <s v="sharpgroup.ie"/>
    <s v="tilde"/>
    <x v="1"/>
    <s v="v=spf1 include:spf.protection.outlook.com include:spf.theemaillaundry.net ~all"/>
    <m/>
    <x v="0"/>
    <m/>
    <m/>
    <m/>
    <x v="0"/>
    <x v="46"/>
    <x v="1"/>
  </r>
  <r>
    <s v="pco.ie"/>
    <s v="minus"/>
    <x v="0"/>
    <s v="v=spf1 include:spf.protection.outlook.com include:_spf.psm.knowbe4.com ip4:87.120.248.48/28 ip4:185.190.207.176/28 ip4:149.40.96.82/32 ip4:217.38.236.82/32 ip4:147.160.167.0/26 ip4:52.49.201.246 ip4:52.49.235.189 ip4:23.21.109.197 ip4:23.21.109.212 -all"/>
    <s v="yes"/>
    <x v="2"/>
    <s v="v=DMARC1; p=none; pct=100; rua=mailto:techsupport@pco.ie,mailto:dmarc_agg@vali.email; ruf=mailto:techsupport@pco.ie;"/>
    <m/>
    <m/>
    <x v="15"/>
    <x v="46"/>
    <x v="1"/>
  </r>
  <r>
    <s v="aerogen.com"/>
    <s v="minus"/>
    <x v="0"/>
    <s v="v=spf1 a ip4:206.19.48.0/25 ip4:86.47.125.219/32 ip4:85.222.158.237 ip4:83.223.109.50/32 ip4:83.223.109.51/32 ip4:84.203.244.106/32 ip4:78.137.157.90/32 ip4:83.223.109.73/32 ip4:185.113.242.129/32 ip4:78.153.203.206/32 ip4:217.72.192.74/32 ip4:85.222.158.&quot; &quot;230/32 a:mail.aerogen&quot; &quot;.com include:spf.protection.outlook.com include:spf.topsec.com include:servers.mcsv.net include:docebosaas.com include:_spf.salesforce.com include:spf2.accessacloud.com -all"/>
    <s v="yes"/>
    <x v="1"/>
    <s v="v=DMARC1; p=quarantine; pct=100; rua=mailto:aerogendmarc@aerogen.com; ruf=mailto:aerogendmarc@aerogen.com; fo=1"/>
    <m/>
    <m/>
    <x v="7"/>
    <x v="46"/>
    <x v="1"/>
  </r>
  <r>
    <s v="thecope.ie"/>
    <s v="minus"/>
    <x v="0"/>
    <s v="v=spf1 include:spf.protection.outlook.com +ip4:83.138.8.106 -all"/>
    <s v="yes"/>
    <x v="2"/>
    <s v="v=DMARC1; p=none; rua=mailto:its@thecope.ie"/>
    <m/>
    <m/>
    <x v="6"/>
    <x v="46"/>
    <x v="1"/>
  </r>
  <r>
    <s v="brothersofcharityclare.ie"/>
    <s v="no"/>
    <x v="2"/>
    <m/>
    <m/>
    <x v="0"/>
    <m/>
    <m/>
    <m/>
    <x v="9"/>
    <x v="46"/>
    <x v="1"/>
  </r>
  <r>
    <s v="concern.net"/>
    <s v="tilde"/>
    <x v="1"/>
    <s v="v=spf1 ip4:115.68.64.54 ip4:89.234.34.121 include:spf.protection.outlook.com include:sendgrid.net ~all"/>
    <s v="yes"/>
    <x v="2"/>
    <s v="v=DMARC1; p=none; rua=mailto:cw8iz4vn@ag.eu.dmarcian.com;"/>
    <m/>
    <m/>
    <x v="0"/>
    <x v="46"/>
    <x v="1"/>
  </r>
  <r>
    <s v="dubsimon.ie"/>
    <s v="minus"/>
    <x v="0"/>
    <s v="v=spf1 mx ip4:52.17.55.17 include:spf.protection.outlook.com include:servers.mcsv.net include:_spf.createsend.com include:spf.smtp2go.com include:_spf.salesforce.com -all"/>
    <s v="yes"/>
    <x v="1"/>
    <s v="v=DMARC1; p=quarantine; sp=quarantine; fo=1; rua=mailto:dmarc@dubsimon.ie; ruf=mailto:dmarc@dubsimon.ie; pct=100;"/>
    <m/>
    <m/>
    <x v="0"/>
    <x v="46"/>
    <x v="1"/>
  </r>
  <r>
    <s v="limerickyouthservice.com"/>
    <s v="tilde"/>
    <x v="1"/>
    <s v="v=spf1 include:spf.reg365.net ~all"/>
    <m/>
    <x v="0"/>
    <m/>
    <m/>
    <m/>
    <x v="5"/>
    <x v="46"/>
    <x v="1"/>
  </r>
  <r>
    <s v="stmunchinscommunitycentre.ie"/>
    <s v="minus"/>
    <x v="0"/>
    <s v="v=spf1 mx a include:spf.elive.net -all"/>
    <m/>
    <x v="0"/>
    <m/>
    <m/>
    <m/>
    <x v="5"/>
    <x v="46"/>
    <x v="1"/>
  </r>
  <r>
    <s v="samaritians.org"/>
    <s v="no"/>
    <x v="2"/>
    <m/>
    <m/>
    <x v="0"/>
    <m/>
    <m/>
    <m/>
    <x v="5"/>
    <x v="46"/>
    <x v="1"/>
  </r>
  <r>
    <s v="rehabcare.ie"/>
    <s v="minus"/>
    <x v="0"/>
    <s v="v=spf1 include:spf.protection.outlook.com -all"/>
    <s v="yes"/>
    <x v="3"/>
    <s v="v=DMARC1; p=reject; rua=mailto:kh63j5azfi@rua.powerdmarc.com; ruf=mailto:kh63j5azfi@ruf.powerdmarc.com; pct=100; fo=0:1;"/>
    <s v="yes"/>
    <s v="https://app.powerbimi.com/15509/4baa9bd4-a09b-4736-8cd0-725ce35570e2.svg"/>
    <x v="2"/>
    <x v="46"/>
    <x v="1"/>
  </r>
  <r>
    <s v="vistatec.com"/>
    <s v="minus"/>
    <x v="0"/>
    <s v="v=spf1 ip4:85.159.20.0/24 ip4:169.50.207.110 ip4:40.85.77.193 ip4:138.201.252.45 ip4:85.159.20.70 ip4:185.118.113.53 ip4:54.75.175.106 ip4:54.77.142.175 ip4:149.72.156.198 ip6:2a01:4d8:0::/46 a include:_spf.google.com include:_spf.salesforce.com include:s&quot; &quot;pf.protection.outlook.com include:_spf.smtp.com include:spf.exclaimer.net -all"/>
    <m/>
    <x v="2"/>
    <s v="v=DMARC1; p=none"/>
    <m/>
    <m/>
    <x v="0"/>
    <x v="46"/>
    <x v="1"/>
  </r>
  <r>
    <s v="exertissupplychain.com"/>
    <s v="minus"/>
    <x v="0"/>
    <s v="v=spf1 include:spf.protection.outlook.com -all"/>
    <m/>
    <x v="0"/>
    <m/>
    <m/>
    <m/>
    <x v="5"/>
    <x v="46"/>
    <x v="1"/>
  </r>
  <r>
    <s v="abbeytheatre.ie"/>
    <s v="tilde"/>
    <x v="1"/>
    <s v="v=spf1 include:_u.abbeytheatre.ie._spf.smart.ondmarc.com ~all"/>
    <s v="yes"/>
    <x v="3"/>
    <s v="v=DMARC1; p=reject; pct=100; fo=1; ri=3600; rua=mailto:ab8379a3@inbox.ondmarc.com; ruf=mailto:ab8379a3@inbox.ondmarc.com;"/>
    <m/>
    <m/>
    <x v="0"/>
    <x v="46"/>
    <x v="1"/>
  </r>
  <r>
    <s v="bfei.ie"/>
    <s v="minus"/>
    <x v="0"/>
    <s v="v=spf1 mx ip4:193.1.231.1/26 ip4:213.94.193.24/29 ip4:86.47.251.19/32 ip4:89.101.230.56/29 ip4:87.34.136.0/23 include:outlook.com include:spf.protection.outlook.com ip4:78.137.164.120 ip4:78.137.164.50 ip4:137.191.239.207 ip4:137.191.239.209 include:&quot; &quot;spf.dcsnet.ie  include:relaymailchannels.net -all"/>
    <s v="yes"/>
    <x v="0"/>
    <m/>
    <m/>
    <m/>
    <x v="0"/>
    <x v="46"/>
    <x v="1"/>
  </r>
  <r>
    <s v="baldoyletrainingcentre.ie"/>
    <s v="tilde"/>
    <x v="1"/>
    <s v="v=spf1 a include:spf.blacknight.ie ~all"/>
    <m/>
    <x v="0"/>
    <m/>
    <m/>
    <m/>
    <x v="0"/>
    <x v="46"/>
    <x v="1"/>
  </r>
  <r>
    <s v="dfei.ie"/>
    <s v="minus"/>
    <x v="0"/>
    <s v="v=spf1 include:spf.protection.outlook.com ip4:193.1.231.2 ip4:82.113.146.165 include:spf.dcsnet.ie -all"/>
    <s v="yes"/>
    <x v="0"/>
    <m/>
    <m/>
    <m/>
    <x v="0"/>
    <x v="46"/>
    <x v="1"/>
  </r>
  <r>
    <s v="jungheinrich.ie"/>
    <s v="minus"/>
    <x v="0"/>
    <s v="v=spf1 include:%{ir}.%{v}.%{d}.spf.has.pphosted.com -all"/>
    <s v="yes"/>
    <x v="3"/>
    <s v="v=DMARC1; p=reject; rua=mailto:dmarc_rua@emaildefense.proofpoint.com; ruf=mailto:dmarc_ruf@emaildefense.proofpoint.com; fo=1"/>
    <m/>
    <m/>
    <x v="16"/>
    <x v="46"/>
    <x v="1"/>
  </r>
  <r>
    <s v="holyfamilyschoolcootehill.com"/>
    <s v="no"/>
    <x v="2"/>
    <m/>
    <m/>
    <x v="0"/>
    <m/>
    <m/>
    <m/>
    <x v="11"/>
    <x v="46"/>
    <x v="1"/>
  </r>
  <r>
    <s v="scoiliosagain.ie"/>
    <s v="tilde"/>
    <x v="1"/>
    <s v="v=spf1 include:spf.reg365.net ~all"/>
    <m/>
    <x v="0"/>
    <m/>
    <m/>
    <m/>
    <x v="6"/>
    <x v="46"/>
    <x v="1"/>
  </r>
  <r>
    <s v="gglsecurity.com"/>
    <s v="minus"/>
    <x v="0"/>
    <s v="v=spf1 ip4:185.43.232.238 +ip4:80.93.28.164 +include:spf.protection.outlook.com -all"/>
    <s v="yes"/>
    <x v="0"/>
    <m/>
    <m/>
    <m/>
    <x v="5"/>
    <x v="46"/>
    <x v="1"/>
  </r>
  <r>
    <s v="swordsecurity.com"/>
    <s v="minus"/>
    <x v="0"/>
    <s v="v=spf1 include:spf.smtp2go.com include:spf.mailanyone.net  -all"/>
    <m/>
    <x v="0"/>
    <m/>
    <m/>
    <m/>
    <x v="5"/>
    <x v="46"/>
    <x v="1"/>
  </r>
  <r>
    <s v="shellfishireland.com"/>
    <s v="minus"/>
    <x v="0"/>
    <s v="v=spf1 a ip4:54.37.105.96/32 ip4:54.37.105.103/32 include:spf.protection.outlook.com -all"/>
    <m/>
    <x v="0"/>
    <m/>
    <m/>
    <m/>
    <x v="1"/>
    <x v="46"/>
    <x v="1"/>
  </r>
  <r>
    <s v="shannonvalefoods.ie"/>
    <s v="minus"/>
    <x v="0"/>
    <s v="v=spf1 include:spf.protection.outlook.com -all"/>
    <m/>
    <x v="2"/>
    <s v="v=DMARC1; p=none"/>
    <m/>
    <m/>
    <x v="1"/>
    <x v="46"/>
    <x v="1"/>
  </r>
  <r>
    <s v="unilever.com"/>
    <s v="minus"/>
    <x v="0"/>
    <s v="v=spf1 include:spf.protection.outlook.com ip4:13.112.93.182 ip4:188.95.0.38 ip4:188.95.7.6 ip4:89.202.116.58 ip4:43.228.187.74 ip4:174.143.100.191 a:b.spf.service-now.com a:c.spf.service-now.com a:d.spf.service-now.com include:eu.rp.oracleemaildelivery.co&quot; &quot;m ip4:194.60.106.150 ip4:194.60.106.152 ip4:204.110.162.26/31 -all"/>
    <s v="yes"/>
    <x v="3"/>
    <s v="v=DMARC1; p=reject; rua=mailto:dmarc@unilever.com; fo=0; adkim=r; aspf=r; pct=100; rf=afrf"/>
    <m/>
    <m/>
    <x v="0"/>
    <x v="46"/>
    <x v="1"/>
  </r>
  <r>
    <s v="moyvalleymeats.ie"/>
    <s v="minus"/>
    <x v="0"/>
    <s v="v=spf1 mx a:mailon.spamtitan.com include:spf.protection.outlook.com -all"/>
    <s v="yes"/>
    <x v="1"/>
    <s v="v=DMARC1; p=quarantine; rua=mailto:dmarc@mtcsolutions.ie"/>
    <m/>
    <m/>
    <x v="16"/>
    <x v="46"/>
    <x v="1"/>
  </r>
  <r>
    <s v="abconireland.com"/>
    <s v="minus"/>
    <x v="0"/>
    <s v="v=spf1 ip4:91.92.29.94 include:_spf.mlsend.com include:spf.protection.outlook.com include:spf.mandrillapp.com include:sendgrid.net -all"/>
    <m/>
    <x v="0"/>
    <m/>
    <m/>
    <m/>
    <x v="11"/>
    <x v="46"/>
    <x v="1"/>
  </r>
  <r>
    <s v="atagroup.ie"/>
    <s v="minus"/>
    <x v="0"/>
    <s v="v=spf1 ip4:81.133.158.169  ip4:145.227.10.17 ip4:77.107.237.203 include:spf.protection.outlook.com include:spf.exclaimer.net include:mail.zendesk.com include:atahelpdesk.zendesk.com include:_spf.psm.knowbe4.com -all"/>
    <s v="yes"/>
    <x v="3"/>
    <s v="v=DMARC1; p=reject; rua=mailto:dmarc@atagroup.com; ruf=mailto:dmarc@atagroup.com; sp=reject; fo=1"/>
    <m/>
    <m/>
    <x v="11"/>
    <x v="46"/>
    <x v="1"/>
  </r>
  <r>
    <s v="ipa.ie"/>
    <s v="tilde"/>
    <x v="1"/>
    <s v="v=spf1 mx ip4:89.185.148.18 ip4:46.137.21.115 ip4:193.1.242.30 a:spf.webtrade.ie include:app.sgizmo.com include:spf.blacknight.com a:s2a-se.blacknight.ie include:spf.protection.outlook.com include:_spf.eu.messagegears.net ~all"/>
    <s v="yes"/>
    <x v="2"/>
    <s v="Value: v=DMARC1; p=none; rua=mailto:cisalerts@ipa.ie; ruf=mailto:cisalerts@ipa.ie; fo=1"/>
    <m/>
    <m/>
    <x v="0"/>
    <x v="46"/>
    <x v="1"/>
  </r>
  <r>
    <s v="eveningecho.ie"/>
    <s v="tilde"/>
    <x v="1"/>
    <s v="v=spf1 include:_spf.google.com ~all"/>
    <m/>
    <x v="2"/>
    <s v="v=DMARC1; p=none; rua=mailto:larry.kavanagh@examiner.ie,mailto:dmarc.reports@examiner.ie; ruf=mailto:larry.kavanagh@examiner.ie,mailto:dmarc.reports@examiner.ie; sp=none; ri=86400"/>
    <m/>
    <m/>
    <x v="1"/>
    <x v="46"/>
    <x v="1"/>
  </r>
  <r>
    <s v="derrinstown.com"/>
    <s v="minus"/>
    <x v="0"/>
    <s v="v=spf1 include:spf.protection.outlook.com -all"/>
    <m/>
    <x v="0"/>
    <m/>
    <m/>
    <m/>
    <x v="16"/>
    <x v="46"/>
    <x v="1"/>
  </r>
  <r>
    <s v="irishcarrentals.ie"/>
    <s v="no"/>
    <x v="2"/>
    <m/>
    <m/>
    <x v="0"/>
    <m/>
    <m/>
    <m/>
    <x v="0"/>
    <x v="46"/>
    <x v="1"/>
  </r>
  <r>
    <s v="leolynch.com"/>
    <s v="minus"/>
    <x v="0"/>
    <s v="v=spf1 mx ip4:40.113.68.21 a:webmail.llynch.com include:spf.exclaimer.net include:spf.protection.outlook.com -all"/>
    <s v="yes"/>
    <x v="2"/>
    <s v="v=DMARC1; p=none;"/>
    <m/>
    <m/>
    <x v="0"/>
    <x v="46"/>
    <x v="1"/>
  </r>
  <r>
    <s v="cahercalla.ie"/>
    <s v="minus"/>
    <x v="0"/>
    <s v="v=spf1 +ip4:142.132.206.101 +include:spf.protection.outlook.com +include:spf.topsec.com -all"/>
    <s v="yes"/>
    <x v="0"/>
    <m/>
    <m/>
    <m/>
    <x v="9"/>
    <x v="46"/>
    <x v="1"/>
  </r>
  <r>
    <s v="stmarysmerrion.ie"/>
    <s v="no"/>
    <x v="2"/>
    <m/>
    <m/>
    <x v="0"/>
    <m/>
    <m/>
    <m/>
    <x v="0"/>
    <x v="46"/>
    <x v="1"/>
  </r>
  <r>
    <s v="ballymaloe.ie"/>
    <s v="minus"/>
    <x v="0"/>
    <s v="v=spf1 include:guestline.net include:roomlynx.net -all"/>
    <m/>
    <x v="2"/>
    <s v="v=DMARC1; p=none;"/>
    <m/>
    <m/>
    <x v="1"/>
    <x v="46"/>
    <x v="1"/>
  </r>
  <r>
    <s v="aldi.ie"/>
    <s v="mis"/>
    <x v="3"/>
    <s v="v=spf1 redirect=aldi.ie.hosted.spf-report.com"/>
    <s v="yes"/>
    <x v="3"/>
    <s v="v=DMARC1; p=reject; rua=mailto:a556a34f@mxtoolbox.dmarc-report.com; ruf=mailto:a556a34f@forensics.dmarc-report.com; adkim=r; aspf=r; fo=1"/>
    <m/>
    <m/>
    <x v="16"/>
    <x v="46"/>
    <x v="1"/>
  </r>
  <r>
    <s v="dubraybooks.ie"/>
    <s v="minus"/>
    <x v="0"/>
    <s v="v=spf1 ip4:168.245.72.207 include:spf.protection.outlook.com include:sendgrid.net -all"/>
    <s v="yes"/>
    <x v="2"/>
    <s v="v=DMARC1; p=none;"/>
    <m/>
    <m/>
    <x v="24"/>
    <x v="46"/>
    <x v="1"/>
  </r>
  <r>
    <s v="swampfashion.ie"/>
    <s v="no"/>
    <x v="2"/>
    <m/>
    <m/>
    <x v="0"/>
    <m/>
    <m/>
    <m/>
    <x v="1"/>
    <x v="46"/>
    <x v="1"/>
  </r>
  <r>
    <s v="anthonyryans.com"/>
    <s v="minus"/>
    <x v="0"/>
    <s v="v=spf1 a mx +ip4:95.154.221.73 +include:spf.protection.outlook.com +include:_spf_cd.spamtitan.com -all"/>
    <s v="yes"/>
    <x v="2"/>
    <s v="v=DMARC1; p=none;"/>
    <m/>
    <m/>
    <x v="7"/>
    <x v="46"/>
    <x v="1"/>
  </r>
  <r>
    <s v="jbsgroup.ie"/>
    <s v="minus"/>
    <x v="0"/>
    <s v="v=spf1 ip4:91.92.29.82 ip4:62.233.76.18 include:sendgrid.net include:mailanyone.net include:spf.protection.outlook.com include:spf.exclaimer.net -all"/>
    <s v="yes"/>
    <x v="0"/>
    <m/>
    <m/>
    <m/>
    <x v="12"/>
    <x v="46"/>
    <x v="1"/>
  </r>
  <r>
    <s v="cumminssports.ie"/>
    <s v="tilde"/>
    <x v="1"/>
    <s v="v=spf1 a mx include:relay.mailchannels.net include:spf.protection.outlook.com include:mailgun.org ~all"/>
    <s v="yes"/>
    <x v="2"/>
    <s v="v=DMARC1; p=none; rua=mailto:9df42002268d44f088964dc9c58d34e6@dmarc-reports.cloudflare.net,mailto:dmarc@cumminssports.ie; ruf=mailto:dmarc@cumminssports.ie; fo=1"/>
    <m/>
    <m/>
    <x v="1"/>
    <x v="46"/>
    <x v="1"/>
  </r>
  <r>
    <s v="buy4now.com"/>
    <s v="minus"/>
    <x v="0"/>
    <s v="v=spf1 ip6:fdcf:abda:4154::/48 -all"/>
    <m/>
    <x v="0"/>
    <m/>
    <m/>
    <m/>
    <x v="0"/>
    <x v="46"/>
    <x v="1"/>
  </r>
  <r>
    <s v="irishcomms.ie"/>
    <s v="tilde"/>
    <x v="1"/>
    <s v="v=spf1 ip4:178.250.118.18 ip4:148.252.13.186 include:spf.topsec.com include:spf.turbo-smtp.com include:amazonses.com ip4:192.138.110.14 ip4:192.138.110.15 ip4:192.138.110.232 ip4:192.138.117.78 ip4:192.138.116.77 ip4:192.157.9.134 ~all"/>
    <m/>
    <x v="2"/>
    <s v="v=DMARC1; p=none;"/>
    <m/>
    <m/>
    <x v="16"/>
    <x v="46"/>
    <x v="1"/>
  </r>
  <r>
    <s v="glennonbrothers.ie"/>
    <s v="minus"/>
    <x v="0"/>
    <s v="v=spf1 ip4:82.141.252.242/32 ip4:83.71.244.181/32 ip4:86.43.85.1/32 ip4:81.17.254.59/32 ip4:89.204.252.84/32 ip4:89.204.252.81/32 ip4:204.13.200.0/22 include:spf.protection.outlook.com include:spf.us.mailmarshal.cloud include:spf.ess.de.barracudanetw&quot; &quot;orks.com -all"/>
    <m/>
    <x v="0"/>
    <m/>
    <m/>
    <m/>
    <x v="1"/>
    <x v="46"/>
    <x v="1"/>
  </r>
  <r>
    <s v="biggsoil.ie"/>
    <s v="tilde"/>
    <x v="1"/>
    <s v="v=spf1 a include:spf.blacknight.ie include:spf.protection.outlook.com include:mailgun.org ~all"/>
    <m/>
    <x v="2"/>
    <s v="v=DMARC1; p=none;"/>
    <m/>
    <m/>
    <x v="1"/>
    <x v="46"/>
    <x v="1"/>
  </r>
  <r>
    <s v="fdsworldwide.com"/>
    <s v="minus"/>
    <x v="0"/>
    <s v="v=spf1 include:spf.protection.outlook.com include:amazonses.com include:servers.mcsv.net -all"/>
    <s v="yes"/>
    <x v="2"/>
    <s v="v=DMARC1; p=none"/>
    <m/>
    <m/>
    <x v="0"/>
    <x v="46"/>
    <x v="1"/>
  </r>
  <r>
    <s v="siginteriors.ie"/>
    <s v="minus"/>
    <x v="0"/>
    <s v="v=spf1 -all"/>
    <m/>
    <x v="3"/>
    <s v="v=DMARC1; p=reject; rua=mailto:21e415078983506@rep.dmarcanalyzer.com; ruf=mailto:21e415078983506@for.dmarcanalyzer.com; fo=1;"/>
    <m/>
    <m/>
    <x v="0"/>
    <x v="46"/>
    <x v="1"/>
  </r>
  <r>
    <s v="frsnetwork.ie"/>
    <s v="tilde"/>
    <x v="1"/>
    <s v="v=spf1 include:transmail.net include:zoho.com include:transmail.net include:spf.protection.outlook.com a:smtp.hosts.co.uk a:athena.hosts.co.uk a:hermes.hosts.co.uk a:outgoing-smtp.namesco.net include:email.freshservice.com ~all"/>
    <s v="yes"/>
    <x v="0"/>
    <m/>
    <m/>
    <m/>
    <x v="11"/>
    <x v="46"/>
    <x v="1"/>
  </r>
  <r>
    <s v="bife.ie"/>
    <s v="no"/>
    <x v="2"/>
    <m/>
    <m/>
    <x v="0"/>
    <m/>
    <m/>
    <m/>
    <x v="24"/>
    <x v="46"/>
    <x v="1"/>
  </r>
  <r>
    <s v="cls.ie"/>
    <s v="tilde"/>
    <x v="1"/>
    <s v="v=spf1 include:spf.mailjet.com include:spf.protection.outlook.com include:27136097.spf10.hubspotemail.net ~all"/>
    <s v="yes"/>
    <x v="1"/>
    <s v="v=DMARC1; p=quarantine; rua=mailto:kh@cls.ie; ruf=mailto:kh@cls.ie; fo=1;"/>
    <m/>
    <m/>
    <x v="7"/>
    <x v="46"/>
    <x v="1"/>
  </r>
  <r>
    <s v="statelab.ie"/>
    <s v="tilde"/>
    <x v="1"/>
    <s v="v=spf1 ip4:137.191.238.192/29 ip4:54.229.2.165 ip4:52.30.130.201 include:spf.protection.outlook.com a:fmail.statelab.ie ~all"/>
    <s v="yes"/>
    <x v="2"/>
    <s v=" v=DMARC1; p=none; pct=100; rua=mailto:colin.russellconway@statelab.ie; "/>
    <m/>
    <m/>
    <x v="16"/>
    <x v="46"/>
    <x v="1"/>
  </r>
  <r>
    <s v="redmills.com"/>
    <s v="minus"/>
    <x v="0"/>
    <s v="v=spf1 a:exchangelabs.com a:mailanyone.net a:gw117220.fortimail.com ip4:185.2.66.40 ip4:142.0.181.21 ip4:209.52.117.220 ip4:89.204.254.68 ip4:52.214.176.33 include:spf.protection.outlook.com -all"/>
    <s v="yes"/>
    <x v="1"/>
    <s v="v=DMARC1; p=quarantine; sp=none;"/>
    <m/>
    <m/>
    <x v="17"/>
    <x v="46"/>
    <x v="1"/>
  </r>
  <r>
    <s v="csn.ie"/>
    <s v="minus"/>
    <x v="0"/>
    <s v="v=spf1 ip4:137.191.239.214 include:spf.protection.outlook.com include:spf.dcsnet.ie -all"/>
    <s v="yes"/>
    <x v="2"/>
    <s v="v=DMARC1;p=none;sp=none;rua=mailto:211a5a2e44@rua.easydmarc.eu;ruf=mailto:211a5a2e44@ruf.easydmarc.eu;fo=1"/>
    <m/>
    <m/>
    <x v="1"/>
    <x v="46"/>
    <x v="1"/>
  </r>
  <r>
    <s v="adamstowncc.ie"/>
    <s v="tilde"/>
    <x v="1"/>
    <s v="v=spf1 include:_spf.google.com include:spf.dcsnet.ie ~all"/>
    <m/>
    <x v="0"/>
    <m/>
    <m/>
    <m/>
    <x v="0"/>
    <x v="46"/>
    <x v="1"/>
  </r>
  <r>
    <s v="crumlincollege.ie"/>
    <s v="minus"/>
    <x v="0"/>
    <s v="v=spf1 include:spf.protection.outlook.com -all"/>
    <m/>
    <x v="0"/>
    <m/>
    <m/>
    <m/>
    <x v="0"/>
    <x v="46"/>
    <x v="1"/>
  </r>
  <r>
    <s v="tudublin.ie"/>
    <s v="minus"/>
    <x v="0"/>
    <s v="v=spf1 include:spf.protection.outlook.com include:spf1.tudublin.ie include:spf2.tudublin.ie include:spf3.tudublin.ie include:spf.elluciancloud.com include:mail.zendesk.com include:_spf.createsend.com include:a._spf.brightspace.com -all"/>
    <s v="yes"/>
    <x v="3"/>
    <s v="v=DMARC1; p=reject; rua=mailto:xydjhcdp@ag.eu.dmarcian.com;"/>
    <m/>
    <m/>
    <x v="0"/>
    <x v="46"/>
    <x v="1"/>
  </r>
  <r>
    <s v="croninscoaches.com"/>
    <s v="minus"/>
    <x v="0"/>
    <s v="v=spf1 a:mail.mindaclient.com include:spf.protection.outlook.com -all"/>
    <m/>
    <x v="0"/>
    <m/>
    <m/>
    <m/>
    <x v="1"/>
    <x v="46"/>
    <x v="1"/>
  </r>
  <r>
    <s v="matthews.ie"/>
    <s v="tilde"/>
    <x v="1"/>
    <s v="v=spf1 include:spf.protection.outlook.com include:spf.blacknight.ie include:spf1.emailsecurity.app include:spfa.mailendo.com ~all"/>
    <m/>
    <x v="2"/>
    <s v="v=DMARC1; p=none;"/>
    <m/>
    <m/>
    <x v="12"/>
    <x v="46"/>
    <x v="1"/>
  </r>
  <r>
    <s v="finning.ie"/>
    <s v="tilde"/>
    <x v="1"/>
    <s v="v=spf1 +a +mx +ip4:91.210.232.8 include:spf.webhostingireland.ie +ip4:185.43.232.251 ~all"/>
    <m/>
    <x v="0"/>
    <m/>
    <m/>
    <m/>
    <x v="0"/>
    <x v="46"/>
    <x v="1"/>
  </r>
  <r>
    <s v="corkmarts.com"/>
    <s v="minus"/>
    <x v="0"/>
    <s v="v=spf1 ip4:83.71.159.92 ip4:86.47.86.155 ip4:86.43.101.0 ip4:93.95.80.139 ip4:86.43.101.2 ip4:86.43.101.5 ip4:86.43.101.6 include:spf.protection.outlook.com include:mailgun.org -all"/>
    <s v="yes"/>
    <x v="0"/>
    <m/>
    <m/>
    <m/>
    <x v="1"/>
    <x v="46"/>
    <x v="1"/>
  </r>
  <r>
    <s v="plannet21.ie"/>
    <s v="minus"/>
    <x v="0"/>
    <s v="v=spf1 a mx ip4:78.158.111.80 include:mktomail.com -all"/>
    <s v="yes"/>
    <x v="2"/>
    <s v="v=DMARC1\\; p=none\\; rua=mailto:dmarc@plannet21.ie\\;"/>
    <m/>
    <m/>
    <x v="0"/>
    <x v="46"/>
    <x v="1"/>
  </r>
  <r>
    <s v="appliedmaterials.com"/>
    <s v="minus"/>
    <x v="0"/>
    <s v="v=spf1 mx include:spf1.workhuman.com include:_spf.google.com include:spf.protection.outlook.com include:spf.messagelabs.com -all"/>
    <s v="yes"/>
    <x v="3"/>
    <s v="v=DMARC1; p=reject; fo=1; pct=100; ri=3600; rua=mailto:dmarc_rua@emaildefense.proofpoint.com,mailto:DMARC_Report@amat.com; ruf=mailto:dmarc_ruf@emaildefense.proofpoint.com,mailto:DMARCFore_Report@amat.com"/>
    <m/>
    <m/>
    <x v="16"/>
    <x v="46"/>
    <x v="1"/>
  </r>
  <r>
    <s v="asiamarket.ie"/>
    <s v="minus"/>
    <x v="0"/>
    <s v="v=spf1 include:de._netblocks.mimecast.com include:spf1.asiamarket.ie include:spf3.asiamarket.ie -all"/>
    <s v="yes"/>
    <x v="2"/>
    <s v="v=DMARC1; p=none; rua=mailto:dmarc@asiamarket.ie"/>
    <m/>
    <m/>
    <x v="0"/>
    <x v="46"/>
    <x v="1"/>
  </r>
  <r>
    <s v="obrien-ingredients.ie"/>
    <s v="tilde"/>
    <x v="1"/>
    <s v="v=spf1 include:spf.protection.outlook.com include:spf.topsec.com ~all"/>
    <m/>
    <x v="0"/>
    <m/>
    <m/>
    <m/>
    <x v="0"/>
    <x v="46"/>
    <x v="1"/>
  </r>
  <r>
    <s v="mcgeesfood.com"/>
    <s v="no"/>
    <x v="2"/>
    <m/>
    <m/>
    <x v="0"/>
    <m/>
    <m/>
    <m/>
    <x v="12"/>
    <x v="46"/>
    <x v="1"/>
  </r>
  <r>
    <s v="hovione.com"/>
    <s v="minus"/>
    <x v="0"/>
    <s v="v=spf1 a:mail.hovione.com ip4:194.38.130.3  ip4:194.38.130.4 ip4:52.165.90.41 ip4:194.38.130.10 ip4:40.78.154.41 a:spf.ltg.email ip4:18.168.51.200 ip4:18.168.140.58 include:spf.protection.outlook.com include:hv_spf.hovione.com -all"/>
    <s v="yes"/>
    <x v="1"/>
    <s v="v=DMARC1; p=quarantine; sp=reject; pct=100; rua=mailto:record_rua@hovione.com; ruf=mailto:record_ruf@hovione.com; fo=1:d:s; aspf=s; adkim=s; rf=afrf; ri=86400"/>
    <m/>
    <m/>
    <x v="1"/>
    <x v="46"/>
    <x v="1"/>
  </r>
  <r>
    <s v="westrock.com"/>
    <s v="tilde"/>
    <x v="1"/>
    <s v="v=spf1 include:%{ir}.%{v}.%{d}.spf.has.pphosted.com ~all"/>
    <m/>
    <x v="2"/>
    <s v="v=DMARC1; p=none; fo=1; rua=mailto:dmarc_rua@emaildefense.proofpoint.com; ruf=mailto:dmarc_ruf@emaildefense.proofpoint.com"/>
    <m/>
    <m/>
    <x v="0"/>
    <x v="46"/>
    <x v="1"/>
  </r>
  <r>
    <s v="perrigo.com"/>
    <s v="tilde"/>
    <x v="1"/>
    <s v="v=spf1 include:spf.protection.outlook.com include:spf.natchcloud.com include:spf.messagelabs.com include:spf.mailjet.com a:smtp5.silae.fr include:_spf-dc8.sapsf.com include:_spf-dc4.sapsf.com ip4:67.231.152.89 ip4:208.84.65.89 ip4:148.163.151.89&quot; &quot; ip4:148.163.155.35 ip4:70.42.227.151/32 ip4:70.42.227.152/32 ip4:65.221.8.29/32 ip4:65.221.12.128/32 ip4:65.221.12.148/32 ip4:198.11.114.29/32 ~all"/>
    <s v="yes"/>
    <x v="3"/>
    <s v="v=DMARC1; p=reject; fo=1; rua=mailto:dmarc_rua@emaildefense.proofpoint.com; ruf=mailto:dmarc_ruf@emaildefense.proofpoint.com"/>
    <m/>
    <m/>
    <x v="0"/>
    <x v="46"/>
    <x v="1"/>
  </r>
  <r>
    <s v="sudocrem.com"/>
    <s v="minus"/>
    <x v="0"/>
    <s v="v=spf1 ip4:164.132.160.62 include:_spf.mail.teva include:spf.protection.outlook.com -all"/>
    <s v="yes"/>
    <x v="3"/>
    <s v="v=DMARC1;p=reject;fo=1;ri=3600;rua=mailto:dmarc.RUA@tevapharm.com;ruf=mailto:dmarc.RUA@tevapharm.com"/>
    <m/>
    <m/>
    <x v="0"/>
    <x v="46"/>
    <x v="1"/>
  </r>
  <r>
    <s v="bbraun.com"/>
    <s v="minus"/>
    <x v="0"/>
    <s v="v=spf1 include:spf-00163d02.pphosted.com include:_spf.salesforce.com include:_spf-dc33.sapsf.eu -all"/>
    <s v="yes"/>
    <x v="3"/>
    <s v="v=DMARC1; p=reject; rua=mailto:u8jrbwhm@ag.eu.dmarcian.com, mailto:dmarc_rua@emaildefense.proofpoint.com; ruf=mailto:u8jrbwhm@fr.eu.dmarcian.com, mailto:dmarc_ruf@emaildefense.proofpoint.com"/>
    <m/>
    <m/>
    <x v="8"/>
    <x v="46"/>
    <x v="1"/>
  </r>
  <r>
    <s v="reynoldslogistics.ie"/>
    <s v="minus"/>
    <x v="0"/>
    <s v="v=spf1 include:spf.protection.outlook.com -all"/>
    <s v="yes"/>
    <x v="0"/>
    <m/>
    <m/>
    <m/>
    <x v="0"/>
    <x v="46"/>
    <x v="1"/>
  </r>
  <r>
    <s v="gfbs.ie"/>
    <s v="tilde"/>
    <x v="1"/>
    <s v="v=spf1 ip4:51.83.111.125 ip4:51.68.93.177 ip4:188.165.6.8 ip4:54.36.1.228 ip4:54.36.1.229 ip4:37.187.179.155 include:_spf.google.com ~all"/>
    <s v="yes"/>
    <x v="0"/>
    <m/>
    <m/>
    <m/>
    <x v="1"/>
    <x v="46"/>
    <x v="1"/>
  </r>
  <r>
    <s v="home.kuehne-nagel.com"/>
    <s v="no"/>
    <x v="2"/>
    <m/>
    <m/>
    <x v="0"/>
    <m/>
    <m/>
    <m/>
    <x v="1"/>
    <x v="46"/>
    <x v="1"/>
  </r>
  <r>
    <s v="cashandcarrykitchens.ie"/>
    <s v="minus"/>
    <x v="0"/>
    <s v="v=spf1 include:mail.zendesk.com include:spf.protection.outlook.com include:aspmx.pardot.com ip4:185.24.99.18 include:secureserver.net mx include:spf.autopilothq.com include:sendgrid.net include:spf.ess.de.barracudanetworks.com -all"/>
    <s v="yes"/>
    <x v="1"/>
    <s v="v=DMARC1; p=quarantine; rua=mailto:dmarc-reports@cashandcarrykitchens.ie; ruf=mailto:dmarc-failures@cashandcarrykitchens.ie; sp=none; aspf=r;"/>
    <m/>
    <m/>
    <x v="1"/>
    <x v="46"/>
    <x v="1"/>
  </r>
  <r>
    <s v="hayes-solicitors.ie"/>
    <s v="tilde"/>
    <x v="1"/>
    <s v="v=spf1 ip4:5.61.115.48/28 include:hayessolicitors.nw005.com include:spf.protection.outlook.com include:eu._extnetblocks.mimecast.com include:eu._netblocks.mimecast.com include:31d8ffbb-spf.mta.getcheckrecipient.com a:dnsus1.accellion.com a:dnsus2.accellio&quot; &quot;n.com ~all"/>
    <m/>
    <x v="2"/>
    <s v="v=DMARC1;p=none;sp=none;adkim=r;aspf=r;pct=100;fo=1;rf=afrf;ri=86400;rua=mailto:59421f2f29ba464@rep.dmarcanalyzer.com;ruf=mailto:59421f2f29ba464@rep.dmarcanalyzer.com"/>
    <m/>
    <m/>
    <x v="0"/>
    <x v="46"/>
    <x v="1"/>
  </r>
  <r>
    <s v="hollister.com"/>
    <s v="minus"/>
    <x v="0"/>
    <s v="v=spf1 include:spf.messagelabs.com ip4:138.1.170.0/24 ip4:147.154.126.0/24 ip4:147.154.191.0/24 ip4:147.154.32.0/25 ip4:147.154.63.0/24 ip4:162.88.24.0/21 ip4:192.29.103.128/25 ip4:192.29.72.0/25 ip4:10.144.155.128/26 ip4:192.29.88.0/25 ip4:192.29.134.0/2&quot; &quot;5 ip4:129.148.164.0/25 ip4:129.148.215.0/25 ip4:129.149.38.0/25 ip4:129.149.6.0/25 ip4:129.146.91.38/25 ip4:129.146.146.59/25 ip4:198.105.204.18/32 ip4:198.105.204.19/32 ip4:198.105.204.20/32 ip4:198.105.205.18/32 ip4:198.105.205.19/32 ip4:198.105.205.20/&quot; &quot;32 include:spf.protection.outlook.com include:_spf-sfdc.successfactors.com include:aspmx.pardot.com include:_spf.salesforce.com -all"/>
    <s v="yes"/>
    <x v="3"/>
    <s v="v=DMARC1; p=reject; ruf=mailto:postmaster@hollister.com; fo=1; pct=100"/>
    <m/>
    <m/>
    <x v="0"/>
    <x v="46"/>
    <x v="1"/>
  </r>
  <r>
    <s v="ilac.ie"/>
    <s v="minus"/>
    <x v="0"/>
    <s v="v=spf1 include:mailzone.co.uk -all"/>
    <m/>
    <x v="0"/>
    <m/>
    <m/>
    <m/>
    <x v="0"/>
    <x v="46"/>
    <x v="1"/>
  </r>
  <r>
    <s v="inva.com"/>
    <s v="minus"/>
    <x v="0"/>
    <s v="v=spf1 include:spf.protection.outlook.com include:mailsenders.netsuite.com a:dispatch-us.ppe-hosted.com -all"/>
    <s v="yes"/>
    <x v="1"/>
    <s v="v=DMARC1; p=quarantine; rua=mailto:clarissa.lau@inva.com; ruf=mailto:clarissa.lau@inva.com; fo=1"/>
    <m/>
    <m/>
    <x v="0"/>
    <x v="46"/>
    <x v="1"/>
  </r>
  <r>
    <s v="maldronhotelparnellsquare.com"/>
    <s v="no"/>
    <x v="2"/>
    <m/>
    <m/>
    <x v="0"/>
    <m/>
    <m/>
    <m/>
    <x v="0"/>
    <x v="46"/>
    <x v="1"/>
  </r>
  <r>
    <s v="mqi.ie"/>
    <s v="tilde"/>
    <x v="1"/>
    <s v="v=spf1 include:_u.mqi.ie._spf.smart.ondmarc.com ~all"/>
    <s v="yes"/>
    <x v="3"/>
    <s v="v=DMARC1; p=reject; pct=100; sp=none; rua=mailto:5b355004@inbox.ondmarc.com; ruf=mailto:5b355004@inbox.ondmarc.com; adkim=r; aspf=r; fo=1; rf=afrf; ri=3600"/>
    <m/>
    <m/>
    <x v="0"/>
    <x v="46"/>
    <x v="1"/>
  </r>
  <r>
    <s v="ipo.gov.ie"/>
    <s v="minus"/>
    <x v="0"/>
    <s v="v=spf1 include:jsec.ie -all"/>
    <m/>
    <x v="0"/>
    <m/>
    <m/>
    <m/>
    <x v="0"/>
    <x v="46"/>
    <x v="1"/>
  </r>
  <r>
    <s v="davenporthotel.ie"/>
    <s v="tilde"/>
    <x v="1"/>
    <s v="v=spf1 include:ireshotels.com include:spf.reg365.net ~all"/>
    <s v="yes"/>
    <x v="0"/>
    <m/>
    <m/>
    <m/>
    <x v="0"/>
    <x v="46"/>
    <x v="1"/>
  </r>
  <r>
    <s v="bluetreesystems.com"/>
    <s v="tilde"/>
    <x v="1"/>
    <s v="v=spf1 ip4:212.17.43.128/29 ip4:84.203.176.32/28 ip4:99.80.80.190 ip4:52.17.17.51 ip4:3.254.33.127 include:spf.protection.outlook.com ~all"/>
    <m/>
    <x v="0"/>
    <m/>
    <m/>
    <m/>
    <x v="7"/>
    <x v="46"/>
    <x v="1"/>
  </r>
  <r>
    <s v="ballyroe.com"/>
    <s v="tilde"/>
    <x v="1"/>
    <s v="v=spf1 mx include:netaffinity.net ~all"/>
    <m/>
    <x v="0"/>
    <m/>
    <m/>
    <m/>
    <x v="14"/>
    <x v="46"/>
    <x v="1"/>
  </r>
  <r>
    <s v="leestrand.ie"/>
    <s v="minus"/>
    <x v="0"/>
    <s v="v=spf1 a:dispatch-eu.ppe-hosted.com a:coredatacenter.leestrand.ie -all"/>
    <m/>
    <x v="1"/>
    <s v="v=DMARC1; p=quarantine; rua=mailto:administrator@leestrand.ie;"/>
    <m/>
    <m/>
    <x v="14"/>
    <x v="46"/>
    <x v="1"/>
  </r>
  <r>
    <s v="lakehotel.com"/>
    <s v="minus"/>
    <x v="0"/>
    <s v="v=spf1 include:spf.protection.outlook.com include:netaffinity.net include:spf.emailing.loungeup.com ip4:89.234.97.164 -all"/>
    <s v="yes"/>
    <x v="2"/>
    <s v="v=DMARC1; p=none; fo=1; rua=mailto:rua+lakehotel.com@dmarc.barracudanetworks.com; ruf=mailto:ruf+lakehotel.com@dmarc.barracudanetworks.com"/>
    <m/>
    <m/>
    <x v="14"/>
    <x v="46"/>
    <x v="1"/>
  </r>
  <r>
    <s v="glenroyalhotelkildare.com"/>
    <s v="no"/>
    <x v="2"/>
    <m/>
    <m/>
    <x v="0"/>
    <m/>
    <m/>
    <m/>
    <x v="16"/>
    <x v="46"/>
    <x v="1"/>
  </r>
  <r>
    <s v="irishcasings.com"/>
    <s v="minus"/>
    <x v="0"/>
    <s v="v=spf1 mx a:mailon.spamtitan.com include:spf.protection.outlook.com -all"/>
    <s v="yes"/>
    <x v="1"/>
    <s v="v=DMARC1; p=quarantine; rua=mailto:dmarc@mtcsolutions.ie; fo=1"/>
    <m/>
    <m/>
    <x v="21"/>
    <x v="46"/>
    <x v="1"/>
  </r>
  <r>
    <s v="stephenscateringequipment.com"/>
    <s v="no"/>
    <x v="2"/>
    <m/>
    <m/>
    <x v="2"/>
    <s v="v=DMARC1; p=none; rua=mailto:info@stephenscateringequipment.com"/>
    <m/>
    <m/>
    <x v="16"/>
    <x v="47"/>
    <x v="2"/>
  </r>
  <r>
    <s v="gls.ie"/>
    <s v="no"/>
    <x v="2"/>
    <m/>
    <m/>
    <x v="0"/>
    <m/>
    <m/>
    <m/>
    <x v="0"/>
    <x v="48"/>
    <x v="2"/>
  </r>
  <r>
    <s v="maguireinternational.eu"/>
    <s v="tilde"/>
    <x v="1"/>
    <s v="v=spf1 a mx include:websitewelcome.com include:relay.k.io ~all"/>
    <s v="yes"/>
    <x v="0"/>
    <m/>
    <m/>
    <m/>
    <x v="12"/>
    <x v="49"/>
    <x v="2"/>
  </r>
  <r>
    <s v="gamestop.ie"/>
    <s v="minus"/>
    <x v="0"/>
    <s v="v=spf1 include:spf.protection.outlook.com include:mail.zendesk.com include:de._netblocks.mimecast.com ip4:12.25.107.229 -all"/>
    <m/>
    <x v="3"/>
    <s v="v=DMARC1; p=reject; pct=100; rua=mailto:1d453daa2046248@rep.dmarcanalyzer.com; ruf=mailto:1d453daa2046248@for.dmarcanalyzer.com; fo=1;"/>
    <m/>
    <m/>
    <x v="0"/>
    <x v="49"/>
    <x v="2"/>
  </r>
  <r>
    <s v="cjs.ie"/>
    <s v="minus"/>
    <x v="0"/>
    <s v="v=spf1 include:spf.protection.outlook.com include:spf.theemaillaundry.net include:_spf.mlsend.com ip4:86.43.89.74 ip4:5.134.94.241 -all"/>
    <m/>
    <x v="2"/>
    <s v="v=DMARC1; p=none"/>
    <m/>
    <m/>
    <x v="18"/>
    <x v="49"/>
    <x v="2"/>
  </r>
  <r>
    <s v="transitions.com"/>
    <s v="tilde"/>
    <x v="1"/>
    <s v="v=spf1 ip4:20.44.247.0/26 include:_spf.google.com include:spf.protection.outlook.com include:spf2.transitions.com ~all"/>
    <s v="yes"/>
    <x v="1"/>
    <s v="v=DMARC1; p=quarantine; fo=1; rua=mailto:dmarc_rua@emaildefense.proofpoint.com,mailto:dmarc-analysts@transitions.com; ruf=mailto:dmarc_ruf@emaildefense.proofpoint.com"/>
    <m/>
    <m/>
    <x v="7"/>
    <x v="49"/>
    <x v="2"/>
  </r>
  <r>
    <s v="towerhotelwaterford.com"/>
    <s v="no"/>
    <x v="2"/>
    <m/>
    <m/>
    <x v="0"/>
    <m/>
    <m/>
    <m/>
    <x v="10"/>
    <x v="49"/>
    <x v="2"/>
  </r>
  <r>
    <s v="forensicscience.ie"/>
    <s v="no"/>
    <x v="2"/>
    <m/>
    <m/>
    <x v="0"/>
    <m/>
    <m/>
    <m/>
    <x v="0"/>
    <x v="49"/>
    <x v="2"/>
  </r>
  <r>
    <s v="lenmacservices.com"/>
    <s v="no"/>
    <x v="2"/>
    <m/>
    <m/>
    <x v="0"/>
    <m/>
    <m/>
    <m/>
    <x v="5"/>
    <x v="49"/>
    <x v="2"/>
  </r>
  <r>
    <s v="tulfarris.com"/>
    <s v="tilde"/>
    <x v="1"/>
    <s v="v=spf1 ip4:78.143.137.55 include:spf.protection.outlook.com include:servers.mcsv.net include:netaffinity.net include:spf.sendinblue.com include:authsmtp.com include:spf.exclaimer.net ~all"/>
    <s v="yes"/>
    <x v="2"/>
    <s v="v=DMARC1; p=none; rua=mailto:admin@Tulfarris.onmicrosoft.com; ruf=mailto:admin@Tulfarris.onmicrosoft.com; sp=reject; aspf=s; ri=86400"/>
    <m/>
    <m/>
    <x v="24"/>
    <x v="50"/>
    <x v="2"/>
  </r>
  <r>
    <s v="natus.com"/>
    <s v="tilde"/>
    <x v="1"/>
    <s v="v=spf1 include:%{i}._ip.%{h}._ehlo.%{d}._spf.vali.email ~all"/>
    <s v="yes"/>
    <x v="1"/>
    <s v="v=DMARC1; p=quarantine; rua=mailto:dmarc_agg@vali.email,mailto:dmarc_reporting@natus.com"/>
    <m/>
    <m/>
    <x v="7"/>
    <x v="51"/>
    <x v="2"/>
  </r>
  <r>
    <s v="rathdownschool.ie"/>
    <s v="minus"/>
    <x v="0"/>
    <s v="v=spf1 include:_spf.google.com include:spf.blacknight.ie include:spf.schoolbaseonline.biz -all"/>
    <s v="yes"/>
    <x v="0"/>
    <m/>
    <m/>
    <m/>
    <x v="0"/>
    <x v="52"/>
    <x v="2"/>
  </r>
  <r>
    <s v="paulbyronshoes.com"/>
    <s v="minus"/>
    <x v="0"/>
    <s v="v=spf1 +a +mx +ip4:95.216.111.60 +ip6:2a01:4f9:2b:4a9::698:f4da +ip4:213.239.192.56 include:amazonses.com -all"/>
    <m/>
    <x v="2"/>
    <s v="v=DMARC1;  p=none;  rua=mailto:83e992e4131d544@rep.dmarcanalyzer.com; sp=none;"/>
    <m/>
    <m/>
    <x v="22"/>
    <x v="52"/>
    <x v="2"/>
  </r>
  <r>
    <s v="kingspaninsulation.ie"/>
    <s v="tilde"/>
    <x v="1"/>
    <s v="v=spf1 include:spf2.kingspan.com include:_spf.eu.messagegears.net ~all"/>
    <s v="yes"/>
    <x v="0"/>
    <m/>
    <m/>
    <m/>
    <x v="12"/>
    <x v="52"/>
    <x v="2"/>
  </r>
  <r>
    <s v="ngahr.com"/>
    <s v="minus"/>
    <x v="0"/>
    <s v="v=spf1 mx include:spf.ngahr.com include:spf.protection.outlook.com include:_spf-dc12.successfactors.com include:spf.afas.online include:_spf.cmail.ondemand.com include:de._netblocks.mimecast.com ip4:204.152.232.176/28 -all"/>
    <s v="yes"/>
    <x v="3"/>
    <s v="v=DMARC1; p=reject; sp=reject; rua=mailto:dmarc_agg@vali.email,mailto:bab9625a2d81b58f32c25bc06c36a9de-d@dmarc.report-uri.com,mailto:dmarc.reports@ngahr.com,mailto:re+ix7m11mfc53@dmarc.postmarkapp.com; ruf=mailto:dmarc.reports@ngahr.com"/>
    <m/>
    <m/>
    <x v="0"/>
    <x v="52"/>
    <x v="2"/>
  </r>
  <r>
    <s v="oxfordcorp.com"/>
    <s v="minus"/>
    <x v="0"/>
    <s v="v=spf1 include:spf.protection.outlook.com include:successfactors.eu include:_spf.bullhornmail.com a:mail.ccdbv.nl include:spf-us.emailsignatures365.com include:relay.mailchannels.net include:_spf.salesforce.com ip4:192.103.250.150 ip4:4.152.233.120 -all"/>
    <s v="yes"/>
    <x v="1"/>
    <s v="v=DMARC1;p=quarantine;rua=mailto:5acqye4x@ag.us.dmarcian.com; ruf=mailto:5acqye4x@fr.us.dmarcian.com;fo=1;"/>
    <m/>
    <m/>
    <x v="1"/>
    <x v="53"/>
    <x v="2"/>
  </r>
  <r>
    <s v="fai.ie"/>
    <s v="tilde"/>
    <x v="1"/>
    <s v="v=spf1 include:amazonses.com include:spf.exclaimer.net include:sendgrid.net include:servers.mcsv.net include:spf.protection.outlook.com ip4:46.22.133.49/32 ip4:89.204.255.0/24 include:_spf.salesforce.com include:authsmtp.com ~all"/>
    <s v="yes"/>
    <x v="2"/>
    <s v="v=DMARC1; p=none;"/>
    <m/>
    <m/>
    <x v="0"/>
    <x v="54"/>
    <x v="2"/>
  </r>
  <r>
    <s v="fintrax.com"/>
    <s v="minus"/>
    <x v="0"/>
    <s v="v=spf1 a mx ip4:185.82.241.36  ip4:77.75.99.245 ip4:5.135.102.112 ip4:52.215.69.98 ip4:35.176.183.125 include:spf.protection.outlook.com include:mandrillapp.com include:aspmx.pardot.com include:_spf.createsend.com  -all"/>
    <s v="yes"/>
    <x v="2"/>
    <s v="v=DMARC1; p=none; fo=1; rua=mailto:dmarc_agg@fintrax.com;ruf=mailto:dmarc_afrf@fintrax.com"/>
    <m/>
    <m/>
    <x v="7"/>
    <x v="54"/>
    <x v="2"/>
  </r>
  <r>
    <s v="maryborough.com"/>
    <s v="no"/>
    <x v="2"/>
    <m/>
    <m/>
    <x v="0"/>
    <m/>
    <m/>
    <m/>
    <x v="1"/>
    <x v="54"/>
    <x v="2"/>
  </r>
  <r>
    <s v="royalhotel.ie"/>
    <s v="tilde"/>
    <x v="1"/>
    <s v="v=spf1 mx a include:spf.protection.outlook.com include:netaffinity.net ~all"/>
    <m/>
    <x v="0"/>
    <m/>
    <m/>
    <m/>
    <x v="24"/>
    <x v="54"/>
    <x v="2"/>
  </r>
  <r>
    <s v="jenkinson.ie"/>
    <s v="minus"/>
    <x v="0"/>
    <s v="v=spf1 ip4:185.43.232.201 ip4:78.137.164.87 ip4:78.137.164.122 ip4:89.101.22.6 ip4:89.101.22.2 ip4:213.94.214.86 ip4:213.94.214.82 include:spf.protection.outlook.com +a +mx -all"/>
    <s v="yes"/>
    <x v="0"/>
    <m/>
    <m/>
    <m/>
    <x v="0"/>
    <x v="54"/>
    <x v="2"/>
  </r>
  <r>
    <s v="stpeterscc.ie"/>
    <s v="no"/>
    <x v="2"/>
    <m/>
    <m/>
    <x v="0"/>
    <m/>
    <m/>
    <m/>
    <x v="15"/>
    <x v="54"/>
    <x v="2"/>
  </r>
  <r>
    <s v="upmc.ie"/>
    <s v="minus"/>
    <x v="0"/>
    <s v="v=spf1 ip4:128.147.28.14 ip4:128.147.254.4 ip4:157.229.254.4 ip4:198.99.201.0/24 ip4:91.210.235.218 include:spf-0002f001.pphosted.com include:spf.protection.outlook.com include:aspmx.pardot.com -all"/>
    <s v="yes"/>
    <x v="2"/>
    <s v="v=DMARC1; p=none; rua=mailto:dmarc_agg@vali.email;"/>
    <m/>
    <m/>
    <x v="16"/>
    <x v="54"/>
    <x v="2"/>
  </r>
  <r>
    <s v="royalmarine.ie"/>
    <s v="minus"/>
    <x v="0"/>
    <s v="v=spf1 mx a:mail.royalmarine.ie include:spf.protection.outlook.com include:netaffinity.net -all"/>
    <m/>
    <x v="1"/>
    <s v="v=DMARC1; p=quarantine; pct=100; fo=1"/>
    <m/>
    <m/>
    <x v="0"/>
    <x v="54"/>
    <x v="2"/>
  </r>
  <r>
    <s v="hilifetools.com"/>
    <s v="minus"/>
    <x v="0"/>
    <s v="v=spf1 include:pccairframe.com -all"/>
    <m/>
    <x v="1"/>
    <s v="v=DMARC1; p=quarantine; rua=mailto:dmarcrpts@precastcorp.com; ruf=mailto:dmarcrpts@precastcorp.com; fo=1;"/>
    <m/>
    <m/>
    <x v="9"/>
    <x v="54"/>
    <x v="2"/>
  </r>
  <r>
    <s v="oranprecast.ie"/>
    <s v="minus"/>
    <x v="0"/>
    <s v="v=spf1 include:spf.protection.outlook.com include:spf.smtp2go.com -all"/>
    <s v="yes"/>
    <x v="1"/>
    <s v="v=DMARC1; p=quarantine; sp=quarantine; fo=1; rua=mailto:dmarc@6w95c0az.uriports.com,mailto:dmarc@oranprecast.ie; ruf=mailto:dmarc@6w95c0az.uriports.com,mailto:dmarc@oranprecast.ie; pct=100;"/>
    <m/>
    <m/>
    <x v="7"/>
    <x v="54"/>
    <x v="2"/>
  </r>
  <r>
    <s v="alcatel-lucent.com"/>
    <s v="tilde"/>
    <x v="1"/>
    <s v="v=spf1 include:%{i}._ip.%{h}._ehlo.%{d}._spf.vali.email ~all"/>
    <s v="yes"/>
    <x v="3"/>
    <s v="v=DMARC1; p=reject; pct=100; rua=mailto:dmarc_agg@vali.email,mailto:dmarc.rua@nokia.com; ruf=mailto:dmarc.ruf@nokia.com"/>
    <m/>
    <m/>
    <x v="0"/>
    <x v="54"/>
    <x v="2"/>
  </r>
  <r>
    <s v="aquilantmedical.ie"/>
    <s v="minus"/>
    <x v="0"/>
    <s v="v=spf1 include:spf.protection.outlook.com -all"/>
    <s v="yes"/>
    <x v="0"/>
    <m/>
    <m/>
    <m/>
    <x v="0"/>
    <x v="54"/>
    <x v="2"/>
  </r>
  <r>
    <s v="rh-lenses.com"/>
    <s v="tilde"/>
    <x v="1"/>
    <s v="v=spf1 ip4:194.25.28.83 include:_spf.google.com include:spf.protection.outlook.com ~all"/>
    <s v="yes"/>
    <x v="1"/>
    <s v="v=DMARC1; p=quarantine; rua=mailto:dmarc-analysts@essilor.com; pct=10"/>
    <m/>
    <m/>
    <x v="24"/>
    <x v="54"/>
    <x v="2"/>
  </r>
  <r>
    <s v="timberfencinggates.ie"/>
    <s v="minus"/>
    <x v="0"/>
    <s v="v=spf1 include:spf.myukcloud.com -all"/>
    <s v="yes"/>
    <x v="0"/>
    <m/>
    <m/>
    <m/>
    <x v="18"/>
    <x v="54"/>
    <x v="2"/>
  </r>
  <r>
    <s v="corkplastics.com"/>
    <s v="no"/>
    <x v="2"/>
    <m/>
    <m/>
    <x v="0"/>
    <m/>
    <m/>
    <m/>
    <x v="1"/>
    <x v="54"/>
    <x v="2"/>
  </r>
  <r>
    <s v="mulrines.ie"/>
    <s v="minus"/>
    <x v="0"/>
    <s v="v=spf1 ip4:83.70.182.194 ip4:86.43.102.247 ip4:159.134.177.250 include:spf.protection.outlook.com -all"/>
    <s v="yes"/>
    <x v="3"/>
    <s v="v=DMARC1; p=reject; adkim=s; aspf=s;"/>
    <m/>
    <m/>
    <x v="6"/>
    <x v="54"/>
    <x v="2"/>
  </r>
  <r>
    <s v="murphygs.ie"/>
    <s v="minus"/>
    <x v="0"/>
    <s v="v=spf1 ip4:77.75.102.186 ip4:89.204.219.23 ip4:178.250.118.238 ip4:148.252.8.245 ip4:144.2.247.169 ip4:109.78.233.103 include:spf.protection.outlook.com include:spf.exclaimer.net include:email.freshservice.com -all"/>
    <s v="yes"/>
    <x v="1"/>
    <s v="v=DMARC1; p=quarantine; rua=mailto:dmarc_agg@vali.email;"/>
    <m/>
    <m/>
    <x v="16"/>
    <x v="54"/>
    <x v="2"/>
  </r>
  <r>
    <s v="gcil.ie"/>
    <s v="minus"/>
    <x v="0"/>
    <s v="v=spf1 include:spf.protection.outlook.com -all"/>
    <s v="yes"/>
    <x v="1"/>
    <s v="v=DMARC1; p=quarantine; pct=100; rua=mailto:dmarc@zenotec.ie; ruf=mailto:dmarc@zenotec.ie; fo=1"/>
    <m/>
    <m/>
    <x v="7"/>
    <x v="54"/>
    <x v="2"/>
  </r>
  <r>
    <s v="condronconcrete.ie"/>
    <s v="minus"/>
    <x v="0"/>
    <s v="v=spf1 +a +mx -all"/>
    <m/>
    <x v="0"/>
    <m/>
    <m/>
    <m/>
    <x v="21"/>
    <x v="54"/>
    <x v="2"/>
  </r>
  <r>
    <s v="glenhaven.ie"/>
    <s v="minus"/>
    <x v="0"/>
    <s v="v=spf1 include:spf.protection.outlook.com -all"/>
    <m/>
    <x v="0"/>
    <m/>
    <m/>
    <m/>
    <x v="24"/>
    <x v="54"/>
    <x v="2"/>
  </r>
  <r>
    <s v="laoishire.com"/>
    <s v="minus"/>
    <x v="0"/>
    <s v="v=spf1 ip4:40.107.8.53 ip4:52.178.133.2 ip4:40.107.4.85 ip4:40.69.222.83 ip4:65.52.227.126 ip4:138.91.57.7 ip4:52.169.189.99 ip4:168.61.84.174 ip4:13.94.98.15 ip4:52.164.247.40 ip4:13.79.165.158 ip4:52.178.150.104 ip4:13.79.160.26 ip4:13.74.61.135 include&quot; &quot;:spf.protection.outlook.com include:eu._netblocks.mimecast.com include:spf.bigchange.com -all"/>
    <m/>
    <x v="3"/>
    <s v="v=DMARC1; p=reject; rua=mailto:7ceb2dabe9d9741@rep.dmarcanalyzer.com; ruf=mailto:7ceb2dabe9d9741@for.dmarcanalyzer.com; fo=1;"/>
    <m/>
    <m/>
    <x v="18"/>
    <x v="54"/>
    <x v="2"/>
  </r>
  <r>
    <s v="dealganhouse.ie"/>
    <s v="minus"/>
    <x v="0"/>
    <s v="v=spf1 include:spf.protection.outlook.com -all"/>
    <s v="yes"/>
    <x v="3"/>
    <s v="v=DMARC1;p=reject;rua=mailto:c5bf406e83@rua.easydmarc.eu;ruf=mailto:c5bf406e83@ruf.easydmarc.eu;aspf=s;adkim=s;fo=0:1:d:s;"/>
    <m/>
    <m/>
    <x v="2"/>
    <x v="54"/>
    <x v="2"/>
  </r>
  <r>
    <s v="thorntongroup.ie"/>
    <s v="tilde"/>
    <x v="1"/>
    <s v="v=spf1 include:eu._netblocks.mimecast.com include:spf2.thorntongroup.ie include:spf3.thorntongroup.ie include:spf.exclaimer.net ~all"/>
    <s v="yes"/>
    <x v="1"/>
    <s v="v=DMARC1; p=quarantine; rua=mailto:24471b1799da302@rep.dmarcanalyzer.com; ruf=mailto:24471b1799da302@for.dmarcanalyzer.com; fo=1;"/>
    <m/>
    <m/>
    <x v="0"/>
    <x v="54"/>
    <x v="2"/>
  </r>
  <r>
    <s v="glenaulin.com"/>
    <s v="minus"/>
    <x v="0"/>
    <s v="v=spf1 include:spf.protection.outlook.com mx a -all"/>
    <s v="yes"/>
    <x v="2"/>
    <s v="v=DMARC1; p=none;"/>
    <m/>
    <m/>
    <x v="0"/>
    <x v="54"/>
    <x v="2"/>
  </r>
  <r>
    <s v="mediolanum.it"/>
    <s v="minus"/>
    <x v="0"/>
    <s v="v=spf1 include:part1.mediolanum.it include:part2.mediolanum.it include:part3.mediolanum.it include:spf.protection.outlook.com include:spf.mandrillapp.com include:spf.sendinblue.com -all"/>
    <s v="yes"/>
    <x v="3"/>
    <s v="v=DMARC1; p=reject; sp=reject; rua=mailto:dmarc_rua@mediolanum.it; ruf=mailto:dmarc_ruf@mediolanum.it; rf=afrf; pct=100; ri=86400"/>
    <m/>
    <m/>
    <x v="0"/>
    <x v="54"/>
    <x v="2"/>
  </r>
  <r>
    <s v="sfh.ie"/>
    <s v="minus"/>
    <x v="0"/>
    <s v="v=spf1 mx a ip4:81.173.13.5 ip4:80.93.26.116 include:spf.protection.outlook.com include:theemaillaundry.net include:spf.hornetsecurity.com -all"/>
    <s v="yes"/>
    <x v="2"/>
    <s v="v=DMARC1; p=none; rua=mailto:dmarc_check@stfrancishospice.onmicrosoft.com; ruf=mailto:dmarc_check@stfrancishospice.onmicrosoft.com; fo=1"/>
    <m/>
    <m/>
    <x v="0"/>
    <x v="55"/>
    <x v="2"/>
  </r>
  <r>
    <s v="hegartydemolition.ie"/>
    <s v="tilde"/>
    <x v="1"/>
    <s v="v=spf1 ip4:66.206.3.250 +a +mx +ip4:23.111.150.226 include:spf.protection.outlook.com include:spf.stackmail.com ~all"/>
    <s v="yes"/>
    <x v="0"/>
    <m/>
    <m/>
    <m/>
    <x v="0"/>
    <x v="56"/>
    <x v="2"/>
  </r>
  <r>
    <s v="jll.ie"/>
    <s v="no"/>
    <x v="2"/>
    <m/>
    <m/>
    <x v="0"/>
    <m/>
    <m/>
    <m/>
    <x v="0"/>
    <x v="56"/>
    <x v="2"/>
  </r>
  <r>
    <s v="gwlisk.com"/>
    <s v="minus"/>
    <x v="0"/>
    <s v="v=spf1 ip4:199.167.194.64/27 ip4:98.159.217.192/28 include:spf.ess.barracudanetworks.com include:spf.protection.outlook.com -all"/>
    <s v="yes"/>
    <x v="0"/>
    <m/>
    <m/>
    <m/>
    <x v="7"/>
    <x v="56"/>
    <x v="2"/>
  </r>
  <r>
    <s v="fitzwilliamcardclub.com"/>
    <s v="no"/>
    <x v="2"/>
    <m/>
    <m/>
    <x v="0"/>
    <m/>
    <m/>
    <m/>
    <x v="0"/>
    <x v="56"/>
    <x v="2"/>
  </r>
  <r>
    <s v="news.co.uk"/>
    <s v="tilde"/>
    <x v="1"/>
    <s v="v=spf1 include:%{ir}.%{v}.%{d}.spf.has.pphosted.com ~all"/>
    <s v="yes"/>
    <x v="3"/>
    <s v="v=DMARC1; p=reject; fo=1; rua=mailto:dmarc_rua@emaildefense.proofpoint.com; ruf=mailto:dmarc_ruf@emaildefense.proofpoint.com"/>
    <m/>
    <m/>
    <x v="0"/>
    <x v="56"/>
    <x v="2"/>
  </r>
  <r>
    <s v="rsm.ie"/>
    <s v="minus"/>
    <x v="0"/>
    <s v="v=spf1 include:spf.protection.outlook.com include:spf.elive.net -all"/>
    <m/>
    <x v="0"/>
    <m/>
    <m/>
    <m/>
    <x v="21"/>
    <x v="57"/>
    <x v="2"/>
  </r>
  <r>
    <s v="sigmar.ie"/>
    <s v="tilde"/>
    <x v="1"/>
    <s v="v=spf1 include:spf.protection.outlook.com include:_spf.bullhornmail.com ip4:83.147.166.18 ~all"/>
    <s v="yes"/>
    <x v="1"/>
    <s v="v=DMARC1; p=quarantine;"/>
    <m/>
    <m/>
    <x v="0"/>
    <x v="57"/>
    <x v="2"/>
  </r>
  <r>
    <s v="campionins.com"/>
    <s v="minus"/>
    <x v="0"/>
    <s v="v=spf1 include:de._netblocks.mimecast.com include:spf.protection.outlook.com include:relay.mailchannels.net include:appliedexch.co.uk -all"/>
    <m/>
    <x v="0"/>
    <m/>
    <m/>
    <m/>
    <x v="0"/>
    <x v="57"/>
    <x v="2"/>
  </r>
  <r>
    <s v="colorman.ie"/>
    <s v="minus"/>
    <x v="0"/>
    <s v="v=spf1 mx include:spf.protection.outlook.com include:_spf_cd.spamtitan.com include:hubspotemail.net ip4:62.146.164.57 ip4:89.204.199.148 ip4:62.77.164.5 ip4:34.250.255.84 -all"/>
    <s v="yes"/>
    <x v="1"/>
    <s v="v=DMARC1; p=quarantine ; rua=mailto:dmarc-reports@colorman.ie; ruf=mailto:dmarc-failures@colorman.ie; fo=1"/>
    <m/>
    <m/>
    <x v="0"/>
    <x v="57"/>
    <x v="2"/>
  </r>
  <r>
    <s v="bankofamerica.com"/>
    <s v="tilde"/>
    <x v="1"/>
    <s v="v=spf1 ip4:171.161.41.178 ip4:171.159.227.167 ip4:171.161.147.155 include:spf-0000ec15.pphosted.com ~all"/>
    <m/>
    <x v="3"/>
    <s v="v=DMARC1; p=reject; fo=1; rua=mailto:auth.report_ns@bankofamerica.com; ruf=mailto:bankofamerica@ruf.agari.com"/>
    <s v="yes"/>
    <s v="https://vmc.digicert.com/1cb6c69e-5221-4c7e-a648-8fb0baee6b2a.svg"/>
    <x v="0"/>
    <x v="57"/>
    <x v="2"/>
  </r>
  <r>
    <s v="cushwake.com"/>
    <s v="tilde"/>
    <x v="1"/>
    <s v="v=spf1 include:_netblocks.mimecast.com include:spf.protection.outlook.com include:spf_3rdparty.cushwake.com ~all"/>
    <s v="yes"/>
    <x v="3"/>
    <s v="v=DMARC1; p=reject; rua=mailto:efa254a75f3a887@rep.dmarcanalyzer.com; ruf=mailto:efa254a75f3a887@for.dmarcanalyzer.com; sp=reject; fo=1;"/>
    <m/>
    <m/>
    <x v="0"/>
    <x v="57"/>
    <x v="2"/>
  </r>
  <r>
    <s v="csm.cit.ie"/>
    <s v="no"/>
    <x v="2"/>
    <m/>
    <m/>
    <x v="0"/>
    <m/>
    <m/>
    <m/>
    <x v="1"/>
    <x v="57"/>
    <x v="2"/>
  </r>
  <r>
    <s v="boots.com"/>
    <s v="tilde"/>
    <x v="1"/>
    <s v="v=spf1 mx exists:%{i}.spf.WBA.c3s2.iphmx.com include:spf.protection.outlook.com include:kallidus-suite.com ~all"/>
    <s v="yes"/>
    <x v="2"/>
    <s v="v=DMARC1; p=none; rua=mailto:6193e7442fb3728@rep.dmarcanalyzer.com,mailto:dmarc@wbaoneit.com; ruf=mailto:6193e7442fb3728@for.dmarcanalyzer.com,mailto:dmarc@wbaoneit.com; fo=1;"/>
    <m/>
    <m/>
    <x v="0"/>
    <x v="57"/>
    <x v="2"/>
  </r>
  <r>
    <s v="rockwell.ie"/>
    <s v="tilde"/>
    <x v="1"/>
    <s v="v=spf1 a:mailfromwebsite.rockwell.ie a:remote.rockwell.ie include:spf.protection.outlook.com ~all"/>
    <s v="yes"/>
    <x v="2"/>
    <s v="v=DMARC1; p=none; rua=mailto:dmarc@rockwell.ie; fo=1"/>
    <m/>
    <m/>
    <x v="1"/>
    <x v="57"/>
    <x v="2"/>
  </r>
  <r>
    <s v="geodis.ie"/>
    <s v="minus"/>
    <x v="0"/>
    <s v="v=spf1 ip6:fd1b:212c:a5f9::/48 -all"/>
    <m/>
    <x v="0"/>
    <m/>
    <m/>
    <m/>
    <x v="0"/>
    <x v="57"/>
    <x v="2"/>
  </r>
  <r>
    <s v="providentfinancial.com"/>
    <s v="minus"/>
    <x v="0"/>
    <s v="v=spf1  ip4:77.111.213.39/32 include:spf.protection.outlook.com include:kallidus-suite.com include:_spf.salesforce.com -all"/>
    <s v="yes"/>
    <x v="2"/>
    <s v="v=DMARC1; p=none; pct=100; rua=mailto:dmarc@provident.co.uk; ruf=mailto:dmarc_fail@provident.co.uk"/>
    <m/>
    <m/>
    <x v="0"/>
    <x v="57"/>
    <x v="2"/>
  </r>
  <r>
    <s v="tpi.ie"/>
    <s v="minus"/>
    <x v="0"/>
    <s v="v=spf1 ip4:80.93.162.32 ip4:80.93.162.33 ip4:51.141.124.42 ip4:80.93.162.34 ip4:80.93.162.36 ip4:92.60.108.130 ip4:185.2.66.140 ip4:80.93.168.26 ip4:81.17.249.0/24 ip4:51.141.97.0 ip4:51.140.245.164 ip4:108.129.15.59 ip4:108.128.18.211 a:outbound-smt&quot; &quot;p08.blacknight.com include:spf.protection.outlook.com include:tpidigitalsolutions.com -all"/>
    <s v="yes"/>
    <x v="1"/>
    <s v="v=DMARC1; p=quarantine; rua=mailto:postmaster.tp@tpi.ie"/>
    <m/>
    <m/>
    <x v="0"/>
    <x v="57"/>
    <x v="2"/>
  </r>
  <r>
    <s v="carrigcourt.com"/>
    <s v="minus"/>
    <x v="0"/>
    <s v="v=spf1 ip4:89.204.213.43/32 ip4:93.107.40.175 include:spf.protection.outlook.com include:netaffinity.net -all"/>
    <s v="yes"/>
    <x v="2"/>
    <s v="v=DMARC1; p=none; fo=1; rua=mailto:rua+carrigcourt.com@dmarc.barracudanetworks.com; ruf=mailto:ruf+carrigcourt.com@dmarc.barracudanetworks.com"/>
    <m/>
    <m/>
    <x v="1"/>
    <x v="57"/>
    <x v="2"/>
  </r>
  <r>
    <s v="bmt.ie"/>
    <s v="minus"/>
    <x v="0"/>
    <s v="v=spf1 include:spf.protection.outlook.com include:spf.emailsignatures365.com -all"/>
    <s v="yes"/>
    <x v="2"/>
    <s v="v=DMARC1; p=none; rua=mailto:admin@bmt.ie"/>
    <m/>
    <m/>
    <x v="12"/>
    <x v="57"/>
    <x v="2"/>
  </r>
  <r>
    <s v="comreg.ie"/>
    <s v="minus"/>
    <x v="0"/>
    <s v="v=spf1 include:spf.protection.outlook.com include:autotask.net include:hpadc29.comreg.ie -all"/>
    <s v="yes"/>
    <x v="2"/>
    <s v="v=DMARC1; p=none; rua=mailto:IT.Suggestions@comreg.ie; ruf=mailto:IT.Suggestions@comreg.ie;"/>
    <m/>
    <m/>
    <x v="0"/>
    <x v="57"/>
    <x v="2"/>
  </r>
  <r>
    <s v="colaistechoilm.ie"/>
    <s v="tilde"/>
    <x v="1"/>
    <s v="v=spf1 include:spf.dcsnet.ie include:_spf.google.com ~all"/>
    <m/>
    <x v="0"/>
    <m/>
    <m/>
    <m/>
    <x v="1"/>
    <x v="57"/>
    <x v="2"/>
  </r>
  <r>
    <s v="mpps.ie"/>
    <s v="minus"/>
    <x v="0"/>
    <s v="v=spf1 include:spf.protection.outlook.com -all"/>
    <m/>
    <x v="0"/>
    <m/>
    <m/>
    <m/>
    <x v="16"/>
    <x v="57"/>
    <x v="2"/>
  </r>
  <r>
    <s v="themonthotel.ie"/>
    <s v="minus"/>
    <x v="0"/>
    <s v="v=spf1 include:ireshotels.com include:spf.protection.outlook.com include:_spf.prod.hydra.sophos.com -all"/>
    <s v="yes"/>
    <x v="0"/>
    <m/>
    <m/>
    <m/>
    <x v="0"/>
    <x v="57"/>
    <x v="2"/>
  </r>
  <r>
    <s v="galwaybayhotel.com"/>
    <s v="minus"/>
    <x v="0"/>
    <s v="v=spf1 include:spf.protection.outlook.com include:spf.ireshotels.com include:oracleindustry.com include:sendgrid.net -all"/>
    <s v="yes"/>
    <x v="2"/>
    <s v="v=DMARC1; p=none; pct=100; rua=mailto:postman@galwaybayhotel.com; ruf=mailto:postman@galwaybayhotel.com; sp=quarantine; fo=1;"/>
    <m/>
    <m/>
    <x v="7"/>
    <x v="57"/>
    <x v="2"/>
  </r>
  <r>
    <s v="brandonhotel.ie"/>
    <s v="minus"/>
    <x v="0"/>
    <s v="v=spf1 +mx +a:ns1.realbroadband.com +a:exch01.ekerry.net +a:exch19-1.ekerry.net ip4:198.2.132.26 include:netaffinity.net -all"/>
    <m/>
    <x v="2"/>
    <s v="v=DMARC1; p=none; rua=mailto:support@realbroadband.com; pct=50;"/>
    <m/>
    <m/>
    <x v="14"/>
    <x v="57"/>
    <x v="2"/>
  </r>
  <r>
    <s v="castletroypark.ie"/>
    <s v="minus"/>
    <x v="0"/>
    <s v="v=spf1 include:spf.protection.outlook.com include:mailgun.org -all"/>
    <m/>
    <x v="1"/>
    <s v="v=DMARC1; p=quarantine; rua=mailto:8b3700aba2aa640@rep.dmarcanalyzer.com; ruf=mailto:8b3700aba2aa640@for.dmarcanalyzer.com; sp=none; fo=1;"/>
    <m/>
    <m/>
    <x v="5"/>
    <x v="57"/>
    <x v="2"/>
  </r>
  <r>
    <s v="thedhotel.com"/>
    <s v="minus"/>
    <x v="0"/>
    <s v="v=spf1 include:spf.protection.outlook.com include:spf.hornetsecurity.com include:netaffinity.net mx a ptr ip4:86.47.107.224 ip4:46.255.154.163 -all"/>
    <m/>
    <x v="0"/>
    <m/>
    <m/>
    <m/>
    <x v="2"/>
    <x v="57"/>
    <x v="2"/>
  </r>
  <r>
    <s v="homs.ie"/>
    <s v="tilde"/>
    <x v="1"/>
    <s v="v=spf1 a:arronwolfgang.ddns.net include:spf.EU.exclaimer.net include:spf.protection.outlook.com ~all"/>
    <s v="yes"/>
    <x v="3"/>
    <s v="v=DMARC1; p=reject; pct=100; rua=mailto:dkim@homs.ie; ruf=mailto:dkim@homs.ie; fo=1"/>
    <m/>
    <m/>
    <x v="5"/>
    <x v="57"/>
    <x v="2"/>
  </r>
  <r>
    <s v="westbourne.ie"/>
    <s v="minus"/>
    <x v="0"/>
    <s v="v=spf1 include:spf.protection.outlook.com -all"/>
    <m/>
    <x v="2"/>
    <s v="v=DMARC1; p=none;"/>
    <m/>
    <m/>
    <x v="1"/>
    <x v="57"/>
    <x v="2"/>
  </r>
  <r>
    <s v="fastfit.ie"/>
    <s v="tilde"/>
    <x v="1"/>
    <s v="v=spf1 mx a ip4:194.39.141.126 ip4:194.39.141.123 ip4:194.39.141.165 ip4:194.39.141.100 ip4:194.39.141.86 include:mail.silkmoth.net include:_spf.google.com ~all"/>
    <s v="yes"/>
    <x v="1"/>
    <s v="v=DMARC1; p=quarantine"/>
    <m/>
    <m/>
    <x v="0"/>
    <x v="57"/>
    <x v="2"/>
  </r>
  <r>
    <s v="geith.com"/>
    <s v="minus"/>
    <x v="0"/>
    <s v="v=spf1 ip4:209.59.236.64/29 ip4:207.46.163.10 include:spf.protection.outlook.com include:amazonses.com include:aspmx.pardot.com include:cust-spf.exacttarget.com -all"/>
    <m/>
    <x v="3"/>
    <s v="v=DMARC1; p=reject; pct=100;"/>
    <m/>
    <m/>
    <x v="0"/>
    <x v="57"/>
    <x v="2"/>
  </r>
  <r>
    <s v="foynesengineering.ie"/>
    <s v="minus"/>
    <x v="0"/>
    <s v="v=spf1 include:spf.protection.outlook.com include:spf.smtp2go.com -all"/>
    <m/>
    <x v="0"/>
    <m/>
    <m/>
    <m/>
    <x v="5"/>
    <x v="57"/>
    <x v="2"/>
  </r>
  <r>
    <s v="johnsonandjohnson.com"/>
    <s v="no"/>
    <x v="2"/>
    <m/>
    <m/>
    <x v="0"/>
    <m/>
    <m/>
    <m/>
    <x v="0"/>
    <x v="57"/>
    <x v="2"/>
  </r>
  <r>
    <s v="respabeds.ie"/>
    <s v="minus"/>
    <x v="0"/>
    <s v="v=spf1 include:spf.protection.outlook.com include:eu.zcsend.net -all"/>
    <s v="yes"/>
    <x v="1"/>
    <s v="v=DMARC1; p=quarantine; fo=1; rua=mailto:dmarc@respabeds.ie; ruf=mailto:dmarc@respabeds.ie;"/>
    <m/>
    <m/>
    <x v="15"/>
    <x v="57"/>
    <x v="2"/>
  </r>
  <r>
    <s v="ie.tricel.eu"/>
    <s v="tilde"/>
    <x v="1"/>
    <s v="v=spf1 a mx ip4:178.250.119.182 include:spf.protection.outlook.com include:sendgrid.net include:amazonses.com ~all"/>
    <m/>
    <x v="2"/>
    <s v="v=DMARC1; p=none; fo=1; rua=mailto:a5331dcb@mxtoolbox.dmarc-report.com; ruf=mailto:a5331dcb@forensics.dmarc-report.com;"/>
    <m/>
    <m/>
    <x v="14"/>
    <x v="57"/>
    <x v="2"/>
  </r>
  <r>
    <s v="profiledevelopments.com"/>
    <s v="tilde"/>
    <x v="1"/>
    <s v="v=spf1 a mx include:spf.mandrillapp.com include:amazonses.com include:_mailcust.gandi.net include:mailgun.org ~all"/>
    <m/>
    <x v="2"/>
    <s v="v=DMARC1; p=none; rua=mailto:it@profiledevelopments.com;"/>
    <m/>
    <m/>
    <x v="5"/>
    <x v="57"/>
    <x v="2"/>
  </r>
  <r>
    <s v="odaios-foods.com"/>
    <s v="tilde"/>
    <x v="1"/>
    <s v="v=spf1 ip4:52.49.99.152 include:spf.protection.outlook.com include:sendgrid.net ~all"/>
    <m/>
    <x v="0"/>
    <m/>
    <m/>
    <m/>
    <x v="0"/>
    <x v="57"/>
    <x v="2"/>
  </r>
  <r>
    <s v="lilyobriens.ie"/>
    <s v="minus"/>
    <x v="0"/>
    <s v="v=spf1 a:mail.lilyobriens.ie ip4:89.101.27.241/32 ip4:31.216.234.194/32 ip4:176.34.100.11/32 include:spf.protection.outlook.com include:spf1.emailsecurity.app include:servers.mcsv.net -all"/>
    <m/>
    <x v="2"/>
    <s v="v=DMARC1; p=none; rua=mailto:jmorris@lilyobriens.ie;"/>
    <m/>
    <m/>
    <x v="16"/>
    <x v="57"/>
    <x v="2"/>
  </r>
  <r>
    <s v="mccloskeysbakery.ie"/>
    <s v="minus"/>
    <x v="0"/>
    <s v="v=spf1 include:spf.protection.outlook.com -all"/>
    <s v="yes"/>
    <x v="2"/>
    <s v="v=DMARC1; p=none; pct=100"/>
    <m/>
    <m/>
    <x v="2"/>
    <x v="57"/>
    <x v="2"/>
  </r>
  <r>
    <s v="rosnarun.com"/>
    <s v="tilde"/>
    <x v="1"/>
    <s v="v=spf1 ip4:213.94.201.177 ~all"/>
    <m/>
    <x v="1"/>
    <s v="v=DMARC1; p=quarantine; rua=mailto:danny@iarfhis.ie; ruf=mailto:danny@iarfhis.ie; fo=1"/>
    <m/>
    <m/>
    <x v="7"/>
    <x v="57"/>
    <x v="2"/>
  </r>
  <r>
    <s v="postinsurance.ie"/>
    <s v="mis"/>
    <x v="3"/>
    <s v="v=spf1 ip4:86.47.136.113/32 ip4:82.141.218.156/32 ip4:86.47.103.171/32 ~all.postinsurance.ie."/>
    <m/>
    <x v="0"/>
    <m/>
    <m/>
    <m/>
    <x v="23"/>
    <x v="57"/>
    <x v="2"/>
  </r>
  <r>
    <s v="lacpatrick.com"/>
    <s v="minus"/>
    <x v="0"/>
    <s v="v=spf1 ip4:90.155.124.81 include:spf.protection.outlook.com include:_netblocks.mimecast.com include:27.126.146.0/24 include:103.28.42.0/24 include:146.88.28.0/24 include:163.47.180.0/22 include:203.55.21.0/24 include:204.75.142.0/24 -all"/>
    <s v="yes"/>
    <x v="0"/>
    <m/>
    <m/>
    <m/>
    <x v="12"/>
    <x v="57"/>
    <x v="2"/>
  </r>
  <r>
    <s v="dtwonightclub.com"/>
    <s v="tilde"/>
    <x v="1"/>
    <s v="v=spf1 ip4:176.31.7.0/25 ip4:178.33.84.64/27 ip4:174.142.165.40/29 ip4:174.142.128.32/27 ip4:5.135.241.64/26 ip4:5.135.31.128/27 ip4:188.165.95.224/27 ip4:176.31.140.80/28 include:_spf2.elasticemail.com include:_spf3.elasticemail.com include:sparkpos&quot; &quot; tmail.com include:spf.protection.outlook.com include:spf.blacknight.ie include:sparkpostmail.com ~all"/>
    <m/>
    <x v="0"/>
    <m/>
    <m/>
    <m/>
    <x v="0"/>
    <x v="57"/>
    <x v="2"/>
  </r>
  <r>
    <s v="sthelens.dublin.radissonblu.com"/>
    <s v="no"/>
    <x v="2"/>
    <m/>
    <m/>
    <x v="0"/>
    <m/>
    <m/>
    <m/>
    <x v="0"/>
    <x v="57"/>
    <x v="2"/>
  </r>
  <r>
    <s v="richmondmarketing.com"/>
    <s v="minus"/>
    <x v="0"/>
    <s v="v=spf1 include:helpscoutemail.com include:spf.protection.outlook.com include:spf.topsec.com ip4:185.122.133.12 ip4:193.120.40.106 -all"/>
    <m/>
    <x v="2"/>
    <s v="v=DMARC1; p=none; rua=mailto:rua@dmarc.brevo.com"/>
    <m/>
    <m/>
    <x v="0"/>
    <x v="57"/>
    <x v="2"/>
  </r>
  <r>
    <s v="saintaidansservices.com"/>
    <s v="minus"/>
    <x v="0"/>
    <s v="v=spf1 include:spf.protection.outlook.com -all"/>
    <m/>
    <x v="0"/>
    <m/>
    <m/>
    <m/>
    <x v="3"/>
    <x v="57"/>
    <x v="2"/>
  </r>
  <r>
    <s v="invesco.ie"/>
    <s v="tilde"/>
    <x v="1"/>
    <s v="v=spf1 include:%{ir}.%{v}.%{d}.spf.has.pphosted.com ~all"/>
    <m/>
    <x v="3"/>
    <s v="v=DMARC1; p=reject; rua=mailto:dmarc_rua@emaildefense.proofpoint.com; ruf=mailto:dmarc_ruf@emaildefense.proofpoint.com; fo=1;"/>
    <m/>
    <m/>
    <x v="0"/>
    <x v="57"/>
    <x v="2"/>
  </r>
  <r>
    <s v="cupprint.ie"/>
    <s v="tilde"/>
    <x v="1"/>
    <s v="v=spf1 mx a ptr ip4:12.105.150.28  ip4:212.147.209.123 ip4:212.147.209.217 include:spf.ess.de.barracudanetworks.com include:spf.protection.outlook.com ~all"/>
    <m/>
    <x v="0"/>
    <m/>
    <m/>
    <m/>
    <x v="9"/>
    <x v="57"/>
    <x v="2"/>
  </r>
  <r>
    <s v="dps.ie"/>
    <s v="no"/>
    <x v="2"/>
    <m/>
    <m/>
    <x v="0"/>
    <m/>
    <m/>
    <m/>
    <x v="1"/>
    <x v="57"/>
    <x v="2"/>
  </r>
  <r>
    <s v="colgate.ie"/>
    <s v="no"/>
    <x v="2"/>
    <m/>
    <m/>
    <x v="3"/>
    <s v="v=DMARC1; p=reject; fo=1; ri=3600; rua=mailto:dmarc_rua@emaildefense.proofpoint.com; ruf=mailto:dmarc_ruf@emaildefense.proofpoint.com"/>
    <m/>
    <m/>
    <x v="0"/>
    <x v="57"/>
    <x v="2"/>
  </r>
  <r>
    <s v="marymountcarecentre.ie"/>
    <s v="no"/>
    <x v="2"/>
    <m/>
    <m/>
    <x v="0"/>
    <m/>
    <m/>
    <m/>
    <x v="0"/>
    <x v="57"/>
    <x v="2"/>
  </r>
  <r>
    <s v="copegalway.ie"/>
    <s v="minus"/>
    <x v="0"/>
    <s v="v=spf1 include:spf.protection.outlook.com include:_spf.elasticemail.com include:spf.topsec.com include:outboundmail.blackbaud.net include:spf.brevo.com include:spf2.accessacloud.com -all"/>
    <m/>
    <x v="2"/>
    <s v="v=DMARC1; p=none; rua=mailto:rua@dmarc.brevo.com"/>
    <m/>
    <m/>
    <x v="7"/>
    <x v="57"/>
    <x v="2"/>
  </r>
  <r>
    <s v="extern.org"/>
    <s v="tilde"/>
    <x v="1"/>
    <s v="v=spf1 mx  ip4:34.248.179.208/32 include:gateway.encrypttitan.io include:mailgun.org include:spf2.accessacloud.com ip4:89.185.136.227 include:spf.protection.outlook.com ~all"/>
    <s v="yes"/>
    <x v="3"/>
    <s v="v=DMARC1;p=reject;sp=reject;pct=100;adkim=r;aspf=r;rua=mailto:dmarc@extern.org;ruf=mailto:dmarc@extern.org;fo=1"/>
    <m/>
    <m/>
    <x v="16"/>
    <x v="57"/>
    <x v="2"/>
  </r>
  <r>
    <s v="mckesson.ie"/>
    <s v="minus"/>
    <x v="0"/>
    <s v="v=spf1 include:_spf1.mckesson.com include:spf.messagelabs.com include:_spf.salesforce.com -all"/>
    <s v="yes"/>
    <x v="3"/>
    <s v="v=DMARC1;p=reject;sp=reject;adkim=r;aspf=r;fo=1;pct=100;rf=afrf;ri=86400;rua=mailto:dmarc_rua@emaildefense.proofpoint.com;ruf=mailto:dmarc_ruf@emaildefense.proofpoint.com"/>
    <m/>
    <m/>
    <x v="1"/>
    <x v="57"/>
    <x v="2"/>
  </r>
  <r>
    <s v="informatica.com"/>
    <s v="minus"/>
    <x v="0"/>
    <s v="v=spf1 exists:%{i}.spf.informatica.com include:spf.protection.outlook.com include:a.informatica.com include:_spf.salesforce.com include:spf_c.oraclecloud.com include:spf-003d1f01.pphosted.com -all"/>
    <s v="yes"/>
    <x v="3"/>
    <s v="v=DMARC1; p=reject; fo=1; ri=3600; rua=mailto:dmarc_rua@emaildefense.proofpoint.com; ruf=mailto:dmarc_ruf@emaildefense.proofpoint.com"/>
    <m/>
    <m/>
    <x v="0"/>
    <x v="57"/>
    <x v="2"/>
  </r>
  <r>
    <s v="wright.ie"/>
    <s v="minus"/>
    <x v="0"/>
    <s v="v=spf1 include:spf.protection.outlook.com -all"/>
    <s v="yes"/>
    <x v="0"/>
    <m/>
    <m/>
    <m/>
    <x v="12"/>
    <x v="57"/>
    <x v="2"/>
  </r>
  <r>
    <s v="duggansystems.ie"/>
    <s v="minus"/>
    <x v="0"/>
    <s v="v=spf1 include:spf.protection.outlook.com -all"/>
    <m/>
    <x v="0"/>
    <m/>
    <m/>
    <m/>
    <x v="5"/>
    <x v="57"/>
    <x v="2"/>
  </r>
  <r>
    <s v="mie.ie"/>
    <s v="minus"/>
    <x v="0"/>
    <s v="v=spf1 a mx a:debut.mie.ie ip4:193.1.32.132 ip4:193.120.143.134 include:spf.protection.outlook.com -all"/>
    <m/>
    <x v="2"/>
    <s v="v=DMARC1; p=none; pct=100; ruf=mailto:dmarc@mie.ie; rua=mailto:dmarc@mie.ie; adkim=r; aspf=r"/>
    <m/>
    <m/>
    <x v="0"/>
    <x v="57"/>
    <x v="2"/>
  </r>
  <r>
    <s v="childvision.ie"/>
    <s v="minus"/>
    <x v="0"/>
    <s v="v=spf1 include:eu._netblocks.mimecast.com -all"/>
    <s v="yes"/>
    <x v="0"/>
    <m/>
    <m/>
    <m/>
    <x v="0"/>
    <x v="57"/>
    <x v="2"/>
  </r>
  <r>
    <s v="scoilchormaic.ie"/>
    <s v="no"/>
    <x v="2"/>
    <m/>
    <m/>
    <x v="0"/>
    <m/>
    <m/>
    <m/>
    <x v="13"/>
    <x v="57"/>
    <x v="2"/>
  </r>
  <r>
    <s v="sofrimar.ie"/>
    <s v="tilde"/>
    <x v="1"/>
    <s v="v=spf1 ip4:94.247.54.111 ip4:80.93.21.7 ip4:93.92.8.200 ip4:78.153.200.49 ip4:94.247.51.241 include:spf.us.emailservice.io include:_spf.createsend.com include:outbound.mailhop.org ~all"/>
    <m/>
    <x v="0"/>
    <m/>
    <m/>
    <m/>
    <x v="3"/>
    <x v="57"/>
    <x v="2"/>
  </r>
  <r>
    <s v="loughnanes.ie"/>
    <s v="minus"/>
    <x v="0"/>
    <s v="v=spf1 include:spf.protection.outlook.com -all"/>
    <s v="yes"/>
    <x v="2"/>
    <s v="v=DMARC1; p=none; rua=mailto:LOG.ITnotifications@loughnanes.ie"/>
    <m/>
    <m/>
    <x v="7"/>
    <x v="57"/>
    <x v="2"/>
  </r>
  <r>
    <s v="carrigoranhouse.ie"/>
    <s v="minus"/>
    <x v="0"/>
    <s v="v=spf1 mx a include:spf.elive.net -all"/>
    <m/>
    <x v="0"/>
    <m/>
    <m/>
    <m/>
    <x v="9"/>
    <x v="57"/>
    <x v="2"/>
  </r>
  <r>
    <s v="stlukeshome.ie"/>
    <s v="minus"/>
    <x v="0"/>
    <s v="v=spf1 ip4:91.223.9.26 ip4:95.45.250.153 include:spf.protection.outlook.com include:soverin.net -all"/>
    <s v="yes"/>
    <x v="2"/>
    <s v="v=DMARC1; p=none; fo=1; rua=mailto:rua+stlukeshome.ie@dmarc.barracudanetworks.com; ruf=mailto:ruf+stlukeshome.ie@dmarc.barracudanetworks.com"/>
    <m/>
    <m/>
    <x v="1"/>
    <x v="57"/>
    <x v="2"/>
  </r>
  <r>
    <s v="ardkeen.com"/>
    <s v="tilde"/>
    <x v="1"/>
    <s v="v=spf1  include:spf.protection.outlook.com +a +mx +ip4:91.210.232.238 +ip4:89.101.217.154 include:spf.webhostingireland.ie include:spf.ess.de.barracudanetworks.com ~all"/>
    <m/>
    <x v="2"/>
    <s v="v=DMARC1; p=none; rua=mailto:rmoynan@ardkeen.com;"/>
    <m/>
    <m/>
    <x v="10"/>
    <x v="57"/>
    <x v="2"/>
  </r>
  <r>
    <s v="wallaces.ie"/>
    <s v="minus"/>
    <x v="0"/>
    <s v="v=spf1 ip4:87.198.197.255 ip4:213.79.39.35 ip4:213.94.210.195 include:spf.mailanyone.net include:spf.protection.outlook.com -all"/>
    <m/>
    <x v="0"/>
    <m/>
    <m/>
    <m/>
    <x v="3"/>
    <x v="57"/>
    <x v="2"/>
  </r>
  <r>
    <s v="mercedes-benz.ie"/>
    <s v="minus"/>
    <x v="0"/>
    <s v="v=spf1 include:spf.protection.outlook.com include:spf.ssmx.net include:spf.mailanyone.net include:_spf.salesforce.com include:spf.mandrillapp.com ip4:82.198.128.17 -all"/>
    <m/>
    <x v="3"/>
    <s v="v=DMARC1; p=reject; rua=mailto:weacxe0d@ag.eu.dmarcadvisor.com;"/>
    <m/>
    <m/>
    <x v="0"/>
    <x v="57"/>
    <x v="2"/>
  </r>
  <r>
    <s v="ecc.ie"/>
    <s v="minus"/>
    <x v="0"/>
    <s v="v=spf1 include:spf.protection.outlook.com include:mail1.eircom.net -all"/>
    <s v="yes"/>
    <x v="0"/>
    <m/>
    <m/>
    <m/>
    <x v="7"/>
    <x v="57"/>
    <x v="2"/>
  </r>
  <r>
    <s v="phonewatch.ie"/>
    <s v="tilde"/>
    <x v="1"/>
    <s v="v=spf1 ip4:195.159.138.0/24 ip4:77.40.172.0/24 ip4:195.159.105.0/24 ip4:195.159.211.0/24 ip4:62.92.79.0/24 ip4:195.53.183.34 ip4:212.230.132.98 ip4:52.214.194.246  include:spf.protection.outlook.com include:spf.alarm.com ~all"/>
    <s v="yes"/>
    <x v="1"/>
    <s v="v=DMARC1; p=quarantine; pct=100; rua=mailto:postmaster@sectoralarm.net; ruf=mailto:postmaster@sectoralarm.net"/>
    <m/>
    <m/>
    <x v="0"/>
    <x v="57"/>
    <x v="2"/>
  </r>
  <r>
    <s v="loveireland.com"/>
    <s v="minus"/>
    <x v="0"/>
    <s v="v=spf1 include:spf.protection.outlook.com -all"/>
    <m/>
    <x v="0"/>
    <m/>
    <m/>
    <m/>
    <x v="0"/>
    <x v="57"/>
    <x v="2"/>
  </r>
  <r>
    <s v="as.techdata.eu"/>
    <s v="no"/>
    <x v="2"/>
    <m/>
    <m/>
    <x v="0"/>
    <m/>
    <m/>
    <m/>
    <x v="0"/>
    <x v="57"/>
    <x v="2"/>
  </r>
  <r>
    <s v="exertis.ie"/>
    <s v="minus"/>
    <x v="0"/>
    <s v="v=spf1 include:spf.protection.outlook.com -all"/>
    <m/>
    <x v="0"/>
    <m/>
    <m/>
    <m/>
    <x v="0"/>
    <x v="57"/>
    <x v="2"/>
  </r>
  <r>
    <s v="humanscale.com"/>
    <s v="tilde"/>
    <x v="1"/>
    <s v="v=spf1 include:mektj2sosi.powerspf.com ~all"/>
    <s v="yes"/>
    <x v="3"/>
    <s v="v=DMARC1; p=reject; sp=none; rua=mailto:6ppzmwefji@rua.powerdmarc.com; ruf=mailto:6ppzmwefji@ruf.powerdmarc.com; pct=100; fo=1;"/>
    <m/>
    <m/>
    <x v="0"/>
    <x v="57"/>
    <x v="2"/>
  </r>
  <r>
    <s v="avara.com"/>
    <s v="minus"/>
    <x v="0"/>
    <s v="v=spf1 ip4:87.242.196.98 ip4:147.202.195.74/31 ip4:10.0.152.0/24 ip4:81.145.229.138 ip4:10.154.9.63 ip4:64.27.70.143 ip4:12.193.61.69 ip4:68.15.196.250 include:spf.protection.outlook.com include:mail.zendesk.com -all"/>
    <s v="yes"/>
    <x v="2"/>
    <s v="v=DMARC1; p=none; rua=mailto:dmarc_rua@emaildefense.proofpoint.com; ruf=mailto:dmarc_ruf@emaildefense.proofpoint.com; fo=1"/>
    <m/>
    <m/>
    <x v="9"/>
    <x v="57"/>
    <x v="2"/>
  </r>
  <r>
    <s v="corkbuilders.ie"/>
    <s v="no"/>
    <x v="2"/>
    <m/>
    <m/>
    <x v="0"/>
    <m/>
    <m/>
    <m/>
    <x v="1"/>
    <x v="57"/>
    <x v="2"/>
  </r>
  <r>
    <s v="corkbp.ie"/>
    <s v="minus"/>
    <x v="0"/>
    <s v="v=spf1 mx ip4:82.147.18.199 ip4:54.246.177.122/32 ip4:89.101.136.230/32 ip4:162.13.46.88/32 ip4:23.102.29.87 include:spf.protection.outlook.com include:spf.smtp2go.com include:dotmailer.co.uk include:amazonses.com -all"/>
    <s v="yes"/>
    <x v="3"/>
    <s v="v=DMARC1; p=reject; rua=mailto:220de43055e1045@rep.dmarcanalyzer.com; ruf=mailto:220de43055e1045@for.dmarcanalyzer.com; fo=1;"/>
    <m/>
    <m/>
    <x v="1"/>
    <x v="57"/>
    <x v="2"/>
  </r>
  <r>
    <s v="etexgroup.com"/>
    <s v="minus"/>
    <x v="0"/>
    <s v="v=spf1 ip4:52.149.71.249 ip4:91.241.79.1/24 ip4:52.157.235.134/32 ip4:40.67.223.&quot; &quot;195/32 ip4:52.157.236.186/32 ip4:193.104.82.0/24 ip4:213.181.53.221 ip4:185.250.&quot; &quot;239.0/22 ip4:35.214.208.81/32 ip4:35.214.213.218/32 ip4:35.214.183.81/32 ip4:35.&quot; &quot;214.212.238/32 ip4:13.74.56.125 include:mktomail.com include:_spf.cmail.ondemand&quot; &quot;.com include:amazonses.com include:27021741.spf10.hubspotemail.net include:euro.&quot; &quot;confirmit.com include:eskerondemand.com include:spf.protection.outlook.com -all"/>
    <s v="yes"/>
    <x v="2"/>
    <s v="v=DMARC1;p=none;rua=mailto:DMARC_Report@etexgroup.com"/>
    <m/>
    <m/>
    <x v="16"/>
    <x v="57"/>
    <x v="2"/>
  </r>
  <r>
    <s v="farnhamestate.ie"/>
    <s v="tilde"/>
    <x v="1"/>
    <s v="v=spf1 ip4:190.180.144.248 ip4:91.136.49.205 ip4:185.61.1.131 include:spf.protection.outlook.com include:authsmtp.com ~all"/>
    <s v="yes"/>
    <x v="2"/>
    <s v="v=DMARC1; p=none; rua=mailto:dmarc@lantech.uriports.com; ruf=mailto:dmarc@lantech.uriports.com; fo=1:d:s"/>
    <m/>
    <m/>
    <x v="11"/>
    <x v="57"/>
    <x v="2"/>
  </r>
  <r>
    <s v="arup.com"/>
    <s v="minus"/>
    <x v="0"/>
    <s v="v=spf1 include:amazonses.com mx include:_spf-a.arup.com include:_spf-b.arup.com include:_spf-c.arup.com include:mktomail.com include:spf.protection.outlook.com include:app.sgizmo.com include:marketing.dynamics.com -all"/>
    <s v="yes"/>
    <x v="1"/>
    <s v="v=DMARC1; p=quarantine; rua=mailto:dmarc_agg@vali.email; fo=1; ri=3600"/>
    <m/>
    <m/>
    <x v="1"/>
    <x v="57"/>
    <x v="2"/>
  </r>
  <r>
    <s v="logitech.com"/>
    <s v="minus"/>
    <x v="0"/>
    <s v="v=spf1 include:_spf.google.com include:everbridge.net include:mail.zendesk.com include:direct2u.spf.dt.com include:spfa.cpmails.com&quot; &quot; ip4:63.150.149.5 ip4:63.150.149.6 ip4:74.118.162.35 ip4:74.118.162.36 ip4:213.165.74.136 ip4:207.211.31.67&quot; &quot; ip4:13.110.146.172 ip4:205.139.110.47 ip4:204.77.217.54 ip4:107.23.26.71 ip4:107.23.32.213 ip4:82.195.249.26 ip4:54.251.169.91 ip4:204.77.217.50 ip6:2406:da18:8c8:4e00:c141:5599:cb4:8bd0 ip4:188.40.2.7 ip4:152.160.0.0/16&quot; &quot; ip4:37.98.235.2 ip4:199.15.215.48 ip4:54.236.103.127 ip4:208.66.205.16/28 -all"/>
    <s v="yes"/>
    <x v="3"/>
    <s v="v=DMARC1; p=reject; ruf=mailto:qojun7kz@fr.us.dmarcian.com,mailto:logitechlimited@us.cp-dmarc.com; rua=mailto:logitechlimited@us.cp-dmarc.com,mailto:qojun7kz@ag.us.dmarcian.com;"/>
    <m/>
    <m/>
    <x v="1"/>
    <x v="57"/>
    <x v="2"/>
  </r>
  <r>
    <s v="dublin.maplesandcalder.com"/>
    <s v="no"/>
    <x v="2"/>
    <m/>
    <m/>
    <x v="0"/>
    <m/>
    <m/>
    <m/>
    <x v="0"/>
    <x v="57"/>
    <x v="2"/>
  </r>
  <r>
    <s v="techrete.com"/>
    <s v="minus"/>
    <x v="0"/>
    <s v="v=spf1 include:spf.protection.outlook.com -all"/>
    <s v="yes"/>
    <x v="0"/>
    <m/>
    <m/>
    <m/>
    <x v="0"/>
    <x v="57"/>
    <x v="2"/>
  </r>
  <r>
    <s v="gleneng.com"/>
    <s v="no"/>
    <x v="2"/>
    <m/>
    <m/>
    <x v="0"/>
    <m/>
    <m/>
    <m/>
    <x v="5"/>
    <x v="57"/>
    <x v="2"/>
  </r>
  <r>
    <s v="irelandwestairport.com"/>
    <s v="minus"/>
    <x v="0"/>
    <s v="v=spf1 +a +mx +ip4:91.210.232.29 ip4:88.81.127.199 include:spf.webhostingireland.ie include:spf.protection.outlook.com ip4:104.26.4.107/32 ip4:88.81.123.221 -all"/>
    <m/>
    <x v="1"/>
    <s v="v=DMARC1; p=quarantine; pct=100; rua=mailto:dmarc@zenotec.ie; ruf=mailto:dmarc@zenotec.ie; fo=1"/>
    <m/>
    <m/>
    <x v="4"/>
    <x v="57"/>
    <x v="2"/>
  </r>
  <r>
    <s v="theghotel.ie"/>
    <s v="minus"/>
    <x v="0"/>
    <s v="v=spf1 include:eu._netblocks.mimecast.com include:spf.protection.outlook.com include:ireshotels.com -all"/>
    <s v="yes"/>
    <x v="2"/>
    <s v="v=DMARC1; p=none; rua=mailto:5004af7e386c115@rep.dmarcanalyzer.com; ruf=mailto:5004af7e386c115@for.dmarcanalyzer.com; fo=1;"/>
    <m/>
    <m/>
    <x v="7"/>
    <x v="58"/>
    <x v="2"/>
  </r>
  <r>
    <s v="steel.ie"/>
    <s v="minus"/>
    <x v="0"/>
    <s v="v=spf1 ip4:86.47.127.125 include:spf.protection.outlook.com include:_spf.google.com -all"/>
    <m/>
    <x v="0"/>
    <m/>
    <m/>
    <m/>
    <x v="17"/>
    <x v="58"/>
    <x v="2"/>
  </r>
  <r>
    <s v="globoforce.com"/>
    <s v="minus"/>
    <x v="0"/>
    <s v="v=spf1 mx ip4:87.198.219.215 ip4:87.198.219.207 include:vtrnz.com include:mktomail.com include:_spf.salesforce.com include:spf.protection.outlook.com include:spf1.workhuman.com -all"/>
    <m/>
    <x v="1"/>
    <s v="v=DMARC1; p=quarantine; pct=51; rua=mailto:af95b2723499219@rep.dmarcanalyzer.com; sp=none;"/>
    <m/>
    <m/>
    <x v="0"/>
    <x v="59"/>
    <x v="2"/>
  </r>
  <r>
    <s v="belmonthouse.ie"/>
    <s v="mis"/>
    <x v="3"/>
    <s v="v=spf1 a mx include:spf.irishdomains.com"/>
    <m/>
    <x v="0"/>
    <m/>
    <m/>
    <m/>
    <x v="0"/>
    <x v="59"/>
    <x v="2"/>
  </r>
  <r>
    <s v="didstore.com"/>
    <s v="minus"/>
    <x v="0"/>
    <s v="v=spf1 ip6:fd9c:d030:168c::/48 -all"/>
    <m/>
    <x v="0"/>
    <m/>
    <m/>
    <m/>
    <x v="0"/>
    <x v="59"/>
    <x v="2"/>
  </r>
  <r>
    <s v="keywordsintl.com"/>
    <s v="minus"/>
    <x v="0"/>
    <s v="v=spf1 include:spf.protection.outlook.com include:_spf.keywordsstudios.com -all"/>
    <s v="yes"/>
    <x v="1"/>
    <s v="v=DMARC1; p=quarantine; sp=reject; rua=mailto:feo28avf@ag.eu.dmarcian.com;"/>
    <m/>
    <m/>
    <x v="0"/>
    <x v="59"/>
    <x v="2"/>
  </r>
  <r>
    <s v="nolans.ie"/>
    <s v="minus"/>
    <x v="0"/>
    <s v="v=spf1 include:spf.protection.outlook.com -all"/>
    <m/>
    <x v="0"/>
    <m/>
    <m/>
    <m/>
    <x v="0"/>
    <x v="59"/>
    <x v="2"/>
  </r>
  <r>
    <s v="dromone.com"/>
    <s v="tilde"/>
    <x v="1"/>
    <s v="v=spf1 include:spf.hornetsecurity.com ~all"/>
    <m/>
    <x v="0"/>
    <m/>
    <m/>
    <m/>
    <x v="15"/>
    <x v="60"/>
    <x v="2"/>
  </r>
  <r>
    <s v="icds.ie"/>
    <s v="minus"/>
    <x v="0"/>
    <s v="v=spf1 include:spf.protection.outlook.com -all"/>
    <m/>
    <x v="0"/>
    <m/>
    <m/>
    <m/>
    <x v="0"/>
    <x v="61"/>
    <x v="2"/>
  </r>
  <r>
    <s v="kone.com"/>
    <s v="minus"/>
    <x v="0"/>
    <s v="v=spf1 include:spf1.kone.com include:spf2.kone.com -all"/>
    <s v="yes"/>
    <x v="3"/>
    <s v="v=DMARC1; p=reject; rua=mailto:sf4xpfqs@ag.eu.dmarcadvisor.com"/>
    <m/>
    <m/>
    <x v="0"/>
    <x v="61"/>
    <x v="2"/>
  </r>
  <r>
    <s v="gategourmet.com"/>
    <s v="tilde"/>
    <x v="1"/>
    <s v="v=spf1 include:spf.protection.outlook.com ip4:64.238.152.130 ip4:120.89.34.100 ip4:216.245.187.72 ip4:216.245.187.71 ip4:212.243.171.144/32 ip4:212.243.171.203/32 ~all"/>
    <m/>
    <x v="0"/>
    <m/>
    <m/>
    <m/>
    <x v="0"/>
    <x v="61"/>
    <x v="2"/>
  </r>
  <r>
    <s v="quintillion.ie"/>
    <s v="minus"/>
    <x v="0"/>
    <s v="v=spf1 include:elavon.com -all"/>
    <m/>
    <x v="2"/>
    <s v="v=DMARC1;p=none;rua=mailto:us-bank@rua.agari.com;ruf=mailto:us-bank@ruf.agari.com;fo=1"/>
    <m/>
    <m/>
    <x v="0"/>
    <x v="61"/>
    <x v="2"/>
  </r>
  <r>
    <s v="luceytransport.ie"/>
    <s v="tilde"/>
    <x v="1"/>
    <s v="v=spf1 ip4:86.43.106.157 include:spf.protection.outlook.com ~all"/>
    <m/>
    <x v="0"/>
    <m/>
    <m/>
    <m/>
    <x v="1"/>
    <x v="61"/>
    <x v="2"/>
  </r>
  <r>
    <s v="redcowmoranhotel.com"/>
    <s v="minus"/>
    <x v="0"/>
    <s v="v=spf1 ip4:31.216.235.202 include:ireshotels.com include:spf.protection.outlook.com -all"/>
    <s v="yes"/>
    <x v="0"/>
    <m/>
    <m/>
    <m/>
    <x v="0"/>
    <x v="61"/>
    <x v="2"/>
  </r>
  <r>
    <s v="theheritage.com"/>
    <s v="tilde"/>
    <x v="1"/>
    <s v="v=spf1 a mx include:spf.protection.outlook.com include:netaffinity.net include:authsmtp.com include:spf.turbo-smtp.com ~all"/>
    <s v="yes"/>
    <x v="2"/>
    <s v="v=DMARC1; p=none;"/>
    <m/>
    <m/>
    <x v="18"/>
    <x v="61"/>
    <x v="2"/>
  </r>
  <r>
    <s v="pbmachinetech.ie"/>
    <s v="mis"/>
    <x v="3"/>
    <s v="v=spf1 a mx include:spf.irishdomains.com"/>
    <m/>
    <x v="2"/>
    <s v="v=DMARC1; p=none;"/>
    <m/>
    <m/>
    <x v="25"/>
    <x v="61"/>
    <x v="2"/>
  </r>
  <r>
    <s v="okeeffesbakery.ie"/>
    <s v="minus"/>
    <x v="0"/>
    <s v="v=spf1 ip4:35.157.190.224/27 include:spf.protection.outlook.com -all"/>
    <s v="yes"/>
    <x v="2"/>
    <s v="v=DMARC1; p=none; fo=1; rua=mailto:rua+okeeffesbakery.ie@dmarc.barracudanetworks.com; ruf=mailto:ruf+okeeffesbakery.ie@dmarc.barracudanetworks.com"/>
    <m/>
    <m/>
    <x v="1"/>
    <x v="61"/>
    <x v="2"/>
  </r>
  <r>
    <s v="orange.com"/>
    <s v="minus"/>
    <x v="0"/>
    <s v="v=spf1 include:spffed-ip.orange.com include:spffed-mm.orange.com include:_spf1.orange.com include:_spf2.orange.com include:spfe.orange.com include:spff.orange.com include:spf6a.orange.com -all"/>
    <m/>
    <x v="2"/>
    <s v="v=DMARC1; p=none; sp=none; pct=100; fo=1; ri=3600; rua=mailto:c7adfba4@inbox.eu.redsift.cloud; ruf=mailto:c7adfba4@inbox.eu.redsift.cloud;"/>
    <m/>
    <m/>
    <x v="0"/>
    <x v="61"/>
    <x v="2"/>
  </r>
  <r>
    <s v="irelandassist.com"/>
    <s v="no"/>
    <x v="2"/>
    <m/>
    <m/>
    <x v="0"/>
    <m/>
    <m/>
    <m/>
    <x v="7"/>
    <x v="61"/>
    <x v="2"/>
  </r>
  <r>
    <s v="davenham.com"/>
    <s v="minus"/>
    <x v="0"/>
    <e v="#NAME?"/>
    <m/>
    <x v="2"/>
    <s v="v=DMARC1; p=none;"/>
    <m/>
    <m/>
    <x v="0"/>
    <x v="61"/>
    <x v="2"/>
  </r>
  <r>
    <s v="nelipak.com"/>
    <s v="minus"/>
    <x v="0"/>
    <s v="v=spf1 a mx ip4:52.31.237.158 include:242148343.spf10.hubspotemail.net include:spf.protection.outlook.com include:spf-00647601.pphosted.com include:relay.mailchannels.net -all"/>
    <s v="yes"/>
    <x v="2"/>
    <s v="v=DMARC1; p=none; fo=1; rua=mailto:ITTeam@nelipak.com,mailto:dmarc_rua@emaildefense.proofpoint.com; \010ruf=mailto:ITTeam@nelipak.com,mailto:dmarc_ruf@emaildefense.proofpoint.com"/>
    <m/>
    <m/>
    <x v="7"/>
    <x v="61"/>
    <x v="2"/>
  </r>
  <r>
    <s v="claytonhotelsballsbridge.com"/>
    <s v="no"/>
    <x v="2"/>
    <m/>
    <m/>
    <x v="0"/>
    <m/>
    <m/>
    <m/>
    <x v="0"/>
    <x v="61"/>
    <x v="2"/>
  </r>
  <r>
    <s v="steeltechsheds.ie"/>
    <s v="mis"/>
    <x v="3"/>
    <s v="v=spf1 include:_spf.google.com v=spf1 include:_spf.mailersend.net ~all"/>
    <s v="yes"/>
    <x v="2"/>
    <s v="v=DMARC1; p=none; rua=mailto:it@steeltechsheds.ie; ruf=mailto:it@steeltechsheds.ie; fo=1"/>
    <m/>
    <m/>
    <x v="7"/>
    <x v="61"/>
    <x v="2"/>
  </r>
  <r>
    <s v="ifg.ie"/>
    <s v="minus"/>
    <x v="0"/>
    <s v="v=spf1 include:_spf.mlsend.com include:spf.protection.outlook.com -all"/>
    <m/>
    <x v="0"/>
    <m/>
    <m/>
    <m/>
    <x v="0"/>
    <x v="61"/>
    <x v="2"/>
  </r>
  <r>
    <s v="lauralynn.ie"/>
    <s v="tilde"/>
    <x v="1"/>
    <s v="v=spf1 +a +mx ip4:31.216.234.210 ip4:78.153.201.30 ip4:93.107.171.55 ip4:87.117.199.66 ip4:205.139.105.48/29 ip4:83.98.160.225 ip4:206.79.6.128/26 ip4:208.40.241.140/30 ip4:216.37.18.6 ip4:204.8.10.114 ip4:216.235.197.198 ip4:64.209.141.221 ip4:167.89.55.&quot; &quot;59 ip4:193.189.141.33 include:spf.protection.outlook.com include:sendgrid.ne include:_spf.createsend.com include:spf.newsletter.ie ~all"/>
    <s v="yes"/>
    <x v="1"/>
    <s v="v=DMARC1; p=quarantine; pct=100; rua=mailto:Dmarc_reports@Lauralynn.ie "/>
    <m/>
    <m/>
    <x v="0"/>
    <x v="61"/>
    <x v="2"/>
  </r>
  <r>
    <s v="unumjobs.ie"/>
    <s v="no"/>
    <x v="2"/>
    <m/>
    <m/>
    <x v="0"/>
    <m/>
    <m/>
    <m/>
    <x v="25"/>
    <x v="61"/>
    <x v="2"/>
  </r>
  <r>
    <s v="mallonfoods.com"/>
    <s v="tilde"/>
    <x v="1"/>
    <s v="v=spf1 include:eu._netblocks.mimecast.com include:mallonfoods.com.spf.auto.dnssmarthost.net ~all"/>
    <s v="yes"/>
    <x v="2"/>
    <s v="v=DMARC1; p=none; pct=100; sp=none; rua=mailto:3287498a@inbox.ondmarc.com; ruf=mailto:3287498a@inbox.ondmarc.com; adkim=r; aspf=r; fo=1; rf=afrf; ri=3600"/>
    <m/>
    <m/>
    <x v="12"/>
    <x v="61"/>
    <x v="2"/>
  </r>
  <r>
    <s v="lh-intouch.com"/>
    <s v="tilde"/>
    <x v="1"/>
    <s v="v=spf1 include:_spf-eu.ionos.com include:servers.mcsv.net ~all"/>
    <m/>
    <x v="2"/>
    <s v="v=DMARC1; p=none; pct=100; rua=mailto:re+s2eqfltsaix@dmarc.postmarkapp.com; ruf=mailto:intouch_security@dlh.de; sp=none; aspf=r;"/>
    <m/>
    <m/>
    <x v="0"/>
    <x v="61"/>
    <x v="2"/>
  </r>
  <r>
    <s v="near.ie"/>
    <s v="minus"/>
    <x v="0"/>
    <s v="v=spf1 include:_spf.1984.is -all"/>
    <m/>
    <x v="3"/>
    <s v="v=DMARC1; p=reject; rua=mailto:gavin@near.ie; ruf=mailto:gavin@near.ie;"/>
    <m/>
    <m/>
    <x v="0"/>
    <x v="61"/>
    <x v="2"/>
  </r>
  <r>
    <s v="curamhealthcare.ie"/>
    <s v="minus"/>
    <x v="0"/>
    <s v="v=spf1 include:spf.protection.outlook.com -all"/>
    <s v="yes"/>
    <x v="3"/>
    <s v="v=DMARC1;p=reject;rua=mailto:c5bf406e83@rua.easydmarc.eu;ruf=mailto:c5bf406e83@ruf.easydmarc.eu;fo=1;"/>
    <m/>
    <m/>
    <x v="3"/>
    <x v="61"/>
    <x v="2"/>
  </r>
  <r>
    <s v="collinssupervalu.com"/>
    <s v="no"/>
    <x v="2"/>
    <m/>
    <m/>
    <x v="0"/>
    <m/>
    <m/>
    <m/>
    <x v="1"/>
    <x v="61"/>
    <x v="2"/>
  </r>
  <r>
    <s v="blackwatermotors.ie"/>
    <s v="tilde"/>
    <x v="1"/>
    <s v="v=spf1 mx a ip4:83.71.195.197 include:spf.elive.net include:amazonses.com include:spf.protection.outlook.com ~all"/>
    <m/>
    <x v="0"/>
    <m/>
    <m/>
    <m/>
    <x v="1"/>
    <x v="61"/>
    <x v="2"/>
  </r>
  <r>
    <s v="eurocarparts.com"/>
    <s v="minus"/>
    <x v="0"/>
    <s v="v=spf1 ip4:80.248.176.217 ip4:89.151.75.144 include:spf.protection.outlook.com include:amazonses.com ip4:46.236.8.200 ip4:46.236.8.201 ip4:148.253.151.170 ip4:46.236.8.202 ip4:81.144.144.125 ip4:217.33.101.133 ip4:217.33.101.139 include:spf1.eurocarparts.&quot; &quot;com -all"/>
    <s v="yes"/>
    <x v="1"/>
    <s v="v=DMARC1; p=quarantine; pct=70; aspf=s; adkim=s; rua=mailto:qi4yr7xa@ag.eu.dmarcian.com; ruf=mailto:qi4yr7xa@fr.eu.dmarcian.com; fo=1;"/>
    <m/>
    <m/>
    <x v="0"/>
    <x v="61"/>
    <x v="2"/>
  </r>
  <r>
    <s v="abbey.ie"/>
    <s v="minus"/>
    <x v="0"/>
    <s v="v=spf1 mx include:sendgrid.net ip4:78.153.204.196 include:spf.protection.outlook.com include:servers.mcsv.net include:spf.tmes.trendmicro.com include:mail.zendesk.com ip4:31.193.2.125 ip4:203.55.21.87 ip4:79.170.244.0/24 ip4:52.59.58.195 ip4:3.122.45.38 i&quot; &quot;p4:52.58.98.157 ip4:52.16.253.121 ip4:52.18.148.31 -all"/>
    <s v="yes"/>
    <x v="3"/>
    <s v="v=DMARC1; p=reject; sp=none; fo=1; ri=3600; rua=mailto:dmarc@abbey.ie; ruf=mailto:dmarc@abbey.ie"/>
    <m/>
    <m/>
    <x v="0"/>
    <x v="61"/>
    <x v="2"/>
  </r>
  <r>
    <s v="fcrmedia.ie"/>
    <s v="minus"/>
    <x v="0"/>
    <s v="v=spf1 include:spf.protection.outlook.com include:rd43.com include:mail.adplorer.eu include:mail.sendgrid.net include:5435571.spf03.hubspotemail.net include:spf.us-east.atmailcloud.com +ip4:90.182.206.228 +ip4:159.183.234.11 +ip4:198.37.144.37 -all"/>
    <s v="yes"/>
    <x v="1"/>
    <s v="v=DMARC1; p=quarantine; pct=100; rua=mailto:dmarc_reports@fcrmedia.ie; ruf=mailto:dmarc_reports@fcrmedia.ie"/>
    <m/>
    <m/>
    <x v="0"/>
    <x v="61"/>
    <x v="2"/>
  </r>
  <r>
    <s v="xlinsurance.com"/>
    <s v="minus"/>
    <x v="0"/>
    <s v="v=spf1 -all"/>
    <m/>
    <x v="3"/>
    <s v="v=DMARC1; p=reject; fo=1; ri=3600; rua=mailto:xlcat@rua.agari.com,mailto:ewai10d2@ag.eu.dmarcian.com; ruf=mailto:xlcat@ruf.agari.com"/>
    <m/>
    <m/>
    <x v="0"/>
    <x v="62"/>
    <x v="2"/>
  </r>
  <r>
    <s v="oharasoffoxford.com"/>
    <s v="minus"/>
    <x v="0"/>
    <s v="v=spf1 include:spf.protection.outlook.com include:_spf.intacct.com -all"/>
    <s v="yes"/>
    <x v="2"/>
    <s v="v=DMARC1;p=none;pct=100;rua=mailto:a998f4468b@rua.easydmarc.eu;ruf=mailto:a998f4468b@ruf.easydmarc.eu;ri=86400;fo=1;"/>
    <m/>
    <m/>
    <x v="4"/>
    <x v="62"/>
    <x v="2"/>
  </r>
  <r>
    <s v="novas.ie"/>
    <s v="minus"/>
    <x v="0"/>
    <s v="v=spf1 a mx ip4:86.43.102.110 include:spf.elive.net include:spf.protection.outlook.com include:spf.webcore.cloud include:eu.zcsend.net -all"/>
    <s v="yes"/>
    <x v="2"/>
    <s v="v=DMARC1; p=none; pct=100; fo=1; ri=3600"/>
    <m/>
    <m/>
    <x v="5"/>
    <x v="63"/>
    <x v="2"/>
  </r>
  <r>
    <s v="completelabsolutions.com"/>
    <s v="no"/>
    <x v="2"/>
    <m/>
    <m/>
    <x v="0"/>
    <m/>
    <m/>
    <m/>
    <x v="7"/>
    <x v="63"/>
    <x v="2"/>
  </r>
  <r>
    <s v="timkellygroup.com"/>
    <s v="minus"/>
    <x v="0"/>
    <s v="v=spf1 include:spf.protection.outlook.com -all"/>
    <s v="yes"/>
    <x v="2"/>
    <s v="v=DMARC1; p=none;"/>
    <m/>
    <m/>
    <x v="4"/>
    <x v="64"/>
    <x v="2"/>
  </r>
  <r>
    <s v="brambles.ie"/>
    <s v="question"/>
    <x v="4"/>
    <s v="v=spf1 +a +mx +ip4:209.87.158.12 ?all"/>
    <s v="yes"/>
    <x v="1"/>
    <s v="v=DMARC1;p=quarantine;sp=none;adkim=r;aspf=r;pct=100;fo=0;rf=afrf;ri=86400rua=mailto:rua@dmarc.brevo.com"/>
    <m/>
    <m/>
    <x v="0"/>
    <x v="64"/>
    <x v="2"/>
  </r>
  <r>
    <s v="data-display.com"/>
    <s v="tilde"/>
    <x v="1"/>
    <s v="v=spf1 +a +mx +ip4:172.96.186.137 include:_spf.arandomserver.com ~all"/>
    <s v="yes"/>
    <x v="0"/>
    <m/>
    <m/>
    <m/>
    <x v="9"/>
    <x v="65"/>
    <x v="2"/>
  </r>
  <r>
    <s v="ncps.ie"/>
    <s v="no"/>
    <x v="2"/>
    <m/>
    <m/>
    <x v="0"/>
    <m/>
    <m/>
    <m/>
    <x v="0"/>
    <x v="65"/>
    <x v="2"/>
  </r>
  <r>
    <s v="cleanhabit.com"/>
    <s v="minus"/>
    <x v="0"/>
    <s v="v=spf1 include:spf.protection.outlook.com include:spf.elive.net -all"/>
    <s v="yes"/>
    <x v="2"/>
    <s v="v=DMARC1; p=none; rua=mailto:ea16b06b4342170@rep.dmarcanalyzer.com; ruf=mailto:ea16b06b4342170@for.dmarcanalyzer.com; sp=none; fo=1;"/>
    <m/>
    <m/>
    <x v="9"/>
    <x v="65"/>
    <x v="2"/>
  </r>
  <r>
    <s v="smbc.aero"/>
    <s v="minus"/>
    <x v="0"/>
    <s v="v=spf1 include:spf.protection.outlook.com include:_spf.psm.Knowbe4.com include:spfa.cpmails.com include:_spf.salesforce.com -all"/>
    <s v="yes"/>
    <x v="1"/>
    <s v="v=DMARC1; p=quarantine; rua=mailto:7ycren43@ag.eu.dmarcian.com;"/>
    <m/>
    <m/>
    <x v="0"/>
    <x v="65"/>
    <x v="2"/>
  </r>
  <r>
    <s v="virginialogistics.ie"/>
    <s v="tilde"/>
    <x v="1"/>
    <s v="v=spf1 include:spf.protection.outlook.com include:spf.hornetsecurity.com include:amazonses.com ~all"/>
    <s v="yes"/>
    <x v="1"/>
    <s v="v=DMARC1; p=quarantine"/>
    <m/>
    <m/>
    <x v="11"/>
    <x v="65"/>
    <x v="2"/>
  </r>
  <r>
    <s v="attorneygeneral.ie"/>
    <s v="no"/>
    <x v="2"/>
    <m/>
    <m/>
    <x v="0"/>
    <m/>
    <m/>
    <m/>
    <x v="0"/>
    <x v="65"/>
    <x v="2"/>
  </r>
  <r>
    <s v="castleknockcc.ie"/>
    <s v="minus"/>
    <x v="0"/>
    <s v="v=spf1 include:spf.protection.outlook.com include:spf.dcsnet.ie -all"/>
    <s v="yes"/>
    <x v="0"/>
    <m/>
    <m/>
    <m/>
    <x v="0"/>
    <x v="65"/>
    <x v="2"/>
  </r>
  <r>
    <s v="themidlandsparkhotel.com"/>
    <s v="no"/>
    <x v="2"/>
    <m/>
    <m/>
    <x v="0"/>
    <m/>
    <m/>
    <m/>
    <x v="18"/>
    <x v="65"/>
    <x v="2"/>
  </r>
  <r>
    <s v="masonite.com"/>
    <s v="tilde"/>
    <x v="1"/>
    <s v="v=spf1 include:spf.mandrillapp.com include:marketing.dynamics.com include:_spf.highradius.com include:_spf.salesforce.com include:mktomail.com include:servers.mcsv.net include:spf.protection.outlook.com&quot; &quot; exists:%{i}.spf.hc4106-94.iphmx.com ip4:209.136.2.159 ip4:23.21.109.197 ip4:23.21.109.212 ip4:147.160.167.0/26 ~all"/>
    <s v="yes"/>
    <x v="2"/>
    <s v="v=DMARC1;&quot; &quot;p=none;&quot; &quot;rua=mailto:dmarcvalidationreport@masonite.com;&quot; &quot;ruf=mailto:dmarcvalidationreport@masonite.com;&quot; &quot;fo=1"/>
    <m/>
    <m/>
    <x v="19"/>
    <x v="65"/>
    <x v="2"/>
  </r>
  <r>
    <s v="ktl.ie"/>
    <s v="minus"/>
    <x v="0"/>
    <s v="v=spf1 include:spf.protection.outlook.com include:sent-via.netsuite.com  include:notification.netsuite.com include:mailsenders.netsuite.com -all"/>
    <s v="yes"/>
    <x v="2"/>
    <s v="v=DMARC1; p=none; pct=100; rua=mailto:cyber@ktl.ie"/>
    <m/>
    <m/>
    <x v="16"/>
    <x v="65"/>
    <x v="2"/>
  </r>
  <r>
    <s v="ocarrollengineering.com"/>
    <s v="minus"/>
    <x v="0"/>
    <s v="v=spf1 include:spf.protection.outlook.com include:spf.smtp2go.com -all"/>
    <s v="yes"/>
    <x v="1"/>
    <s v="v=DMARC1; p=quarantine"/>
    <m/>
    <m/>
    <x v="14"/>
    <x v="65"/>
    <x v="2"/>
  </r>
  <r>
    <s v="kssl.ie"/>
    <s v="tilde"/>
    <x v="1"/>
    <s v="v=spf1 ip4:158.120.85.51 ip4:212.227.20.69 ip4:158.120.84.223 ip4:80.209.158.55 ip4:185.190.204.96 ip4:80.233.126.252 include:spf.protection.outlook.com include:_spf.psm.knowbe4.com ~all"/>
    <s v="yes"/>
    <x v="1"/>
    <s v="v=DMARC1; p=quarantine; rua=mailto:c5844ce0@mxtoolbox.dmarc-report.com; ruf=mailto:c5844ce0@forensics.dmarc-report.com; fo=1"/>
    <m/>
    <m/>
    <x v="20"/>
    <x v="65"/>
    <x v="2"/>
  </r>
  <r>
    <s v="multipkg.com"/>
    <s v="minus"/>
    <x v="0"/>
    <s v="v=spf1 include:westrock.com -all"/>
    <m/>
    <x v="3"/>
    <s v="v=DMARC1; p=reject; fo=1; rua=mailto:dmarc_rua@emaildefense.proofpoint.com; ruf=mailto:dmarc_ruf@emaildefense.proofpoint.com"/>
    <m/>
    <m/>
    <x v="4"/>
    <x v="65"/>
    <x v="2"/>
  </r>
  <r>
    <s v="irishdogfoods.com"/>
    <s v="minus"/>
    <x v="0"/>
    <s v="v=spf1 include:eu._netblocks.mimecast.com include:spf.protection.outlook.com include:spf.mandrillapp.com ip4:109.70.209.139 ip4:193.120.143.0/24 ip4:193.120.142.176 -all"/>
    <s v="yes"/>
    <x v="2"/>
    <s v="v=DMARC1; p=none; sp=none; fo=1; rua=mailto:dmarc@irishdogfoods.com; ruf=mailto:dmarc@irishdogfoods.com; pct=100;"/>
    <m/>
    <m/>
    <x v="16"/>
    <x v="65"/>
    <x v="2"/>
  </r>
  <r>
    <s v="poppulo.com"/>
    <s v="tilde"/>
    <x v="1"/>
    <s v="v=spf1 include:%{i}._ip.%{h}._ehlo.%{d}._spf.vali.email ~all"/>
    <s v="yes"/>
    <x v="2"/>
    <s v="v=DMARC1; p=none; sp=none; aspf=r; rua=mailto:dmarc_agg@vali.email"/>
    <m/>
    <m/>
    <x v="1"/>
    <x v="65"/>
    <x v="2"/>
  </r>
  <r>
    <s v="bouldermedia.tv"/>
    <s v="minus"/>
    <x v="0"/>
    <s v="v=spf1 include:spf.protection.outlook.com include:spf.reg365.net -all"/>
    <s v="yes"/>
    <x v="3"/>
    <s v="v=DMARC1; p=reject; pct=100; fo=1; ri=3600; rua=mailto:c0f1617a@inbox.ondmarc.com; ruf=mailto:c0f1617a@inbox.ondmarc.com;"/>
    <m/>
    <m/>
    <x v="0"/>
    <x v="65"/>
    <x v="2"/>
  </r>
  <r>
    <s v="aig.ie"/>
    <s v="minus"/>
    <x v="0"/>
    <s v="v=spf1 include:%{d}.ac.spf-protect.agari.com exists:%{i}._i.%{d}._d.espf.agari.com -all"/>
    <m/>
    <x v="3"/>
    <s v="v=DMARC1; p=reject; fo=1; ri=3600; rua=mailto:aig@rua.agari.com; ruf=mailto:aig@ruf.agari.com"/>
    <m/>
    <m/>
    <x v="0"/>
    <x v="65"/>
    <x v="2"/>
  </r>
  <r>
    <s v="sevenoakshotel.com"/>
    <s v="minus"/>
    <x v="0"/>
    <s v="v=spf1 include:spf.protection.outlook.com include:netaffinity.net -all"/>
    <m/>
    <x v="0"/>
    <m/>
    <m/>
    <m/>
    <x v="25"/>
    <x v="65"/>
    <x v="2"/>
  </r>
  <r>
    <s v="claytonhotelsilversprings.com"/>
    <s v="minus"/>
    <x v="0"/>
    <s v="v=spf1 -all"/>
    <m/>
    <x v="0"/>
    <m/>
    <m/>
    <m/>
    <x v="1"/>
    <x v="65"/>
    <x v="2"/>
  </r>
  <r>
    <s v="woodlands-hotel.ie"/>
    <s v="minus"/>
    <x v="0"/>
    <s v="v=spf1 include:spf.protection.outlook.com include:netaffinity.net include:sendgrid.net a include:authsmtp.com -all"/>
    <m/>
    <x v="2"/>
    <s v="v=DMARC1; p=none;"/>
    <m/>
    <m/>
    <x v="5"/>
    <x v="65"/>
    <x v="2"/>
  </r>
  <r>
    <s v="greatsouthernkillarney.com"/>
    <s v="minus"/>
    <x v="0"/>
    <s v="v=spf1 include:spf.protection.outlook.com include:spf-a.authsmtp.com include:spf-b.authsmtp.com include:oracleindustry.com ip4:87.198.171.254 -all"/>
    <s v="yes"/>
    <x v="2"/>
    <s v="v=DMARC1; p=none; fo=1; rua=mailto:rua+greatsouthernkillarney.com@dmarc.barracudanetworks.com; ruf=mailto:ruf+greatsouthernkillarney.com@dmarc.barracudanetworks.com"/>
    <m/>
    <m/>
    <x v="14"/>
    <x v="65"/>
    <x v="2"/>
  </r>
  <r>
    <s v="corkcityfirebrigade.ie"/>
    <s v="no"/>
    <x v="2"/>
    <m/>
    <m/>
    <x v="0"/>
    <m/>
    <m/>
    <m/>
    <x v="1"/>
    <x v="65"/>
    <x v="2"/>
  </r>
  <r>
    <s v="steris.com"/>
    <s v="tilde"/>
    <x v="1"/>
    <s v="v=spf1 include:%{ir}.%{v}.%{d}.spf.has.pphosted.com ~all"/>
    <s v="yes"/>
    <x v="3"/>
    <s v="v=DMARC1; p=reject; fo=1; ri=3600; rua=mailto:dmarc_rua@emaildefense.proofpoint.com; ruf=mailto:dmarc_ruf@emaildefense.proofpoint.com"/>
    <m/>
    <m/>
    <x v="21"/>
    <x v="65"/>
    <x v="2"/>
  </r>
  <r>
    <s v="carraigdonn.com"/>
    <s v="tilde"/>
    <x v="1"/>
    <s v="v=spf1 include:shops.shopify.com include:spf.protection.outlook.com ~all"/>
    <s v="yes"/>
    <x v="1"/>
    <s v="v=DMARC1;p=quarantine;pct=100;rua=mailto:reporting@carraigdonn.com;ruf=mailto:reporting@carraigdonn.com;ri=86400;fo=1"/>
    <m/>
    <m/>
    <x v="4"/>
    <x v="65"/>
    <x v="2"/>
  </r>
  <r>
    <s v="kedington.ie"/>
    <s v="minus"/>
    <x v="0"/>
    <s v="v=spf1 include:eu._netblocks.mimecast.com ip4:89.100.74.174 ip4:212.17.44.108 -all"/>
    <s v="yes"/>
    <x v="3"/>
    <s v="v=DMARC1; p=reject; ruf=mailto:admin@kedington.ie; rua=mailto:admin@kedington.ie; sp=reject; aspf=s; adkim=s"/>
    <m/>
    <m/>
    <x v="0"/>
    <x v="65"/>
    <x v="2"/>
  </r>
  <r>
    <s v="netwatchsystem.com"/>
    <s v="minus"/>
    <x v="0"/>
    <s v="v=spf1 include:spf.protection.outlook.com include:servers.mcsv.net include:mail.zendesk.com include:aspmx.pardot.com include:_spf.salesforce.com include:_spf.elasticemail.com -all"/>
    <s v="yes"/>
    <x v="1"/>
    <s v="v=DMARC1; p=quarantine; rua=mailto:dmarc@4j0craxr.uriports.com; ruf=mailto:dmarc@4j0craxr.uriports.com; fo=1:d:s"/>
    <m/>
    <m/>
    <x v="25"/>
    <x v="65"/>
    <x v="2"/>
  </r>
  <r>
    <s v="horseware.com"/>
    <s v="minus"/>
    <x v="0"/>
    <s v="v=spf1 a mx a:smtp.luzernsolutions.com include:_spf.mailersend.net include:emsd1.com include:spf.protection.outlook.com include:123456.spf03.hubspotemail.net -all"/>
    <s v="yes"/>
    <x v="1"/>
    <s v="v=DMARC1; p=quarantine; sp=quarantine; fo=1; rua=mailto:dmarc@horseware.com; ruf=mailto:dmarc@horseware.com"/>
    <m/>
    <m/>
    <x v="2"/>
    <x v="65"/>
    <x v="2"/>
  </r>
  <r>
    <s v="killarneyhotels.ie"/>
    <s v="minus"/>
    <x v="0"/>
    <s v="v=spf1 include:spf.protection.outlook.com -all"/>
    <s v="yes"/>
    <x v="2"/>
    <s v="v=DMARC1; p=none; sp=none; aspf=s; fo=1;rua=mailto:dmarc_rua@emaildefense.proofpoint.com; ruf=mailto:dmarc_ruf@emaildefense.proofpoint.com"/>
    <m/>
    <m/>
    <x v="14"/>
    <x v="65"/>
    <x v="2"/>
  </r>
  <r>
    <s v="cowpercare.ie"/>
    <s v="minus"/>
    <x v="0"/>
    <s v="v=spf1 include:spf.protection.outlook.com -all"/>
    <m/>
    <x v="0"/>
    <m/>
    <m/>
    <m/>
    <x v="0"/>
    <x v="65"/>
    <x v="2"/>
  </r>
  <r>
    <s v="kerloguenursinghome.com"/>
    <s v="minus"/>
    <x v="0"/>
    <s v="v=spf1 include:spf.protection.outlook.com -all"/>
    <s v="yes"/>
    <x v="3"/>
    <s v="v=DMARC1; p=reject;"/>
    <m/>
    <m/>
    <x v="3"/>
    <x v="65"/>
    <x v="2"/>
  </r>
  <r>
    <s v="portofcork.ie"/>
    <s v="question"/>
    <x v="4"/>
    <s v="v=spf1 ip4:77.107.221.218 ip4:54.217.242.174 include:spf.protection.outlook.com include:spf.ess.de.barracudanetworks.com include:amazonses.com ?all"/>
    <m/>
    <x v="3"/>
    <s v="v=DMARC1; p=reject; fo=1; rua=mailto:rua+portofcork.ie@dmarc.barracudanetworks.com; ruf=mailto:ruf+portofcork.ie@dmarc.barracudanetworks.com"/>
    <m/>
    <m/>
    <x v="1"/>
    <x v="65"/>
    <x v="2"/>
  </r>
  <r>
    <s v="morganmckinley.ie"/>
    <s v="tilde"/>
    <x v="1"/>
    <s v="v=spf1 include:spf2.premiergp.com include:spf.premiergp.com ~all"/>
    <s v="yes"/>
    <x v="2"/>
    <s v="v=DMARC1; p=none; rua=mailto:mailadministator@morganmckinley.ie; ruf=mailto:mailadministator@morganmckinley.ie; sp=none; fo=1; ri=86400"/>
    <m/>
    <m/>
    <x v="1"/>
    <x v="65"/>
    <x v="2"/>
  </r>
  <r>
    <s v="laroussefoods.ie"/>
    <s v="minus"/>
    <x v="0"/>
    <s v="v=spf1 ip4:217.115.115.198 include:spf.protection.outlook.com ip4:83.71.135.83 ip4:194.151.190.162 ip4:18.202.45.229 ip4:159.183.134.72 ip4:159.183.147.173 ip4:130.117.253.164 ip4:3.68.129.51 ip4:13.36.253.151 include:spf.amris.com include:servers.mcsv.ne&quot; &quot;t include:relay.mailchannels.net -all"/>
    <m/>
    <x v="0"/>
    <m/>
    <m/>
    <m/>
    <x v="0"/>
    <x v="65"/>
    <x v="2"/>
  </r>
  <r>
    <s v="modularautomation.ie"/>
    <s v="no"/>
    <x v="2"/>
    <m/>
    <m/>
    <x v="0"/>
    <m/>
    <m/>
    <m/>
    <x v="9"/>
    <x v="65"/>
    <x v="2"/>
  </r>
  <r>
    <s v="cancer.ie"/>
    <s v="tilde"/>
    <x v="1"/>
    <s v="v=spf1 include:_spf.mx.cloudflare.net ~all"/>
    <s v="yes"/>
    <x v="3"/>
    <s v="v=DMARC1; p=reject; rua=mailto:27eed7a6e3884d738bc8b1b38f44841b@dmarc-reports.cloudflare.net,mailto:lxuh6y7n@ag.eu.dmarcian.com; ruf=mailto:lxuh6y7n@fr.eu.dmarcian.com;"/>
    <m/>
    <m/>
    <x v="0"/>
    <x v="65"/>
    <x v="2"/>
  </r>
  <r>
    <s v="rkd.ie"/>
    <s v="minus"/>
    <x v="0"/>
    <s v="v=spf1 include:spf.protection.outlook.com include:spf.messagelabs.com include:spf-eu.emailsignatures365.com -all"/>
    <s v="yes"/>
    <x v="2"/>
    <s v="v=DMARC1; p=none; pct=100; fo=1; ri=3600; rua=mailto:it@rkd.ie; ruf=mailto:it@rkd.ie;"/>
    <m/>
    <m/>
    <x v="0"/>
    <x v="65"/>
    <x v="2"/>
  </r>
  <r>
    <s v="ballygarryhouse.com"/>
    <s v="minus"/>
    <x v="0"/>
    <s v="v=spf1 +mx +a include:owa.ballygarryhouse.com include:ns1.realbroadband.com include:Mail.ihotelier.com include:Postoffice.ihotelier.com ip4:172.16.10.33 ip4:209.242.69.231 ip4:199.167.219.49 ip4:206.222.177.128 ip4:206.222.177.148 -all"/>
    <m/>
    <x v="0"/>
    <m/>
    <m/>
    <m/>
    <x v="14"/>
    <x v="65"/>
    <x v="2"/>
  </r>
  <r>
    <s v="monaghan-mushrooms.com"/>
    <s v="tilde"/>
    <x v="1"/>
    <s v="v=spf1 include:spf.protection.outlook.com include:_spf.prod.hydra.sophos.com ip4:195.59.157.101 ip4:195.59.157.110 ip4:195.59.157.103 ~all"/>
    <m/>
    <x v="2"/>
    <s v="v=DMARC1; p=none"/>
    <m/>
    <m/>
    <x v="16"/>
    <x v="65"/>
    <x v="2"/>
  </r>
  <r>
    <s v="cbe.ie"/>
    <s v="minus"/>
    <x v="0"/>
    <s v="v=spf1 mx a ptr ip4:87.198.180.130/28 ip4:86.47.123.217/29 ip4:93.94.118.234/29 include:autotask.net  include:spf.protection.outlook.com include:spf-eu.emailsignatures365.com include:_spf.psm.knowbe4.com include:sendgrid.net -all"/>
    <s v="yes"/>
    <x v="1"/>
    <s v="v=DMARC1; p=quarantine; pct=100; rua=mailto:dmarc@zenotec.ie; ruf=mailto:dmarc@zenotec.ie; fo=1"/>
    <m/>
    <m/>
    <x v="4"/>
    <x v="65"/>
    <x v="2"/>
  </r>
  <r>
    <s v="firecrestclinical.com"/>
    <s v="minus"/>
    <x v="0"/>
    <s v="v=spf1 exists:%{i}._i.%{d}._d.espf.agari.com include:%{d}.ee.spf-protect.agari.com -all"/>
    <s v="yes"/>
    <x v="3"/>
    <s v="v=DMARC1; p=reject; fo=1; ri=3600; rua=mailto:icon@rua.agari.com; ruf=mailto:icon@ruf.agari.com"/>
    <m/>
    <m/>
    <x v="5"/>
    <x v="66"/>
    <x v="2"/>
  </r>
  <r>
    <s v="wuerth.ie"/>
    <s v="tilde"/>
    <x v="1"/>
    <s v="v=spf1 ip4:148.253.151.170 ip4:40.85.92.201 include:limajo.witglobal.net include:_spf.vivantio.com ~all"/>
    <m/>
    <x v="3"/>
    <s v="v=DMARC1; p=reject; rua=mailto:dmarc@witglobal.net; ruf=mailto:dmarc@witglobal.net; fo=1; pct=100"/>
    <m/>
    <m/>
    <x v="5"/>
    <x v="67"/>
    <x v="2"/>
  </r>
  <r>
    <s v="west-bake.com"/>
    <s v="minus"/>
    <x v="0"/>
    <s v="v=spf1 a mx ip4:94.102.198.243 ip4:35.214.41.65 ip4:104.47.17.74 include:spf.protection.outlook.com -all"/>
    <m/>
    <x v="0"/>
    <m/>
    <m/>
    <m/>
    <x v="7"/>
    <x v="68"/>
    <x v="2"/>
  </r>
  <r>
    <s v="ventionmedical.com"/>
    <s v="minus"/>
    <x v="0"/>
    <s v="v=spf1 ip4:64.78.151.128/26 ip4:208.185.229.0/24 ip4:208.185.235.0/24 ip4:216.241.183.0/24 a:dispatch-us.ppe-hosted.com ip4:199.71.239.178 ip4:67.216.183.10 -all"/>
    <m/>
    <x v="3"/>
    <s v="v=DMARC1; p=reject; rua=mailto:e837c7005787269@rep.dmarcanalyzer.com; ruf=mailto:e837c7005787269@for.dmarcanalyzer.com; pct=100; fo=1;"/>
    <m/>
    <m/>
    <x v="22"/>
    <x v="68"/>
    <x v="2"/>
  </r>
  <r>
    <s v="aviva.com"/>
    <s v="minus"/>
    <x v="0"/>
    <s v="v=spf1 include:%{ir}.%{v}.%{d}.spf.has.pphosted.com -all"/>
    <s v="yes"/>
    <x v="3"/>
    <s v="v=DMARC1; p=reject; fo=1; rua=mailto:dmarc_rua@emaildefense.proofpoint.com; ruf=mailto:dmarc_ruf@emaildefense.proofpoint.com"/>
    <m/>
    <m/>
    <x v="1"/>
    <x v="68"/>
    <x v="2"/>
  </r>
  <r>
    <s v="hilton.co.uk"/>
    <s v="no"/>
    <x v="2"/>
    <m/>
    <m/>
    <x v="0"/>
    <m/>
    <m/>
    <m/>
    <x v="0"/>
    <x v="69"/>
    <x v="2"/>
  </r>
  <r>
    <s v="maplesff.com"/>
    <s v="no"/>
    <x v="2"/>
    <m/>
    <m/>
    <x v="0"/>
    <m/>
    <m/>
    <m/>
    <x v="0"/>
    <x v="70"/>
    <x v="2"/>
  </r>
  <r>
    <s v="ec.europa.eu"/>
    <s v="minus"/>
    <x v="0"/>
    <s v="v=spf1 include:_spf.tech.ec.europa.eu include:_spf-jrc.tech.ec.europa.eu -all"/>
    <s v="yes"/>
    <x v="3"/>
    <s v="v=DMARC1; p=reject; rua=mailto:swtyii6t@ag.eu.dmarcadvisor.com; adkim=s; aspf=s"/>
    <m/>
    <m/>
    <x v="15"/>
    <x v="70"/>
    <x v="2"/>
  </r>
  <r>
    <s v="noelgroup.ie"/>
    <s v="tilde"/>
    <x v="1"/>
    <s v="v=spf1 include:spf.protection.outlook.com include:email.freshservice.com include:zohopeople.com ip4:80.93.26.92 ~all"/>
    <m/>
    <x v="2"/>
    <s v="v=DMARC1; p=none;"/>
    <m/>
    <m/>
    <x v="0"/>
    <x v="70"/>
    <x v="2"/>
  </r>
  <r>
    <s v="fdc.ie"/>
    <s v="minus"/>
    <x v="0"/>
    <s v="v=spf1 include:spf.protection.outlook.com include:9258467.spf08.hubspotemail.net include:spf-00196902.pphosted.com  -all"/>
    <s v="yes"/>
    <x v="3"/>
    <s v="v=DMARC1; p=reject"/>
    <m/>
    <m/>
    <x v="1"/>
    <x v="70"/>
    <x v="2"/>
  </r>
  <r>
    <s v="arc-al.com"/>
    <s v="tilde"/>
    <x v="1"/>
    <s v="v=spf1 ip4:31.216.236.114 include:spf.protection.outlook.com include:spf.emailsignatures365.com include:spf.mtaroutes.com ~all"/>
    <s v="yes"/>
    <x v="0"/>
    <m/>
    <m/>
    <m/>
    <x v="0"/>
    <x v="70"/>
    <x v="2"/>
  </r>
  <r>
    <s v="depfa.com"/>
    <s v="minus"/>
    <x v="0"/>
    <s v="v=spf1 include:spf.protection.outlook.com ip4:194.107.107.241/32 -all"/>
    <s v="yes"/>
    <x v="1"/>
    <s v="v=DMARC1; p=quarantine; rua=mailto:dmarc@bawaggroup.com; ruf=mailto:dmarc@bawaggroup.com; sp=quarantine; fo=1;"/>
    <m/>
    <m/>
    <x v="0"/>
    <x v="70"/>
    <x v="2"/>
  </r>
  <r>
    <s v="investec.ie"/>
    <s v="minus"/>
    <x v="0"/>
    <s v="v=spf1 mx ip4:185.197.52.132 ip4:185.197.52.133 ip4:185.197.52.130 ip4:185.197.52.131 ip4:185.197.52.134 ip4:185.197.52.135 a:mail.stream.aero include:za._netblocks.mimecast.com include:spf.protection.outlook.com include:sendgrid.net&quot; &quot; include:_spf.salesforce.com -all"/>
    <m/>
    <x v="3"/>
    <s v="v=DMARC1; p=reject; rua=mailto:a0c168b1c618365@rep.dmarcanalyzer.com;ruf=mailto:a0c168b1c618365@for.dmarcanalyzer.com; fo=1;"/>
    <m/>
    <m/>
    <x v="0"/>
    <x v="70"/>
    <x v="2"/>
  </r>
  <r>
    <s v="rpsgroup.ie"/>
    <s v="no"/>
    <x v="2"/>
    <m/>
    <m/>
    <x v="0"/>
    <m/>
    <m/>
    <m/>
    <x v="0"/>
    <x v="70"/>
    <x v="2"/>
  </r>
  <r>
    <s v="prioritydrilling.ie"/>
    <s v="tilde"/>
    <x v="1"/>
    <s v="v=spf1 a include:spf.blacknight.ie ~all"/>
    <m/>
    <x v="0"/>
    <m/>
    <m/>
    <m/>
    <x v="7"/>
    <x v="70"/>
    <x v="2"/>
  </r>
  <r>
    <s v="aol.com"/>
    <s v="mis"/>
    <x v="3"/>
    <s v="v=spf1 redirect=_spf.mail.yahoo.com"/>
    <m/>
    <x v="3"/>
    <s v="v=DMARC1; p=reject; pct=100; rua=mailto:d@rua.agari.com; ruf=mailto:d@ruf.agari.com;"/>
    <m/>
    <m/>
    <x v="0"/>
    <x v="70"/>
    <x v="2"/>
  </r>
  <r>
    <s v="hyl.ie"/>
    <s v="no"/>
    <x v="2"/>
    <m/>
    <m/>
    <x v="0"/>
    <m/>
    <m/>
    <m/>
    <x v="0"/>
    <x v="70"/>
    <x v="2"/>
  </r>
  <r>
    <s v="openhydro.com"/>
    <s v="no"/>
    <x v="2"/>
    <m/>
    <m/>
    <x v="0"/>
    <m/>
    <m/>
    <m/>
    <x v="0"/>
    <x v="70"/>
    <x v="2"/>
  </r>
  <r>
    <s v="marlborotrust.ie"/>
    <s v="minus"/>
    <x v="0"/>
    <s v="v=spf1 include:spf.protection.outlook.com include:sendgrid.net ip4:149.72.223.55 ip4:86.47.100.109 ip4:46.32.238.64 ip4:40.114.165.223 -all"/>
    <s v="yes"/>
    <x v="2"/>
    <s v="v=DMARC1; p=none;"/>
    <m/>
    <m/>
    <x v="1"/>
    <x v="70"/>
    <x v="2"/>
  </r>
  <r>
    <s v="mccambridgeduffy.ie"/>
    <s v="tilde"/>
    <x v="1"/>
    <s v="v=spf1 mx ip4:168.245.122.87 ip4:159.183.186.201 include:mail.zendesk.com include:4815088.spf08.hubspotemail.net include:spf.protection.outlook.com ~all"/>
    <s v="yes"/>
    <x v="0"/>
    <m/>
    <m/>
    <m/>
    <x v="6"/>
    <x v="70"/>
    <x v="2"/>
  </r>
  <r>
    <s v="gam.com"/>
    <s v="tilde"/>
    <x v="1"/>
    <s v="v=spf1 ip4:217.73.9.208/28 ip4:217.68.19.128/25 ip4:173.193.133.206 ip4:166.78.69.206 ip4:20.77.129.6 ip4:20.77.129.9 a:relay.brighttalk.com include:spfa.gam.com include:servers.mcsv.net include:spf.protection.outlook.com include:spf-00235001.pphosted.com&quot; &quot; ~all"/>
    <s v="yes"/>
    <x v="2"/>
    <s v="v=DMARC1; p=none; pct=100; fo=1:d:s; ri=3600; rua=mailto:3b01410b@inbox.ondmarc.com,mailto:dmarc_rua@emaildefense.proofpoint.com,mailto:dmarc@mzc9kt22.uriports.com; ruf=mailto:3b01410b@inbox.ondmarc.com,mailto:dmarc_ruf@emaildefense.proofpoint.com,mailto:&quot; &quot;dmarc@mzc9kt22.uriports.com;"/>
    <m/>
    <m/>
    <x v="0"/>
    <x v="70"/>
    <x v="2"/>
  </r>
  <r>
    <s v="transfermate.com"/>
    <s v="tilde"/>
    <x v="1"/>
    <s v="v=spf1 include:spf0.transfermate.com include:trustpilotservice.com include:aspmx.pardot.com include:_spf.vsn.voltage.com include:amazonses.com include:spf.protection.outlook.com include:_spf_euwest1.prod.hydra.sophos.com include:_spf.salesforce.com ~all"/>
    <s v="yes"/>
    <x v="1"/>
    <s v="v=DMARC1; p=quarantine; pct=100"/>
    <m/>
    <m/>
    <x v="0"/>
    <x v="70"/>
    <x v="2"/>
  </r>
  <r>
    <s v="carrickdale.com"/>
    <s v="minus"/>
    <x v="0"/>
    <s v="v=spf1 a mx ip4:159.134.107.51 include:netaffinity.net include:spf.ess.uk.barracudanetworks.com -all"/>
    <m/>
    <x v="2"/>
    <s v="v=DMARC1; p=none;"/>
    <m/>
    <m/>
    <x v="2"/>
    <x v="70"/>
    <x v="2"/>
  </r>
  <r>
    <s v="hodsonbayhotel.com"/>
    <s v="minus"/>
    <x v="0"/>
    <s v="v=spf1 include:spf.protection.outlook.com include:spf.ireshotels.com include:oracleindustry.com include:sendgrid.net -all"/>
    <s v="yes"/>
    <x v="2"/>
    <s v="v=DMARC1; p=none; pct=100; rua=mailto:postman@hodsonbayhotel.com; ruf=mailto:postman@hodsonbayhotel.com; sp=quarantine; fo=1;"/>
    <m/>
    <m/>
    <x v="22"/>
    <x v="70"/>
    <x v="2"/>
  </r>
  <r>
    <s v="aslairlines.com"/>
    <s v="minus"/>
    <x v="0"/>
    <s v="v=spf1 ip4:152.228.195.160/27 ip4:117.120.14.38 ip4:34.241.40.53 ip4:212.6.55.1 ip4:213.152.0.21 ip4:46.18.128.203 ip4:212.243.61.82 ip4:89.19.94.77 ip4:81.246.92.212 ip4:109.197.246.0/26 ip4:217.74.103.0/24 ip4:92.103.69.0/24 ip4:81.246.55&quot; &quot;.198 ip4:54.37.216.187 ip4:52.47.203.24/32 ip4:35.180.3.224/32 ip4:185.187.30.10/32 ip4:89.19.91.43 ip4:83.70.199.207 include:spf.protection.outlook.com a:mx1.emailsrvr.com a:mx2.email&quot; &quot;srvr.com include:_netblocks.mimecast.com -all"/>
    <s v="yes"/>
    <x v="1"/>
    <s v="v=DMARC1; p=quarantine; rua=mailto:dmarc_agg@vali.email;"/>
    <m/>
    <m/>
    <x v="0"/>
    <x v="70"/>
    <x v="2"/>
  </r>
  <r>
    <s v="baroneracing.com"/>
    <s v="minus"/>
    <x v="0"/>
    <s v="v=spf1 include:spf.protection.outlook.com include:mail.zendesk.com -all"/>
    <s v="yes"/>
    <x v="2"/>
    <s v="v=DMARC1; p=none; sp=none; rua=mailto:749cadeedc97.a@dmarcinput.com; ruf=mailto:749cadeedc97.f@dmarcinput.com; fo=1"/>
    <m/>
    <m/>
    <x v="2"/>
    <x v="70"/>
    <x v="2"/>
  </r>
  <r>
    <s v="shannondoc.ie"/>
    <s v="tilde"/>
    <x v="1"/>
    <s v="v=spf1 +ip4:91.210.232.25 +include:spf.webhostingireland.ie +include:spf.protection.outlook.com ~all"/>
    <s v="yes"/>
    <x v="1"/>
    <s v="v=DMARC1;p=quarantine;rua=mailto:mryan@shannondoc.ie"/>
    <m/>
    <m/>
    <x v="5"/>
    <x v="70"/>
    <x v="2"/>
  </r>
  <r>
    <s v="pleanala.ie"/>
    <s v="minus"/>
    <x v="0"/>
    <s v="v=spf1 include:spf.protection.outlook.com -all"/>
    <s v="yes"/>
    <x v="3"/>
    <s v="v=DMARC1;p=reject;pct=100;rua=mailto:5de2621c85@rua.easydmarc.eu;ruf=mailto:5de2621c85@ruf.easydmarc.eu;ri=3600;fo=1"/>
    <m/>
    <m/>
    <x v="0"/>
    <x v="70"/>
    <x v="2"/>
  </r>
  <r>
    <s v="passport.ie"/>
    <s v="minus"/>
    <x v="0"/>
    <s v="v=spf1 ip6:fdcf:abda:4154::/48 -all"/>
    <m/>
    <x v="0"/>
    <m/>
    <m/>
    <m/>
    <x v="0"/>
    <x v="70"/>
    <x v="2"/>
  </r>
  <r>
    <s v="examinations.ie"/>
    <s v="tilde"/>
    <x v="1"/>
    <s v="v=spf1 include:spf.protection.outlook.com include:mailcontrol.com include:amazonses.com ip4:137.191.237.98 ip4:137.191.224.99 ip4:217.78.9.192/27 ip4:80.93.21.0/24 ip4:83.147.146.64/27 ~all"/>
    <s v="yes"/>
    <x v="2"/>
    <s v="v=DMARC1; p=none; pct=100; rua=mailto:re+w7sl5lhk6bk@dmarc.postmarkapp.com, mailto:dmarc_agg@vali.email, mailto:dmarc.rua@examinations.ie; sp=none; aspf=r;"/>
    <m/>
    <m/>
    <x v="23"/>
    <x v="70"/>
    <x v="2"/>
  </r>
  <r>
    <s v="dinnri.com"/>
    <s v="minus"/>
    <x v="0"/>
    <s v="v=spf1 include:spf.protection.outlook.com -all"/>
    <s v="yes"/>
    <x v="2"/>
    <s v="v=DMARC1; p=none; rua=mailto:Administrator@dinnri.com;"/>
    <m/>
    <m/>
    <x v="25"/>
    <x v="70"/>
    <x v="2"/>
  </r>
  <r>
    <s v="mountwolseley.ie"/>
    <s v="minus"/>
    <x v="0"/>
    <s v="v=spf1 a mx include:spf.protection.outlook.com include:servers.mcsv.net include:authsmtp.com -all"/>
    <s v="yes"/>
    <x v="2"/>
    <s v="v=DMARC1; p=none;"/>
    <m/>
    <m/>
    <x v="25"/>
    <x v="70"/>
    <x v="2"/>
  </r>
  <r>
    <s v="rochestownpark.com"/>
    <s v="tilde"/>
    <x v="1"/>
    <s v="v=spf1 a mx include:_spf.google.com include:spf.protection.outlook.com include:spf_3a.oracleindustry.com include:_spf.travelclick.com include:spf.ess.de.barracudanetworks.com include:spf2.rochestownpark.com ~all"/>
    <m/>
    <x v="0"/>
    <m/>
    <m/>
    <m/>
    <x v="1"/>
    <x v="70"/>
    <x v="2"/>
  </r>
  <r>
    <s v="clontarfcastle.ie"/>
    <s v="minus"/>
    <x v="0"/>
    <s v="v=spf1 a:shops.shopify.com ip4:84.203.245.29 ip4:78.137.176.59 include:spf.protection.outlook.com include:oracleindustry.com -all"/>
    <m/>
    <x v="2"/>
    <s v="v=DMARC1; p=none; rua=mailto:34af1efaa79a440aaf04e99c6ec9665d@dmarc-reports.cloudflare.net,mailto:dmarc-reports@clontarfcastle.ie"/>
    <m/>
    <m/>
    <x v="0"/>
    <x v="70"/>
    <x v="2"/>
  </r>
  <r>
    <s v="conraddublin.com"/>
    <s v="no"/>
    <x v="2"/>
    <m/>
    <m/>
    <x v="0"/>
    <m/>
    <m/>
    <m/>
    <x v="0"/>
    <x v="70"/>
    <x v="2"/>
  </r>
  <r>
    <s v="cpireland.crowneplaza.com"/>
    <s v="no"/>
    <x v="2"/>
    <m/>
    <m/>
    <x v="0"/>
    <m/>
    <m/>
    <m/>
    <x v="0"/>
    <x v="70"/>
    <x v="2"/>
  </r>
  <r>
    <s v="fitzpatrickcastle.com"/>
    <s v="minus"/>
    <x v="0"/>
    <s v="v=spf1 include:spf.protection.outlook.com include:spf.mandrillapp.com include:netaffinity.net -all"/>
    <s v="yes"/>
    <x v="2"/>
    <s v="v=DMARC1; p=none;"/>
    <m/>
    <m/>
    <x v="0"/>
    <x v="70"/>
    <x v="2"/>
  </r>
  <r>
    <s v="claytonhotelgalway.ie"/>
    <s v="no"/>
    <x v="2"/>
    <m/>
    <m/>
    <x v="0"/>
    <m/>
    <m/>
    <m/>
    <x v="7"/>
    <x v="70"/>
    <x v="2"/>
  </r>
  <r>
    <s v="glenviewhotel.com"/>
    <s v="tilde"/>
    <x v="1"/>
    <s v="v=spf1 ip4:193.57.206.86 include:email2.guestfolio.net include:oracleindustry.com include:spf.protection.outlook.com ~all"/>
    <s v="yes"/>
    <x v="3"/>
    <s v="v=DMARC1; p=reject; pct=100"/>
    <m/>
    <m/>
    <x v="24"/>
    <x v="70"/>
    <x v="2"/>
  </r>
  <r>
    <s v="philiplee.ie"/>
    <s v="tilde"/>
    <x v="1"/>
    <s v="v=spf1 ip4:217.115.113.3 +a +mx +include:eu._netblocks.mimecast.com include:3971010.spf03.hubspotemail.net ~all"/>
    <m/>
    <x v="1"/>
    <s v="v=DMARC1; p=quarantine; rua=mailto:secalert@Philiplee.ie,mailto:29addbea@mxtoolbox.dmarc-report.com; ruf=mailto:secalert@Philiplee.ie,mailto:29addbea@forensics.dmarc-report.com; fo=1"/>
    <m/>
    <m/>
    <x v="0"/>
    <x v="70"/>
    <x v="2"/>
  </r>
  <r>
    <s v="ipsi.ie"/>
    <s v="minus"/>
    <x v="0"/>
    <s v="v=spf1 ip4:82.113.134.179 ip4:82.113.134.184 ip4:194.247.78.126 ip4:203.196.101.140 ip4:203.96.81.140 ip4:27.111.213.195 ip4:27.111.224.68 include:_netblocks.mimecast.com include:aspmx.pardot.com -all"/>
    <m/>
    <x v="3"/>
    <s v="v=DMARC1; p=reject; rua=mailto:315cf8ba871f301@rep.dmarcanalyzer.com; ruf=mailto:315cf8ba871f301@for.dmarcanalyzer.com; fo=1;"/>
    <m/>
    <m/>
    <x v="0"/>
    <x v="70"/>
    <x v="2"/>
  </r>
  <r>
    <s v="cbre.ie"/>
    <s v="no"/>
    <x v="2"/>
    <m/>
    <m/>
    <x v="2"/>
    <s v="v=DMARC1;p=none;rua=mailto:dmarc_rua@emaildefense.proofpoint.com;ruf=mailto:dmarc_ruf@emaildefense.proofpoint.com;fo=1"/>
    <m/>
    <m/>
    <x v="0"/>
    <x v="70"/>
    <x v="2"/>
  </r>
  <r>
    <s v="fabricated-products.com"/>
    <s v="minus"/>
    <x v="0"/>
    <s v="v=spf1 include:spf.protection.outlook.com -all"/>
    <s v="yes"/>
    <x v="2"/>
    <s v="v=DMARC1; p=none; rua=mailto:dmarc@fabricated-products.com"/>
    <m/>
    <m/>
    <x v="9"/>
    <x v="70"/>
    <x v="2"/>
  </r>
  <r>
    <s v="tegral.com"/>
    <s v="tilde"/>
    <x v="1"/>
    <s v="v=spf1 mx ip4:62.13.147.77 ip4:62.12.128.205 ip4:62.12.128.203 include:spf.protection.outlook.com ~all"/>
    <s v="yes"/>
    <x v="0"/>
    <m/>
    <m/>
    <m/>
    <x v="16"/>
    <x v="70"/>
    <x v="2"/>
  </r>
  <r>
    <s v="broderickbrothers.com"/>
    <s v="minus"/>
    <x v="0"/>
    <s v="v=spf1 include:spf.protection.outlook.com -all"/>
    <m/>
    <x v="0"/>
    <m/>
    <m/>
    <m/>
    <x v="0"/>
    <x v="70"/>
    <x v="2"/>
  </r>
  <r>
    <s v="brennansbread.ie"/>
    <s v="no"/>
    <x v="2"/>
    <m/>
    <m/>
    <x v="0"/>
    <m/>
    <m/>
    <m/>
    <x v="0"/>
    <x v="70"/>
    <x v="2"/>
  </r>
  <r>
    <s v="quinn-buildingproducts.com"/>
    <s v="minus"/>
    <x v="0"/>
    <s v="v=spf1 include:_netblocks.mimecast.com include:spf.protection.outlook.com include:sendgrid.net -all"/>
    <s v="yes"/>
    <x v="0"/>
    <m/>
    <m/>
    <m/>
    <x v="11"/>
    <x v="70"/>
    <x v="2"/>
  </r>
  <r>
    <s v="accesstelecom.ie"/>
    <s v="no"/>
    <x v="2"/>
    <m/>
    <m/>
    <x v="0"/>
    <m/>
    <m/>
    <m/>
    <x v="0"/>
    <x v="70"/>
    <x v="2"/>
  </r>
  <r>
    <s v="sennheiser.com"/>
    <s v="minus"/>
    <x v="0"/>
    <s v="v=spf1 ip4:52.35.123.36 ip4:208.75.123.0/24 ip4:160.34.204.28 ip4:210.247.232.211 ip4:185.217.45.75 ip4:185.217.45.140 ip4:185.217.45.76 ip4:85.125.245.124 ip4:85.125.245.125 ip4:84.17.184.240/28 ip4:195.25.217.68 ip4:80.190.118.0/24 ip4:80.190.129.128/&quot; &quot;25 ip4:87.106.27.67 ip4:208.79.250.0/24 ip4:208.82.174.0/24 ip4:139.138.59.249 ip4:139.138.34.246 ip4:51.116.145.35 ip4:62.55.182.68 ip4:185.217.45.16 ip4:185.217.45.17 ip4:147.160.167.0/26 ip4:23.21.109.197 ip4:23.21.109.212 ip4:35.246.188.19 ip4:34.10&quot; &quot;7.41.233 include:_spf.salesforce.com include:spf.servicemail24.de include:_spf.senders.scnem.com include:servers.mcsv.net include:spf.sendinblue.com include:customers.prezly.io include:shops.shopify.com include:spf.protection.outlook.com -all"/>
    <s v="yes"/>
    <x v="1"/>
    <s v="v=DMARC1; p=quarantine; ruf=mailto:dmarc@sennheiser.com; fo=1;"/>
    <m/>
    <m/>
    <x v="21"/>
    <x v="70"/>
    <x v="2"/>
  </r>
  <r>
    <s v="solvar.ie"/>
    <s v="tilde"/>
    <x v="1"/>
    <s v="v=spf1 include:_u.solvar.ie._spf.smart.ondmarc.com ~all"/>
    <s v="yes"/>
    <x v="3"/>
    <s v="v=DMARC1; p=reject; pct=100; sp=none; rua=mailto:83d3f9f8@inbox.ondmarc.com; ruf=mailto:83d3f9f8@inbox.ondmarc.com; adkim=r; aspf=r; fo=1; rf=afrf; ri=3600"/>
    <m/>
    <m/>
    <x v="0"/>
    <x v="70"/>
    <x v="2"/>
  </r>
  <r>
    <s v="freefoam.com"/>
    <s v="minus"/>
    <x v="0"/>
    <s v="v=spf1 include:spf.protection.outlook.com include:mailgun.org include:mail.trefforest.com -all"/>
    <m/>
    <x v="2"/>
    <s v="v=DMARC1; p=none;"/>
    <m/>
    <m/>
    <x v="1"/>
    <x v="70"/>
    <x v="2"/>
  </r>
  <r>
    <s v="trulife.com"/>
    <s v="minus"/>
    <x v="0"/>
    <s v="v=spf1 include:spf.protection.outlook.com include:e2ma.net include:shops.shopify.com include:servers.mcsv.net include:mail.zendesk.com -all"/>
    <s v="yes"/>
    <x v="2"/>
    <s v="v=DMARC1;p=none;sp=none;rua=mailto:4ddc8881f3@rua.easydmarc.us,mailto:trulife@rua.agari.com;ruf=mailto:4ddc8881f3@ruf.easydmarc.us,mailto:trulife@ruf.agari.com;ri=3600;fo=1"/>
    <m/>
    <m/>
    <x v="0"/>
    <x v="70"/>
    <x v="2"/>
  </r>
  <r>
    <s v="adt.ie"/>
    <s v="minus"/>
    <x v="0"/>
    <s v="v=spf1 include:spf.protection.outlook.com include:amazonses.com include:spf.jci.com -all"/>
    <s v="yes"/>
    <x v="3"/>
    <s v="v=DMARC1;p=reject;fo=1;ri=3600;rua=mailto:jci@rua.agari.com;ruf=mailto:jci@ruf.agari.com"/>
    <m/>
    <m/>
    <x v="0"/>
    <x v="70"/>
    <x v="2"/>
  </r>
  <r>
    <s v="rapuk.com"/>
    <s v="mis"/>
    <x v="3"/>
    <s v="v=spf1 mx include:spf.protection.outlook.com ip4:94.136.52.90"/>
    <s v="yes"/>
    <x v="3"/>
    <s v="v=DMARC1;p=reject;rua=mailto:1472b967b4@rua.easydmarc.us;ruf=mailto:1472b967b4@ruf.easydmarc.us;fo=1"/>
    <m/>
    <m/>
    <x v="6"/>
    <x v="70"/>
    <x v="2"/>
  </r>
  <r>
    <s v="aptar.com"/>
    <s v="tilde"/>
    <x v="1"/>
    <s v="v=spf1 include:kau4a7bm2t.powerspf.com ~all"/>
    <s v="yes"/>
    <x v="3"/>
    <s v="v=DMARC1; p=reject; rua=mailto:tbqsqz8w89@rua.powerdmarc.com; ruf=mailto:tbqsqz8w89@ruf.powerdmarc.com; pct=100; fo=0:1:d:s;"/>
    <m/>
    <m/>
    <x v="7"/>
    <x v="70"/>
    <x v="2"/>
  </r>
  <r>
    <s v="rottapharm.com"/>
    <s v="tilde"/>
    <x v="1"/>
    <s v="v=spf1 ip4:93.62.233.5 ip4:88.34.40.19 include:spf-0054f601.pphosted.com include:spf-0054f601.pphosted.com include:spf.protection.outlook.com ~all"/>
    <s v="yes"/>
    <x v="3"/>
    <s v="v=DMARC1; p=reject; fo=1; rua=mailto:Rua.dmarc@viatris.com; ruf=mailto:Ruf.dmarc@viatris.com;"/>
    <m/>
    <m/>
    <x v="0"/>
    <x v="70"/>
    <x v="2"/>
  </r>
  <r>
    <s v="zeusinc.com"/>
    <s v="tilde"/>
    <x v="1"/>
    <s v="v=spf1 include:%{i}._ip.%{h}._ehlo.%{d}._spf.vali.email include:spf.protection.outlook.com include:spf_c.oraclecloud.com ~all"/>
    <s v="yes"/>
    <x v="1"/>
    <s v="v=DMARC1; p=quarantine; rua=mailto:dmarc_agg@vali.email; fo=1"/>
    <m/>
    <m/>
    <x v="6"/>
    <x v="70"/>
    <x v="2"/>
  </r>
  <r>
    <s v="portmarnock.com"/>
    <s v="minus"/>
    <x v="0"/>
    <s v="v=spf1 ip4:62.13.128.0/24 ip4:62.13.129.128/25 ip4:62.13.136.0/22 ip4:62.13.140.0/22 ip4:62.13.144.0/22 ip4:62.13.148.0/23 ip4:62.13.150.0/23 ip4:62.13.152.0/23 ip4:72.52.72.32/28 ip4:64.71.149.160/28 include:spf.protection.outlook.com include:oracleindus&quot; &quot;try.com -all"/>
    <s v="yes"/>
    <x v="2"/>
    <s v="v=DMARC1; p=none; ruf=mailto:it@northland.ca; rua=mailto:df4eb6869a1948e4a17e273f6af80af3@dmarc-reports.cloudflare.net,mailto:it@northland.ca"/>
    <m/>
    <m/>
    <x v="0"/>
    <x v="70"/>
    <x v="2"/>
  </r>
  <r>
    <s v="hotelkilkenny.ie"/>
    <s v="minus"/>
    <x v="0"/>
    <s v="v=spf1 a include:netaffinity.net include:spf.protection.outlook.com include:guestline.net include:roomlynx.net include:spf.mtasv.net ip4:89.101.168.34 ip4:89.101.237.178 ip4:46.245.209.97 ip4:78.153.203.202 ip4:81.17.250.62 -all"/>
    <s v="yes"/>
    <x v="0"/>
    <m/>
    <m/>
    <m/>
    <x v="17"/>
    <x v="70"/>
    <x v="2"/>
  </r>
  <r>
    <s v="delphiadventureresort.com"/>
    <s v="no"/>
    <x v="2"/>
    <m/>
    <m/>
    <x v="2"/>
    <s v="v=DMARC1; p=none;"/>
    <m/>
    <m/>
    <x v="7"/>
    <x v="70"/>
    <x v="2"/>
  </r>
  <r>
    <s v="imperialhotelcork.ie"/>
    <s v="minus"/>
    <x v="0"/>
    <s v="v=spf1 ip4:89.101.237.6 include:spf.protection.outlook.com include:oracleindustry.com -all"/>
    <s v="yes"/>
    <x v="2"/>
    <s v="v=DMARC1; p=none; fo=1; rua=mailto:rua+imperialhotelcork.ie@dmarc.barracudanetworks.com; ruf=mailto:ruf+imperialhotelcork.ie@dmarc.barracudanetworks.com"/>
    <m/>
    <m/>
    <x v="1"/>
    <x v="70"/>
    <x v="2"/>
  </r>
  <r>
    <s v="maldronhotelnewlandscross.com"/>
    <s v="minus"/>
    <x v="0"/>
    <s v="v=spf1 -all"/>
    <m/>
    <x v="0"/>
    <m/>
    <m/>
    <m/>
    <x v="0"/>
    <x v="70"/>
    <x v="2"/>
  </r>
  <r>
    <s v="pieta.ie"/>
    <s v="tilde"/>
    <x v="1"/>
    <s v="v=spf1 include:spf.protection.outlook.com include:spf.mandrillapp.com include:aspmx.pardot.com include:_spf.salesforce.com include:spf.fundraiseup.com ~all"/>
    <s v="yes"/>
    <x v="2"/>
    <s v="v=DMARC1; p=none; rua=mailto:comms@pieta.ie"/>
    <m/>
    <m/>
    <x v="7"/>
    <x v="70"/>
    <x v="2"/>
  </r>
  <r>
    <s v="cyclone.ie"/>
    <s v="minus"/>
    <x v="0"/>
    <s v="v=spf1 include:spf.protection.outlook.com -all"/>
    <m/>
    <x v="2"/>
    <s v="v=DMARC1; p=none"/>
    <m/>
    <m/>
    <x v="0"/>
    <x v="70"/>
    <x v="2"/>
  </r>
  <r>
    <s v="valoff.ie"/>
    <s v="tilde"/>
    <x v="1"/>
    <s v="v=spf1 ip4:137.191.226.195/28 ip4:137.191.226.148 ip4:137.191.226.148/28 ip4:137.191.227.138/29 ip4:52.30.39.204 ip4:168.245.49.92 ip4:167.89.62.239 include:spf.protection.outlook.com include:res.cisco.com ~all"/>
    <s v="yes"/>
    <x v="3"/>
    <s v="v=DMARC1; p=reject; fo=0:1:s; rf=afrf; pct=100; ri=86400"/>
    <m/>
    <m/>
    <x v="0"/>
    <x v="70"/>
    <x v="2"/>
  </r>
  <r>
    <s v="brothersofcharity.ie"/>
    <s v="minus"/>
    <x v="0"/>
    <s v="v=spf1 mx a ip4:193.178.98.132/32 ip4:193.178.97.132/32 ip4:193.178.98.133/32 include:spf.protection.outlook.com -all"/>
    <m/>
    <x v="3"/>
    <s v="v=DMARC1; p=reject; rua=mailto:fbkbpe0u@ag.dmarcian.com; ruf=mailto:fbkbpe0u@fr.dmarcian.com; fo=1;"/>
    <m/>
    <m/>
    <x v="1"/>
    <x v="70"/>
    <x v="2"/>
  </r>
  <r>
    <s v="brownthomas.ie"/>
    <s v="minus"/>
    <x v="0"/>
    <s v="v=spf1 a a:production.bteu.brownthomas.demandware.net mx:brownthomas.ie include:spf.mandrillapp.com include:servers.mcsv.net include:spf.protection.outlook.com include:_spf.salesforce.com include:mail.zendesk.com -all"/>
    <s v="yes"/>
    <x v="1"/>
    <s v="v=DMARC1; p=quarantine; rua=mailto:btsupport@brownthomas.ie; ruf=mailto:btsupport@brownthomas.ie; fo=1; pct=100"/>
    <m/>
    <m/>
    <x v="7"/>
    <x v="70"/>
    <x v="2"/>
  </r>
  <r>
    <s v="waterfordvisitorcentre.com"/>
    <s v="no"/>
    <x v="2"/>
    <m/>
    <s v="yes"/>
    <x v="2"/>
    <s v="v=DMARC1; p=none; rua=mailto:d3cf02270adc466aab625211dac1b3d4@dmarc-reports.cloudflare.net;"/>
    <m/>
    <m/>
    <x v="10"/>
    <x v="70"/>
    <x v="2"/>
  </r>
  <r>
    <s v="trocaire.org"/>
    <s v="minus"/>
    <x v="0"/>
    <s v="v=spf1 a:smtp15-asg.mta.salesforce.com ip4:52.214.189.235 ip4:52.214.63.230 ip4:52.18.0.196 include:spf.protection.outlook.com include:spf.emailsignatures365.com include:cust-spf.exacttarget.com include:spf.exclaimer.net include:spf2.tibus.net -all"/>
    <s v="yes"/>
    <x v="0"/>
    <m/>
    <m/>
    <m/>
    <x v="16"/>
    <x v="70"/>
    <x v="2"/>
  </r>
  <r>
    <s v="westernalzheimers.ie"/>
    <s v="minus"/>
    <x v="0"/>
    <s v="v=spf1 include:spf.protection.outlook.com ip4:37.27.130.124 ip4:89.204.213.65 ip4:86.42.125.57 -all"/>
    <s v="yes"/>
    <x v="1"/>
    <s v="v=DMARC1; p=quarantine; pct=100; rua=mailto:dmarc@zenotec.ie; ruf=mailto:dmarc@zenotec.ie; fo=1"/>
    <m/>
    <m/>
    <x v="4"/>
    <x v="70"/>
    <x v="2"/>
  </r>
  <r>
    <s v="asavie.com"/>
    <s v="minus"/>
    <x v="0"/>
    <s v="v=spf1 include:servers.mcsv.net include:spf.mandrillapp.com include:spf.protection.outlook.com include:_spf.salesforce.com exists:%{ir}._spf.msdp1.com -all"/>
    <s v="yes"/>
    <x v="2"/>
    <s v="v=DMARC1; p=none"/>
    <m/>
    <m/>
    <x v="0"/>
    <x v="70"/>
    <x v="2"/>
  </r>
  <r>
    <s v="bearingpoint.com"/>
    <s v="minus"/>
    <x v="0"/>
    <s v="v=spf1 include:defaultspf.bearingpoint.com include:spf.protection.outlook.com include:spf.crsend.com include:cmail1.com include:mail.zendesk.com include:spf.mailjet.com ip4:54.240.105.252 ip4:54.240.105.253 -all"/>
    <s v="yes"/>
    <x v="2"/>
    <s v="v=DMARC1; p=none; rua=mailto:dmarc@bearingpoint.com; ruf=mailto:dmarc@bearingpoint.com; fo=1"/>
    <m/>
    <m/>
    <x v="0"/>
    <x v="70"/>
    <x v="2"/>
  </r>
  <r>
    <s v="murphygroup.ie"/>
    <s v="minus"/>
    <x v="0"/>
    <s v="v=spf1 include:spf.protection.outlook.com include:spf-uk.emailsignatures365.com include:authsmtp.com -all"/>
    <s v="yes"/>
    <x v="3"/>
    <s v="v=DMARC1; p=reject; rua=mailto:aymnxs3d@ag.eu.dmarcian.com;"/>
    <m/>
    <m/>
    <x v="16"/>
    <x v="70"/>
    <x v="2"/>
  </r>
  <r>
    <s v="pciservices.com"/>
    <s v="minus"/>
    <x v="0"/>
    <s v="v=spf1 mx include:us._netblocks.mimecast.com include:_spfsub.pciservices.com include:spf.protection.outlook.com include:mktomail.com include:amazonses.com -all"/>
    <s v="yes"/>
    <x v="2"/>
    <s v="v=DMARC1;p=none;pct=10;rua=mailto:dmarcreport@pciservices.com"/>
    <m/>
    <m/>
    <x v="15"/>
    <x v="70"/>
    <x v="2"/>
  </r>
  <r>
    <s v="bridgestock.ie"/>
    <s v="minus"/>
    <x v="0"/>
    <s v="v=spf1 include:spf.protection.outlook.com -all"/>
    <s v="yes"/>
    <x v="1"/>
    <s v="v=DMARC1;p=quarantine;sp=none;adkim=r;aspf=r;pct=100;fo=1;rf=afrf;ri=86400;rua=mailto:ipm5qh6@ar.glockapps.com;ruf=mailto:ipm5qh6@fr.glockapps.com"/>
    <m/>
    <m/>
    <x v="22"/>
    <x v="70"/>
    <x v="2"/>
  </r>
  <r>
    <s v="olivercarty.ie"/>
    <s v="question"/>
    <x v="4"/>
    <s v="v=spf1 include:spf.protection.outlook.com include:spf.avova.ie ?all"/>
    <s v="yes"/>
    <x v="2"/>
    <s v="v=DMARC1; p=none;"/>
    <m/>
    <m/>
    <x v="22"/>
    <x v="70"/>
    <x v="2"/>
  </r>
  <r>
    <s v="bonningtondublin.com"/>
    <s v="tilde"/>
    <x v="1"/>
    <s v="v=spf1 mx a include:spf.protection.outlook.com include:netaffinity.net ~all"/>
    <m/>
    <x v="0"/>
    <m/>
    <m/>
    <m/>
    <x v="0"/>
    <x v="70"/>
    <x v="2"/>
  </r>
  <r>
    <s v="lisheennursinghome.com"/>
    <s v="minus"/>
    <x v="0"/>
    <s v="v=spf1 include:spf.protection.outlook.com -all"/>
    <s v="yes"/>
    <x v="2"/>
    <s v="v=DMARC1; p=none"/>
    <m/>
    <m/>
    <x v="0"/>
    <x v="70"/>
    <x v="2"/>
  </r>
  <r>
    <s v="castleross.ie"/>
    <s v="minus"/>
    <x v="0"/>
    <s v="v=spf1 include:spf.protection.outlook.com mx a -all"/>
    <s v="yes"/>
    <x v="2"/>
    <s v="v=DMARC1; p=none;"/>
    <m/>
    <m/>
    <x v="12"/>
    <x v="70"/>
    <x v="2"/>
  </r>
  <r>
    <s v="cwcwe.ie"/>
    <s v="minus"/>
    <x v="0"/>
    <s v="v=spf1 include:spf.protection.outlook.com include:spf.mailanyone.net -all"/>
    <m/>
    <x v="0"/>
    <m/>
    <m/>
    <m/>
    <x v="3"/>
    <x v="70"/>
    <x v="2"/>
  </r>
  <r>
    <s v="deskellyinteriors.ie"/>
    <s v="minus"/>
    <x v="0"/>
    <s v="v=spf1 +a +mx +ip4:91.210.232.8 include:spf.webhostingireland.ie +ip4:185.43.232.251 +include:spf.protection.outlook.com -all"/>
    <m/>
    <x v="0"/>
    <m/>
    <m/>
    <m/>
    <x v="0"/>
    <x v="70"/>
    <x v="2"/>
  </r>
  <r>
    <s v="mirrorcontrols.com"/>
    <s v="minus"/>
    <x v="0"/>
    <s v="v=spf1 include:spf.protection.outlook.com include:spf-002d6701.pphosted.com include:spf1.mirrorcontrols.com include:spfa.cpmails.com ip4:205.173.129.112 ip4:158.116.232.202 ip4:158.116.214.70 -all"/>
    <s v="yes"/>
    <x v="3"/>
    <s v="v=DMARC1;p=reject;pct=100;aspf=r"/>
    <m/>
    <m/>
    <x v="19"/>
    <x v="70"/>
    <x v="2"/>
  </r>
  <r>
    <s v="johnstonlogistics.ie"/>
    <s v="no"/>
    <x v="2"/>
    <m/>
    <m/>
    <x v="0"/>
    <m/>
    <m/>
    <m/>
    <x v="0"/>
    <x v="70"/>
    <x v="2"/>
  </r>
  <r>
    <s v="ncts.ie"/>
    <s v="minus"/>
    <x v="0"/>
    <s v="v=spf1 mx ip4:91.220.158.230 ip4:91.220.158.229 include:spf.protection.outlook.com include:spf-00592d01.pphosted.com -all"/>
    <s v="yes"/>
    <x v="3"/>
    <s v="v=DMARC1; p=reject; rua=mailto:DMARC@applus.com"/>
    <m/>
    <m/>
    <x v="0"/>
    <x v="70"/>
    <x v="2"/>
  </r>
  <r>
    <s v="puresafe.ie"/>
    <s v="minus"/>
    <x v="0"/>
    <s v="v=spf1 include:spf.protection.outlook.com include:spf.topsec.com -all"/>
    <m/>
    <x v="0"/>
    <m/>
    <m/>
    <m/>
    <x v="0"/>
    <x v="70"/>
    <x v="2"/>
  </r>
  <r>
    <s v="bcfe.ie"/>
    <s v="minus"/>
    <x v="0"/>
    <s v="v=spf1 include:spf.protection.outlook.com -all"/>
    <m/>
    <x v="0"/>
    <m/>
    <m/>
    <m/>
    <x v="0"/>
    <x v="70"/>
    <x v="2"/>
  </r>
  <r>
    <s v="codec.ie"/>
    <s v="minus"/>
    <x v="0"/>
    <s v="v=spf1 ip4:35.189.73.106 include:autotask.net include:spf.protection.outlook.com include:sendgrid.net include:mailgun.org include:514553.spf01.hubspotemail.net -all"/>
    <m/>
    <x v="2"/>
    <s v="v=DMARC1; p=none;"/>
    <m/>
    <m/>
    <x v="0"/>
    <x v="70"/>
    <x v="2"/>
  </r>
  <r>
    <s v="pilz.ie"/>
    <s v="minus"/>
    <x v="0"/>
    <s v="v=spf1 a mx include:spf.de.umantis.com include:spf.protection.outlook.com -all"/>
    <m/>
    <x v="2"/>
    <s v="v=DMARC1; p=none;"/>
    <m/>
    <m/>
    <x v="1"/>
    <x v="70"/>
    <x v="2"/>
  </r>
  <r>
    <s v="mmqualtech.ie"/>
    <s v="minus"/>
    <x v="0"/>
    <s v="v=spf1 include:spf.protection.outlook.com -all"/>
    <s v="yes"/>
    <x v="2"/>
    <s v="v=DMARC1; p=none; rua=mailto:itmail@mmqualtech.ie; ruf=mailto:itmail@mmqualtech.ie; fo=1"/>
    <m/>
    <m/>
    <x v="7"/>
    <x v="70"/>
    <x v="2"/>
  </r>
  <r>
    <s v="mcmahons.ie"/>
    <s v="minus"/>
    <x v="0"/>
    <s v="v=spf1 include:sendgrid.net -all"/>
    <s v="yes"/>
    <x v="2"/>
    <s v="v=DMARC1; p=none;"/>
    <m/>
    <m/>
    <x v="5"/>
    <x v="70"/>
    <x v="2"/>
  </r>
  <r>
    <s v="abb.ie"/>
    <s v="no"/>
    <x v="2"/>
    <m/>
    <m/>
    <x v="0"/>
    <m/>
    <m/>
    <m/>
    <x v="0"/>
    <x v="70"/>
    <x v="2"/>
  </r>
  <r>
    <s v="dmgmedia.ie"/>
    <s v="minus"/>
    <x v="0"/>
    <s v="v=spf1 include:spf.protection.outlook.com include:spf.mandrillapp.com ip4:195.234.243.112 ip4:206.155.87.84 ip4:103.13.71.86 -all"/>
    <s v="yes"/>
    <x v="3"/>
    <s v="v=DMARC1; p=reject; rua=mailto:6c46e6998a6d330@rep.dmarcanalyzer.com; ruf=mailto:6c46e6998a6d330@for.dmarcanalyzer.com; fo=1;"/>
    <m/>
    <m/>
    <x v="0"/>
    <x v="70"/>
    <x v="2"/>
  </r>
  <r>
    <s v="glanbiaconnect.com"/>
    <s v="tilde"/>
    <x v="1"/>
    <s v="v=spf1 include:_netblocks.mimecast.com  ~all"/>
    <m/>
    <x v="2"/>
    <s v="v=DMARC1; p=none; rua=mailto:2a703ea43a3d198@rep.dmarcanalyzer.com; ruf=mailto:2a703ea43a3d198@for.dmarcanalyzer.com; fo=1;"/>
    <m/>
    <m/>
    <x v="0"/>
    <x v="70"/>
    <x v="2"/>
  </r>
  <r>
    <s v="integrity360.com"/>
    <s v="minus"/>
    <x v="0"/>
    <s v="v=spf1 mx ip4:89.101.228.32/27 ip4:87.198.157.192/26 ip4:212.147.151.32/28 include:spf.exclaimer.net include:_spf.salesforce.com include:spf.protection.outlook.com include:_spf.psm.knowbe4.com a:c.spf.service-now.com include:aspmx.pardot.com -all"/>
    <s v="yes"/>
    <x v="1"/>
    <s v="v=DMARC1; p=quarantine; rua=mailto:655c32f99f4e158@rep.dmarcanalyzer.com; ruf=mailto:655c32f99f4e158@for.dmarcanalyzer.com; sp=quarantine; fo=1;"/>
    <m/>
    <m/>
    <x v="0"/>
    <x v="70"/>
    <x v="2"/>
  </r>
  <r>
    <s v="thewestindublin.com"/>
    <s v="minus"/>
    <x v="0"/>
    <s v="v=spf1 include:oracleindustry.com include:microsdc.com include:spf.protection.outlook.com -all"/>
    <m/>
    <x v="0"/>
    <m/>
    <m/>
    <m/>
    <x v="0"/>
    <x v="70"/>
    <x v="2"/>
  </r>
  <r>
    <s v="combico.ie"/>
    <s v="minus"/>
    <x v="0"/>
    <s v="v=spf1 include:spf.protection.outlook.com -all"/>
    <m/>
    <x v="0"/>
    <m/>
    <m/>
    <m/>
    <x v="5"/>
    <x v="70"/>
    <x v="2"/>
  </r>
  <r>
    <s v="claytonhotelssligo.com"/>
    <s v="no"/>
    <x v="2"/>
    <m/>
    <m/>
    <x v="0"/>
    <m/>
    <m/>
    <m/>
    <x v="8"/>
    <x v="70"/>
    <x v="2"/>
  </r>
  <r>
    <s v="bridhaven.ie"/>
    <s v="minus"/>
    <x v="0"/>
    <s v="v=spf1 include:spf.protection.outlook.com ip4:95.45.233.37 -all"/>
    <s v="yes"/>
    <x v="3"/>
    <s v="v=DMARC1; p=reject; rua=mailto:dmarc.reports@bridhaven.ie; ruf=mailto:dmarc.reports@bridhaven.ie; fo=1"/>
    <m/>
    <m/>
    <x v="1"/>
    <x v="71"/>
    <x v="2"/>
  </r>
  <r>
    <s v="seic.com"/>
    <s v="minus"/>
    <x v="0"/>
    <s v="v=spf1 ip4:68.232.137.195 ip4:68.232.153.50 ip4:68.232.135.37 ip4:68.232.129.155 ip4:68.232.141.40 ip4:68.232.135.36 ip4:12.20.48.225 ip4:12.20.48.226 ip4:12.20.48.75 ip4:12.20.48.76 ip4:64.125.66.31 ip4:64.125.66.32 ip4:69.7.239.26 a:spf.peopleclick&quot; &quot;.com include:spf.workfront.com include:wappmail.com include:spfhost.messageprovider.com include:2753049.spf08.hubspotemail.net -all"/>
    <s v="yes"/>
    <x v="1"/>
    <s v="v=DMARC1; p=quarantine; rua=mailto:b34ccf22@mxtoolbox.dmarc-report.com,mailto:dmarcreports@seic.com; ruf=mailto:b34ccf22@forensics.dmarc-report.com; fo=1; pct=100"/>
    <m/>
    <m/>
    <x v="0"/>
    <x v="72"/>
    <x v="2"/>
  </r>
  <r>
    <s v="atkinsglobal.com"/>
    <s v="tilde"/>
    <x v="1"/>
    <s v="v=spf1 ip4:54.240.50.173 ip4:54.240.50.174 ip4:109.228.4.23 ip4:109.228.22.247 ip4:91.207.212.121 ip4:185.132.182.130 ip4:148.163.158.117 ip4:148.163.156.126 include:spf_ldx.taleo.net include:_spfinc1.service-now.com mx:4matnetworks.com include:amazonses.&quot; &quot;com ip4:198.21.0.172 include:spf.protection.outlook.com include:_spf.salesforce.com include:docebosaas.com include:spf-001bd703.pphosted.com ~all"/>
    <s v="yes"/>
    <x v="3"/>
    <s v="v=DMARC1; p=reject; fo=1; rua=mailto:dmarc_rua@atkinsglobal.com; ruf=mailto:dmarc_ruf@atkinsglobal.com"/>
    <m/>
    <m/>
    <x v="0"/>
    <x v="73"/>
    <x v="2"/>
  </r>
  <r>
    <s v="ie.usembassy.gov"/>
    <s v="no"/>
    <x v="2"/>
    <m/>
    <m/>
    <x v="0"/>
    <m/>
    <m/>
    <m/>
    <x v="0"/>
    <x v="74"/>
    <x v="2"/>
  </r>
  <r>
    <s v="datalex.com"/>
    <s v="minus"/>
    <x v="0"/>
    <s v="v=spf1 ip4:80.169.56.0/24 ip4:34.248.121.73 ip4:52.208.165.23 include:spf.protection.outlook.com include:spf.emailsignatures365.com include:servers.mcsv.net include:amazonses.com include:2553593.spf10.hubspotemail.net -all"/>
    <m/>
    <x v="0"/>
    <m/>
    <m/>
    <m/>
    <x v="0"/>
    <x v="74"/>
    <x v="2"/>
  </r>
  <r>
    <s v="calorgas.ie"/>
    <s v="minus"/>
    <x v="0"/>
    <s v="v=spf1 ip4:91.92.29.98/27 ip4:213.228.253.0/25 ip4:83.166.174.128/25 include:spf.protection.outlook.com include:spf.mandrillapp.com include:_spf.eu.messagegears.net include:_spf.psm.knowbe4.com -all"/>
    <s v="yes"/>
    <x v="3"/>
    <s v="v=DMARC1; p=reject; rua=mailto:dmarc_rua@emaildefense.proofpoint.com; ruf=mailto:dmarc_ruf@emaildefense.proofpoint.com"/>
    <m/>
    <m/>
    <x v="0"/>
    <x v="74"/>
    <x v="2"/>
  </r>
  <r>
    <s v="dbfl.ie"/>
    <s v="minus"/>
    <x v="0"/>
    <s v="v=spf1 include:spf.protection.outlook.com -all"/>
    <m/>
    <x v="0"/>
    <m/>
    <m/>
    <m/>
    <x v="0"/>
    <x v="74"/>
    <x v="2"/>
  </r>
  <r>
    <s v="audgen.gov.ie"/>
    <s v="minus"/>
    <x v="0"/>
    <s v="v=spf1 ip4:137.191.249.164 ip4:137.191.249.123 ip4:137.191.249.174 ip4:137.191.249.114 -all"/>
    <m/>
    <x v="0"/>
    <m/>
    <m/>
    <m/>
    <x v="0"/>
    <x v="74"/>
    <x v="2"/>
  </r>
  <r>
    <s v="wesleycollege.ie"/>
    <s v="minus"/>
    <x v="0"/>
    <s v="v=spf1 a mx include:spf1.emailsecurity.app include:spf.protection.outlook.com ip4:190.180.145.98 -all"/>
    <s v="yes"/>
    <x v="2"/>
    <s v="v=DMARC1; p=none;"/>
    <m/>
    <m/>
    <x v="0"/>
    <x v="74"/>
    <x v="2"/>
  </r>
  <r>
    <s v="willowparkjuniorschool.ie"/>
    <s v="minus"/>
    <x v="0"/>
    <s v="v=spf1 include:spf.protection.outlook.com -all"/>
    <m/>
    <x v="0"/>
    <m/>
    <m/>
    <m/>
    <x v="0"/>
    <x v="74"/>
    <x v="2"/>
  </r>
  <r>
    <s v="castleknockhotel.com"/>
    <s v="minus"/>
    <x v="0"/>
    <s v="v=spf1 ip4:66.102.128.96 ip4:91.136.49.203 a mx include:relay.mailchannels.net include:spf.protection.outlook.com include:netaffinity.net include:ireshotels.com -all"/>
    <s v="yes"/>
    <x v="3"/>
    <s v="v=DMARC1;p=reject;pct=0"/>
    <m/>
    <m/>
    <x v="0"/>
    <x v="74"/>
    <x v="2"/>
  </r>
  <r>
    <s v="golden-bake.com"/>
    <s v="minus"/>
    <x v="0"/>
    <s v="v=spf1 include:spf.protection.outlook.com -all"/>
    <s v="yes"/>
    <x v="1"/>
    <s v="v=DMARC1; p=quarantine; rua=mailto:dmarc@golden-bake.com; pct=100"/>
    <m/>
    <m/>
    <x v="0"/>
    <x v="74"/>
    <x v="2"/>
  </r>
  <r>
    <s v="firebird.ie"/>
    <s v="minus"/>
    <x v="0"/>
    <s v="v=spf1 include:spf.protection.outlook.com include:smtp-engine.com -all"/>
    <m/>
    <x v="2"/>
    <s v="v=DMARC1; p=none;"/>
    <m/>
    <m/>
    <x v="1"/>
    <x v="74"/>
    <x v="2"/>
  </r>
  <r>
    <s v="commscope.com"/>
    <s v="minus"/>
    <x v="0"/>
    <s v="v=spf1 exists:%{i}.spf.commscope.iphmx.com ip4:198.135.207.215 ip4:198.135.207.230 ip4:198.135.207.129 ip4:50.31.39.13 ip4:198.135.207.143 ip4:198.135.207.142 ip4:198.135.207.141 ip4:198.90.68.141 ip4:&quot; &quot;198.90.68.142 ip4:198.90.68.143 ip4:35.169.254.90 include:_spf-sfdc.successfactors.com include:_spf-dc4.sapsf.com include:spf.protection.outlook.com include:spf_s1.oraclecloud.com include:&quot; &quot;_spf.centercode.com include:_spf.salesforce.com a:mailers.dovetailnow.com -all"/>
    <s v="yes"/>
    <x v="3"/>
    <s v="v=DMARC1; p=reject; rua=mailto:ryafobpc@ag.us.dmarcian.com;&quot; &quot;"/>
    <m/>
    <m/>
    <x v="0"/>
    <x v="74"/>
    <x v="2"/>
  </r>
  <r>
    <s v="bcd.ie"/>
    <s v="minus"/>
    <x v="0"/>
    <s v="v=spf1 a include:spf.protection.outlook.com -all"/>
    <m/>
    <x v="2"/>
    <s v="v=DMARC1; p=none"/>
    <m/>
    <m/>
    <x v="1"/>
    <x v="74"/>
    <x v="2"/>
  </r>
  <r>
    <s v="magee1866.com"/>
    <s v="minus"/>
    <x v="0"/>
    <s v="v=spf1 mx include:spf.protection.outlook.com include:amazonses.com include:sg.magee1866.com include:azurespf.irpcommerce.com -all"/>
    <s v="yes"/>
    <x v="2"/>
    <s v="v=DMARC1;p=none;rua=mailto:dmarcreports@irpcommerce.com"/>
    <m/>
    <m/>
    <x v="6"/>
    <x v="74"/>
    <x v="2"/>
  </r>
  <r>
    <s v="bemis.com"/>
    <s v="minus"/>
    <x v="0"/>
    <s v="v=spf1 include:spf.protection.outlook.com -all"/>
    <s v="yes"/>
    <x v="3"/>
    <s v="v=DMARC1; p=reject; rua=mailto:46glyn2v@ag.eu.dmarcian.com; ruf=mailto:46glyn2v@fr.eu.dmarcian.com; fo=1;"/>
    <m/>
    <m/>
    <x v="21"/>
    <x v="74"/>
    <x v="2"/>
  </r>
  <r>
    <s v="gsk.ie"/>
    <s v="no"/>
    <x v="2"/>
    <m/>
    <m/>
    <x v="3"/>
    <s v="v=DMARC1; p=reject; rua=mailto:dmarc_rua@emaildefense.proofpoint.com; ruf=mailto:dmarc_ruf@emaildefense.proofpoint.com; fo=1"/>
    <m/>
    <m/>
    <x v="8"/>
    <x v="74"/>
    <x v="2"/>
  </r>
  <r>
    <s v="premierpericlase.ie"/>
    <s v="minus"/>
    <x v="0"/>
    <s v="v=spf1 include:spf.protection.outlook.com -all"/>
    <m/>
    <x v="0"/>
    <m/>
    <m/>
    <m/>
    <x v="2"/>
    <x v="74"/>
    <x v="2"/>
  </r>
  <r>
    <s v="athloneextrusions.ie"/>
    <s v="minus"/>
    <x v="0"/>
    <s v="v=spf1 ip4:154.52.0.132/32 -all"/>
    <m/>
    <x v="0"/>
    <m/>
    <m/>
    <m/>
    <x v="23"/>
    <x v="74"/>
    <x v="2"/>
  </r>
  <r>
    <s v="claytonwhiteshotel.com"/>
    <s v="minus"/>
    <x v="0"/>
    <s v="v=spf1 -all"/>
    <m/>
    <x v="0"/>
    <m/>
    <m/>
    <m/>
    <x v="3"/>
    <x v="74"/>
    <x v="2"/>
  </r>
  <r>
    <s v="earlofdesmond.com"/>
    <s v="tilde"/>
    <x v="1"/>
    <s v="v=spf1 a:dispatch-eu.ppe-hosted.com include:spf-eu.emailsignatures365.com ~all"/>
    <m/>
    <x v="0"/>
    <m/>
    <m/>
    <m/>
    <x v="14"/>
    <x v="74"/>
    <x v="2"/>
  </r>
  <r>
    <s v="adaremanor.com"/>
    <s v="minus"/>
    <x v="0"/>
    <s v="v=spf1 include:spf.protection.outlook.com include:spf.synxis.com include:emaileuc.freshservice.com include:tpced.com include:mailer.shopifyemail.com include:_spf.qualtrics.com -all"/>
    <s v="yes"/>
    <x v="3"/>
    <s v="v=DMARC1;  p=reject; rua=mailto:0ae84ca6bdd0423b8f4922698f7e33a4@dmarc-reports.cloudflare.net"/>
    <m/>
    <m/>
    <x v="5"/>
    <x v="74"/>
    <x v="2"/>
  </r>
  <r>
    <s v="dpd.ie"/>
    <s v="tilde"/>
    <x v="1"/>
    <s v="v=spf1 ip4:82.141.241.25/32 ip4:185.39.164.0/24 ip4:208.50.80.36/32 ip4:195.218.115.55/32 ip4:78.137.191.140/32 ip4:103.28.42.0/24 ip4:146.88.28.0/24 ip4:163.47.180.0/22 ip4:203.55.21.0/24 ip4:204.75.142.0/24 ip4:27.126.146.0/24 include:_spf.salesforce.co&quot; &quot;m include:aspmx.pardot.com include:spf.hornetsecurity.com include:relay.mailchannels.net include:_spf.google.com ~all"/>
    <s v="yes"/>
    <x v="1"/>
    <s v="v=DMARC1; p=quarantine; rua=mailto:kn74omb9@ag.eu.dmarcian.com; ruf=mailto:kn74omb9@ag.eu.dmarcian.com; fo=1;"/>
    <m/>
    <m/>
    <x v="23"/>
    <x v="74"/>
    <x v="2"/>
  </r>
  <r>
    <s v="burnsidehyd.ie"/>
    <s v="minus"/>
    <x v="0"/>
    <s v="v=spf1 a:remote.burnsidehyd.ie ip4:31.217.247.7 ip4:86.43.115.120 a:cleanmail1.deycom.com include:spf.protection.outlook.com -all"/>
    <m/>
    <x v="0"/>
    <m/>
    <m/>
    <m/>
    <x v="25"/>
    <x v="74"/>
    <x v="2"/>
  </r>
  <r>
    <s v="mdoshea.ie"/>
    <s v="minus"/>
    <x v="0"/>
    <s v="v=spf1 ip4:213.233.128.44 ip4:84.51.253.158 ip4:54.247.71.5 include:spf.protection.outlook.com -all"/>
    <m/>
    <x v="0"/>
    <m/>
    <m/>
    <m/>
    <x v="14"/>
    <x v="74"/>
    <x v="2"/>
  </r>
  <r>
    <s v="dublinport.ie"/>
    <s v="minus"/>
    <x v="0"/>
    <s v="v=spf1 mx include:spf.protection.outlook.com ip4:95.83.225.64/28 ip4:144.2.242.240/28 ip4:34.148.101.215 ip4:167.89.51.4 ip4:167.89.60.79 ip4:167.89.60.135 ip4:167.89.60.144 ip4:167.89.59.96 &quot; &quot;ip4:167.89.61.1 ip4:167.89.61.100 ip4:167.89.61.102 ip4:167.89.6.6 ip4:167.89.6.21 ip4:167.89.6.236 ip4:167.89.6.238 ip4:167.89.6.60 ip4:167.89.6.70 ip4:167.89.6.71 ip4:167.89.6.99 ip4:167.89.60.6 &quot; &quot;ip4:167.89.60.16 ip4:167.89.60.25 ip4:167.89.60.29 ip4:167.89.60.171 ip4:167.89.60.221 ip4:167.89.60.242 ip4:167.89.60.244 ip4:167.89.36.85 ip4:167.89.41.201 ip4:168.245.0.8 ip4:168.245.16.11 -all"/>
    <m/>
    <x v="2"/>
    <s v="v=DMARC1; p=none;"/>
    <m/>
    <m/>
    <x v="0"/>
    <x v="75"/>
    <x v="2"/>
  </r>
  <r>
    <s v="microsemi.com"/>
    <s v="minus"/>
    <x v="0"/>
    <s v="v=spf1 exists:%{i}.spf.microchip.iphmx.com -all"/>
    <s v="yes"/>
    <x v="3"/>
    <s v="v=DMARC1; p=reject; fo=1; rua=mailto:n13hm4ov@ag.c1.dmarcian.com; ruf=mailto:n13hm4ov@fr.c1.dmarcian.com;"/>
    <m/>
    <m/>
    <x v="9"/>
    <x v="76"/>
    <x v="2"/>
  </r>
  <r>
    <s v="aircoach.ie"/>
    <s v="minus"/>
    <x v="0"/>
    <s v="v=spf1 include:eu._netblocks.mimecast.com include:cust-spf.exacttarget.com include:spf.theemaillaundry.net ip4:185.19.17.20 ip4:185.19.17.21 include:email-od.com -all"/>
    <m/>
    <x v="2"/>
    <s v="v=DMARC1; p=none"/>
    <m/>
    <m/>
    <x v="0"/>
    <x v="77"/>
    <x v="2"/>
  </r>
  <r>
    <s v="emo.ie"/>
    <s v="minus"/>
    <x v="0"/>
    <s v="v=spf1 include:spf.protection.outlook.com include:_spf.mx.cloudflare.net -all"/>
    <s v="yes"/>
    <x v="3"/>
    <s v="v=DMARC1; p=reject; rua=mailto:dmarc@emo.ie"/>
    <m/>
    <m/>
    <x v="18"/>
    <x v="77"/>
    <x v="2"/>
  </r>
  <r>
    <s v="cjkengineering.ie"/>
    <s v="minus"/>
    <x v="0"/>
    <s v="v=spf1 a mx ip4:185.224.198.57 ip4:217.78.1.157 include:_spf.hetzner.com include:spf.protection.outlook.com include:spfa.cpmails.com -all"/>
    <s v="yes"/>
    <x v="3"/>
    <s v="v=DMARC1; p=reject; pct=100; sp=none; rua=mailto:d9e5b7ac@inbox.ondmarc.com; ruf=mailto:d9e5b7ac@inbox.ondmarc.com; adkim=r; aspf=r; fo=1; rf=afrf; ri=3600"/>
    <m/>
    <m/>
    <x v="0"/>
    <x v="78"/>
    <x v="2"/>
  </r>
  <r>
    <s v="hsa.ie"/>
    <s v="tilde"/>
    <x v="1"/>
    <s v="v=spf1 a mx ip4:68.232.152.249 ip4:68.232.151.208 include:spf.protection.outlook.com ~all"/>
    <s v="yes"/>
    <x v="2"/>
    <s v="v=DMARC1; p=none; pct=100; rua=mailto:a.m6ewdxy3@sdmarc.net"/>
    <m/>
    <m/>
    <x v="0"/>
    <x v="79"/>
    <x v="2"/>
  </r>
  <r>
    <s v="phillipsmedizise.com"/>
    <s v="no"/>
    <x v="2"/>
    <m/>
    <m/>
    <x v="0"/>
    <m/>
    <m/>
    <m/>
    <x v="8"/>
    <x v="80"/>
    <x v="2"/>
  </r>
  <r>
    <s v="met.ie"/>
    <s v="minus"/>
    <x v="0"/>
    <s v="v=spf1 ip4:137.191.237.80/28 ip4:137.191.228.112/28 include:spf.protection.outlook.com -all"/>
    <s v="yes"/>
    <x v="1"/>
    <s v="v=DMARC1; p=quarantine; rua=mailto:itops@met.ie; ruf=mailto:itops@met.ie; fo=1;"/>
    <m/>
    <m/>
    <x v="0"/>
    <x v="81"/>
    <x v="2"/>
  </r>
  <r>
    <s v="eurocarparks.ie"/>
    <s v="tilde"/>
    <x v="1"/>
    <s v="v=spf1 a:mail.eurocarparks.com include:spf.protection.outlook.com include:spf.exclaimer.net ip4:78.153.209.39 ip4:78.153.212.247 ~all"/>
    <s v="yes"/>
    <x v="1"/>
    <s v="v=DMARC1; p=quarantine; pct=100; rua=mailto:dmarc@eurocarparks.ie; ruf=mailto:dmarc@eurocarparks.ie; fo=1; sp=reject;"/>
    <m/>
    <m/>
    <x v="0"/>
    <x v="82"/>
    <x v="2"/>
  </r>
  <r>
    <s v="olearyinternational.com"/>
    <s v="minus"/>
    <x v="0"/>
    <s v="v=spf1 include:spf.protection.outlook.com -all"/>
    <s v="yes"/>
    <x v="2"/>
    <s v="v=DMARC1; p=none; fo=1"/>
    <m/>
    <m/>
    <x v="3"/>
    <x v="82"/>
    <x v="2"/>
  </r>
  <r>
    <s v="goreycs.ie"/>
    <s v="minus"/>
    <x v="0"/>
    <s v="v=spf1 ip4:217.115.115.247 include:relay.mailchannels.net +a +mx +include:spf.protection.outlook.com -all"/>
    <s v="yes"/>
    <x v="0"/>
    <m/>
    <m/>
    <m/>
    <x v="3"/>
    <x v="82"/>
    <x v="2"/>
  </r>
  <r>
    <s v="gresham-hotels.com"/>
    <s v="minus"/>
    <x v="0"/>
    <s v="v=spf1 a mx include:spf.joopbox.com a:www.gresham-hotels.com a:gresham-hotels.com -all"/>
    <m/>
    <x v="2"/>
    <s v="v=DMARC1; p=none;  fo=1; rua=mailto:mailto:dmarc_rua@emaildefense.proofpoint.com; ruf=mailto:dmarc_ruf@emaildefense.proofpoint.com;"/>
    <m/>
    <m/>
    <x v="0"/>
    <x v="82"/>
    <x v="2"/>
  </r>
  <r>
    <s v="kellys.ie"/>
    <s v="minus"/>
    <x v="0"/>
    <s v="v=spf1 mx a include:spf.protection.outlook.com -all"/>
    <s v="yes"/>
    <x v="2"/>
    <s v="v=DMARC1; p=none;"/>
    <m/>
    <m/>
    <x v="3"/>
    <x v="82"/>
    <x v="2"/>
  </r>
  <r>
    <s v="caraghprecision.ie"/>
    <s v="no"/>
    <x v="2"/>
    <m/>
    <m/>
    <x v="0"/>
    <m/>
    <m/>
    <m/>
    <x v="7"/>
    <x v="82"/>
    <x v="2"/>
  </r>
  <r>
    <s v="quigleys.ie"/>
    <s v="tilde"/>
    <x v="1"/>
    <s v="v=spf1 include:spf0101.titan.email ~all"/>
    <s v="yes"/>
    <x v="2"/>
    <s v="v=DMARC1;  p=none; rua=mailto:8711acf2fe274b7aa4f2e159b505db49@dmarc-reports.cloudflare.net"/>
    <m/>
    <m/>
    <x v="13"/>
    <x v="82"/>
    <x v="2"/>
  </r>
  <r>
    <s v="wright.com"/>
    <s v="tilde"/>
    <x v="1"/>
    <s v="v=spf1 mx include:spf.messagelabs.com include:amazonses.com include:spf.protection.outlook.com Include:spf.constantcontact.com  ~all"/>
    <s v="yes"/>
    <x v="1"/>
    <s v="v=DMARC1; p=quarantine; pct=100; rua=mailto:o365migrationteam@wright.com"/>
    <m/>
    <m/>
    <x v="1"/>
    <x v="82"/>
    <x v="2"/>
  </r>
  <r>
    <s v="trendtechnologies.com"/>
    <s v="tilde"/>
    <x v="1"/>
    <s v="v=spf1 ip4:12.22.172.10 include:spf.protection.outlook.com ~all"/>
    <s v="yes"/>
    <x v="0"/>
    <m/>
    <m/>
    <m/>
    <x v="23"/>
    <x v="82"/>
    <x v="2"/>
  </r>
  <r>
    <s v="cabracastle.com"/>
    <s v="tilde"/>
    <x v="1"/>
    <s v="v=spf1 ip4:159.134.118.171 ip4:193.187.69.111 ip4:193.187.69.112 ip6:2a01:111:f400::/48 include:spf.protection.outlook.com include:ireshotels.com ~all"/>
    <s v="yes"/>
    <x v="2"/>
    <s v="v=DMARC1; p=none;"/>
    <m/>
    <m/>
    <x v="11"/>
    <x v="82"/>
    <x v="2"/>
  </r>
  <r>
    <s v="abbvie.com"/>
    <s v="tilde"/>
    <x v="1"/>
    <s v="v=spf1 include:_u.abbvie.com._spf.smart.ondmarc.com ~all"/>
    <s v="yes"/>
    <x v="1"/>
    <s v="v=DMARC1; p=quarantine; fo=1; ri=3600; rua=mailto:4a915a0c@inbox.ondmarc.com,mailto:abbvie@rua.dmp.cisco.com; ruf=mailto:4a915a0c@inbox.ondmarc.com,mailto:abbvie@ruf.dmp.cisco.com"/>
    <m/>
    <m/>
    <x v="1"/>
    <x v="82"/>
    <x v="2"/>
  </r>
  <r>
    <s v="mcelhinneys.com"/>
    <s v="mis"/>
    <x v="3"/>
    <s v="google-site-verification=jUNLpMILOS8-zL1LFkUUo2EP9HlLRbtfAHGm1qPAxjcppe-bcedb09a9d1864bdbd21a5ad7ee1aa57dc5e9393v=spf1 include:spf.protection.outlook.com include:mail.zendesk.com include:amazoneses.com -allMS=ms34236425klaviyo-site-verification=S8Dcdyload&quot; &quot;erio=a488b31c5cff061417fed896e7ddaa85facebook-domain-verification=b2pt7po5luk78purb4q9vaoj7g987lgoogle-site-verification=yvlhIHmm_CqdZGxdeSn1OPtCpUzI7LyQ86igaeyjc6o"/>
    <s v="yes"/>
    <x v="2"/>
    <s v="v=DMARC1; p=none;"/>
    <m/>
    <m/>
    <x v="6"/>
    <x v="82"/>
    <x v="2"/>
  </r>
  <r>
    <s v="breaffyhouseresort.com"/>
    <s v="minus"/>
    <x v="0"/>
    <s v="v=spf1 include:spf.premiersoftware.co.uk include:sendgrid.net include:spf.protection.outlook.com include:netaffinity.net include:authsmtp.com ip4:52.166.124.85 ip4:13.95.238.103 ip4:13.95.235.106 ip4:13.95.233.171 ip4:52.233.191.178 ip4:13.95.236.16 &quot; &quot;ip4:13.95.238.208 ip4:13.95.233.20 -all"/>
    <s v="yes"/>
    <x v="2"/>
    <s v="v=DMARC1; p=none;"/>
    <m/>
    <m/>
    <x v="4"/>
    <x v="82"/>
    <x v="2"/>
  </r>
  <r>
    <s v="obriensfoods.ie"/>
    <s v="no"/>
    <x v="2"/>
    <m/>
    <m/>
    <x v="0"/>
    <m/>
    <m/>
    <m/>
    <x v="23"/>
    <x v="82"/>
    <x v="2"/>
  </r>
  <r>
    <s v="marine.ie"/>
    <s v="minus"/>
    <x v="0"/>
    <s v="v=spf1 ip4:3.123.206.219 ip4:3.68.129.51 ip4:193.1.186.252 ip4:193.1.186.229 ip4:34.246.32.25 include:marineinst.onmicrosoft.com&quot; &quot; include:spf.topsec.com include:servers.mcsv.net include:spf.protection.outlook.com -all"/>
    <s v="yes"/>
    <x v="1"/>
    <s v="v=DMARC1; p=quarantine; rua=mailto:administrator@marine.ie; ruf=mailto:administrator@marine.ie"/>
    <m/>
    <m/>
    <x v="7"/>
    <x v="82"/>
    <x v="2"/>
  </r>
  <r>
    <s v="nsai.ie"/>
    <s v="minus"/>
    <x v="0"/>
    <s v="v=spf1 ip4:137.191.233.72 ip4:74.112.70.47 a:gw000140-eu.fortimail.com a:www.nsainep.ie include:spf.protection.outlook.com -all"/>
    <s v="yes"/>
    <x v="2"/>
    <s v="v=DMARC1; p=none; rua=mailto:sys.admin@nsai.ie; ruf=mailto:sys.admin@nsai.ie;"/>
    <m/>
    <m/>
    <x v="0"/>
    <x v="82"/>
    <x v="2"/>
  </r>
  <r>
    <s v="kefron.ie"/>
    <s v="tilde"/>
    <x v="1"/>
    <s v="v=spf1 include:_u.kefron.ie._spf.smart.ondmarc.com ~all"/>
    <s v="yes"/>
    <x v="3"/>
    <s v="v=DMARC1; p=reject; pct=100; sp=reject; rua=mailto:7c8e3696@inbox.ondmarc.com; ruf=mailto:7c8e3696@inbox.ondmarc.com; adkim=r; aspf=r; fo=1; rf=afrf; ri=3600"/>
    <m/>
    <m/>
    <x v="0"/>
    <x v="82"/>
    <x v="2"/>
  </r>
  <r>
    <s v="mchale.net"/>
    <s v="tilde"/>
    <x v="1"/>
    <s v="v=spf1 include:_u.mchale.net._spf.smart.ondmarc.com ~all"/>
    <s v="yes"/>
    <x v="3"/>
    <s v="v=DMARC1; p=reject; pct=100; sp=reject; rua=mailto:f9f2bb7b@inbox.ondmarc.com; ruf=mailto:f9f2bb7b@inbox.ondmarc.com; adkim=s; aspf=r; fo=1; rf=afrf; ri=3600"/>
    <s v="yes"/>
    <s v="https://vmc.digicert.com/79567724-dcc5-4d02-8680-c453d1831358.svg"/>
    <x v="4"/>
    <x v="82"/>
    <x v="2"/>
  </r>
  <r>
    <s v="helsinn.com"/>
    <s v="minus"/>
    <x v="0"/>
    <s v="v=spf1 mx ip4:24.38.42.242 ip4:188.213.130.170 ip4:195.15.241.241 exists:%{i}.spf.hc1307-17.eu.iphmx.com include:spf.protection.outlook.com include:_spf.ch.xurrent.qa include:_spf.ch.xurrent.com -all"/>
    <s v="yes"/>
    <x v="2"/>
    <s v="v=DMARC1; p=none; rua=mailto:dmarc-aggregate@helsinn.com; ruf=mailto:dmarc-forensic@helsinn.com; fo=1; pct=50; adkim=s; aspf=s"/>
    <m/>
    <m/>
    <x v="0"/>
    <x v="82"/>
    <x v="2"/>
  </r>
  <r>
    <s v="eirgen.com"/>
    <s v="tilde"/>
    <x v="1"/>
    <s v="v=spf1 include:edgepilot.com ~all"/>
    <s v="yes"/>
    <x v="2"/>
    <s v="v=DMARC1; p=none; rua=mailto:dmarc_agg@vali.email"/>
    <m/>
    <m/>
    <x v="10"/>
    <x v="82"/>
    <x v="2"/>
  </r>
  <r>
    <s v="campion.com"/>
    <s v="minus"/>
    <x v="0"/>
    <s v="v=spf1 include:de._netblocks.mimecast.com include:spf.protection.outlook.com ip4:136.244.107.65 ip4:40.113.71.36 ip4:77.107.209.136/29 ip4:77.107.237.24/29 ip4:52.169.83.229 ip4:217.163.52.252 ip4:82.141.221.115 ip4:86.44.28.243 include:_spf.elastice&quot; &quot;mail.com include:appliedexch.co.uk  include:turbo-smtp.com -all"/>
    <m/>
    <x v="2"/>
    <s v="v=DMARC1; p=none;"/>
    <m/>
    <m/>
    <x v="18"/>
    <x v="83"/>
    <x v="2"/>
  </r>
  <r>
    <s v="tif.ie"/>
    <s v="no"/>
    <x v="2"/>
    <m/>
    <m/>
    <x v="0"/>
    <m/>
    <m/>
    <m/>
    <x v="0"/>
    <x v="84"/>
    <x v="2"/>
  </r>
  <r>
    <s v="henryjlyons.com"/>
    <s v="minus"/>
    <x v="0"/>
    <s v="v=spf1 include:_spf.google.com include:spf.protection.outlook.com -all"/>
    <s v="yes"/>
    <x v="1"/>
    <s v="v=DMARC1; p=quarantine; rua=mailto:dmarc@hjlyons.com; ruf=mailto:dmarc@hjlyons.com; fo=1"/>
    <m/>
    <m/>
    <x v="0"/>
    <x v="84"/>
    <x v="2"/>
  </r>
  <r>
    <s v="sumitrustgas.com"/>
    <s v="minus"/>
    <x v="0"/>
    <s v="v=spf1 include:spf-005bc801.pphosted.com ip4:54.229.2.165 ip4:52.30.130.201 -all"/>
    <m/>
    <x v="1"/>
    <s v="v=DMARC1; p=quarantine; rua=mailto:postmaster@sumitrustgas.com"/>
    <m/>
    <m/>
    <x v="0"/>
    <x v="84"/>
    <x v="2"/>
  </r>
  <r>
    <s v="tii.ie"/>
    <s v="minus"/>
    <x v="0"/>
    <s v="v=spf1 a:scanscope.net ip4:137.191.242.6 ip4:137.191.242.7 ip4:51.140.50.9 a:smtp1.scanscope.net a:smtp2.scanscope.net a:smtp2-delivery.scanscope.net include:spf.protection.outlook.com include:spf.scanscope.net -all"/>
    <m/>
    <x v="2"/>
    <s v="v=DMARC1; p=none; rua=mailto:qz5gx8qe@ag.eu.dmarcian.com; ruf=mailto:qz5gx8qe@fr.eu.dmarcian.com;"/>
    <m/>
    <m/>
    <x v="0"/>
    <x v="84"/>
    <x v="2"/>
  </r>
  <r>
    <s v="hayfieldmanor.ie"/>
    <s v="minus"/>
    <x v="0"/>
    <s v="v=spf1 include:oracleindustry.com include:netaffinity.net include:spf.protection.outlook.com include:spf.mandrillapp.com IP4:212.227.20.69 IP4:159.134.194.146 IP4:87.198.174.211 -all"/>
    <s v="yes"/>
    <x v="2"/>
    <s v="v=DMARC1; p=none; fo=1; rua=mailto:rua+hayfieldmanor.ie@dmarc.barracudanetworks.com; ruf=mailto:ruf+hayfieldmanor.ie@dmarc.barracudanetworks.com"/>
    <m/>
    <m/>
    <x v="1"/>
    <x v="84"/>
    <x v="2"/>
  </r>
  <r>
    <s v="theconnacht.ie"/>
    <s v="minus"/>
    <x v="0"/>
    <s v="v=spf1 include:spf.protection.outlook.com include:_spf.bookassist.com -all"/>
    <s v="yes"/>
    <x v="2"/>
    <s v="v=DMARC1; p=none"/>
    <m/>
    <m/>
    <x v="7"/>
    <x v="84"/>
    <x v="2"/>
  </r>
  <r>
    <s v="strandlimerick.ie"/>
    <s v="minus"/>
    <x v="0"/>
    <s v="v=spf1 include:spf.protection.outlook.com Include:_spf.salesforce.comt include:spf.mandrillapp.com -all"/>
    <s v="yes"/>
    <x v="1"/>
    <s v="v=DMARC1; p=quarantine; pct=100; fo=1; rua=mailto:dmarc@strandlimerick.ie; ruf=mailto:dmarc@strandlimerick.ie"/>
    <m/>
    <m/>
    <x v="5"/>
    <x v="84"/>
    <x v="2"/>
  </r>
  <r>
    <s v="powerscourthotel.com"/>
    <s v="minus"/>
    <x v="0"/>
    <s v="v=spf1 include:netaffinity.net include:marriott.com Include _spf.salesforce.com include:spf.protection.outlook.com include:spf.premiersoftware.co.uk include:spf.mandrillapp.com  ip4:162.130.0.0/16 ip4:185.122.134.242 ip4:213.70.228.0/24 -all"/>
    <s v="yes"/>
    <x v="2"/>
    <s v="v=DMARC1; p=none; rua=mailto:dmarc@powerscourthotel.com"/>
    <m/>
    <m/>
    <x v="24"/>
    <x v="84"/>
    <x v="2"/>
  </r>
  <r>
    <s v="burnside.ie"/>
    <s v="minus"/>
    <x v="0"/>
    <s v="v=spf1 a:webmail.burnside.ie ip4:86.43.103.206 ip4:31.217.247.30 include:spf.ess.de.barracudanetworks.com a:cleanmail1.deycom.com -all"/>
    <s v="yes"/>
    <x v="2"/>
    <s v="v=dmarc1 p=none"/>
    <m/>
    <m/>
    <x v="25"/>
    <x v="84"/>
    <x v="2"/>
  </r>
  <r>
    <s v="pemnet.com"/>
    <s v="minus"/>
    <x v="0"/>
    <s v="v=spf1 ip4:40.92.0.0/15 ip4:51.4.72.0/24 ip4:51.5.72.0/24 ip4:51.5.80.0/27 ip4:51.4.80.0/27 ip4:66.102.0.0/20 ip4:74.125.0.0/16 ip4:35.191.0.0/16 ip4:167.89.0.0/17 ip4:54.240.0.0/18 ip4:40.107.0.0/16 ip4:52.100.0.0/14 ip4:104.47.0.0/17 ip4:3.93.157.0/24 i&quot; &quot;p4:63.128.21.0/24 ip4:66.249.80.0/20 ip4:72.14.192.0/18 ip4:108.177.8.0/21 ip4:173.194.0.0/16 ip4:172.217.0.0/19 ip4:130.211.0.0/22 ip4:104.236.121.25 include:_spf0000000.pemnet.com -all"/>
    <m/>
    <x v="2"/>
    <s v="v=DMARC1; p=none; rua=mailto:dcdaab6c62ea556@rep.dmarcanalyzer.com; ruf=mailto:dcdaab6c62ea556@for.dmarcanalyzer.com; fo=1;"/>
    <m/>
    <m/>
    <x v="7"/>
    <x v="84"/>
    <x v="2"/>
  </r>
  <r>
    <s v="gallaghersbakery.ie"/>
    <s v="tilde"/>
    <x v="1"/>
    <s v="v=spf1 include:eu._netblocks.mimecast.com ~all"/>
    <m/>
    <x v="2"/>
    <s v="v=DMARC1; p=none; rua=mailto:admin@gallaghersbakery.ie; ruf=mailto:admin@gallaghersbakery.ie; fo=1;"/>
    <m/>
    <m/>
    <x v="6"/>
    <x v="84"/>
    <x v="2"/>
  </r>
  <r>
    <s v="mdfosb.com"/>
    <s v="minus"/>
    <x v="0"/>
    <s v="v=spf1 include:spf.protection.outlook.com include:spf.topsec.com include:customers.clickdimensions.com include:mailgun.org ip4:93.94.118.243 -all"/>
    <s v="yes"/>
    <x v="3"/>
    <s v="v=DMARC1;p=reject;sp=reject;rua=mailto:211a5a2e44@rua.easydmarc.eu;ruf=mailto:211a5a2e44@ruf.easydmarc.eu;fo=1"/>
    <m/>
    <m/>
    <x v="10"/>
    <x v="84"/>
    <x v="2"/>
  </r>
  <r>
    <s v="silverhillduck.com"/>
    <s v="minus"/>
    <x v="0"/>
    <s v="v=spf1 +a +mx include:relay.mailchannels.net include:spf.protection.outlook.com include:_spf.silverhillduck_com._d.easydmarc.pro -all"/>
    <s v="yes"/>
    <x v="2"/>
    <s v="v=DMARC1; p=none; rua=mailto:admin@silverhillduck.com,mailto:3aa244375d@rua.easydmarc.eu; ruf=mailto:3aa244375d@ruf.easydmarc.eu; fo=1;"/>
    <m/>
    <m/>
    <x v="12"/>
    <x v="84"/>
    <x v="2"/>
  </r>
  <r>
    <s v="ohshima.ie"/>
    <s v="minus"/>
    <x v="0"/>
    <s v="v=spf1 include:spf.protection.outlook.com include:spf.hornetsecurity.com -all"/>
    <m/>
    <x v="0"/>
    <m/>
    <m/>
    <m/>
    <x v="0"/>
    <x v="84"/>
    <x v="2"/>
  </r>
  <r>
    <s v="mergon.com"/>
    <s v="minus"/>
    <x v="0"/>
    <s v="v=spf1 include:spf.protection.outlook.com include:sendgrid.net include:emaileuc.freshservice.com include:fdspfus.freshemail.io include:spf.emailsignatures365.com -all"/>
    <s v="yes"/>
    <x v="0"/>
    <m/>
    <m/>
    <m/>
    <x v="23"/>
    <x v="84"/>
    <x v="2"/>
  </r>
  <r>
    <s v="ferrycarrighotel.ie"/>
    <s v="minus"/>
    <x v="0"/>
    <s v="v=spf1 a include:netaffinity.net include:spf.protection.outlook.com include:spf.mtasv.net ip4:89.101.237.178 ip4:46.245.209.97 ip4:78.153.203.202 ip4:81.17.250.62 -all"/>
    <m/>
    <x v="0"/>
    <m/>
    <m/>
    <m/>
    <x v="3"/>
    <x v="84"/>
    <x v="2"/>
  </r>
  <r>
    <s v="glanagua.ie"/>
    <s v="minus"/>
    <x v="0"/>
    <s v="v=spf1 include:spf.protection.outlook.com -all"/>
    <m/>
    <x v="0"/>
    <m/>
    <m/>
    <m/>
    <x v="7"/>
    <x v="84"/>
    <x v="2"/>
  </r>
  <r>
    <s v="walk.ie"/>
    <s v="minus"/>
    <x v="0"/>
    <s v="v=spf1 +ip4:185.43.232.7 +include:spf.protection.outlook.com +include:authsmtp.com -all"/>
    <s v="yes"/>
    <x v="0"/>
    <m/>
    <m/>
    <m/>
    <x v="0"/>
    <x v="84"/>
    <x v="2"/>
  </r>
  <r>
    <s v="mslengineering.ie"/>
    <s v="tilde"/>
    <x v="1"/>
    <s v="v=spf1 a include:spf.protection.outlook.com ~all"/>
    <s v="yes"/>
    <x v="1"/>
    <s v="v=DMARC1; p=quarantine; fo=1; rua=mailto:dmarc@mslengineering.ie; ruf=mailto:dmarc@mslengineering.ie"/>
    <m/>
    <m/>
    <x v="1"/>
    <x v="84"/>
    <x v="2"/>
  </r>
  <r>
    <s v="bwg.ie"/>
    <s v="minus"/>
    <x v="0"/>
    <s v="v=spf1 mx a ip4:185.36.185.49 ip4:89.204.240.170 ip4:198.160.61.253 ip4:74.205.73.77 include:spf.protection.outlook.com include:spf.mandrillapp.com include:spf-a.authsmtp.com include:eu-west-1.amazonses.com&quot; &quot;include:spf.odmad.quest-on-demand.com include:spf.eu.odmad.quest-on-demand.com -all"/>
    <s v="yes"/>
    <x v="0"/>
    <m/>
    <m/>
    <m/>
    <x v="0"/>
    <x v="84"/>
    <x v="2"/>
  </r>
  <r>
    <s v="johnstownestate.com"/>
    <s v="no"/>
    <x v="2"/>
    <m/>
    <m/>
    <x v="0"/>
    <m/>
    <m/>
    <m/>
    <x v="15"/>
    <x v="84"/>
    <x v="2"/>
  </r>
  <r>
    <s v="bancrete.com"/>
    <s v="minus"/>
    <x v="0"/>
    <s v="v=spf1 include:spf.protection.outlook.com -all"/>
    <m/>
    <x v="0"/>
    <m/>
    <m/>
    <m/>
    <x v="21"/>
    <x v="84"/>
    <x v="2"/>
  </r>
  <r>
    <s v="secureall.ie"/>
    <s v="tilde"/>
    <x v="1"/>
    <s v="v=spf1 ip4:185.43.232.10 include:spf.webhostingireland.ie ip4:81.17.241.230 +mx +a ~all"/>
    <s v="yes"/>
    <x v="2"/>
    <s v="v=DMARC1; p=none;"/>
    <m/>
    <m/>
    <x v="7"/>
    <x v="85"/>
    <x v="2"/>
  </r>
  <r>
    <s v="ltts.ie"/>
    <s v="tilde"/>
    <x v="1"/>
    <s v="v=spf1 mx include:_spf.lufthansa.com ~all"/>
    <m/>
    <x v="1"/>
    <s v="v=DMARC1; p=quarantine; fo=1; ri=3600; rua=mailto:lufthansa@rua.agari.com"/>
    <m/>
    <m/>
    <x v="9"/>
    <x v="85"/>
    <x v="2"/>
  </r>
  <r>
    <s v="beauchamps.ie"/>
    <s v="minus"/>
    <x v="0"/>
    <s v="v=spf1 include:eu._netblocks.mimecast.com include:spf.eu.signature365.net include:spf.zohomail360.eu include:_spf.psm.knowbe4.com ip4:5.61.115.64/28 ip4:212.84.45.11 -all"/>
    <s v="yes"/>
    <x v="3"/>
    <s v="v=DMARC1;p=reject;sp=reject;pct=100;rua=mailto:cc789e6eee@rua.easydmarc.eu;ruf=mailto:cc789e6eee@ruf.easydmarc.eu;ri=86400;fo=1;"/>
    <m/>
    <m/>
    <x v="0"/>
    <x v="86"/>
    <x v="2"/>
  </r>
  <r>
    <s v="theauthenticfoodco.com"/>
    <s v="no"/>
    <x v="2"/>
    <m/>
    <m/>
    <x v="0"/>
    <m/>
    <m/>
    <m/>
    <x v="2"/>
    <x v="86"/>
    <x v="2"/>
  </r>
  <r>
    <s v="openjawtech.com"/>
    <s v="tilde"/>
    <x v="1"/>
    <s v="v=spf1 include:spf1.openjawtech.com include:spf2.openjawtech.com include:_spf.dotplex.com ~all"/>
    <s v="yes"/>
    <x v="0"/>
    <m/>
    <m/>
    <m/>
    <x v="0"/>
    <x v="86"/>
    <x v="2"/>
  </r>
  <r>
    <s v="abbvie.ie"/>
    <s v="minus"/>
    <x v="0"/>
    <s v="v=spf1 include:_u.abbvie.ie._spf.smart.ondmarc.com -all"/>
    <m/>
    <x v="3"/>
    <s v="v=DMARC1; p=reject; fo=1; ri=3600; rua=mailto:4a915a0c@inbox.ondmarc.com,mailto:abbvie@rua.dmp.cisco.com; ruf=mailto:4a915a0c@inbox.ondmarc.com,mailto:abbvie@ruf.dmp.cisco.com"/>
    <m/>
    <m/>
    <x v="8"/>
    <x v="86"/>
    <x v="2"/>
  </r>
  <r>
    <s v="burnside-eurocyl.com"/>
    <s v="tilde"/>
    <x v="1"/>
    <s v="v=spf1 a:mail.burnside-eurocyl.com include:spf.relay.blacknight.com ~all"/>
    <m/>
    <x v="0"/>
    <m/>
    <m/>
    <m/>
    <x v="25"/>
    <x v="87"/>
    <x v="2"/>
  </r>
  <r>
    <s v="danone.com"/>
    <s v="tilde"/>
    <x v="1"/>
    <s v="v=spf1 include:%{ir}.%{v}.%{d}.spf.has.pphosted.com ~all"/>
    <s v="yes"/>
    <x v="1"/>
    <s v="v=DMARC1; p=quarantine; sp=reject; fo=1; rua=mailto:dmarc_rua@emaildefense.proofpoint.com; ruf=mailto:dmarc_ruf@emaildefense.proofpoint.com"/>
    <m/>
    <m/>
    <x v="1"/>
    <x v="87"/>
    <x v="2"/>
  </r>
  <r>
    <s v="kilkennyshop.com"/>
    <s v="question"/>
    <x v="4"/>
    <s v="V=SPF1 A INCLUDE:SPF.MANDRILLAPP.COM include:amazonses.com ?ALL"/>
    <s v="yes"/>
    <x v="2"/>
    <s v="v=DMARC1;  p=none; rua=mailto:53ce1e28f1eb4e41b9d75c4162b1b49b@dmarc-reports.cloudflare.net"/>
    <m/>
    <m/>
    <x v="14"/>
    <x v="88"/>
    <x v="2"/>
  </r>
  <r>
    <s v="msd.ie"/>
    <s v="minus"/>
    <x v="0"/>
    <s v="v=spf1 include:spf1.merck.com -all"/>
    <s v="yes"/>
    <x v="3"/>
    <s v="v=DMARC1; p=reject; fo=1; ri=3600; rua=mailto:merck@rua.agari.com; ruf=mailto:merck@ruf.agari.com"/>
    <m/>
    <m/>
    <x v="0"/>
    <x v="89"/>
    <x v="2"/>
  </r>
  <r>
    <s v="cregg.ie"/>
    <s v="tilde"/>
    <x v="1"/>
    <s v="v=spf1 ip4:209.124.66.26 include:spf.a2hosting.com ip4:91.210.235.23 include:spf.webhostingireland.ie include:spamtitan.tierneys.ie include:spf.protection.outlook.com include:_spf.bullhornmail.com ~all"/>
    <s v="yes"/>
    <x v="2"/>
    <s v="v=DMARC1; p=none;"/>
    <m/>
    <m/>
    <x v="9"/>
    <x v="90"/>
    <x v="2"/>
  </r>
  <r>
    <s v="publicjobs.ie"/>
    <s v="minus"/>
    <x v="0"/>
    <s v="v=spf1 ip4:137.191.244.231 ip4:137.191.229.38 ip4:137.191.229.42 include:spf.protection.outlook.com -all"/>
    <s v="yes"/>
    <x v="1"/>
    <s v="v=DMARC1; p=quarantine; rua=mailto:dmarcalerts@publicjobs.ie;"/>
    <m/>
    <m/>
    <x v="0"/>
    <x v="90"/>
    <x v="2"/>
  </r>
  <r>
    <s v="arachas.ie"/>
    <s v="tilde"/>
    <x v="1"/>
    <s v="v=spf1 mx a include:spf.protection.outlook.com include:spf.exclaimer.net include:sendgrid.net include:_spf.samanage.com include:_spf.salesforce.com include:spf.constantcontact.com ip4:209.206.12.35 ip4:209.206.12.81 ip4:185.5.241.121 ~all"/>
    <s v="yes"/>
    <x v="2"/>
    <s v="v=DMARC1; p=none; pct=100; sp=none; rua=mailto:619e290c@inbox.ondmarc.com,mailto:a.yjdguszt@sdmarc.net,mailto:dmarcreports@arachas.ie; ruf=mailto:619e290c@inbox.ondmarc.com; adkim=s; aspf=s; fo=1; rf=afrf; ri=3600"/>
    <m/>
    <m/>
    <x v="0"/>
    <x v="90"/>
    <x v="2"/>
  </r>
  <r>
    <s v="chill.ie"/>
    <s v="minus"/>
    <x v="0"/>
    <s v="v=spf1 include:spf1.chill.ie include:spf2.chill.ie include:appliedexch.co.uk include:spf.protection.outlook.com include:spf.eu.exclaimer.net -all"/>
    <s v="yes"/>
    <x v="1"/>
    <s v="v=DMARC1; p=quarantine; sp= quarantine; fo=1; rua=mailto:dmarc_rua@emaildefense.proofpoint.com,mailto:dmarc_agg@vali.email; ruf=mailto:dmarc_ruf@emaildefense.proofpoint.com"/>
    <m/>
    <m/>
    <x v="0"/>
    <x v="90"/>
    <x v="2"/>
  </r>
  <r>
    <s v="trumphotelcollection.com"/>
    <s v="tilde"/>
    <x v="1"/>
    <s v="v=spf1 ip4:69.25.15.0/24 ip4:63.251.151.0/24 ip4:24.120.62.250 include:_spf.google.com mx mx:mx1.cdcservices.com mx:mx2.cdcservices.com mx:mx3.cdcservices.com mx:mx5.cdcservices.com mx:mx6.cdcservices.com a:aceradon.com ~all"/>
    <m/>
    <x v="0"/>
    <m/>
    <m/>
    <m/>
    <x v="9"/>
    <x v="90"/>
    <x v="2"/>
  </r>
  <r>
    <s v="wine.ie"/>
    <s v="tilde"/>
    <x v="1"/>
    <s v="v=spf1 include:_u.wine.ie._spf.smart.ondmarc.com ~all"/>
    <s v="yes"/>
    <x v="3"/>
    <s v="v=DMARC1; p=reject; pct=100; sp=none; rua=mailto:c2276c5a@inbox.ondmarc.com; ruf=mailto:c2276c5a@inbox.ondmarc.com; adkim=r; aspf=r; fo=1; rf=afrf; ri=3600"/>
    <m/>
    <m/>
    <x v="0"/>
    <x v="90"/>
    <x v="2"/>
  </r>
  <r>
    <s v="rbk.ie"/>
    <s v="minus"/>
    <x v="0"/>
    <s v="v=spf1 include:spf.messagelabs.com -all"/>
    <m/>
    <x v="1"/>
    <s v="v=DMARC1; p=quarantine; rua=mailto:report-dmarc@rbk.ie; ruf=mailto:forensics-dmarc@rbk.ie; fo=1:s; pct=20; aspf=s"/>
    <m/>
    <m/>
    <x v="23"/>
    <x v="90"/>
    <x v="2"/>
  </r>
  <r>
    <s v="cairnhomes.com"/>
    <s v="tilde"/>
    <x v="1"/>
    <s v="v=spf1 include:spf.protection.outlook.com a:dispatch-eu.ppe-hosted.com include:spf.mandrillapp.com include:_spf.qualtrics.com mx include:spf.emailsignatures365.com include:spf-inm.eqs-service.com include:_spf.psm.knowbe4.com ~all"/>
    <s v="yes"/>
    <x v="1"/>
    <s v="v=DMARC1; p=quarantine; pct=100; rua=mailto:a.8hyzr404@sdmarc.net,mailto:5b0b635eea3041f096e546fd18c6e1f8@dmarc-reports.cloudflare.net"/>
    <m/>
    <m/>
    <x v="0"/>
    <x v="90"/>
    <x v="2"/>
  </r>
  <r>
    <s v="willsbros.com"/>
    <s v="minus"/>
    <x v="0"/>
    <s v="v=spf1 mx ip4:77.72.0.126 include:spf.protection.outlook.com include:spf-eu.mailssig.com ip4:52.138.167.182 -all"/>
    <s v="yes"/>
    <x v="3"/>
    <s v="v=DMARC1; p=reject; pct=100; rua=mailto:noreplay@willsbros.com; ruf=mailto:noreplay@willsbros.com; sp=quarantine; fo=1;"/>
    <m/>
    <m/>
    <x v="4"/>
    <x v="90"/>
    <x v="2"/>
  </r>
  <r>
    <s v="bulmers.ie"/>
    <s v="minus"/>
    <x v="0"/>
    <s v="v=spf1 include:spf.protection.outlook.com include:_spf.createsend.com include:_spf.psm.knowbe4.com -all"/>
    <s v="yes"/>
    <x v="2"/>
    <s v="v=DMARC1; p=none; pct=100; rua=mailto:dmarc_agg@vali.email, mailto:pzgv7ovq@ag.eu.dmarcian.com, mailto:dmarc@bulmers.ie; ruf=mailto:pzgv7ovq@fr.eu.dmarcian.com, mailto:dmarc@bulmers.ie; fo=1"/>
    <m/>
    <m/>
    <x v="13"/>
    <x v="90"/>
    <x v="2"/>
  </r>
  <r>
    <s v="mtm-engineering.com"/>
    <s v="minus"/>
    <x v="0"/>
    <s v="v=spf1 ip4:157.90.106.253 ip4:144.76.136.218 +a +mx +ip4:88.99.195.46 +ip4:88.99.97.74 +ip4:148.251.122.205 +include:spf.protection.outlook.com +a:dispatch-eu.ppe-hosted.com include:spf-uk.emailsignatures365.com -all"/>
    <s v="yes"/>
    <x v="0"/>
    <m/>
    <m/>
    <m/>
    <x v="12"/>
    <x v="90"/>
    <x v="2"/>
  </r>
  <r>
    <s v="ibec.ie"/>
    <s v="minus"/>
    <x v="0"/>
    <s v="v=spf1 include:spf.mailanyone.net include:spf.protection.outlook.com include:_spf.eu.messagegears.net -all"/>
    <s v="yes"/>
    <x v="1"/>
    <s v="v=DMARC1; p=quarantine; rua=mailto:dmarc_rua@ibec.ie; ruf=mailto:dmarc_ruf@ibec.ie; fo=1"/>
    <m/>
    <m/>
    <x v="0"/>
    <x v="90"/>
    <x v="2"/>
  </r>
  <r>
    <s v="ocsc.ie"/>
    <s v="tilde"/>
    <x v="1"/>
    <s v="v=spf1 include:spf.protection.outlook.com include:spf.mtaroutes.com include:mailgun.org ip4:144.2.243.130 ip4:185.212.156.66 ip4:83.70.133.69 ip4:83.70.179.250 ~all"/>
    <s v="yes"/>
    <x v="2"/>
    <s v="v=DMARC1; p=none; pct=100; fo=1; ri=3600; ruf=mailto:itsoftware@ocsc.ie;"/>
    <m/>
    <m/>
    <x v="0"/>
    <x v="90"/>
    <x v="2"/>
  </r>
  <r>
    <s v="randridge.com"/>
    <s v="tilde"/>
    <x v="1"/>
    <s v="v=spf1 a:chi-web-01.simprocloud.com include:spf.protection.outlook.com ~all"/>
    <m/>
    <x v="0"/>
    <m/>
    <m/>
    <m/>
    <x v="24"/>
    <x v="90"/>
    <x v="2"/>
  </r>
  <r>
    <s v="boylesports.com"/>
    <s v="minus"/>
    <x v="0"/>
    <s v="v=spf1 ip4:68.219.123.166 ip4:192.254.125.237 ip4:185.50.100.5 include:spf.protection.outlook.com include:mail.zendesk.com -all"/>
    <s v="yes"/>
    <x v="0"/>
    <m/>
    <m/>
    <m/>
    <x v="2"/>
    <x v="90"/>
    <x v="2"/>
  </r>
  <r>
    <s v="dppireland.ie"/>
    <s v="minus"/>
    <x v="0"/>
    <s v="v=spf1 include:spf.protection.outlook.com -all"/>
    <m/>
    <x v="2"/>
    <s v="v=DMARC1; p=none; rua=mailto:dmarc_agg@vali.email;"/>
    <m/>
    <m/>
    <x v="0"/>
    <x v="90"/>
    <x v="2"/>
  </r>
  <r>
    <s v="galwaycity.ie"/>
    <s v="minus"/>
    <x v="0"/>
    <s v="v=spf1 include:spf.mailjet.com a mx ptr ip4:137.191.242.66 ip4:137.191.242.71 include:spf.topsec.com include:spf.protection.outlook.com -all"/>
    <s v="yes"/>
    <x v="3"/>
    <s v="v=DMARC1;p=reject;sp=reject;rua=mailto:211a5a2e44@rua.easydmarc.eu;ruf=mailto:211a5a2e44@ruf.easydmarc.eu;fo=1"/>
    <m/>
    <m/>
    <x v="7"/>
    <x v="90"/>
    <x v="2"/>
  </r>
  <r>
    <s v="defence.ie"/>
    <s v="tilde"/>
    <x v="1"/>
    <s v="v=spf1 mx ip4:137.191.229.119 a:mx.defence.ie include:spfext.itservices.gov.ie ~all"/>
    <m/>
    <x v="2"/>
    <s v="v=DMARC1; p=none; pct=100; rua=mailto:dmarc-rua@defence.ie"/>
    <m/>
    <m/>
    <x v="16"/>
    <x v="90"/>
    <x v="2"/>
  </r>
  <r>
    <s v="kilkennycoco.ie"/>
    <s v="minus"/>
    <x v="0"/>
    <s v="v=spf1 a mx include:spf.protection.outlook.com include:spf.topsec.com ip4:137.191.231.114 ip4:78.153.223.162 -all"/>
    <s v="yes"/>
    <x v="3"/>
    <s v="v=DMARC1;p=reject;sp=reject;rua=mailto:211a5a2e44@rua.easydmarc.eu;ruf=mailto:211a5a2e44@ruf.easydmarc.eu;fo=1"/>
    <m/>
    <m/>
    <x v="17"/>
    <x v="90"/>
    <x v="2"/>
  </r>
  <r>
    <s v="countrycrest.ie"/>
    <s v="minus"/>
    <x v="0"/>
    <s v="v=spf1 ip4:35.214.135.201 include:spf.protection.outlook.com include:spf.emailsignatures365.com -all"/>
    <s v="yes"/>
    <x v="2"/>
    <s v="v=DMARC1; p=none; rua=mailto:rua@dmarc.brevo.com"/>
    <m/>
    <m/>
    <x v="0"/>
    <x v="90"/>
    <x v="2"/>
  </r>
  <r>
    <s v="monart.ie"/>
    <s v="minus"/>
    <x v="0"/>
    <s v="v=spf1 a include:spf.protection.outlook.com include:guestline.net include:roomlynx.net include:netaffinity.net include:spf.premiersoftware.co.uk -all"/>
    <m/>
    <x v="0"/>
    <m/>
    <m/>
    <m/>
    <x v="3"/>
    <x v="90"/>
    <x v="2"/>
  </r>
  <r>
    <s v="sheraton.com"/>
    <s v="minus"/>
    <x v="0"/>
    <s v="v=spf1 include:spf.marriott.com include:spf.protection.outlook.com ip4:65.221.12.128 ip4:65.221.12.148 ip4:50.31.38.19 ip4:167.89.18.211 -all"/>
    <s v="yes"/>
    <x v="3"/>
    <s v="v=DMARC1; p=reject; pct=100; rua=mailto:ts2wfbhi@ag.dmarcian.com; ruf=mailto:ts2wfbhi@fr.dmarcian.com;"/>
    <m/>
    <m/>
    <x v="23"/>
    <x v="90"/>
    <x v="2"/>
  </r>
  <r>
    <s v="ardmac.com"/>
    <s v="tilde"/>
    <x v="1"/>
    <s v="v=spf1 mx a ip4:77.75.96.170 ip4:150.70.226.152 include:spf.protection.outlook.com include:in.mx.trendmicro.eu include:spf.hes.trendmicro.com include:servers.mcsv.net ~all"/>
    <s v="yes"/>
    <x v="2"/>
    <s v="v=DMARC1; p=none;"/>
    <m/>
    <m/>
    <x v="0"/>
    <x v="90"/>
    <x v="2"/>
  </r>
  <r>
    <s v="sapgroup.com"/>
    <s v="minus"/>
    <x v="0"/>
    <s v="v=spf1 include:spf.protection.outlook.com -all"/>
    <m/>
    <x v="0"/>
    <m/>
    <m/>
    <m/>
    <x v="16"/>
    <x v="90"/>
    <x v="2"/>
  </r>
  <r>
    <s v="lirchocolates.com"/>
    <s v="minus"/>
    <x v="0"/>
    <s v="v=spf1 include:eu._netblocks.mimecast.com include:spf.protection.outlook.com include:spf.messagelabs.com include:spf.newsletter.ie -all"/>
    <m/>
    <x v="3"/>
    <s v="v=DMARC1; p=reject; rua=mailto:3e104c6e42b6578@rep.dmarcanalyzer.com; ruf=mailto:3e104c6e42b6578@for.dmarcanalyzer.com; fo=1;"/>
    <m/>
    <m/>
    <x v="15"/>
    <x v="90"/>
    <x v="2"/>
  </r>
  <r>
    <s v="obelisk.com"/>
    <s v="minus"/>
    <x v="0"/>
    <s v="v=spf1 ip4:75.2.70.75 ip4:99.83.190.102 ip4:213.122.9.69 include:spf.protection.outlook.com include:spf.exclaimer.net -all"/>
    <s v="yes"/>
    <x v="1"/>
    <s v="v=DMARC1;p=quarantine;sp=quarantine;adkim=r;aspf=r;pct=100;fo=1;rf=afrf;ri=84600;rua=mailto:itmanager@obelisk.com;ruf=mailto:itmanager@obelisk.com"/>
    <m/>
    <m/>
    <x v="11"/>
    <x v="90"/>
    <x v="2"/>
  </r>
  <r>
    <s v="openet.com"/>
    <s v="minus"/>
    <x v="0"/>
    <s v="v=spf1 ip4:193.43.244.133/28 ip4:69.150.27.64/26 ip4:202.91.135.67 ip4:202.91.135.133 exists:%{i}.spf.hc834-32.eu.iphmx.com include:spf.protection.outlook.com include:aspmx.pardot.com include:_spf.salesforce.com include:spf.blacknight.com -all"/>
    <s v="yes"/>
    <x v="1"/>
    <s v="v=DMARC1; p=quarantine; fo=1; pct=0; ri=3600; rua=mailto:amdocs@rua.dmp.cisco.com; ruf=mailto:amdocs@ruf.dmp.cisco.com"/>
    <m/>
    <m/>
    <x v="0"/>
    <x v="90"/>
    <x v="2"/>
  </r>
  <r>
    <s v="corehr.com"/>
    <s v="minus"/>
    <x v="0"/>
    <s v="v=spf1 ip4:91.185.174.110 ip4:84.39.239.84 ip4:82.141.238.237 ip4:193.120.143.138 ip4:193.120.143.134 ip4:193.120.143.70 ip4:193.120.142.176 ip4:85.222.138.225 ip4:212.2.176.67 ip4:193.120.252.86 ip4:193.120.176.179 ip4:84.39.238.222&quot; &quot; include:spf.protection.outlook.com include:_spf.salesforce.com include:335435.spf03.hubspotemail.net include:aspmx.pardot.com include:bounce.s10.mc.pd25.com ip4:89.101.11.113 -all"/>
    <s v="yes"/>
    <x v="1"/>
    <s v="v=DMARC1; p=quarantine; rua=mailto:coretechsupport@corehr.com; ruf=mailto:coretechsupport@corehr.com; pct=100; fo=1"/>
    <m/>
    <m/>
    <x v="1"/>
    <x v="90"/>
    <x v="2"/>
  </r>
  <r>
    <s v="forwardemphasis.ie"/>
    <s v="minus"/>
    <x v="0"/>
    <s v="v=spf1 ip4:190.180.144.232 ip4:91.136.49.203 ip4:82.141.226.122 ip4:77.75.100.130 include:spf.protection.outlook.com include:kallidus-suite.com -all"/>
    <s v="yes"/>
    <x v="2"/>
    <s v="v=DMARC1; p=none; rua=mailto:dmarc@forwardemphasis.ie,mailto:4a4f05f8@mxtoolbox.dmarc-report.com; ruf=mailto:dmarc@forwardemphasis.ie,mailto:4a4f05f8@forensics.dmarc-report.com"/>
    <m/>
    <m/>
    <x v="6"/>
    <x v="90"/>
    <x v="2"/>
  </r>
  <r>
    <s v="hidglobal.com"/>
    <s v="minus"/>
    <x v="0"/>
    <s v="v=spf1 include:sendgrid.net include:_spf.salesforce.com include:_spf.highradius.com include:spf.protection.outlook.com include:spf.workfront.com include:docebosaas.com include:spf1.hidglobal.com include:em8279.hidglobal.com -all"/>
    <s v="yes"/>
    <x v="3"/>
    <s v="v=DMARC1; p=reject; rua=mailto:c617a603d59c866@rep.dmarcanalyzer.com; ruf=mailto:c617a603d59c866@for.dmarcanalyzer.com; pct=100; fo=1"/>
    <s v="yes"/>
    <s v="https://hidglobal.com/sites/default/files/hid_logo_tiny_ps.svg"/>
    <x v="7"/>
    <x v="90"/>
    <x v="2"/>
  </r>
  <r>
    <s v="xerox.com"/>
    <s v="tilde"/>
    <x v="1"/>
    <s v="v=spf1 include:_iphmx.xerox.com include:_iphmx2.xerox.com include:spf.protection.outlook.com include:spf.constantcontact.com include:_spf.salesforce.com include:nw026.com include:mail.zendesk.com include:autotask.net &quot; &quot;ip4:141.193.184.64/26 ip4:141.193.185.128/25 ip4:18.208.124.128/25 ip4:141.193.184.128/25 ip4:141.193.185.64/26 ip4:158.247.16.0/20 ip4:3.93.157.0/24 ip4:216.139.64.0/19 ip4:108.179.144.0/20 ip4:54.174.60.0/23 ip4:143.244.80.0/20 ip4:54.174.59.0/24 &quot; &quot;ip4:54.174.63.0/24 ip4:3.210.190.0/24 ip4:141.193.184.32/27 ip4:54.174.52.0/24 ip4:139.180.17.0/24 ip4:141.193.185.32/27 ip4:54.174.57.0/24 ~all"/>
    <s v="yes"/>
    <x v="1"/>
    <s v="v=DMARC1; p=quarantine; sp=none; rua=mailto:Xerox.dmarcreports@xerox.com; ruf=mailto:Xerox.dmarcreports@xerox.com"/>
    <m/>
    <m/>
    <x v="0"/>
    <x v="90"/>
    <x v="2"/>
  </r>
  <r>
    <s v="dupont.com"/>
    <s v="tilde"/>
    <x v="1"/>
    <s v="v=spf1 include:spf.protection.outlook.com include:spf-001dcd02.pphosted.com include:_spf.salesforce.com include:sendgrid.net a:b.spf.service-now.com a:c.spf.service-now.com a:d.spf.service-now.com ~all"/>
    <s v="yes"/>
    <x v="2"/>
    <s v="v=DMARC1; p=none; fo=1; rua=mailto:dmarc_rua@emaildefense.proofpoint.com; ruf=mailto:dmarc_ruf@emaildefense.proofpoint.com"/>
    <m/>
    <m/>
    <x v="1"/>
    <x v="90"/>
    <x v="2"/>
  </r>
  <r>
    <s v="irvingoil.com"/>
    <s v="tilde"/>
    <x v="1"/>
    <s v="v=spf1 include:%{ir}.%{v}.%{d}.spf.has.pphosted.com ~all"/>
    <m/>
    <x v="2"/>
    <s v="v=DMARC1; p=none; fo=1; rua=mailto:dmarc_rua@emaildefense.proofpoint.com,mailto:dmarc_aggdata@irvingoil.com;ruf=mailto:dmarc_ruf@emaildefense.proofpoint.com,mailto:dmarc_forensic@irvingoil.com"/>
    <m/>
    <m/>
    <x v="1"/>
    <x v="90"/>
    <x v="2"/>
  </r>
  <r>
    <s v="xtratherm.com"/>
    <s v="minus"/>
    <x v="0"/>
    <s v="v=spf1 include:spf_a.unilin.com include:spf.mandrillapp.com -all"/>
    <m/>
    <x v="3"/>
    <s v="v=DMARC1; p=reject;"/>
    <m/>
    <m/>
    <x v="15"/>
    <x v="90"/>
    <x v="2"/>
  </r>
  <r>
    <s v="cdfoods.com"/>
    <s v="minus"/>
    <x v="0"/>
    <s v="v=spf1 ip4:83.71.136.186 ip4:83.71.136.188 ip4:213.133.68.130 ip4:136.144.107.51 include:spf.ess.uk.barracudanetworks.com include:_spf.elasticemail.com include:spf.protection.outlook.com -all"/>
    <s v="yes"/>
    <x v="2"/>
    <s v="v=DMARC1; p=none;"/>
    <m/>
    <m/>
    <x v="20"/>
    <x v="90"/>
    <x v="2"/>
  </r>
  <r>
    <s v="ferrero.com"/>
    <s v="minus"/>
    <x v="0"/>
    <s v="v=spf1 include:spf.ferrero.com include:_spf.google.com include:spf.protection.outlook.com include:spf-00303601.pphosted.com -all"/>
    <m/>
    <x v="3"/>
    <s v="v=DMARC1; p=reject; aspf=s; adkim=s; rua=mailto:dmarc_rua@emaildefense.proofpoint.com; ruf=mailto:dmarc_ruf@emaildefense.proofpoint.com; fo=1"/>
    <m/>
    <m/>
    <x v="1"/>
    <x v="90"/>
    <x v="2"/>
  </r>
  <r>
    <s v="thecocacolacompany.com"/>
    <s v="minus"/>
    <x v="0"/>
    <s v="v=spf1 -all"/>
    <m/>
    <x v="3"/>
    <s v="v=DMARC1; p=reject; pct=100; fo=1; rua=mailto:dmarc_rua@emaildefense.proofpoint.com,mailto:dmarcreports@coca-cola.com; ruf=mailto:dmarc_ruf@emaildefense.proofpoint.com,mailto:dmarcreports@coca-cola.com"/>
    <m/>
    <m/>
    <x v="0"/>
    <x v="90"/>
    <x v="2"/>
  </r>
  <r>
    <s v="nationalgallery.ie"/>
    <s v="minus"/>
    <x v="0"/>
    <s v="v=spf1 include:spf.mandrillapp.com -all"/>
    <m/>
    <x v="0"/>
    <m/>
    <m/>
    <m/>
    <x v="0"/>
    <x v="90"/>
    <x v="2"/>
  </r>
  <r>
    <s v="bandoncoop.ie"/>
    <s v="minus"/>
    <x v="0"/>
    <s v="v=spf1 include:spf.ess.uk.barracudanetworks.com include:spf.ess.de.barracudanetworks.com include:spf.protection.outlook.com ip4:212.78.228.74 ip4:84.51.253.158 ip4:83.71.249.89 ip4:86.47.57.32 ip4:86.47.49.51 ip4:83.70.176.212 ip4:83.71.154.193 -all"/>
    <s v="yes"/>
    <x v="2"/>
    <s v="v=DMARC1; p=none; fo=1; rua=mailto:rua+bandoncoop.ie@dmarc.barracudanetworks.com; ruf=mailto:ruf+bandoncoop.ie@dmarc.barracudanetworks.com"/>
    <m/>
    <m/>
    <x v="1"/>
    <x v="90"/>
    <x v="2"/>
  </r>
  <r>
    <s v="carbery.com"/>
    <s v="minus"/>
    <x v="0"/>
    <s v="v=spf1 include:de._netblocks.mimecast.com include:spf.mailanyone.net include:spf.protection.outlook.com include:customers.clickdimensions.com include:spf.tmes.trendmicro.com include:_spf.eu.messagegears.net include:authsmtp.com mx a -all"/>
    <s v="yes"/>
    <x v="2"/>
    <s v="v=DMARC1; p=none; rua=mailto:dmarcreporting@carbery.com;"/>
    <m/>
    <m/>
    <x v="1"/>
    <x v="90"/>
    <x v="2"/>
  </r>
  <r>
    <s v="tipperary-coop.ie"/>
    <s v="minus"/>
    <x v="0"/>
    <s v="v=spf1 include:spf.protection.outlook.com a:exchange.tipperary-coop.ie include:authsmtp.com -all"/>
    <s v="yes"/>
    <x v="1"/>
    <s v="v=DMARC1;p=quarantine;pct=100;rua=mailto:3aa244375d@rua.easydmarc.eu;ruf=mailto:3aa244375d@ruf.easydmarc.eu;ri=86400;fo=1;"/>
    <m/>
    <m/>
    <x v="13"/>
    <x v="90"/>
    <x v="2"/>
  </r>
  <r>
    <s v="intercontinentaldublin.ie"/>
    <s v="tilde"/>
    <x v="1"/>
    <s v="v=spf1 a include:spf.blacknight.ie include:netaffinity.net ~all"/>
    <m/>
    <x v="0"/>
    <m/>
    <m/>
    <m/>
    <x v="0"/>
    <x v="90"/>
    <x v="2"/>
  </r>
  <r>
    <s v="thegrand.ie"/>
    <s v="tilde"/>
    <x v="1"/>
    <s v="v=spf1 include:spf_3a.oracleindustry.com include:microsdc.com include:spf.protection.outlook.com include:spf.ireshotels.com include:authsmtp.com include:netaffinity.net ~all"/>
    <s v="yes"/>
    <x v="2"/>
    <s v="v=DMARC1; p=none; rua=mailto:dmarc@thegrand.ie; ruf=mailto:dmarc@thegrand.ie; fo=1;"/>
    <m/>
    <m/>
    <x v="0"/>
    <x v="90"/>
    <x v="2"/>
  </r>
  <r>
    <s v="mooreservices.ie"/>
    <s v="tilde"/>
    <x v="1"/>
    <s v="v=spf1 a include:spf.protection.outlook.com ip4:89.100.18.26 ip4:95.45.234.45 ~all"/>
    <s v="yes"/>
    <x v="0"/>
    <m/>
    <m/>
    <m/>
    <x v="0"/>
    <x v="90"/>
    <x v="2"/>
  </r>
  <r>
    <s v="gtc.ie"/>
    <s v="minus"/>
    <x v="0"/>
    <s v="v=spf1 a include:spf.protection.outlook.com a:spamtitan.zenotec.ie ip4:23.253.183.222 ip4:193.200.155.203 -all"/>
    <s v="yes"/>
    <x v="1"/>
    <s v="v=DMARC1; p=quarantine; pct=100; rua=mailto:dmarc@zenotec.ie; ruf=mailto:dmarc@zenotec.ie; fo=1"/>
    <m/>
    <m/>
    <x v="7"/>
    <x v="90"/>
    <x v="2"/>
  </r>
  <r>
    <s v="laoisshoppingcentre.com"/>
    <s v="minus"/>
    <x v="0"/>
    <s v="v=spf1 include:spf.protection.outlook.com -all"/>
    <m/>
    <x v="0"/>
    <m/>
    <m/>
    <m/>
    <x v="18"/>
    <x v="90"/>
    <x v="2"/>
  </r>
  <r>
    <s v="fsi.ie"/>
    <s v="minus"/>
    <x v="0"/>
    <s v="v=spf1 -all"/>
    <s v="yes"/>
    <x v="3"/>
    <s v="v=DMARC1; p=reject; pct=100;"/>
    <m/>
    <m/>
    <x v="0"/>
    <x v="90"/>
    <x v="2"/>
  </r>
  <r>
    <s v="bombaypantry.com"/>
    <s v="tilde"/>
    <x v="1"/>
    <s v="v=spf1 a:83.70.172.130 include:spf.protection.outlook.com ~all"/>
    <m/>
    <x v="0"/>
    <m/>
    <m/>
    <m/>
    <x v="24"/>
    <x v="90"/>
    <x v="2"/>
  </r>
  <r>
    <s v="8west.ie"/>
    <s v="tilde"/>
    <x v="1"/>
    <s v="v=spf1 include:%{i}._ip.%{h}._ehlo.%{d}._spf.vali.email  include:spf.protection.outlook.com  include:145696986.spf03.hubspotemail.net ~all"/>
    <s v="yes"/>
    <x v="2"/>
    <s v="v=DMARC1; p=none; rua=mailto:dmarc_agg@vali.email,mailto:dmarcreports@8west.ie; ruf=mailto:dmarcreports@8west.ie; fo=1"/>
    <m/>
    <m/>
    <x v="1"/>
    <x v="90"/>
    <x v="2"/>
  </r>
  <r>
    <s v="teamwork.com"/>
    <s v="tilde"/>
    <x v="1"/>
    <s v="v=spf1 include:_spf.google.com ip4:167.89.94.240 ip4:167.89.91.48 ip4:167.89.85.224 ip4:198.21.0.156 ip4:167.89.92.142 ip4:167.89.44.57 ip4:167.89.90.81 include:stspg-customer.com include:amazonses.com ~all"/>
    <s v="yes"/>
    <x v="3"/>
    <s v="v=DMARC1; p=reject; pct=100; rua=mailto:re+q1hadbuespe@dmarc.postmarkapp.com; sp=none; aspf=r;"/>
    <s v="yes"/>
    <s v="https://d11p1j7wm7x1vt.cloudfront.net/public/latest/teamwork-short-pill-slate.svg"/>
    <x v="1"/>
    <x v="90"/>
    <x v="2"/>
  </r>
  <r>
    <s v="lionbridge.com"/>
    <s v="tilde"/>
    <x v="1"/>
    <s v="v=spf1 ip4:65.213.75.20 ip4:185.218.159.15 include:spf.protection.outlook.com include:spfa.lionbridge.com include:mail.zendesk.com include:spfa.cpmails.com ip4:65.213.75.16 ip4:185.218.159.46 ~all"/>
    <s v="yes"/>
    <x v="3"/>
    <s v="v=DMARC1;p=reject;sp=none;pct=100;aspf=r;adkim=s;rua=mailto:dmarcnotify@lionbridge.com;ri=86400"/>
    <m/>
    <m/>
    <x v="0"/>
    <x v="90"/>
    <x v="2"/>
  </r>
  <r>
    <s v="sage.ie"/>
    <s v="minus"/>
    <x v="0"/>
    <s v="v=spf1 include:spf.protection.outlook.com -all"/>
    <s v="yes"/>
    <x v="2"/>
    <s v="v=DMARC1; p=none; pct=100; fo=1; ri=3600; rua=mailto:sage@rua.agari.com; ruf=mailto:sage@ruf.agari.com"/>
    <m/>
    <m/>
    <x v="0"/>
    <x v="90"/>
    <x v="2"/>
  </r>
  <r>
    <s v="inchydoneyisland.com"/>
    <s v="minus"/>
    <x v="0"/>
    <s v="v=spf1 a ip4:86.43.114.255 include:spf.elive.net include:guestline.net include:roomlynx.net include:netaffinity.net include:spf.protection.outlook.com -all"/>
    <s v="yes"/>
    <x v="2"/>
    <s v="v=DMARC1; p=none;"/>
    <m/>
    <m/>
    <x v="1"/>
    <x v="90"/>
    <x v="2"/>
  </r>
  <r>
    <s v="gcd.ie"/>
    <s v="minus"/>
    <x v="0"/>
    <s v="v=spf1 include:spf.protection.outlook.com ip4:83.141.104.144/28 a a:paidi.gcd.ie a:mail.gcd.ie a:www.gcd.ie a:secure.gcd.ie a:finn.gcd.ie ip4:54.228.247.84 ip4:31.193.221.192/26 ip6:2a03:5f00:1000:1111::/64 -all"/>
    <s v="yes"/>
    <x v="1"/>
    <s v="v=DMARC1; p=quarantine; rua=mailto:b1c97e70255c4a52bc6734bb355f3901@dmarc-reports.cloudflare.net,mailto:dmark@griffith.ie; ruf=mailto:dmark@griffith.ie;"/>
    <m/>
    <m/>
    <x v="0"/>
    <x v="90"/>
    <x v="2"/>
  </r>
  <r>
    <s v="solas.ie"/>
    <s v="tilde"/>
    <x v="1"/>
    <s v="v=spf1 ip4:137.191.239.201 ip4:137.191.239.214 ip4:137.191.239.242 ip4:193.120.143.134 include:spf.topsec.com include:sendgrid.net include:spf.protection.outlook.com include:amazonses.com ~all"/>
    <s v="yes"/>
    <x v="3"/>
    <s v="v=DMARC1;p=reject;sp=reject;rua=mailto:211a5a2e44@rua.easydmarc.eu;ruf=mailto:211a5a2e44@ruf.easydmarc.eu;fo=1;"/>
    <m/>
    <m/>
    <x v="0"/>
    <x v="90"/>
    <x v="2"/>
  </r>
  <r>
    <s v="smurfitschool.ie"/>
    <s v="no"/>
    <x v="2"/>
    <m/>
    <m/>
    <x v="0"/>
    <m/>
    <m/>
    <m/>
    <x v="0"/>
    <x v="90"/>
    <x v="2"/>
  </r>
  <r>
    <s v="limerickcityaes.ie"/>
    <s v="no"/>
    <x v="2"/>
    <m/>
    <m/>
    <x v="0"/>
    <m/>
    <m/>
    <m/>
    <x v="5"/>
    <x v="90"/>
    <x v="2"/>
  </r>
  <r>
    <s v="st-andrews.ie"/>
    <s v="tilde"/>
    <x v="1"/>
    <s v="v=spf1 mx a ip4:89.101.217.194 ip4:87.198.168.26 ip4:87.39.142.5 include:spf.protection.outlook.com include:outboundmail.blackbaud.net ~all"/>
    <s v="yes"/>
    <x v="3"/>
    <s v="v=DMARC1; p=reject; pct=100"/>
    <m/>
    <m/>
    <x v="0"/>
    <x v="90"/>
    <x v="2"/>
  </r>
  <r>
    <s v="errigalbay.com"/>
    <s v="minus"/>
    <x v="0"/>
    <s v="v=spf1 mx a ip4:86.47.131.117/32 ip4:185.58.18.18/32 ip4:37.60.242.35/32 ip4:86.47.46.252/32 ip4:52.16.90.140/32 ip4:52.17.38.68/32 ip4:54.154.255.178/32 ip4:54.154.255.177/32 ip4:54.154.255.176/32 ip4:54.154.255.186/32 ip4:52.28.165.113/32 ip4:52.57&quot; &quot;.168.188/32 ip4:18.184.214.37/32 ip4:18.184.155.228/32 ip4:3.74.148.8/32 ip4:3.74.148.9/32 ip4:3.74.148.10/32 ip4:3.74.148.11/32 include:spf.protection.outlook.com -all"/>
    <s v="yes"/>
    <x v="3"/>
    <s v="v=DMARC1; p=reject; rua=mailto:fmj2tgfk@ag.dmarcian-eu.com;daniel.ward@errigalbay.com;"/>
    <m/>
    <m/>
    <x v="6"/>
    <x v="90"/>
    <x v="2"/>
  </r>
  <r>
    <s v="stauntonfoods.ie"/>
    <s v="minus"/>
    <x v="0"/>
    <s v="v=spf1 include:spf.protection.outlook.com include:sendgrid.net -all"/>
    <s v="yes"/>
    <x v="2"/>
    <s v="v=DMARC1; p=none; fo=1; rua=mailto:rua+stauntonfoods.ie@dmarc.barracudanetworks.com; ruf=mailto:ruf+stauntonfoods.ie@dmarc.barracudanetworks.com"/>
    <m/>
    <m/>
    <x v="1"/>
    <x v="90"/>
    <x v="2"/>
  </r>
  <r>
    <s v="ribworld.ie"/>
    <s v="minus"/>
    <x v="0"/>
    <s v="v=spf1 include:spf.protection.outlook.com -all"/>
    <s v="yes"/>
    <x v="1"/>
    <s v="v=DMARC1; p=quarantine; fo=1; rua=mailto:rua+ribworld.ie@dmarc.barracudanetworks.com; ruf=mailto:ruf+ribworld.ie@dmarc.barracudanetworks.com"/>
    <m/>
    <m/>
    <x v="13"/>
    <x v="90"/>
    <x v="2"/>
  </r>
  <r>
    <s v="dunmeats.com"/>
    <s v="no"/>
    <x v="2"/>
    <m/>
    <m/>
    <x v="0"/>
    <m/>
    <m/>
    <m/>
    <x v="23"/>
    <x v="90"/>
    <x v="2"/>
  </r>
  <r>
    <s v="callanbacon.com"/>
    <s v="minus"/>
    <x v="0"/>
    <s v="v=spf1 ip4:212.139.78.102 ip4:212.139.78.106 ip4:217.147.80.155 include:spf.protection.outlook.com include:spf.ess.uk.barracudanetworks.com -all"/>
    <m/>
    <x v="1"/>
    <s v="v=DMARC1; p=quarantine; fo=1; rua=mailto:rua+callanbacon.com@dmarc.barracudanetworks.com; ruf=mailto:ruf+callanbacon.com@dmarc.barracudanetworks.com"/>
    <m/>
    <m/>
    <x v="17"/>
    <x v="90"/>
    <x v="2"/>
  </r>
  <r>
    <s v="astrasales.com"/>
    <s v="tilde"/>
    <x v="1"/>
    <s v="v=spf1 include:outlook.com ~all"/>
    <m/>
    <x v="0"/>
    <m/>
    <m/>
    <m/>
    <x v="0"/>
    <x v="90"/>
    <x v="2"/>
  </r>
  <r>
    <s v="avis.ie"/>
    <s v="minus"/>
    <x v="0"/>
    <s v="v=spf1 include:spf.protection.outlook.com include:email.freshdesk.com include:spf.messagelabs.com a:mail.avis.de mx:avis.ie include:avis.de -all"/>
    <s v="yes"/>
    <x v="2"/>
    <s v="v=DMARC1;p=none;pct=100;rua=mailto:it@avisbudget.ie"/>
    <m/>
    <m/>
    <x v="1"/>
    <x v="90"/>
    <x v="2"/>
  </r>
  <r>
    <s v="intel.com"/>
    <s v="minus"/>
    <x v="0"/>
    <s v="v=spf1 include:_spf.intel.com -all"/>
    <m/>
    <x v="2"/>
    <s v="v=DMARC1;p=none;sp=none;fo=1;rua=mailto:dmarc.notification@intel.com"/>
    <m/>
    <m/>
    <x v="9"/>
    <x v="90"/>
    <x v="2"/>
  </r>
  <r>
    <s v="finessemedical.com"/>
    <s v="no"/>
    <x v="2"/>
    <m/>
    <m/>
    <x v="0"/>
    <m/>
    <m/>
    <m/>
    <x v="20"/>
    <x v="90"/>
    <x v="2"/>
  </r>
  <r>
    <s v="molloys.com"/>
    <s v="no"/>
    <x v="2"/>
    <m/>
    <m/>
    <x v="0"/>
    <m/>
    <m/>
    <m/>
    <x v="0"/>
    <x v="90"/>
    <x v="2"/>
  </r>
  <r>
    <s v="diy.com"/>
    <s v="minus"/>
    <x v="0"/>
    <s v="v=spf1 mx:diy.com include:spf.protection.outlook.com include:amazonses.com -all"/>
    <s v="yes"/>
    <x v="3"/>
    <s v="v=DMARC1; p=reject; rua=mailto:102b7a32a370252@rep.dmarcanalyzer.com; ruf=mailto:102b7a32a370252@for.dmarcanalyzer.com; fo=1;"/>
    <s v="yes"/>
    <s v="https://s7g10.scene7.com/is/content/KingfisherDigital/f7be6e7a9bac2848e974916747f159c7cdcd6c2a"/>
    <x v="0"/>
    <x v="90"/>
    <x v="2"/>
  </r>
  <r>
    <s v="lisney.com"/>
    <s v="minus"/>
    <x v="0"/>
    <s v="v=spf1 include:spf.protection.outlook.com include:spf.eu.exclaimer.net include:mailgun.org include:servers.mcsv.net -all"/>
    <s v="yes"/>
    <x v="1"/>
    <s v="v=DMARC1; p=quarantine; rua=mailto:rua@dmarc.brevo.com"/>
    <m/>
    <m/>
    <x v="0"/>
    <x v="90"/>
    <x v="2"/>
  </r>
  <r>
    <s v="msl.ie"/>
    <s v="minus"/>
    <x v="0"/>
    <s v="v=spf1 include:spf.protection.outlook.com include:_spf.keyloop.io include:spf.ssmx.net include:em3324.donedeal.ie ip4:109.200.19.199 ip4:159.253.226.8/29; include:spf.mailanyone.net -all"/>
    <s v="yes"/>
    <x v="0"/>
    <m/>
    <m/>
    <m/>
    <x v="0"/>
    <x v="90"/>
    <x v="2"/>
  </r>
  <r>
    <s v="kn-portal.com"/>
    <s v="minus"/>
    <x v="0"/>
    <s v="v=spf1 include:_spf.retarus.com -all"/>
    <m/>
    <x v="0"/>
    <m/>
    <m/>
    <m/>
    <x v="0"/>
    <x v="90"/>
    <x v="2"/>
  </r>
  <r>
    <s v="shannonairport.ie"/>
    <s v="minus"/>
    <x v="0"/>
    <s v="v=spf1 include:spf.protection.outlook.com include:amazonses.com IP4:185.113.232.4 IP4:185.113.232.13 IP4:77.221.160.132 IP4:118.151.216.1 IP4:118.151.218.1 IP4:143.47.149.172 IP4:143.47.149.171 IP4:78.153.201.239 include:spf.newsletter.ie IP4:203.55.21.0/&quot; &quot;24 IP4:103.28.42.0/24 IP4:52.49.235.189 IP4:23.21.109.212 IP4:23.21.109.212 IP4:52.49.201.246 IP4:147.160.167.0/26 -all"/>
    <s v="yes"/>
    <x v="2"/>
    <s v="v=DMARC1;  p=none; rua=mailto:784d213b8d4a44c39ff04f7d2e6d0196@dmarc-reports.cloudflare.net"/>
    <m/>
    <m/>
    <x v="9"/>
    <x v="90"/>
    <x v="2"/>
  </r>
  <r>
    <s v="corkairport.com"/>
    <s v="minus"/>
    <x v="0"/>
    <s v="V=spf1 include:spf.messagelabs.com include:amazonses.com include:adl.advam.com include:spf.protection.outlook.com -all"/>
    <s v="yes"/>
    <x v="2"/>
    <s v="v=DMARC1; p=none; fo=1; rua=mailto:dmarc_agg@vali.email"/>
    <m/>
    <m/>
    <x v="1"/>
    <x v="90"/>
    <x v="2"/>
  </r>
  <r>
    <s v="stchristophers.ie"/>
    <s v="tilde"/>
    <x v="1"/>
    <s v="v=spf1 ip4:185.43.232.208 ip4:78.137.164.80 ip4:78.137.164.101 ip4:78.135.164.80 include:spf.protection.outlook.com include:relay.mailchannels.net ~all"/>
    <s v="yes"/>
    <x v="0"/>
    <m/>
    <m/>
    <m/>
    <x v="20"/>
    <x v="90"/>
    <x v="2"/>
  </r>
  <r>
    <s v="itb.ie"/>
    <s v="minus"/>
    <x v="0"/>
    <s v="v=spf1 include:spf.protection.outlook.com ip4:193.1.36.252 a:newmail.ancheim.ie ip4:34.251.78.133 ip4:193.1.204.67 ip4:193.1.204.177 ip4:193.1.204.68 ip4:193.1.204.178 -all"/>
    <m/>
    <x v="3"/>
    <s v="v=DMARC1; p=reject; rua=mailto:xydjhcdp@ag.eu.dmarcian.com;"/>
    <m/>
    <m/>
    <x v="0"/>
    <x v="90"/>
    <x v="2"/>
  </r>
  <r>
    <s v="godolphin.com"/>
    <s v="minus"/>
    <x v="0"/>
    <s v="v=spf1 include:77v1bse7ba.powerspf.com -all"/>
    <s v="yes"/>
    <x v="3"/>
    <s v="v=DMARC1; p=reject; rua=mailto:5dupdjzczb@rua.powerdmarc.com; ruf=mailto:5dupdjzczb@ruf.powerdmarc.com; pct=100; fo=1;"/>
    <s v="yes"/>
    <s v="https://app.powerbimi.com/32079/bb3d146a-0e7a-401e-8260-d1ecfc1d6fae.svg"/>
    <x v="16"/>
    <x v="90"/>
    <x v="2"/>
  </r>
  <r>
    <s v="clubtravel.ie"/>
    <s v="tilde"/>
    <x v="1"/>
    <s v="v=spf1 include:de._netblocks.mimecast.com a:mail.clubtravel.ie a:mail-rs1.clubtravel.ie a:relay.amadeus.net a:umbrellanet.ch a:mail-az1.clubtravel.ie ip4:162.13.67.43 ip4:171.17.133.140 ip4:46.38.183.30 ip4:83.138.154.78 ip4:162.13.66.166 ip4:84.203.208.1&quot; &quot;8 include:spf.protection.outlook.com include:_relay.amadeus.com ~all"/>
    <s v="yes"/>
    <x v="2"/>
    <s v="v=DMARC1; p=none; ruf=mailto:dmarc-ruf@clubtravel.ie; rua=mailto:dmarc-rua@clubtravel.ie;"/>
    <m/>
    <m/>
    <x v="0"/>
    <x v="90"/>
    <x v="2"/>
  </r>
  <r>
    <s v="rbc.com"/>
    <s v="minus"/>
    <x v="0"/>
    <s v="v=spf1 mx exists:%{i}.spf.hc391-17.ca.iphmx.com exists:%{i}.spf.hc490-56.ca.iphmx.com ip4:142.245.29.128/27 ip4:142.245.61.128/27 include:spf.protection.outlook.com -all"/>
    <s v="yes"/>
    <x v="3"/>
    <s v="v=DMARC1;p=reject;fo=1;rua=mailto:dmarc_rua@emaildefense.proofpoint.com;ruf=mailto:dmarc_ruf@emaildefense.proofpoint.com"/>
    <m/>
    <m/>
    <x v="0"/>
    <x v="90"/>
    <x v="2"/>
  </r>
  <r>
    <s v="kingslaundry.com"/>
    <s v="no"/>
    <x v="2"/>
    <m/>
    <m/>
    <x v="0"/>
    <m/>
    <m/>
    <m/>
    <x v="0"/>
    <x v="90"/>
    <x v="2"/>
  </r>
  <r>
    <s v="celticlinen.ie"/>
    <s v="minus"/>
    <x v="0"/>
    <s v="v=spf1 ip4:109.199.120.75 include:spf.protection.outlook.com include:_netblocks.mimecast.com -all include:spf-eu.emailsignatures365.com"/>
    <m/>
    <x v="0"/>
    <m/>
    <m/>
    <m/>
    <x v="3"/>
    <x v="90"/>
    <x v="2"/>
  </r>
  <r>
    <s v="premierglobal.com"/>
    <s v="minus"/>
    <x v="0"/>
    <s v="v=spf1 include:spf.protection.outlook.com -all"/>
    <m/>
    <x v="0"/>
    <m/>
    <m/>
    <m/>
    <x v="1"/>
    <x v="90"/>
    <x v="2"/>
  </r>
  <r>
    <s v="topaz.ie"/>
    <s v="minus"/>
    <x v="0"/>
    <s v="v=spf1 include:mail.zendesk.com -all"/>
    <m/>
    <x v="0"/>
    <m/>
    <m/>
    <m/>
    <x v="0"/>
    <x v="90"/>
    <x v="2"/>
  </r>
  <r>
    <s v="btireland.com"/>
    <s v="tilde"/>
    <x v="1"/>
    <s v="v=spf1 a a:mxbackup.esat.net mx ip4:193.95.153.18 ip4:193.95.153.17 include:spf.protection.outlook.com include:aspmx.pardot.com ~all"/>
    <s v="yes"/>
    <x v="1"/>
    <s v="v=DMARC1; p=quarantine; rua=mailto:systems@btireland.net; ruf=mailto:systems@btireland.net; fo=1;"/>
    <m/>
    <m/>
    <x v="10"/>
    <x v="90"/>
    <x v="2"/>
  </r>
  <r>
    <s v="claytonhotelburlingtonroad.com"/>
    <s v="tilde"/>
    <x v="1"/>
    <s v="V=SPF1 ~ALL"/>
    <m/>
    <x v="0"/>
    <m/>
    <m/>
    <m/>
    <x v="0"/>
    <x v="90"/>
    <x v="2"/>
  </r>
  <r>
    <s v="icts.co.uk"/>
    <s v="minus"/>
    <x v="0"/>
    <s v="v=spf1 a:chi-web-01.simprocloud.com include:spf.mailjet.com include:eu.mailgun.org include:spf.protection.outlook.com include:spf.recsrvr.co.uk -all"/>
    <s v="yes"/>
    <x v="2"/>
    <s v="v=DMARC1;p=none;sp=none;pct=100;rua=mailto:66014e0d12fbe@ag.dmarcly.com;ruf=mailto:66014e0d12fbe@ag.dmarcly.com;ri=86400;aspf=r;adkim=r;fo=1;"/>
    <m/>
    <m/>
    <x v="0"/>
    <x v="90"/>
    <x v="2"/>
  </r>
  <r>
    <s v="oiccleaning.ie"/>
    <s v="tilde"/>
    <x v="1"/>
    <s v="v=spf1 include:spf.protection.outlook.com ~all"/>
    <m/>
    <x v="2"/>
    <s v="v=DMARC1; p=none; rua=mailto:support@perfecttechnology.ie; ruf=mailto:support@perfecttechnology.ie"/>
    <m/>
    <m/>
    <x v="0"/>
    <x v="90"/>
    <x v="2"/>
  </r>
  <r>
    <s v="standrews.ie"/>
    <s v="tilde"/>
    <x v="1"/>
    <s v="v=spf1 mx a ip4:91.216.236.13 include:_spf.snwlhostedeu.com include:spf.protection.outlook.com ~all"/>
    <m/>
    <x v="0"/>
    <m/>
    <m/>
    <m/>
    <x v="0"/>
    <x v="90"/>
    <x v="2"/>
  </r>
  <r>
    <s v="hamilton.ie"/>
    <s v="no"/>
    <x v="2"/>
    <m/>
    <m/>
    <x v="0"/>
    <m/>
    <m/>
    <m/>
    <x v="16"/>
    <x v="90"/>
    <x v="2"/>
  </r>
  <r>
    <s v="alone.ie"/>
    <s v="tilde"/>
    <x v="1"/>
    <s v="v=spf1 a mx include:bmsend.com include:spf.protection.outlook.com include:_spf.salesforce.com ~all"/>
    <s v="yes"/>
    <x v="0"/>
    <m/>
    <m/>
    <m/>
    <x v="0"/>
    <x v="90"/>
    <x v="2"/>
  </r>
  <r>
    <s v="srtechnics.com"/>
    <s v="minus"/>
    <x v="0"/>
    <s v="v=spf1 ip4:129.35.232.192/27 ip4:89.101.22.18 ip4:89.101.22.19 ip4:212.80.96.0/21 ip4:93.94.65.161 ip4:193.36.36.0/24 &quot; &quot;ip6:2a01:7480:1:100::/64 include:spf.protection.outlook.com include:_spf.rexx-suite.com &quot; &quot;include:spf0.exacttarget.com include:_spf-dc57.sapsf.eu exists:%{i}._spf.mta.salesforce.com -all"/>
    <s v="yes"/>
    <x v="1"/>
    <s v="v=DMARC1; p=quarantine; ri=604800; rua=mailto:securitylog@srtechnics.com"/>
    <m/>
    <m/>
    <x v="1"/>
    <x v="91"/>
    <x v="2"/>
  </r>
  <r>
    <s v="rod.ie"/>
    <s v="minus"/>
    <x v="0"/>
    <s v="v=spf1 mx include:spf.topsec.com include:spf.protection.outlook.com  -all"/>
    <m/>
    <x v="2"/>
    <s v="v=DMARC1; p=none; rua=mailto:help@rod.ie; ruf=mailto:help@rod.ie; fo=1"/>
    <m/>
    <m/>
    <x v="0"/>
    <x v="92"/>
    <x v="2"/>
  </r>
  <r>
    <s v="stjohnofgodhospital.ie"/>
    <s v="tilde"/>
    <x v="1"/>
    <s v="v=spf1 a mx ip4:78.153.213.253 ip4:91.210.235.216 include:_spf.blacknight.com ~all"/>
    <s v="yes"/>
    <x v="0"/>
    <m/>
    <m/>
    <m/>
    <x v="0"/>
    <x v="92"/>
    <x v="2"/>
  </r>
  <r>
    <s v="rci.com"/>
    <s v="tilde"/>
    <x v="1"/>
    <s v="v=spf1 ip4:109.203.119.52 ip4:154.119.231.66 ip4:3.128.60.215 ip4:3.137.124.21 include:spf.clearslide.com include:eversrv.com include:emsd1.com include:spf.protection.outlook.com ~all"/>
    <m/>
    <x v="2"/>
    <s v="v=DMARC1; p=none; fo=1; ri=3600; rua=mailto:dmarcreports@rci.com,mailto:dmarc_agg@vali.email; ruf=mailto:dmarcreports@rci.com; aspf=s; adkim=s"/>
    <m/>
    <m/>
    <x v="1"/>
    <x v="92"/>
    <x v="2"/>
  </r>
  <r>
    <s v="ammeon.com"/>
    <s v="minus"/>
    <x v="0"/>
    <s v="v=spf1 include:spf.protection.outlook.com include:spf-005cca01.pphosted.com -all"/>
    <s v="yes"/>
    <x v="3"/>
    <s v="v=DMARC1; p=reject; sp=reject; adkim=s; aspf=s; rua=mailto:dmarc_agg@vali.email,mailto:spf@intive.com; ruf=mailto:spf@intive.com; fo=1"/>
    <m/>
    <m/>
    <x v="0"/>
    <x v="93"/>
    <x v="2"/>
  </r>
  <r>
    <s v="taoiseach.gov.ie"/>
    <s v="tilde"/>
    <x v="1"/>
    <s v="v=spf1 mx ip4:137.191.240.130 ip4:137.191.240.142 ip4:137.191.246.70 ip4:137.191.246.71 ip4:154.52.2.130 include:_spf.fortimailcloud.com include:spf.protection.outlook.com include:spf.newsletter.ie ~all"/>
    <s v="yes"/>
    <x v="2"/>
    <s v="v=DMARC1; p=none; rua=mailto:l9nkyd7g@ag.dmarcian-eu.com; sp=none; ri=86400"/>
    <m/>
    <m/>
    <x v="0"/>
    <x v="94"/>
    <x v="2"/>
  </r>
  <r>
    <s v="osi.ie"/>
    <s v="tilde"/>
    <x v="1"/>
    <s v="v=spf1 ip4:137.191.226.155/32 ip4:137.191.226.154/32 exists:%{i}.spf.hc2013-12.eu.iphmx.com include:spf.mandrillapp.com include:spf.protection.outlook.com include:res.cisco.com ~all"/>
    <m/>
    <x v="0"/>
    <m/>
    <m/>
    <m/>
    <x v="0"/>
    <x v="94"/>
    <x v="2"/>
  </r>
  <r>
    <s v="meadepotato.com"/>
    <s v="minus"/>
    <x v="0"/>
    <s v="v=spf1 include:one.zoho.com include:sender.zohobooks.com include:spf.protection.outlook.com include:eu._netblocks.mimecast.com include:spf-eu.emailsignatures365.com -all"/>
    <m/>
    <x v="0"/>
    <m/>
    <m/>
    <m/>
    <x v="15"/>
    <x v="94"/>
    <x v="2"/>
  </r>
  <r>
    <s v="kclub.ie"/>
    <s v="tilde"/>
    <x v="1"/>
    <s v="v=spf1 include:_spf.kclub_ie._d.easydmarc.pro ~all"/>
    <s v="yes"/>
    <x v="2"/>
    <s v="v=DMARC1;p=none;rua=mailto:2fa9a7572f@rua.easydmarc.eu,mailto:dmarcreports@kclub.ie;ruf=mailto:2fa9a7572f@ruf.easydmarc.eu;fo=1;"/>
    <m/>
    <m/>
    <x v="16"/>
    <x v="94"/>
    <x v="2"/>
  </r>
  <r>
    <s v="dilloneustace.ie"/>
    <s v="tilde"/>
    <x v="1"/>
    <s v="v=spf1 include:_netblocks.mimecast.com include:031d9391-spf.mta.getcheckrecipient.com ~all"/>
    <s v="yes"/>
    <x v="3"/>
    <s v="v=DMARC1; p=reject; rua=mailto:2ecec302a20f410@rep.dmarcanalyzer.com; ruf=mailto:2ecec302a20f410@for.dmarcanalyzer.com; fo=1;"/>
    <m/>
    <m/>
    <x v="0"/>
    <x v="94"/>
    <x v="2"/>
  </r>
  <r>
    <s v="butlerschocolates.com"/>
    <s v="minus"/>
    <x v="0"/>
    <s v="v=spf1 include:_spf.kooomo.com include:spf.protection.outlook.com include:spf2.butlerschocolates.com include:spf3.butlerschocolates.com include:spf4.butlerschocolates.com include:spf5.butlerschocolates.com include:spfa.mailendo.com -all"/>
    <s v="yes"/>
    <x v="1"/>
    <s v="v=DMARC1; p=quarantine; rua=mailto:dmarcreport@butlerschocolates.com"/>
    <m/>
    <m/>
    <x v="0"/>
    <x v="94"/>
    <x v="2"/>
  </r>
  <r>
    <s v="senacagroup.com"/>
    <s v="no"/>
    <x v="2"/>
    <m/>
    <m/>
    <x v="0"/>
    <m/>
    <m/>
    <m/>
    <x v="16"/>
    <x v="94"/>
    <x v="2"/>
  </r>
  <r>
    <s v="irish-yogurts.ie"/>
    <s v="mis"/>
    <x v="3"/>
    <s v="V=spf1 include:_spf_euwest1.prod.hydra.sophos.com"/>
    <s v="yes"/>
    <x v="0"/>
    <m/>
    <m/>
    <m/>
    <x v="1"/>
    <x v="94"/>
    <x v="2"/>
  </r>
  <r>
    <s v="lawsociety.ie"/>
    <s v="minus"/>
    <x v="0"/>
    <s v="v=spf1  ip4:212.84.45.10/32 ip4:87.198.182.32/28 ip4:212.78.228.5/32 ip4:31.193.222.80/28 ip4:216.220.33.81 ip4:216.220.41.78 ip4:205.201.45.64 a:lawsoc.enovation.ie include:spf.messagelabs.com include:spf.protection.outlook.com include&quot; &quot;:informz.net include:informz.ca include:_spf.createsend.com include:sendgrid.net -all"/>
    <s v="yes"/>
    <x v="3"/>
    <s v="v=DMARC1; p=reject; rua=mailto:186bc1705a884439867643972014f773@dmarc-reports.cloudflare.net; ruf=mailto:186bc1705a884439867643972014f773@dmarc-reports.cloudflare.net; fo=1; pct=100; rf=afrf"/>
    <m/>
    <m/>
    <x v="0"/>
    <x v="95"/>
    <x v="2"/>
  </r>
  <r>
    <s v="cornmarket.ie"/>
    <s v="tilde"/>
    <x v="1"/>
    <s v="v=spf1 include:%{ir}.%{v}.%{d}.spf.has.pphosted.com ~all"/>
    <s v="yes"/>
    <x v="3"/>
    <s v="v=DMARC1; p=reject; sp=reject; fo=1; rua=mailto:dmarc_rua@emaildefense.proofpoint.com; ruf=mailto:dmarc_ruf@emaildefense.proofpoint.com"/>
    <m/>
    <m/>
    <x v="0"/>
    <x v="95"/>
    <x v="2"/>
  </r>
  <r>
    <s v="mosgroup.ie"/>
    <s v="tilde"/>
    <x v="1"/>
    <s v="v=spf1 ip4:213.186.47.113 ip4:92.39.184.200 include:spf.protection.outlook.com include:mailgun.org ~all"/>
    <s v="yes"/>
    <x v="2"/>
    <s v="v=DMARC1; p=none; fo=1; rua=mailto:rua+mosgroup.ie@dmarc.barracudanetworks.com; ruf=mailto:ruf+mosgroup.ie@dmarc.barracudanetworks.com"/>
    <m/>
    <m/>
    <x v="1"/>
    <x v="95"/>
    <x v="2"/>
  </r>
  <r>
    <s v="merrionhotel.com"/>
    <s v="tilde"/>
    <x v="1"/>
    <s v="v=spf1 mx ip4:165.84.219.9 ip4:151.193.18.41 include:spf.newsletter.ie include:spf.nextguest.app include:spf.mandrillapp.com include:spf.protection.outlook.com include:_spf.smtp.com ~all"/>
    <s v="yes"/>
    <x v="2"/>
    <s v="v=DMARC1; p=none; rua=mailto:gdpr_pm@merrionhotel.com"/>
    <m/>
    <m/>
    <x v="0"/>
    <x v="95"/>
    <x v="2"/>
  </r>
  <r>
    <s v="donnybrookfair.ie"/>
    <s v="minus"/>
    <x v="0"/>
    <s v="v=spf1 ip4:81.94.196.136 ip4:185.65.48.182 include:spf.protection.outlook.com include:spf.musgrave.laposa.ie include:sendgrid.net -all"/>
    <s v="yes"/>
    <x v="2"/>
    <s v="v=DMARC1; p=none;"/>
    <m/>
    <m/>
    <x v="0"/>
    <x v="95"/>
    <x v="2"/>
  </r>
  <r>
    <s v="ashlinghotel.ie"/>
    <s v="minus"/>
    <x v="0"/>
    <s v="v=spf1 include:spamtitan.tierneys.ie include:spf.protection.outlook.com include:spf.mandrillapp.com include:netaffinity.net ip4:31.216.239.134 -all"/>
    <s v="yes"/>
    <x v="2"/>
    <s v="v=DMARC1; p=none;"/>
    <m/>
    <m/>
    <x v="0"/>
    <x v="96"/>
    <x v="2"/>
  </r>
  <r>
    <s v="evershedssutherland.ie"/>
    <s v="minus"/>
    <x v="0"/>
    <s v="v=spf1 -all"/>
    <m/>
    <x v="3"/>
    <s v="v=DMARC1; p=reject; pct=100; fo=1; ri=3600; rua=mailto:0ca29987@inbox.ondmarc.com; ruf=mailto:0ca29987@inbox.ondmarc.com;"/>
    <m/>
    <m/>
    <x v="0"/>
    <x v="97"/>
    <x v="2"/>
  </r>
  <r>
    <s v="grantengineering.ie"/>
    <s v="tilde"/>
    <x v="1"/>
    <s v="v=spf1 include:spf.eu.exclaimer.net include:spf.protection.outlook.com include:zcsend.net include:transmail.net ~all"/>
    <s v="yes"/>
    <x v="1"/>
    <s v="v=DMARC1; p=quarantine; rua=mailto:bce8e568@in.mailhardener.com; ruf=mailto:bce8e568@in.mailhardener.com; fo=1; pct=100; ri=86400"/>
    <m/>
    <m/>
    <x v="21"/>
    <x v="97"/>
    <x v="2"/>
  </r>
  <r>
    <s v="teleflex.com"/>
    <s v="tilde"/>
    <x v="1"/>
    <s v="v=spf1 ip4:131.233.0.235 ip4:131.233.0.145 include:_spf-amer.onbmc.com include:_spf.salesforce.com include:spf.protection.outlook.com include:us._netblocks.mimecast.com include:amazonses.com include:_spf-dc8.sapsf.com ~all"/>
    <s v="yes"/>
    <x v="1"/>
    <s v="v=DMARC1; p=quarantine; rua=mailto:5e94523a9aab7@ag.dmarcly.com; ruf=mailto:5e94523a9aab7@fo.dmarcly.com; sp=quarantine; pct=0; fo=0;"/>
    <m/>
    <m/>
    <x v="5"/>
    <x v="97"/>
    <x v="2"/>
  </r>
  <r>
    <s v="daughtersofcharity.ie"/>
    <s v="minus"/>
    <x v="0"/>
    <s v="v=spf1 include:spf.protection.outlook.com -all"/>
    <m/>
    <x v="0"/>
    <m/>
    <m/>
    <m/>
    <x v="0"/>
    <x v="97"/>
    <x v="2"/>
  </r>
  <r>
    <s v="ncbi.ie"/>
    <s v="minus"/>
    <x v="0"/>
    <s v="v=spf1 include:spf.protection.outlook.com include:_spf.salesforce.com include:servers.mcsv.net ip4:91.210.232.230 include:spf.emailsignatures365.com include:25485294.spf01.hubspotemail.net -all"/>
    <s v="yes"/>
    <x v="1"/>
    <s v="v=DMARC1; p=quarantine; sp=none; rua=mailto:re+8afa1eb7f7d3@inbound.dmarcdigests.com; aspf=r; pct=100"/>
    <m/>
    <m/>
    <x v="0"/>
    <x v="97"/>
    <x v="2"/>
  </r>
  <r>
    <s v="llynch.com"/>
    <s v="minus"/>
    <x v="0"/>
    <s v="v=spf1 ip4:51.141.9.15 mx a:webmail.llynch.com include:spf.exclaimer.net include:spf.protection.outlook.com -all"/>
    <s v="yes"/>
    <x v="0"/>
    <m/>
    <m/>
    <m/>
    <x v="0"/>
    <x v="97"/>
    <x v="2"/>
  </r>
  <r>
    <s v="group4securicor.ie"/>
    <s v="no"/>
    <x v="2"/>
    <m/>
    <m/>
    <x v="0"/>
    <m/>
    <m/>
    <m/>
    <x v="1"/>
    <x v="97"/>
    <x v="2"/>
  </r>
  <r>
    <s v="sig.ie"/>
    <s v="minus"/>
    <x v="0"/>
    <s v="v=spf1 include:spf.protection.outlook.com include:eu._netblocks.mimecast.com include:autotask.net ip4:149.71.163.138 ip4:149.71.163.139 ip4:149.71.163.140 ip4:149.71.163.141 ip4:109.70.210.123 ip4:109.70.210.124 ip4:52.236.150.44 ip4:52.157.225.153 ip4:10&quot; &quot; 4.40.229.156 ip4:34.255.31.235 ip4:54.240.7.37 ip4:52.128.40.0/21 mx -all"/>
    <s v="yes"/>
    <x v="2"/>
    <s v="v=DMARC1; p=none; rua=mailto:21e415078983506@rep.dmarcanalyzer.com; ruf=mailto:21e415078983506@for.dmarcanalyzer.com; fo=1;"/>
    <m/>
    <m/>
    <x v="0"/>
    <x v="97"/>
    <x v="2"/>
  </r>
  <r>
    <s v="johnpaul.ie"/>
    <s v="minus"/>
    <x v="0"/>
    <s v="v=spf1 include:_u.johnpaul.ie._spf.smart.ondmarc.com -all "/>
    <s v="yes"/>
    <x v="3"/>
    <s v="v=DMARC1; p=reject; pct=100; sp=reject; rua=mailto:628e2d9b@inbox.ondmarc.com; ruf=mailto:628e2d9b@inbox.ondmarc.com; adkim=r; aspf=r; fo=0; rf=afrf; ri=3600"/>
    <m/>
    <m/>
    <x v="0"/>
    <x v="97"/>
    <x v="2"/>
  </r>
  <r>
    <s v="csso.gov.ie"/>
    <s v="tilde"/>
    <x v="1"/>
    <s v="v=spf1 a:mail.csso.gov.ie ip4:137.191.224.108 ip4:193.178.99.98 ip4:193.178.99.99 ~all"/>
    <m/>
    <x v="0"/>
    <m/>
    <m/>
    <m/>
    <x v="0"/>
    <x v="98"/>
    <x v="2"/>
  </r>
  <r>
    <s v="meridianglobalservices.com"/>
    <s v="minus"/>
    <x v="0"/>
    <s v="v=spf1 ip4:213.168.247.128/27 ip4:162.13.63.236 mx:meridianp2p.com mx:meridianglobalservices.com include:1717734.spf08.hubspotemail.net include:_spf.atlassian.net include:spf.messagelabs.com -all"/>
    <m/>
    <x v="1"/>
    <s v="v=DMARC1; p=quarantine; rua=mailto:dmarc@meridianglobalservices.com; aspf=s;"/>
    <m/>
    <m/>
    <x v="0"/>
    <x v="99"/>
    <x v="2"/>
  </r>
  <r>
    <s v="hmhco.com"/>
    <s v="tilde"/>
    <x v="1"/>
    <s v="v=spf1 ip4:209.235.126.1 ip4:209.235.126.2 ip4:209.235.126.7 ip4:209.235.126.8 ip4:209.235.126.9 ip4:209.235.126.10 include:_netblocks.hmhco.com include:_spf.salesforce.com include:us._netblocks.mimecast.com include:6573d6.workshop-spf.net ~all"/>
    <s v="yes"/>
    <x v="0"/>
    <m/>
    <m/>
    <m/>
    <x v="0"/>
    <x v="99"/>
    <x v="2"/>
  </r>
  <r>
    <s v="tli.ie"/>
    <s v="minus"/>
    <x v="0"/>
    <s v="v=spf1 include:spf.protection.outlook.com -all"/>
    <s v="yes"/>
    <x v="1"/>
    <s v="v=DMARC1; p=quarantine; rua=mailto:dmarc@tli.ie;ruf=mailto:dmarc@tli.ie"/>
    <m/>
    <m/>
    <x v="14"/>
    <x v="99"/>
    <x v="2"/>
  </r>
  <r>
    <s v="oxigen.ie"/>
    <s v="tilde"/>
    <x v="1"/>
    <s v="v=spf1 include:_spf.mlsend.com ip4:217.115.115.25 ip4:217.115.115.183 include:trustpilotservice.com include:relay.mailchannels.net include:spf.enterprisemailbox.com +a +mx ~all"/>
    <s v="yes"/>
    <x v="3"/>
    <s v="v=DMARC1;p=reject;sp=reject;pct=100;rua=mailto:9a8f0ba1a9@rua.easydmarc.eu;ruf=mailto:9a8f0ba1a9@ruf.easydmarc.eu,mailto:scowley@oxigen.ie;ri=86400;aspf=r;adkim=r;fo=1;"/>
    <m/>
    <m/>
    <x v="0"/>
    <x v="99"/>
    <x v="2"/>
  </r>
  <r>
    <s v="walls.ie"/>
    <s v="tilde"/>
    <x v="1"/>
    <s v="v=spf1 include:eu._netblocks.mimecast.com ~all"/>
    <m/>
    <x v="0"/>
    <m/>
    <m/>
    <m/>
    <x v="0"/>
    <x v="99"/>
    <x v="2"/>
  </r>
  <r>
    <s v="barrys.ie"/>
    <s v="mis"/>
    <x v="3"/>
    <s v="v=spf1 include:_spf.getresponse.com redirect=_sf2c3m436.sdmarc.net"/>
    <s v="yes"/>
    <x v="3"/>
    <s v="v=DMARC1; p=reject; pct=100; rua=mailto:a.f2c3m436@sdmarc.net"/>
    <m/>
    <m/>
    <x v="1"/>
    <x v="99"/>
    <x v="2"/>
  </r>
  <r>
    <s v="gowangroup.ie"/>
    <s v="minus"/>
    <x v="0"/>
    <s v="v=spf1 include:spf.hornetsecurity.com include:spf.protection.outlook.com -all"/>
    <s v="yes"/>
    <x v="2"/>
    <s v="v=DMARC1; p=none; rua=mailto:alerts@gowanauto.ie; aspf=s;"/>
    <m/>
    <m/>
    <x v="0"/>
    <x v="99"/>
    <x v="2"/>
  </r>
  <r>
    <s v="irishlights.ie"/>
    <s v="minus"/>
    <x v="0"/>
    <s v="v=spf1 include:spf.protection.outlook.com a:mail.irishlights.ie a:mail2.irishlights.ie include:spf.topsec.com ip4:46.22.130.48 ip4:81.17.250.120 ip4:213.234.110.133 ip4:165.72.200.104 -all"/>
    <s v="yes"/>
    <x v="1"/>
    <s v="v=DMARC1; p=quarantine; pct=100; rua=mailto:dmarc@irishlights.ie; ruf=mailto:dmarc@irishlights.ie; fo=1"/>
    <m/>
    <m/>
    <x v="0"/>
    <x v="99"/>
    <x v="2"/>
  </r>
  <r>
    <s v="corkcollegeofcommerce.ie"/>
    <s v="minus"/>
    <x v="0"/>
    <s v="v=spf1 ip4:87.38.8.1/28 ip4:91.123.227.133 include:spf.protection.outlook.com -all"/>
    <s v="yes"/>
    <x v="1"/>
    <s v="v=DMARC1; p=quarantine; pct=100;"/>
    <m/>
    <m/>
    <x v="1"/>
    <x v="99"/>
    <x v="2"/>
  </r>
  <r>
    <s v="coddmushrooms.ie"/>
    <s v="minus"/>
    <x v="0"/>
    <s v="v=spf1 ip4:78.143.141.126 include:spf.protection.outlook.com a:smtp.ripplecom.net -all"/>
    <m/>
    <x v="0"/>
    <m/>
    <m/>
    <m/>
    <x v="25"/>
    <x v="99"/>
    <x v="2"/>
  </r>
  <r>
    <s v="ioh.ie"/>
    <s v="tilde"/>
    <x v="1"/>
    <s v="v=spf1 a mx ip4:212.17.32.27 ip4:137.191.249.27 ip4:34.249.86.25 include:spf.protection.outlook.com ~all"/>
    <m/>
    <x v="0"/>
    <m/>
    <m/>
    <m/>
    <x v="0"/>
    <x v="99"/>
    <x v="2"/>
  </r>
  <r>
    <s v="dromoland.ie"/>
    <s v="minus"/>
    <x v="0"/>
    <s v="v=spf1 include:spamtitan.tierneys.ie include:spf.protection.outlook.com ip4:34.251.246.197/32 ip4:34.254.147.8/32 ip4:168.245.122.106 ip4:50.31.43.115 ip4:167.89.97.89 ip4:168.245.107.93 ip4:168.245.125.123 ip4:168.245.52.34 ip4:168.245.64.103 ip4:167.89.&quot; &quot;0.0/17 ip4:208.117.48.0/20 ip4:50.31.32.0/19 ip4:198.37.144.0/20 ip4:198.21.0.0/21 ip4:192.254.112.0/20 ip4:168.245.0.0/17 ip4:149.72.0.0/16 ip4:159.183.0.0/16 ip4:223.165.113.0/24 ip4:223.165.115.0/24 ip4:223.165.118.0/23 ip4:223.165.120.0/23 include:ora&quot; &quot;cleindustry.com -all"/>
    <s v="yes"/>
    <x v="2"/>
    <s v="v=DMARC1; p=none; sp=none; rua=mailto:dmarc@dromoland.ie"/>
    <m/>
    <m/>
    <x v="9"/>
    <x v="99"/>
    <x v="2"/>
  </r>
  <r>
    <s v="mountjuliet.ie"/>
    <s v="minus"/>
    <x v="0"/>
    <s v="v=spf1 include:spf.protection.outlook.com include:netaffinity.net  include:mail.marriott.com include:mailhost.int.oracleindustry.com -all"/>
    <s v="yes"/>
    <x v="2"/>
    <s v="v=DMARC1; p=none;"/>
    <m/>
    <m/>
    <x v="17"/>
    <x v="99"/>
    <x v="2"/>
  </r>
  <r>
    <s v="standardlife.ie"/>
    <s v="tilde"/>
    <x v="1"/>
    <s v="v=spf1 include:aspmx.pardot.com include:eu._netblocks.mimecast.com include:spf.messagelabs.com include:authsmtp.com ~all"/>
    <m/>
    <x v="1"/>
    <s v="v=DMARC1; p=quarantine; fo=1; pct=10; ri=3600; rua=mailto:standard-life@rua.agari.com; ruf=mailto:standard-life@ruf.agari.com"/>
    <m/>
    <m/>
    <x v="0"/>
    <x v="99"/>
    <x v="2"/>
  </r>
  <r>
    <s v="virginmediatelevision.ie"/>
    <s v="tilde"/>
    <x v="1"/>
    <s v="v=spf1 ip4:193.120.86.135 ip4:193.120.86.133 ip4:83.71.194.199 ip4:79.140.139.0/24 include:spf.liberty.biz include:lgsmtp.spf.upcmail.net include:mx.spf.upcmail.net include:custhelp.com include:nw010.com ~all"/>
    <m/>
    <x v="3"/>
    <s v="v=DMARC1; p=reject; sp=reject; rua=mailto:jn2qdxcl@ag.eu.dmarcadvisor.com; ruf=mailto:jn2qdxcl@fr.eu.dmarcadvisor.com"/>
    <m/>
    <m/>
    <x v="0"/>
    <x v="99"/>
    <x v="2"/>
  </r>
  <r>
    <s v="arise-europe.com"/>
    <s v="minus"/>
    <x v="0"/>
    <s v="v=spf1 ip4:193.120.127.172 include:spf.protection.outlook.com include:spf.smtp2go.com include:spf.hornetsecurity.com -all"/>
    <s v="yes"/>
    <x v="2"/>
    <s v="v=DMARC1; p=none; fo=1; rua= mailto:dmarc@6w95c0az.uriports.com; ruf= mailto:dmarc@6w95c0az.uriports.com"/>
    <m/>
    <m/>
    <x v="5"/>
    <x v="99"/>
    <x v="2"/>
  </r>
  <r>
    <s v="rockwellautomation.com"/>
    <s v="minus"/>
    <x v="0"/>
    <s v="v=spf1 include:rockwellautomation.com._nspf.vali.email include:%{i}._ip.%{h}._ehlo.%{d}._spf.vali.email include:_netblocks.eloqua.com include:spf.protection.outlook.com -all"/>
    <s v="yes"/>
    <x v="3"/>
    <s v="v=DMARC1; p=reject; rua=mailto:dmarc_agg@vali.email; ruf=mailto:dmarc@rockwellautomation.com"/>
    <m/>
    <m/>
    <x v="1"/>
    <x v="99"/>
    <x v="2"/>
  </r>
  <r>
    <s v="oneills.com"/>
    <s v="tilde"/>
    <x v="1"/>
    <s v="v=spf1 ip4:46.37.184.107 ip4:46.37.184.110 ip4:46.37.184.116 ip4:46.37.184.150 ip4:46.37.184.151 include:_netblocks.mimecast.com include:mail.zendesk.com include:icpbounce.com include:_spf.bigcommerce.com ~all"/>
    <m/>
    <x v="2"/>
    <s v="v=DMARC1;  p=none; rua=mailto:bf84b91d8a5c48c591da61de655e4363@dmarc-reports.cloudflare.net"/>
    <m/>
    <m/>
    <x v="0"/>
    <x v="99"/>
    <x v="2"/>
  </r>
  <r>
    <s v="drinagh.com"/>
    <s v="minus"/>
    <x v="0"/>
    <s v="v=spf1 include:spf1.drinagh.com include:spf2.drinagh.com ip4:84.51.253.158 -all"/>
    <s v="yes"/>
    <x v="2"/>
    <s v="v=DMARC1; p=none; fo=1; rua=mailto:rua+drinagh.com@dmarc.barracudanetworks.com; ruf=mailto:ruf+drinagh.com@dmarc.barracudanetworks.com"/>
    <m/>
    <m/>
    <x v="1"/>
    <x v="99"/>
    <x v="2"/>
  </r>
  <r>
    <s v="largofoods.ie"/>
    <s v="minus"/>
    <x v="0"/>
    <s v="v=spf1 ip6:fd1b:212c:a5f9::/48 -all"/>
    <m/>
    <x v="0"/>
    <m/>
    <m/>
    <m/>
    <x v="15"/>
    <x v="99"/>
    <x v="2"/>
  </r>
  <r>
    <s v="c-a-m.com"/>
    <s v="minus"/>
    <x v="0"/>
    <s v="v=spf1 -all"/>
    <s v="yes"/>
    <x v="3"/>
    <s v="v=DMARC1; p=reject; fo=1; rua=mailto:dmarc_rua@emaildefense.proofpoint.com; ruf=mailto:dmarc_ruf@emaildefense.proofpoint.com"/>
    <m/>
    <m/>
    <x v="20"/>
    <x v="99"/>
    <x v="2"/>
  </r>
  <r>
    <s v="mowi.com"/>
    <s v="tilde"/>
    <x v="1"/>
    <s v="v=spf1 include:%{ir}.%{v}.%{d}.spf.has.pphosted.com ~all"/>
    <s v="yes"/>
    <x v="3"/>
    <s v="v=DMARC1; p=reject; fo=1; rua=mailto:dmarc_rua@emaildefense.proofpoint.com; ruf=mailto:dmarc_ruf@emaildefense.proofpoint.com"/>
    <m/>
    <m/>
    <x v="6"/>
    <x v="99"/>
    <x v="2"/>
  </r>
  <r>
    <s v="gleneaglehotel.com"/>
    <s v="minus"/>
    <x v="0"/>
    <s v="v=spf1 mx include:guestline.net include:roomlynx.net include:spf.mandrillapp.com include:spf.protection.outlook.com include:authsmtp.com include:_spf.bookassist.com ip4:13.80.180.142 -all"/>
    <s v="yes"/>
    <x v="2"/>
    <s v="v=DMARC1; p=none"/>
    <m/>
    <m/>
    <x v="14"/>
    <x v="99"/>
    <x v="2"/>
  </r>
  <r>
    <s v="hertel.com"/>
    <s v="minus"/>
    <x v="0"/>
    <s v="v=spf1 include:smtp.luna.nl ip4:80.195.39.75 ip4:203.166.101.173 ip4:91.103.190.48/28 ip4:91.103.191.0/26 include:spf.protection.outlook.com -all"/>
    <s v="yes"/>
    <x v="3"/>
    <s v="v=DMARC1;p=reject;rua=mailto:dmarc_agg@vali.email"/>
    <m/>
    <m/>
    <x v="5"/>
    <x v="99"/>
    <x v="2"/>
  </r>
  <r>
    <s v="debenhams.ie"/>
    <s v="no"/>
    <x v="2"/>
    <m/>
    <m/>
    <x v="0"/>
    <m/>
    <m/>
    <m/>
    <x v="0"/>
    <x v="99"/>
    <x v="2"/>
  </r>
  <r>
    <s v="houseoffraser.co.uk"/>
    <s v="minus"/>
    <x v="0"/>
    <s v="v=spf1 ip4:77.86.28.73 ip4:86.17.5.233 ip4:86.17.5.229 ip4:195.11.175.229 ip4:109.176.84.229 include:hof.co.uk include:spf.protection.outlook.com include:email.freshdesk.com -all"/>
    <m/>
    <x v="1"/>
    <s v="v=DMARC1; p=quarantine; rua=mailto:dmarc@frasers.group,mailto:dmarc_agg@dmarc.everest.email; ruf=mailto:forensics@frasers.group; pct=100"/>
    <s v="yes"/>
    <s v="https://bimi-host.250ok.com/740383_houseoffraser_co_uk.svg"/>
    <x v="0"/>
    <x v="99"/>
    <x v="2"/>
  </r>
  <r>
    <s v="muiriosa.ie"/>
    <s v="tilde"/>
    <x v="1"/>
    <s v="v=spf1 ip4:66.206.3.250 ip4:69.46.21.82 +a +mx +ip4:206.51.235.130 +ip4:185.56.137.57 +ip4:184.173.239.120 +include:spf.topsec.com +include:spf.protection.outlook.com ~all"/>
    <s v="yes"/>
    <x v="2"/>
    <s v="v=DMARC1; p=none; rua=mailto:pcs4akum@ag.eu.dmarcian.com;"/>
    <m/>
    <m/>
    <x v="16"/>
    <x v="99"/>
    <x v="2"/>
  </r>
  <r>
    <s v="trendmicro.com"/>
    <s v="minus"/>
    <x v="0"/>
    <s v="v=spf1 mx include:_spf-mix.trendmicro.com include:spf-us.tmes.trendmicro.com include:mktomail.com include:spf.mandrillapp.com include:fc1503.cuenote.jp include:spf-euw1.docebopaas.com include:spf.protection.outlook.com -all"/>
    <s v="yes"/>
    <x v="1"/>
    <s v="v=DMARC1; p=quarantine; pct=100; rua=mailto:mad666@dmarcrua.tmes.trendmicro.com;"/>
    <s v="yes"/>
    <s v="https://vmc.digicert.com/dbf878e8-4fc9-4160-98b2-a888744432ee.svg"/>
    <x v="1"/>
    <x v="99"/>
    <x v="2"/>
  </r>
  <r>
    <s v="citrix.com"/>
    <s v="tilde"/>
    <x v="1"/>
    <s v="v=spf1 include:spf.citrix.com include:spf2.citrix.com include:_spf.google.com include:spf.protection.outlook.com include:spf_c.oraclecloud.com ~all"/>
    <s v="yes"/>
    <x v="3"/>
    <s v="v=DMARC1;p=reject;sp=reject;pct=100;rua=mailto:cvr05wpm@ag.dmarcian.com"/>
    <m/>
    <m/>
    <x v="0"/>
    <x v="99"/>
    <x v="2"/>
  </r>
  <r>
    <s v="fineos.com"/>
    <s v="tilde"/>
    <x v="1"/>
    <s v="v=spf1 include:pco3hvr0ok.spf.mailauth.ironscales.com ~all"/>
    <m/>
    <x v="2"/>
    <s v="v=DMARC1; p=none; rua=mailto:cp5ngrvul0@rua.mailauth.ironscales.com; ruf=mailto:cp5ngrvul0@ruf.mailauth.ironscales.com; fo=1;"/>
    <m/>
    <m/>
    <x v="0"/>
    <x v="99"/>
    <x v="2"/>
  </r>
  <r>
    <s v="guidewire.com"/>
    <s v="mis"/>
    <x v="3"/>
    <s v="v=spf1 redirect=4h8ltvx9._spf._d.mim.ec"/>
    <s v="yes"/>
    <x v="1"/>
    <s v="v=DMARC1; p=quarantine; rua=mailto:efcc33448d04048@rep.dmarcanalyzer.com; ruf=mailto:efcc33448d04048@for.dmarcanalyzer.com; fo=1;"/>
    <m/>
    <m/>
    <x v="0"/>
    <x v="99"/>
    <x v="2"/>
  </r>
  <r>
    <s v="ncirl.ie"/>
    <s v="minus"/>
    <x v="0"/>
    <s v="v=spf1 ip4:193.1.209.100 ip4:20.54.73.47 ip4:20.93.10.149 ip4:10.60.26.5 ip4:78.153.205.252 ip4:78.153.203.204 ip4:193.1.245.136 include:spf2.ncirl.ie include:spf.protection.outlook.com include:spf.constantcontact.com include:457020.spf01.hubspotemail.net&quot; &quot; include:_spf.eu.messagegears.net include:spf.blacknight.com include:mail.zendesk.com -all"/>
    <s v="yes"/>
    <x v="2"/>
    <s v="v=DMARC1; p=none;"/>
    <m/>
    <m/>
    <x v="0"/>
    <x v="99"/>
    <x v="2"/>
  </r>
  <r>
    <s v="dawnpork.com"/>
    <s v="no"/>
    <x v="2"/>
    <m/>
    <m/>
    <x v="0"/>
    <m/>
    <m/>
    <m/>
    <x v="10"/>
    <x v="99"/>
    <x v="2"/>
  </r>
  <r>
    <s v="gecas.com"/>
    <s v="no"/>
    <x v="2"/>
    <m/>
    <m/>
    <x v="2"/>
    <s v="v=DMARC1; p=none; fo=1; rua=mailto:dmarc_rua@emaildefense.proofpoint.com; ruf=mailto:dmarc_ruf@emaildefense.proofpoint.com"/>
    <m/>
    <m/>
    <x v="9"/>
    <x v="99"/>
    <x v="2"/>
  </r>
  <r>
    <s v="europcar.ie"/>
    <s v="minus"/>
    <x v="0"/>
    <s v="v=spf1 ip4:35.241.224.202 ip4:200.69.13.211 ip4:78.153.196.52 ip4:23.251.129.185 ip4:77.107.224.190 ip4:77.107.224.134 ip4:66.39.66.3 ip4:216.92.31.3 mx:smtp.carhire.ie include:spf.mandrillapp.com include:spf.protection.outlook.com &quot; &quot;include:mail.zendesk.com include:servers.mcsv.net include:_spf.google.com -all"/>
    <m/>
    <x v="2"/>
    <s v="v=DMARC1; p=none; rua=mailto:dmarcreports@europcar.com; ruf=mailto:dmarcreports@europcar.com; fo=1"/>
    <m/>
    <m/>
    <x v="0"/>
    <x v="99"/>
    <x v="2"/>
  </r>
  <r>
    <s v="ncsr.ie"/>
    <s v="minus"/>
    <x v="0"/>
    <s v="v=spf1 ip6:fd1b:212c:a5f9::/48 -all"/>
    <m/>
    <x v="0"/>
    <m/>
    <m/>
    <m/>
    <x v="0"/>
    <x v="99"/>
    <x v="2"/>
  </r>
  <r>
    <s v="joeduffybmw.ie"/>
    <s v="minus"/>
    <x v="0"/>
    <s v="v=spf1 ip4:86.47.92.229 include:spf.protection.outlook.com -all"/>
    <m/>
    <x v="2"/>
    <s v="v=DMARC1; p=none;"/>
    <m/>
    <m/>
    <x v="0"/>
    <x v="99"/>
    <x v="2"/>
  </r>
  <r>
    <s v="transdevireland.ie"/>
    <s v="no"/>
    <x v="2"/>
    <m/>
    <s v="yes"/>
    <x v="0"/>
    <m/>
    <m/>
    <m/>
    <x v="0"/>
    <x v="99"/>
    <x v="2"/>
  </r>
  <r>
    <s v="eurofins.com"/>
    <s v="minus"/>
    <x v="0"/>
    <s v="v=spf1 include:spf.eurofins.com -all"/>
    <s v="yes"/>
    <x v="3"/>
    <s v="v=DMARC1; p=reject; sp=none; fo=1; rua=mailto:dmarc_agg@vali.email"/>
    <m/>
    <m/>
    <x v="10"/>
    <x v="99"/>
    <x v="2"/>
  </r>
  <r>
    <s v="irco.com"/>
    <s v="tilde"/>
    <x v="1"/>
    <s v="v=spf1 include:spf.protection.outlook.com include:mail.zendesk.com include:servers.mcsv.net include:amazonses.com include:_spf.docboss.com include:_spfext1.irco.com include:_spf.act-on.net include:_spf.bullhornmail.com  include:_spf.salesforce.com ~all"/>
    <s v="yes"/>
    <x v="2"/>
    <s v="v=DMARC1; p=none; fo=1:d:s; pct=100; rua=mailto:dmarc.reports@irco.com;ruf=mailto:dmarc.reports@irco.com"/>
    <m/>
    <m/>
    <x v="0"/>
    <x v="99"/>
    <x v="2"/>
  </r>
  <r>
    <s v="abbottireland.ie"/>
    <s v="no"/>
    <x v="2"/>
    <m/>
    <m/>
    <x v="0"/>
    <m/>
    <m/>
    <m/>
    <x v="6"/>
    <x v="99"/>
    <x v="2"/>
  </r>
  <r>
    <s v="academyplazahotel.ie"/>
    <s v="tilde"/>
    <x v="1"/>
    <s v="v=spf1 +ip4:66.102.134.64 +include:_spf.bookassist.com +include:oracleindustry.com ~all"/>
    <s v="yes"/>
    <x v="3"/>
    <s v="v=DMARC1; p=reject; sp=none; ri=86400"/>
    <m/>
    <m/>
    <x v="0"/>
    <x v="99"/>
    <x v="2"/>
  </r>
  <r>
    <s v="travelportdigital.com"/>
    <s v="no"/>
    <x v="2"/>
    <m/>
    <m/>
    <x v="0"/>
    <m/>
    <m/>
    <m/>
    <x v="0"/>
    <x v="99"/>
    <x v="2"/>
  </r>
  <r>
    <s v="jjrhatigan.com"/>
    <s v="tilde"/>
    <x v="1"/>
    <s v="v=spf1 include:_netblocks.mimecast.com include:spf.protection.outlook.com ip4:52.50.162.44 include:24911332.spf03.hubspotemail.net ~all"/>
    <s v="yes"/>
    <x v="2"/>
    <s v="v=DMARC1; p=none; fo=1; rua=mailto:dmarc@sleepless.ie;ruf=mailto:dmarc@sleepless.ie;pct=100"/>
    <m/>
    <m/>
    <x v="7"/>
    <x v="99"/>
    <x v="2"/>
  </r>
  <r>
    <s v="123.ie"/>
    <s v="tilde"/>
    <x v="1"/>
    <s v="v=spf1 ip4:167.89.62.175 include:spf.protection.outlook.com include:spf.amris.com include:amazonses.com include:em3294.123.ie include:em529.123.ie ~all"/>
    <s v="yes"/>
    <x v="1"/>
    <s v="v=DMARC1; p=quarantine; pct=100; rua=mailto:fc603e11d5cd880@rep.dmarcanalyzer.com; ruf=mailto:fc603e11d5cd880@rep.dmarcanalyzer.com; fo=1;"/>
    <m/>
    <m/>
    <x v="0"/>
    <x v="100"/>
    <x v="3"/>
  </r>
  <r>
    <s v="crawford.cit.ie"/>
    <s v="no"/>
    <x v="2"/>
    <m/>
    <m/>
    <x v="0"/>
    <m/>
    <m/>
    <m/>
    <x v="1"/>
    <x v="101"/>
    <x v="3"/>
  </r>
  <r>
    <s v="brownbagfilms.com"/>
    <s v="minus"/>
    <x v="0"/>
    <s v="v=spf1 include:servers.mcsv.net a:brownbagfilms.com a:smtp.9story.com ip4:89.100.177.193 include:_spf.createsend.com include:spf.protection.outlook.com include:_spf.salesforce.com -all"/>
    <s v="yes"/>
    <x v="2"/>
    <s v="v=DMARC1; p=none;"/>
    <m/>
    <m/>
    <x v="0"/>
    <x v="101"/>
    <x v="3"/>
  </r>
  <r>
    <s v="foylefoodgroup.com"/>
    <s v="minus"/>
    <x v="0"/>
    <s v="v=spf1 a:mail.foylefoodgroup.com ip4:62.254.244.100 ip4:164.100.1.8 include:spf.protection.outlook.com include:spf-eu.emailsignatures365.com -all"/>
    <s v="yes"/>
    <x v="3"/>
    <s v="v=DMARC1; p=reject; rua=mailto:postmaster1@foylefoodgroup.com; ruf=mailto:postmaster1@foylefoodgroup.com; rf=afrf; sp=reject; fo=0:1:d:s; pct=100; adkim=s; aspf=s"/>
    <m/>
    <m/>
    <x v="6"/>
    <x v="101"/>
    <x v="3"/>
  </r>
  <r>
    <s v="orwellhealthcare.ie"/>
    <s v="minus"/>
    <x v="0"/>
    <s v="v=spf1 include:spf.protection.outlook.com include:smtp.ortuscloud.com -all"/>
    <s v="yes"/>
    <x v="2"/>
    <s v="v=DMARC1; p=none"/>
    <m/>
    <m/>
    <x v="0"/>
    <x v="101"/>
    <x v="3"/>
  </r>
  <r>
    <s v="kearys.ie"/>
    <s v="minus"/>
    <x v="0"/>
    <s v="v=spf1 +ip4:217.182.4.131 +include:spf.protection.outlook.com +include:amazonses.com +include:spf.mandrillapp.com +include:_spf.keyloop.io +ip4:89.101.132.201 +ip4:89.101.153.148 +ip4:89.234.93.74 +ip4:40.113.6.252 +ip4:84.203.112.121 -all"/>
    <s v="yes"/>
    <x v="2"/>
    <s v="v=DMARC1;p=none;sp=none;rua=mailto:211a5a2e44@rua.easydmarc.eu;ruf=mailto:211a5a2e44@ruf.easydmarc.eu;fo=1"/>
    <m/>
    <m/>
    <x v="1"/>
    <x v="102"/>
    <x v="3"/>
  </r>
  <r>
    <s v="securitasgroup.com"/>
    <s v="minus"/>
    <x v="0"/>
    <s v="v=spf1 a:mx101.securitasgroup.com a:mx102.securitasgroup.com a:mx41.securitas.com a:mx42.securitas.com include:spf.protection.outlook.com -all"/>
    <s v="yes"/>
    <x v="3"/>
    <s v="v=DMARC1; p=reject; rua=mailto:dmarc_RUA@securitas.net,mailto:dmarc_agg@vali.email; ruf=mailto:dmarc_RUF@securitas.net; fo=1; adkim=s; aspf=s;"/>
    <m/>
    <m/>
    <x v="0"/>
    <x v="102"/>
    <x v="3"/>
  </r>
  <r>
    <s v="kaymedworld.com"/>
    <s v="minus"/>
    <x v="0"/>
    <s v="v=spf1  include:spf-lp.leggett.com include:spf-sf.leggett.com include:spfc1.leggett.com include:spf.protection.outlook.com include:spf-0003de01.pphosted.com -all"/>
    <m/>
    <x v="2"/>
    <s v="v=DMARC1; p=none; rua=mailto:dmarc_agg@vali.email;"/>
    <m/>
    <m/>
    <x v="0"/>
    <x v="103"/>
    <x v="3"/>
  </r>
  <r>
    <s v="imagine.ie"/>
    <s v="mis"/>
    <x v="3"/>
    <s v="v=spf1 mx a ip4:62.231.32.43/32 ip4:62.231.32.6/32 ip4:87.232.4.250/32"/>
    <m/>
    <x v="0"/>
    <m/>
    <m/>
    <m/>
    <x v="0"/>
    <x v="104"/>
    <x v="3"/>
  </r>
  <r>
    <s v="donnelly.ie"/>
    <s v="minus"/>
    <x v="0"/>
    <s v="v=spf1 mx ip4:136.144.137.5 ip4:77.75.97.58 ip4:80.233.49.19 ip4:86.44.90.66 ip4:86.47.115.108 include:spf.protection.outlook.com include:spf1.emailsecurity.app -all"/>
    <m/>
    <x v="0"/>
    <m/>
    <m/>
    <m/>
    <x v="0"/>
    <x v="104"/>
    <x v="3"/>
  </r>
  <r>
    <s v="harmac.com"/>
    <s v="mis"/>
    <x v="3"/>
    <s v="v=spf1 redirect=_su06l25nj.sdmarc.net"/>
    <m/>
    <x v="1"/>
    <s v="v=DMARC1; p=quarantine; pct=100; rua=mailto:a.u06l25nj@sdmarc.net"/>
    <m/>
    <m/>
    <x v="22"/>
    <x v="104"/>
    <x v="3"/>
  </r>
  <r>
    <s v="synergysecurity.ie"/>
    <s v="tilde"/>
    <x v="1"/>
    <s v="v=spf1 a include:spf.protection.outlook.com ~all"/>
    <m/>
    <x v="0"/>
    <m/>
    <m/>
    <m/>
    <x v="1"/>
    <x v="104"/>
    <x v="3"/>
  </r>
  <r>
    <s v="heatmerchants.ie"/>
    <s v="minus"/>
    <x v="0"/>
    <s v="v=spf1 include:spf.protection.outlook.com include:spf.uk.odmad.quest-on-demand.com ip4:89.204.241.205 ip4:78.153.196.173 ip4:40.95.0.0/16 include:em8705.heatmerchants.ie -all"/>
    <s v="yes"/>
    <x v="1"/>
    <s v="v=DMARC1; p=quarantine; pct=100; rua=mailto:re+smrvmg53nr2@dmarc.postmarkapp.com"/>
    <m/>
    <m/>
    <x v="23"/>
    <x v="105"/>
    <x v="3"/>
  </r>
  <r>
    <s v="sulzer.com"/>
    <s v="minus"/>
    <x v="0"/>
    <s v="v=spf1 include:_spf-a.sulzer.com include:_spf-b.sulzer.com include:_spf-c.sulzer.com -all"/>
    <s v="yes"/>
    <x v="3"/>
    <s v="v=DMARC1; p=reject; pct=100; rua=mailto:kldnwik0@ag.eu.dmarcian.com, mailto:DMARC.Reporting@sulzer.com;"/>
    <s v="yes"/>
    <s v="https://go.sulzer.com/icon-sulzer-blue"/>
    <x v="3"/>
    <x v="106"/>
    <x v="3"/>
  </r>
  <r>
    <s v="essilor.ie"/>
    <s v="mis"/>
    <x v="3"/>
    <s v="v=spf1 ip4:193.242.17.196 ip4:10.156.4.11 ip4:20.74.40.218 ip4:20.74.40.219 include:spf.protection.outlook.com redirect=_spf.essilor.com"/>
    <s v="yes"/>
    <x v="1"/>
    <s v="v=DMARC1; p=quarantine; rua=mailto:dmarc-analysts@essilor.com; pct=100"/>
    <m/>
    <m/>
    <x v="9"/>
    <x v="106"/>
    <x v="3"/>
  </r>
  <r>
    <s v="danone.ie"/>
    <s v="minus"/>
    <x v="0"/>
    <s v="v=spf1 include:%{ir}.%{v}.%{d}.spf.has.pphosted.com -all"/>
    <m/>
    <x v="3"/>
    <s v="v=DMARC1; p=reject; fo=1; rua=mailto:dmarc_rua@emaildefense.proofpoint.com; ruf=mailto:dmarc_ruf@emaildefense.proofpoint.com"/>
    <m/>
    <m/>
    <x v="3"/>
    <x v="106"/>
    <x v="3"/>
  </r>
  <r>
    <s v="coaction.ie"/>
    <s v="minus"/>
    <x v="0"/>
    <s v="v=spf1 include:spf.protection.outlook.com -all"/>
    <m/>
    <x v="0"/>
    <m/>
    <m/>
    <m/>
    <x v="1"/>
    <x v="106"/>
    <x v="3"/>
  </r>
  <r>
    <s v="dst.com"/>
    <s v="minus"/>
    <x v="0"/>
    <s v="v=spf1 include:spf.protection.outlook.com -all"/>
    <m/>
    <x v="0"/>
    <m/>
    <m/>
    <m/>
    <x v="0"/>
    <x v="107"/>
    <x v="3"/>
  </r>
  <r>
    <s v="wellman-intl.com"/>
    <s v="minus"/>
    <x v="0"/>
    <s v="v=spf1  ip4:77.75.97.250/32 ip4:92.111.202.91/32 ip4:37.58.174.195/32 include:spf.protection.outlook.com exists:%{i}.spf.hc815-95.ap.iphmx.com -all"/>
    <m/>
    <x v="0"/>
    <m/>
    <m/>
    <m/>
    <x v="15"/>
    <x v="108"/>
    <x v="3"/>
  </r>
  <r>
    <s v="schneider-electric.ie"/>
    <s v="minus"/>
    <x v="0"/>
    <s v="v=spf1 include:schneider-electric.ie._nspf.vali.email include:%{i}._ip.%{h}._ehlo.%{d}._spf.vali.email -all"/>
    <m/>
    <x v="3"/>
    <s v="v=DMARC1; p=reject; rua=mailto:dmarc_agg@vali.email"/>
    <m/>
    <m/>
    <x v="7"/>
    <x v="108"/>
    <x v="3"/>
  </r>
  <r>
    <s v="ifac.ie"/>
    <s v="minus"/>
    <x v="0"/>
    <s v="v=spf1 a:spf.eu.exclaimer.net ip4:87.198.216.6 include:spf.protection.outlook.com include:26643687.spf04.hubspotemail.net include:_spf.psm.knowbe4.com -all"/>
    <s v="yes"/>
    <x v="2"/>
    <s v="v=DMARC1; p=none;"/>
    <m/>
    <m/>
    <x v="0"/>
    <x v="109"/>
    <x v="3"/>
  </r>
  <r>
    <s v="frsrecruitment.com"/>
    <s v="minus"/>
    <x v="0"/>
    <s v="v=spf1 include:spf.protection.outlook.com include:7784363.spf06.hubspotemail.net -all"/>
    <s v="yes"/>
    <x v="2"/>
    <s v="v=DMARC1; p=none;"/>
    <m/>
    <m/>
    <x v="21"/>
    <x v="109"/>
    <x v="3"/>
  </r>
  <r>
    <s v="pmgroup-global.com"/>
    <s v="minus"/>
    <x v="0"/>
    <s v="v=spf1 mx:pmgroupglobal-com01i.mail.protection.outlook.com ip4:89.31.174.249 ip4:89.31.174.253 ip4:89.31.175.115 include:spf.protection.outlook.com -all"/>
    <s v="yes"/>
    <x v="3"/>
    <s v="v=DMARC1; p=reject; rua=mailto:dmarc_agg@vali.email; pct=100"/>
    <m/>
    <m/>
    <x v="1"/>
    <x v="109"/>
    <x v="3"/>
  </r>
  <r>
    <s v="pobal.ie"/>
    <s v="minus"/>
    <x v="0"/>
    <s v="v=spf1 include:spf.protection.outlook.com  include:servers.mcsv.net a:mail.pobal.ie a:mail2.pobal.ie  -all"/>
    <s v="yes"/>
    <x v="3"/>
    <s v="v=DMARC1; p=reject; pct=100; rua=mailto:l51dcoyx@ag.eu.dmarcian.com;"/>
    <m/>
    <m/>
    <x v="0"/>
    <x v="109"/>
    <x v="3"/>
  </r>
  <r>
    <s v="garrettmotion.com"/>
    <s v="minus"/>
    <x v="0"/>
    <s v="v=spf1 include:%{d}.a8.spf-protect.agari.com exists:%{i}._i.%{d}._d.espf.agari.com -all"/>
    <s v="yes"/>
    <x v="1"/>
    <s v="v=DMARC1; p=quarantine; adkim=r; aspf=r; fo=1; pct=100; rf=afrf; ri=3600; rua=mailto:garrett@rua.agari.com,mailto:DMARC-RUA@garrettmotion.com; ruf=mailto:garrett@ruf.agari.com,mailto:DMARC-RUF@garrettmotion.com"/>
    <m/>
    <m/>
    <x v="10"/>
    <x v="109"/>
    <x v="3"/>
  </r>
  <r>
    <s v="jpmorganchase.com"/>
    <s v="minus"/>
    <x v="0"/>
    <s v="v=spf1 a:spf.jpmchase.com ip4:207.162.228.0/24 ip4:207.162.229.0/24 ip4:207.162.225.0/24 ip4:196.37.232.50 ip4:159.53.46.0/24 ip4:159.53.36.0/24 ip4:159.53.110.0/24 ip4:170.148.48.0/24 ip4:159.53.78.0/24 -all"/>
    <m/>
    <x v="3"/>
    <s v="v=DMARC1; p=reject; pct=100; rua=mailto:d@rua.agari.com; ruf=mailto:d@ruf.agari.com; fo=1"/>
    <m/>
    <m/>
    <x v="0"/>
    <x v="109"/>
    <x v="3"/>
  </r>
  <r>
    <s v="thorntons-recycling.ie"/>
    <s v="tilde"/>
    <x v="1"/>
    <s v="v=spf1 ip4:88.99.248.118 include:spf.mailjet.com include:spf.exclaimer.net include:spf.protection.outlook.com include:spf.theemaillaundry.net +include:_spf.thorntons-recycling.ie ~all"/>
    <s v="yes"/>
    <x v="2"/>
    <s v="v=DMARC1; p=none; rua=mailto:itadmin@thorntons-recycling.ie; ruf=mailto:itadmin@thorntons-recycling.ie"/>
    <m/>
    <m/>
    <x v="0"/>
    <x v="109"/>
    <x v="3"/>
  </r>
  <r>
    <s v="barnarecycling.com"/>
    <s v="minus"/>
    <x v="0"/>
    <s v="v=spf1 include:spf.protection.outlook.com ip4:5.196.21.180 ip4:92.222.170.69 ip4:151.80.60.251 ip4:151.80.60.236 ip4:151.80.60.250 ip4:89.101.155.185 ip4:92.222.78.4 ip4:92.222.78.47 ip4:89.204.253.57 ip6:2001:41d0:52:bff::6b2 -all"/>
    <s v="yes"/>
    <x v="2"/>
    <s v="v=DMARC1; p=none; pct=100; rua=mailto:dmarc@barnarecycling.com"/>
    <m/>
    <m/>
    <x v="7"/>
    <x v="109"/>
    <x v="3"/>
  </r>
  <r>
    <s v="ergogroup.ie"/>
    <s v="minus"/>
    <x v="0"/>
    <s v="v=spf1 include:spf.protection.outlook.com ip4:89.101.157.129 ip4:89.101.157.157 ip4:89.28.178.26 ip4:89.28.178.25 ip4:89.100.182.218 ip4:89.28.178.81 ip4:89.28.178.82 ip4:79.125.7.9 ip4:149.72.39.215 ip4:149.72.182.166 ip4:20.67.167.80 ip4:93.94.118.106 i&quot; &quot;nclude:_spf.cloudmore.com include:_spf.bullhornmail.com include:emsd1.com -all"/>
    <s v="yes"/>
    <x v="1"/>
    <s v="v=DMARC1;p=quarantine; rua=mailto:IT.Suggestions@ergogroup.ie; ruf=mailto:IT.Suggestions@ergogroup.ie;"/>
    <m/>
    <m/>
    <x v="0"/>
    <x v="109"/>
    <x v="3"/>
  </r>
  <r>
    <s v="varietyconnect.com"/>
    <s v="no"/>
    <x v="2"/>
    <m/>
    <m/>
    <x v="0"/>
    <m/>
    <m/>
    <m/>
    <x v="0"/>
    <x v="109"/>
    <x v="3"/>
  </r>
  <r>
    <s v="shaymurtagh.com"/>
    <s v="minus"/>
    <x v="0"/>
    <s v="v=spf1 ip4:178.250.116.30 include:spf.protection.outlook.com -all"/>
    <m/>
    <x v="0"/>
    <m/>
    <m/>
    <m/>
    <x v="23"/>
    <x v="109"/>
    <x v="3"/>
  </r>
  <r>
    <s v="corporatecateringservices.ie"/>
    <s v="no"/>
    <x v="2"/>
    <m/>
    <m/>
    <x v="0"/>
    <m/>
    <m/>
    <m/>
    <x v="9"/>
    <x v="109"/>
    <x v="3"/>
  </r>
  <r>
    <s v="crc.ie"/>
    <s v="minus"/>
    <x v="0"/>
    <s v="v=spf1 include:spf.irishdomains.com include:spf.protection.outlook.com include:spf.zendesk.com ip4:83.98.160.225 ip4:77.107.210.71  -all"/>
    <s v="yes"/>
    <x v="3"/>
    <s v="v=DMARC1; p=reject; pct=85; rua=mailto:dmarc@crc.ie; ruf=mailto:dmarc@crc.ie;"/>
    <m/>
    <m/>
    <x v="0"/>
    <x v="109"/>
    <x v="3"/>
  </r>
  <r>
    <s v="failteireland.ie"/>
    <s v="minus"/>
    <x v="0"/>
    <s v="v=spf1 mx a ip4:137.191.231.4 ip4:137.191.231.37 include:customers.clickdimensions.com include:emaileu.clickdimensions.com include:spf.protection.outlook.com include:_spf.eu.messagegears.net -all"/>
    <s v="yes"/>
    <x v="2"/>
    <s v="v=DMARC1;p=none;pct=100;rua=mailto:rua_dmarc_fi@failteireland.ie;ruf=mailto:rua_dmarc_fi@failteireland.ie;"/>
    <m/>
    <m/>
    <x v="0"/>
    <x v="109"/>
    <x v="3"/>
  </r>
  <r>
    <s v="leitrimcoco.ie"/>
    <s v="minus"/>
    <x v="0"/>
    <s v="v=spf1 a include:spf.protection.outlook.com include:spf.topsec.com include:7aad1ae4-spf.mta.getcheckrecipient.com ip4:172.30.0.150 ip4:34.253.61.97 ip4:172.30.0.25 ip4:213.143.154.166 -all"/>
    <s v="yes"/>
    <x v="2"/>
    <s v="v=DMARC1;p=none;sp=none;rua=mailto:211a5a2e44@rua.easydmarc.eu;ruf=mailto:211a5a2e44@ruf.easydmarc.eu;fo=1"/>
    <m/>
    <m/>
    <x v="19"/>
    <x v="109"/>
    <x v="3"/>
  </r>
  <r>
    <s v="longfordcoco.ie"/>
    <s v="minus"/>
    <x v="0"/>
    <s v="v=spf1 include:spf.topsec.com include:spf.protection.outlook.com ip4:137.191.227.114 ip4:213.143.154.166 include:amazonses.com -all"/>
    <s v="yes"/>
    <x v="3"/>
    <s v="v=DMARC1;p=reject;sp=reject;fo=1"/>
    <m/>
    <m/>
    <x v="20"/>
    <x v="109"/>
    <x v="3"/>
  </r>
  <r>
    <s v="meath.ie"/>
    <s v="minus"/>
    <x v="0"/>
    <s v="v=spf1 include:spf.topsec.com include:sendgrid.net -all"/>
    <m/>
    <x v="3"/>
    <s v="v=DMARC1; p=reject; pct=100; fo=1; ri=3600; rua=mailto:e288ef16@inbox.ondmarc.com; ruf=mailto:e288ef16@inbox.ondmarc.com;"/>
    <m/>
    <m/>
    <x v="15"/>
    <x v="109"/>
    <x v="3"/>
  </r>
  <r>
    <s v="samdennigan.ie"/>
    <s v="tilde"/>
    <x v="1"/>
    <s v="v=spf1 include:_u.samdennigan.ie._spf.smart.ondmarc.com include:autotask.net ~all"/>
    <s v="yes"/>
    <x v="3"/>
    <s v="v=DMARC1; p=reject; pct=100; fo=1; ri=3600; rua=mailto:1a447143@inbox.ondmarc.com; ruf=mailto:1a447143@inbox.ondmarc.com;"/>
    <m/>
    <m/>
    <x v="0"/>
    <x v="109"/>
    <x v="3"/>
  </r>
  <r>
    <s v="rhd.ie"/>
    <s v="tilde"/>
    <x v="1"/>
    <s v="v=spf1 a mx include:spf.topsec.com ip4:89.101.122.74 ip4:51.171.241.231 include:spf.protection.outlook.com ~all"/>
    <s v="yes"/>
    <x v="1"/>
    <s v="v=DMARC1; p=quarantine"/>
    <m/>
    <m/>
    <x v="0"/>
    <x v="109"/>
    <x v="3"/>
  </r>
  <r>
    <s v="irishferries.com"/>
    <s v="tilde"/>
    <x v="1"/>
    <s v="v=spf1 mx include:spf.protection.outlook.com include:iphmx.com ~all"/>
    <s v="yes"/>
    <x v="2"/>
    <s v="v=DMARC1; p=none; rua=mailto:65d5cee830a03@ag.eu.dmarcly.com; ruf=mailto:65d5cee830a03@fo.eu.dmarcly.com; sp=none;"/>
    <m/>
    <m/>
    <x v="0"/>
    <x v="109"/>
    <x v="3"/>
  </r>
  <r>
    <s v="dornan.ie"/>
    <s v="minus"/>
    <x v="0"/>
    <s v="v=spf1 include:spf.protection.outlook.com include:spf.elive.net ip4:88.208.202.0/24 ip4:91.142.107.250 ip4:84.39.234.230 -all"/>
    <s v="yes"/>
    <x v="1"/>
    <s v="v=DMARC1; p=quarantine; rua=mailto:support@dornangroup.com"/>
    <m/>
    <m/>
    <x v="1"/>
    <x v="109"/>
    <x v="3"/>
  </r>
  <r>
    <s v="takeda.ie"/>
    <s v="minus"/>
    <x v="0"/>
    <s v="v=spf1 include:spf-00297f01.pphosted.com include:spf.protection.outlook.com -all"/>
    <m/>
    <x v="3"/>
    <s v="v=DMARC1; p=reject; fo=1; rua=mailto:dmarc_rua@emaildefense.proofpoint.com; ruf=mailto:dmarc_ruf@emaildefense.proofpoint.com"/>
    <m/>
    <m/>
    <x v="0"/>
    <x v="109"/>
    <x v="3"/>
  </r>
  <r>
    <s v="laganasphaltgroup.com"/>
    <s v="minus"/>
    <x v="0"/>
    <s v="v=spf1 ?include:spf.protection.outlook.com include:_netblocks.mimecast.com -all"/>
    <m/>
    <x v="0"/>
    <m/>
    <m/>
    <m/>
    <x v="0"/>
    <x v="109"/>
    <x v="3"/>
  </r>
  <r>
    <s v="bruss.de"/>
    <s v="tilde"/>
    <x v="1"/>
    <s v="v=spf1 include:antispameurope.com ~all"/>
    <m/>
    <x v="0"/>
    <m/>
    <m/>
    <m/>
    <x v="8"/>
    <x v="109"/>
    <x v="3"/>
  </r>
  <r>
    <s v="freshwaysfoodco.ie"/>
    <s v="tilde"/>
    <x v="1"/>
    <s v="v=spf1 +a +mx +ip4:109.237.24.70 ~all"/>
    <s v="yes"/>
    <x v="0"/>
    <m/>
    <m/>
    <m/>
    <x v="0"/>
    <x v="109"/>
    <x v="3"/>
  </r>
  <r>
    <s v="cleanrooms.ie"/>
    <s v="minus"/>
    <x v="0"/>
    <s v="v=spf1 include:spf.protection.outlook.com -all"/>
    <m/>
    <x v="0"/>
    <m/>
    <m/>
    <m/>
    <x v="7"/>
    <x v="109"/>
    <x v="3"/>
  </r>
  <r>
    <s v="elavon.com"/>
    <s v="minus"/>
    <x v="0"/>
    <s v="v=spf1 include:usbank.com -all"/>
    <s v="yes"/>
    <x v="2"/>
    <s v="v=DMARC1;p=none;rua=mailto:us-bank@rua.agari.com;ruf=mailto:us-bank@ruf.agari.com,mailto:dmarc-3115449949@email-security.zerofox.com;fo=1"/>
    <m/>
    <m/>
    <x v="24"/>
    <x v="109"/>
    <x v="3"/>
  </r>
  <r>
    <s v="dhl.ie"/>
    <s v="minus"/>
    <x v="0"/>
    <s v="v=spf1 -all"/>
    <m/>
    <x v="3"/>
    <s v="v=DMARC1; p=reject; fo=0; rua=mailto:dmarc-reports@dhl.com;"/>
    <m/>
    <m/>
    <x v="0"/>
    <x v="109"/>
    <x v="3"/>
  </r>
  <r>
    <s v="abiireland.ie"/>
    <s v="minus"/>
    <x v="0"/>
    <s v="v=spf1 ip4:148.251.151.47 ip4:136.243.37.102 include:mail1.wpengine.com include:spf.protection.outlook.com include:ne16.com include:_spf.distribution.vueliopm.com mx -all"/>
    <s v="yes"/>
    <x v="2"/>
    <s v="v=DMARC1;p=none;pct=5;aspf=r;adkim=r;"/>
    <m/>
    <m/>
    <x v="0"/>
    <x v="109"/>
    <x v="3"/>
  </r>
  <r>
    <s v="verizonconnect.com"/>
    <s v="minus"/>
    <x v="0"/>
    <s v="v=spf1 include:%{ir}.%{v}.%{d}.spf.has.pphosted.com -all"/>
    <s v="yes"/>
    <x v="3"/>
    <s v="v=DMARC1; p=reject; fo=1; rua=mailto:dmarc_agg@verizonconnect.com; ruf=mailto:dmarc_afrf@verizonconnect.com"/>
    <m/>
    <m/>
    <x v="0"/>
    <x v="109"/>
    <x v="3"/>
  </r>
  <r>
    <s v="hiltonfoodgroup.com"/>
    <s v="minus"/>
    <x v="0"/>
    <s v="v=spf1 ip4:3.9.178.233 include:hiltonfoods.com -all"/>
    <s v="yes"/>
    <x v="1"/>
    <s v="v=DMARC1;p=quarantine;rua=mailto:dmarc-rua@hiltonfoodgroup.com"/>
    <m/>
    <m/>
    <x v="2"/>
    <x v="109"/>
    <x v="3"/>
  </r>
  <r>
    <s v="kare.ie"/>
    <s v="mis"/>
    <x v="3"/>
    <s v="v=spf1 ip4:83.70.132.114 ip4:83.70.132.115 ip4:83.70.132.116 include:spf.protection.outlook.com"/>
    <s v="yes"/>
    <x v="0"/>
    <m/>
    <m/>
    <m/>
    <x v="16"/>
    <x v="109"/>
    <x v="3"/>
  </r>
  <r>
    <s v="soskilkenny.com"/>
    <s v="tilde"/>
    <x v="1"/>
    <s v="v=spf1 ip4:184.173.239.120  ip4:93.107.225.247 a mx include:websitewelcome.com include:spf.protection.outlook.com ~all"/>
    <m/>
    <x v="0"/>
    <m/>
    <m/>
    <m/>
    <x v="17"/>
    <x v="109"/>
    <x v="3"/>
  </r>
  <r>
    <s v="stcatherines.ie"/>
    <s v="minus"/>
    <x v="0"/>
    <s v="v=spf1 include:spf.protection.outlook.com include:spf.ess.de.barracudanetworks.com include:reflexion.net include:spf-eu.emailsignatures365.com  -all"/>
    <s v="yes"/>
    <x v="1"/>
    <s v="v=DMARC1; p=quarantine; rua=mailto:dmarc-reports@stcatherines.ie; ruf=mailto:dmarc-failures@stcatherines.ie; sp=none; aspf=r;"/>
    <m/>
    <m/>
    <x v="24"/>
    <x v="109"/>
    <x v="3"/>
  </r>
  <r>
    <s v="kennedysecurity.com"/>
    <s v="tilde"/>
    <x v="1"/>
    <s v="v=spf1 a mx ptr include:secureserver.net ~all"/>
    <m/>
    <x v="0"/>
    <m/>
    <m/>
    <m/>
    <x v="16"/>
    <x v="109"/>
    <x v="3"/>
  </r>
  <r>
    <s v="greenislefoods.ie"/>
    <s v="minus"/>
    <x v="0"/>
    <s v="v=spf1 ip4:85.92.70.50 ip4:85.92.70.3 ip4:85.92.70.4 include:spf.protection.outlook.com include:_spf.salesforce.com ip4:146.101.246.71 ip4:62.252.24.150 ip4:62.252.24.183 ip4:62.252.24.215 ip4:185.190.204.44 -all"/>
    <s v="yes"/>
    <x v="0"/>
    <m/>
    <m/>
    <m/>
    <x v="0"/>
    <x v="109"/>
    <x v="3"/>
  </r>
  <r>
    <s v="carrollcuisine.ie"/>
    <s v="minus"/>
    <x v="0"/>
    <s v="v=spf1 ip4:212.139.78.102 ip4:212.139.78.106 include:spf.protection.outlook.com include:spf.ess.uk.barracudanetworks.com -all"/>
    <m/>
    <x v="3"/>
    <s v="v=DMARC1; p=reject; fo=1; rua=mailto:rua+carrollcuisine.ie@dmarc.barracudanetworks.com; ruf=mailto:ruf+carrollcuisine.ie@dmarc.barracudanetworks.com"/>
    <m/>
    <m/>
    <x v="21"/>
    <x v="109"/>
    <x v="3"/>
  </r>
  <r>
    <s v="stmichaels.ie"/>
    <s v="tilde"/>
    <x v="1"/>
    <s v="v=spf1 mx a include:spf.topsec.com include:gmail.com ip4:139.59.178.253 ip4:34.252.150.181 ip4:137.191.237.229 include:spf.uk.exclaimer.net ~all"/>
    <s v="yes"/>
    <x v="2"/>
    <s v="v=DMARC1;p=none;sp=none;rua=mailto:211a5a2e44@rua.easydmarc.eu;ruf=mailto:211a5a2e44@ruf.easydmarc.eu;fo=1"/>
    <m/>
    <m/>
    <x v="0"/>
    <x v="109"/>
    <x v="3"/>
  </r>
  <r>
    <s v="milfordcare.ie"/>
    <s v="no"/>
    <x v="2"/>
    <m/>
    <m/>
    <x v="0"/>
    <m/>
    <m/>
    <m/>
    <x v="5"/>
    <x v="109"/>
    <x v="3"/>
  </r>
  <r>
    <s v="applegreen.ie"/>
    <s v="minus"/>
    <x v="0"/>
    <s v="v=spf1 ip4:13.74.158.205 ip4:40.67.254.2 ip4:193.35.58.23 ip4:193.35.58.25 ip4:168.245.121.158 ip4:37.98.232.26 ip4:8.31.233.198 ip4:8.31.233.199 ip4:185.135.165.212 ip4:185.135.165.215 ip4:185.135.165.214 ip4:185.135.165.213 ip4:83.219.47.91 ip4:83.219.4&quot; &quot;7.93 ip4:83.219.47.92 ip4:83.219.47.94 ip4:193.155.1.213 ip4:46.34.83.110 ip4:109.169.8.236 ip4:206.222.191.207 include:spf.protection.outlook.com include:mail.zendesk.com include:spf.sendinblue.com include:authsmtp.com include:compuservelive.co.uk includ&quot; &quot;e:spf-003c6d02.pphosted.com -all"/>
    <s v="yes"/>
    <x v="1"/>
    <s v="v=DMARC1; p=quarantine; rua=mailto:dmarc.notifications@applegreen.ie,mailto:64908743@mxtoolbox.dmarc-report.com; ruf=mailto:dmarc.notifications@applegreen.ie,mailto:64908743@forensics.dmarc-report.com; fo=1; pct=100"/>
    <m/>
    <m/>
    <x v="0"/>
    <x v="109"/>
    <x v="3"/>
  </r>
  <r>
    <s v="primark.co.uk"/>
    <s v="tilde"/>
    <x v="1"/>
    <s v="v=spf1 ip4:194.165.190.12 ip4:62.128.204.105 ip4:109.169.13.3 ip4:109.169.13.4 ip4:109.169.13.12 ip4:194.216.214.90 ip4:194.216.214.91 ip4:194.216.214.92 ip4:216.244.123.132 ip4:216.244.123.134 ip4:193.120.224.97 ip4:193.120.224.98 ip4:3.9.192.52 ip4:18.1&quot; &quot;30.170.225 mx include:spf.protection.outlook.com ~all"/>
    <s v="yes"/>
    <x v="1"/>
    <s v="v=DMARC1; p=quarantine; rua=mailto:bstnx4lf@ag.dmarcian-eu.com"/>
    <m/>
    <m/>
    <x v="0"/>
    <x v="109"/>
    <x v="3"/>
  </r>
  <r>
    <s v="meadowsandbyrne.com"/>
    <s v="tilde"/>
    <x v="1"/>
    <s v="v=spf1 ip4:46.21.227.70 include:spf.meadowsprod.hypernode.io include:relay.mailchannels.net include:spf.topsec.com include:spf.protection.outlook.com ~all"/>
    <s v="yes"/>
    <x v="2"/>
    <s v="v=DMARC1;p=none;sp=none;rua=mailto:4b9c19cde23549a196e39aa3b6776916@dmarc-reports.cloudflare.net,mailto:211a5a2e44@rua.easydmarc.eu;ruf=mailto:211a5a2e44@ruf.easydmarc.eu;fo=1"/>
    <m/>
    <m/>
    <x v="1"/>
    <x v="109"/>
    <x v="3"/>
  </r>
  <r>
    <s v="stllogistics.ie"/>
    <s v="tilde"/>
    <x v="1"/>
    <s v="v=spf1  ip4:91.223.9.32   include:spf.protection.outlook.com include:spf.elive.net  ~all"/>
    <s v="yes"/>
    <x v="2"/>
    <s v="v=DMARC1; p=none; rua=mailto:hostmaster@stllogistics.ie; ruf=mailto:hostmaster@stllogistics.ie; fo=1"/>
    <m/>
    <m/>
    <x v="5"/>
    <x v="109"/>
    <x v="3"/>
  </r>
  <r>
    <s v="spd.dcu.ie"/>
    <s v="minus"/>
    <x v="0"/>
    <s v="v=spf1 include:_spf.google.com -all"/>
    <m/>
    <x v="3"/>
    <s v="v=DMARC1; p=reject; rua=mailto:xp52vxju@ag.eu.dmarcian.com; ruf=mailto:xp52vxju@fr.eu.dmarcian.com;"/>
    <m/>
    <m/>
    <x v="0"/>
    <x v="109"/>
    <x v="3"/>
  </r>
  <r>
    <s v="lcfe.ie"/>
    <s v="minus"/>
    <x v="0"/>
    <s v="v=spf1 ip4:173.240.221.0/24 ip4:193.1.31.2/32 ip4:91.210.232.100/32 ip4:195.7.48.162/32 ip4:84.23.8.59/32  a:mail.lcetb.ie -all"/>
    <m/>
    <x v="0"/>
    <m/>
    <m/>
    <m/>
    <x v="5"/>
    <x v="109"/>
    <x v="3"/>
  </r>
  <r>
    <s v="coca-colabottlers.com"/>
    <s v="no"/>
    <x v="2"/>
    <m/>
    <m/>
    <x v="0"/>
    <m/>
    <m/>
    <m/>
    <x v="0"/>
    <x v="109"/>
    <x v="3"/>
  </r>
  <r>
    <s v="celestica.com"/>
    <s v="minus"/>
    <x v="0"/>
    <s v="v=spf1 include:spf.boardbooks.com include:_spf.google.com include:_spf.kinaxis.com ip4:32.96.234.104 ip4:32.96.234.119 ip4:149.72.199.202 include:_spf-dc2.successfactors.com include:spf1.celestica.com include:mercurygate.net -all"/>
    <s v="yes"/>
    <x v="3"/>
    <s v="v=DMARC1; p=reject; rua=mailto:igb9wr76@ag.us.dmarcian.com; ruf=mailto:igb9wr76@fr.us.dmarcian.com; fo=1; adkim=s; aspf=s;"/>
    <s v="yes"/>
    <s v="https://www.celestica.com/static/images/logo_celestica_icon.svg"/>
    <x v="7"/>
    <x v="109"/>
    <x v="3"/>
  </r>
  <r>
    <s v="xilinx.com"/>
    <s v="minus"/>
    <x v="0"/>
    <s v="v=spf1 include:spf.protection.outlook.com include:amazonses.com include:smtpspf.xilinx.com include:oktaspf.xilinx.com include:_spf.salesforce.com -all"/>
    <s v="yes"/>
    <x v="2"/>
    <s v="v=DMARC1; p=none; rua=mailto:dmarc_agg@vali.email"/>
    <m/>
    <m/>
    <x v="0"/>
    <x v="109"/>
    <x v="3"/>
  </r>
  <r>
    <s v="sysnetglobal.com"/>
    <s v="tilde"/>
    <x v="1"/>
    <s v="v=spf1 ip4:172.105.33.223 ip4:13.235.234.103 ip4:52.199.95.254 ip4:172.105.201.124 include:_spf.google.com include:spf.protection.outlook.com ~all"/>
    <s v="yes"/>
    <x v="2"/>
    <s v="v=DMARC1; p=none; rua=mailto:dmarc@sysnetglobal.com; ruf=mailto:dmarc@sysnetglobal.com"/>
    <m/>
    <m/>
    <x v="0"/>
    <x v="109"/>
    <x v="3"/>
  </r>
  <r>
    <s v="milfordcarecentre.ie"/>
    <s v="minus"/>
    <x v="0"/>
    <s v="v=spf1 include:spf.protection.outlook.com ip4:137.191.244.34/32 ip4:185.2.67.195/32 ip4:89.100.207.186/32 include:_spf.smtp.com +ip4:91.210.235.23 -all"/>
    <s v="yes"/>
    <x v="2"/>
    <s v="v=DMARC1;p=none; rua=mailto:185b48641cba.a@dmarcinput.com; ruf=mailto:185b48641cba.f@dmarcinput.com; fo=1"/>
    <m/>
    <m/>
    <x v="5"/>
    <x v="109"/>
    <x v="3"/>
  </r>
  <r>
    <s v="monaghan.ie"/>
    <s v="minus"/>
    <x v="0"/>
    <s v="v=spf1 -all"/>
    <m/>
    <x v="3"/>
    <s v="v=DMARC1;p=reject;rua=mailto:621dc3d1@inbox.ondmarc.com,mailto:211a5a2e44@rua.easydmarc.eu;ruf=mailto:621dc3d1@inbox.ondmarc.com,mailto:211a5a2e44@ruf.easydmarc.eu;ri=3600;fo=1;"/>
    <m/>
    <m/>
    <x v="12"/>
    <x v="109"/>
    <x v="3"/>
  </r>
  <r>
    <s v="stpatrickskilkenny.ie"/>
    <s v="minus"/>
    <x v="0"/>
    <s v="v=spf1 ip4:93.107.51.173 include:spf.protection.outlook.com -all"/>
    <m/>
    <x v="0"/>
    <m/>
    <m/>
    <m/>
    <x v="17"/>
    <x v="110"/>
    <x v="3"/>
  </r>
  <r>
    <s v="europcarfleet.ie"/>
    <s v="minus"/>
    <x v="0"/>
    <s v="v=spf1 ip4:23.251.129.185 mx a ip4:77.107.224.190 ip4:77.107.224.134 include:spf.protection.outlook.com include:spf.mandrillapp.com include:aspmx.pardot.com include:_spf.google.com -all"/>
    <s v="yes"/>
    <x v="2"/>
    <s v="v=DMARC1; p=none;  rua=mailto:dmarc-postmaster@carhire.ie"/>
    <m/>
    <m/>
    <x v="0"/>
    <x v="110"/>
    <x v="3"/>
  </r>
  <r>
    <s v="goodbody.ie"/>
    <s v="minus"/>
    <x v="0"/>
    <s v="v=spf1 include:_netblocks.mimecast.com include:spf.protection.outlook.com ip4:34.245.210.0/24 ip4:217.114.170.20 ip4:20.105.125.139 ip4:168.245.100.242 ip4:166.78.69.134 ip4:166.78.69.156 ip4:166.78.69.90 -all"/>
    <m/>
    <x v="2"/>
    <s v="v=DMARC1; p=none; rua=mailto:dmarc_agg@vali.email,mailto:dmarc-rua@goodbody.ie;ruf=mailto:dmarc-ruf@goodbody.ie;"/>
    <m/>
    <m/>
    <x v="0"/>
    <x v="111"/>
    <x v="3"/>
  </r>
  <r>
    <s v="idaireland.com"/>
    <s v="minus"/>
    <x v="0"/>
    <s v="v=spf1 a mx ip4:34.240.144.78/32 include:spf.protection.outlook.com include:sendgrid.net -all"/>
    <s v="yes"/>
    <x v="3"/>
    <s v="v=DMARC1; p=reject;"/>
    <m/>
    <m/>
    <x v="0"/>
    <x v="111"/>
    <x v="3"/>
  </r>
  <r>
    <s v="rveeh.ie"/>
    <s v="minus"/>
    <x v="0"/>
    <s v="v=spf1 include:spf.protection.outlook.com mx a include:eu._netblocks.mimecast.com include:spf.mandrillapp.com -all"/>
    <m/>
    <x v="3"/>
    <s v="v=DMARC1; p=reject; rua=mailto:dmarc@rveeh.ie; ruf=mailto:dmarc@rveeh.ie; fo=1;"/>
    <m/>
    <m/>
    <x v="0"/>
    <x v="111"/>
    <x v="3"/>
  </r>
  <r>
    <s v="byrnewallace.com"/>
    <s v="tilde"/>
    <x v="1"/>
    <s v="v=spf1 include:_u.byrnewallace.com._spf.smart.ondmarc.com include:spf.protection.outlook.com ~all"/>
    <s v="yes"/>
    <x v="3"/>
    <s v="v=DMARC1; p=reject; pct=100; fo=1; ri=3600; rua=mailto:85897840@inbox.ondmarc.com; ruf=mailto:85897840@inbox.ondmarc.com;"/>
    <m/>
    <m/>
    <x v="0"/>
    <x v="111"/>
    <x v="3"/>
  </r>
  <r>
    <s v="waters.com"/>
    <s v="tilde"/>
    <x v="1"/>
    <s v="v=spf1 include:%{ir}.%{v}.%{d}.spf.has.pphosted.com include:mktomail.com ~all"/>
    <s v="yes"/>
    <x v="3"/>
    <s v="v=DMARC1; p=reject; fo=1; rua=mailto:dmarc_rua@emaildefense.proofpoint.com; ruf=mailto:dmarc_ruf@emaildefense.proofpoint.com"/>
    <m/>
    <m/>
    <x v="3"/>
    <x v="111"/>
    <x v="3"/>
  </r>
  <r>
    <s v="bmd.ie"/>
    <s v="minus"/>
    <x v="0"/>
    <s v="v=spf1 ip4:86.43.79.190/32 ip4:84.203.232.122/32 ip4:82.141.243.65/32 include:_spf.psm.knowbe4.com include:spf.protection.outlook.com -all"/>
    <s v="yes"/>
    <x v="1"/>
    <s v="v=DMARC1; p=quarantine"/>
    <m/>
    <m/>
    <x v="1"/>
    <x v="111"/>
    <x v="3"/>
  </r>
  <r>
    <s v="cftooling.ie"/>
    <s v="minus"/>
    <x v="0"/>
    <s v="v=spf1 +a +mx +ip4:92.51.192.106 +ip4:66.206.3.250 +ip4:23.111.150.205 include:spf.protection.outlook.com -all"/>
    <s v="yes"/>
    <x v="1"/>
    <s v="v=DMARC1; p=quarantine"/>
    <m/>
    <m/>
    <x v="7"/>
    <x v="111"/>
    <x v="3"/>
  </r>
  <r>
    <s v="liffeymeats.ie"/>
    <s v="tilde"/>
    <x v="1"/>
    <s v="v=spf1 include:_u.liffeymeats.ie._spf.smart.ondmarc.com include:autotask.net ~all"/>
    <m/>
    <x v="3"/>
    <s v="v=DMARC1; p=reject; pct=100; fo=1; ri=3600; rua=mailto:df16d9d3@inbox.ondmarc.com; ruf=mailto:df16d9d3@inbox.ondmarc.com;"/>
    <m/>
    <m/>
    <x v="11"/>
    <x v="111"/>
    <x v="3"/>
  </r>
  <r>
    <s v="naturesbest.ie"/>
    <s v="minus"/>
    <x v="0"/>
    <s v="v=spf1 include:_spf.fortimailcloud.com -all"/>
    <s v="yes"/>
    <x v="1"/>
    <s v="v=DMARC1; p=quarantine; rua=mailto:dmarc@naturesbest.ie"/>
    <m/>
    <m/>
    <x v="2"/>
    <x v="111"/>
    <x v="3"/>
  </r>
  <r>
    <s v="mylan.com"/>
    <s v="tilde"/>
    <x v="1"/>
    <s v="v=spf1 include:ae.veevasystems.com include:spf.protection.outlook.com include:_spf.salesforce.com &quot; &quot;ip4:15.236.69.105 ip4:15.237.135.34 ip4:15.237.15.123 ip4:15.237.87.152 ip4:3.11.34.38 ip4:3.208.181.63 ip4:3.214.101.174 &quot; &quot;ip4:3.225.231.107 ip4:3.64.226.212 ip4:3.6.183.60 ip4:3.93.139.220 ip4:35.181.116.59 ip4:35.181.132.64 ip4:35.181.14.41 &quot; &quot;ip4:35.181.15.25 ip4:35.181.2.234 ip4:35.181.39.186 ip4:35.181.71.70 ip4:52.47.57.19 ip4:80.149.217.102 ~all"/>
    <m/>
    <x v="3"/>
    <s v="v=DMARC1; p=reject; fo=1; rua=mailto:Rua.dmarc@viatris.com; ruf=mailto:Ruf.dmarc@viatris.com;"/>
    <m/>
    <m/>
    <x v="7"/>
    <x v="111"/>
    <x v="3"/>
  </r>
  <r>
    <s v="quintiles.com"/>
    <s v="tilde"/>
    <x v="1"/>
    <s v="v=spf1 include:%{i}._ip.%{h}._ehlo.%{d}._spf.vali.email ~all"/>
    <s v="yes"/>
    <x v="3"/>
    <s v="v=DMARC1; p=reject; rua=mailto:dmarc_agg@vali.email"/>
    <m/>
    <m/>
    <x v="0"/>
    <x v="112"/>
    <x v="3"/>
  </r>
  <r>
    <s v="kilsaran.ie"/>
    <s v="minus"/>
    <x v="0"/>
    <s v="v=spf1 include:spf.protection.outlook.com include:spf.smtp2go.com include:spf.hornetsecurity.com include:spf.EU.exclaimer.net -all"/>
    <s v="yes"/>
    <x v="1"/>
    <s v="v=DMARC1; p=quarantine; sp=quarantine; fo=1; rua=mailto:dmarc@6w95c0az.uriports.com,mailto:dmarc@kilsaran.ie; ruf=mailto:dmarc@6w95c0az.uriports.com,mailto:dmarc@kilsaran.ie; pct=100;"/>
    <m/>
    <m/>
    <x v="15"/>
    <x v="112"/>
    <x v="3"/>
  </r>
  <r>
    <s v="iralco.ie"/>
    <s v="no"/>
    <x v="2"/>
    <m/>
    <m/>
    <x v="0"/>
    <m/>
    <m/>
    <m/>
    <x v="23"/>
    <x v="113"/>
    <x v="3"/>
  </r>
  <r>
    <s v="cws.ie"/>
    <s v="no"/>
    <x v="2"/>
    <m/>
    <m/>
    <x v="0"/>
    <m/>
    <m/>
    <m/>
    <x v="0"/>
    <x v="113"/>
    <x v="3"/>
  </r>
  <r>
    <s v="sunbeam.ie"/>
    <s v="minus"/>
    <x v="0"/>
    <s v="v=spf1 include:spf.protection.outlook.com ip4:168.245.121.45 ip4:46.22.142.18 ip4:79.170.244.155 ip4:79.170.244.156 ip4:89.185.150.155 a:87-198-187-162.static.ptr.magnet.ie -all"/>
    <s v="yes"/>
    <x v="2"/>
    <s v="v=DMARC1; p=none; rua=mailto:rua@dmarc.brevo.com"/>
    <m/>
    <m/>
    <x v="24"/>
    <x v="114"/>
    <x v="3"/>
  </r>
  <r>
    <s v="eirgrid.com"/>
    <s v="tilde"/>
    <x v="1"/>
    <s v="v=spf1 include:%{ir}.%{v}.%{d}.spf.has.pphosted.com ~all"/>
    <m/>
    <x v="1"/>
    <s v="v=DMARC1; p=quarantine; fo=1; rua=mailto:dmarc_rua@emaildefense.proofpoint.com; ruf=mailto:dmarc_ruf@emaildefense.proofpoint.com;"/>
    <m/>
    <m/>
    <x v="0"/>
    <x v="115"/>
    <x v="3"/>
  </r>
  <r>
    <s v="lisheenmine.ie"/>
    <s v="minus"/>
    <x v="0"/>
    <s v="v=spf1 include:spf.protection.outlook.com include:mail1.lisheenmine.ie -all"/>
    <m/>
    <x v="0"/>
    <m/>
    <m/>
    <m/>
    <x v="13"/>
    <x v="115"/>
    <x v="3"/>
  </r>
  <r>
    <s v="friendsfirst.ie"/>
    <s v="minus"/>
    <x v="0"/>
    <s v="v=spf1 mx a:securemail.friendsfirst.ie include:spf.protection.outlook.com -all"/>
    <s v="yes"/>
    <x v="3"/>
    <s v="v=DMARC1; p=reject; fo=1; rua=mailto:dmarc_rua@emaildefense.proofpoint.com; ruf=mailto:dmarc_ruf@emaildefense.proofpoint.com"/>
    <m/>
    <m/>
    <x v="0"/>
    <x v="115"/>
    <x v="3"/>
  </r>
  <r>
    <s v="carlow.ie"/>
    <s v="no"/>
    <x v="2"/>
    <m/>
    <m/>
    <x v="2"/>
    <s v="v=DMARC1; p=none; rua=mailto:eoin@carlow.ie"/>
    <m/>
    <m/>
    <x v="25"/>
    <x v="115"/>
    <x v="3"/>
  </r>
  <r>
    <s v="finance.gov.ie"/>
    <s v="minus"/>
    <x v="0"/>
    <s v="v=spf1 ip4:137.191.249.114 ip4:137.191.246.70 include:spfext.itservices.gov.ie -all"/>
    <s v="yes"/>
    <x v="2"/>
    <s v="v=DMARC1; p=none;"/>
    <m/>
    <m/>
    <x v="0"/>
    <x v="115"/>
    <x v="3"/>
  </r>
  <r>
    <s v="stjohnshospital.ie"/>
    <s v="tilde"/>
    <x v="1"/>
    <s v="v=spf1 include:spf.protection.outlook.com a:spamtitan.stjohnshospital.ie a:notification.fortinet.net ~all"/>
    <m/>
    <x v="3"/>
    <s v="v=DMARC1;p=reject;sp=reject;rua=mailto:211a5a2e44@rua.easydmarc.eu;ruf=mailto:211a5a2e44@ruf.easydmarc.eu;fo=1"/>
    <m/>
    <m/>
    <x v="5"/>
    <x v="115"/>
    <x v="3"/>
  </r>
  <r>
    <s v="slieverussell.ie"/>
    <s v="tilde"/>
    <x v="1"/>
    <s v="v=spf1 ip4:89.127.244.218 include:spf.protection.outlook.com ip4:194.168.134.136 include:sendgrid.net include:oracleindustry.com include:iresthotels.com include:authsmtp.com ~all"/>
    <s v="yes"/>
    <x v="2"/>
    <s v="v=DMARC1; p=none;"/>
    <m/>
    <m/>
    <x v="11"/>
    <x v="115"/>
    <x v="3"/>
  </r>
  <r>
    <s v="capita.ie"/>
    <s v="tilde"/>
    <x v="1"/>
    <s v="v=spf1 include:mailcontrol.com include:spf.protection.outlook.com ~all"/>
    <s v="yes"/>
    <x v="3"/>
    <s v="v=DMARC1; p=reject; aspf=r; adkim=r"/>
    <m/>
    <m/>
    <x v="0"/>
    <x v="115"/>
    <x v="3"/>
  </r>
  <r>
    <s v="hsbc.ie"/>
    <s v="minus"/>
    <x v="0"/>
    <s v="v=spf1 -all"/>
    <m/>
    <x v="3"/>
    <s v="v=DMARC1; p=reject; fo=1; ri=3600; rua=mailto:dmarc_rua@emaildefense.proofpoint.com; ruf=mailto:dmarc_ruf@emaildefense.proofpoint.com;"/>
    <m/>
    <m/>
    <x v="0"/>
    <x v="115"/>
    <x v="3"/>
  </r>
  <r>
    <s v="sjp.co.uk"/>
    <s v="minus"/>
    <x v="0"/>
    <s v="v=spf1 include:spf.sjp.co.uk include:spf1.sjp.co.uk include:spf2.sjp.co.uk ip4:185.70.168.20 ip4:148.59.101.16/28 ip4:108.129.7.134 ip4:143.55.144.116 ip4:185.183.30.23 ip4:52.211.172.205 -all"/>
    <s v="yes"/>
    <x v="3"/>
    <s v="v=DMARC1; p=reject; fo=1; rua=mailto:dmarc_rua@emaildefense.proofpoint.com,mailto:d9c52843eaef440@rep.dmarcanalyzer.com; ruf=mailto:dmarc_ruf@emaildefense.proofpoint.com,mailto:d9c52843eaef440@for.dmarcanalyzer.com"/>
    <s v="yes"/>
    <s v="https://vmc.digicert.com/98cbc47f-f655-4442-88ff-90786246db14.svg"/>
    <x v="0"/>
    <x v="115"/>
    <x v="3"/>
  </r>
  <r>
    <s v="clearstream.ie"/>
    <s v="no"/>
    <x v="2"/>
    <m/>
    <m/>
    <x v="3"/>
    <s v="v=DMARC1; p=reject; rua=mailto:dmarc_agg@vali.email; ruf=mailto:NDYyOTU1@ruf.vali.email; fo=1"/>
    <m/>
    <m/>
    <x v="3"/>
    <x v="115"/>
    <x v="3"/>
  </r>
  <r>
    <s v="takeda.com"/>
    <s v="tilde"/>
    <x v="1"/>
    <s v="v=spf1 include:spf-00297f01.pphosted.com include:spf.protection.outlook.com ~all"/>
    <s v="yes"/>
    <x v="3"/>
    <s v="v=DMARC1; p=reject; fo=1; rua=mailto:dmarc_rua@emaildefense.proofpoint.com; ruf=mailto:dmarc_ruf@emaildefense.proofpoint.com"/>
    <m/>
    <m/>
    <x v="0"/>
    <x v="115"/>
    <x v="3"/>
  </r>
  <r>
    <s v="veolia.ie"/>
    <s v="tilde"/>
    <x v="1"/>
    <s v="v=spf1 ip4:213.212.70.213 ip4:62.73.149.6 include:_spf.google.com ~all"/>
    <s v="yes"/>
    <x v="1"/>
    <s v="v=DMARC1; p=quarantine; pct=100; rua=mailto:pfavnw3o@ag.dmarcian.com; ruf=mailto:pfavnw3o@fr.dmarcian.com"/>
    <m/>
    <m/>
    <x v="0"/>
    <x v="115"/>
    <x v="3"/>
  </r>
  <r>
    <s v="clearstream.com"/>
    <s v="minus"/>
    <x v="0"/>
    <s v="v=spf1 mx ip4:193.29.81.252/32 ip4:193.29.81.251/32 ip4:194.36.229.250/32 ip4:194.36.229.251/32 include:dbgmail.net -all"/>
    <m/>
    <x v="3"/>
    <s v="v=DMARC1;p=reject;ruf=mailto:email.security@clearstream.com;fo=0"/>
    <m/>
    <m/>
    <x v="1"/>
    <x v="115"/>
    <x v="3"/>
  </r>
  <r>
    <s v="slaney.com"/>
    <s v="minus"/>
    <x v="0"/>
    <s v="v=spf1 mx a include:slaney.com -all"/>
    <m/>
    <x v="0"/>
    <m/>
    <m/>
    <m/>
    <x v="3"/>
    <x v="115"/>
    <x v="3"/>
  </r>
  <r>
    <s v="westernbrandgroup.ie"/>
    <s v="no"/>
    <x v="2"/>
    <m/>
    <m/>
    <x v="0"/>
    <m/>
    <m/>
    <m/>
    <x v="4"/>
    <x v="115"/>
    <x v="3"/>
  </r>
  <r>
    <s v="windhoist.ie"/>
    <s v="no"/>
    <x v="2"/>
    <m/>
    <m/>
    <x v="0"/>
    <m/>
    <m/>
    <m/>
    <x v="12"/>
    <x v="115"/>
    <x v="3"/>
  </r>
  <r>
    <s v="associatedrewinds.com"/>
    <s v="tilde"/>
    <x v="1"/>
    <s v="v=spf1 a mx ip4:217.115.116.22 ip4:217.115.113.36 ip4:217.115.113.73 ip4:217.115.113.24 include:spf.antispamcloud.com ~all"/>
    <s v="yes"/>
    <x v="2"/>
    <s v="v=DMARC1; p=none;"/>
    <m/>
    <m/>
    <x v="0"/>
    <x v="115"/>
    <x v="3"/>
  </r>
  <r>
    <s v="cartamundi.com"/>
    <s v="minus"/>
    <x v="0"/>
    <s v="v=spf1 ip4:54.75.233.119/32 ip4:52.17.229.211/32 ip4:81.188.106.128/27 ip4:81.188.93.64/27 ip4:84.198.249.0/28 ip4:151.181.49.64/27 include:de._netblocks.mimecast.com include:spf.mandrillapp.com include:servers.mcsv.net include:spf.sendinblue.com include:&quot; &quot;spf.protection.outlook.com include:_spf.salesforce.com -all"/>
    <m/>
    <x v="2"/>
    <s v="v=DMARC1; p=none; sp=reject; rua=mailto:728ec9044bda281@rep.dmarcanalyzer.com, mailto:sbatx4b6@ag.eu.dmarcadvisor.com; ruf=mailto:728ec9044bda281@rep.dmarcanalyzer.com, mailto:sbatx4b6@fr.eu.dmarcadvisor.com;"/>
    <m/>
    <m/>
    <x v="10"/>
    <x v="115"/>
    <x v="3"/>
  </r>
  <r>
    <s v="cityjet.com"/>
    <s v="minus"/>
    <x v="0"/>
    <s v="v=spf1 include:spf.protection.outlook.com include:msg-out._spf.f24cim.com include:em3997.cascadecloud.co.uk ip4:83.71.134.224/27 ip4:34.241.133.140 ip4:134.213.195.176 ip4:92.254.125.237 ip4:193.110.199.49 -all"/>
    <s v="yes"/>
    <x v="1"/>
    <s v="v=DMARC1; p=quarantine; rua=mailto:dmarc-reports@cityjet.com; ruf=mailto:dmarc-forensics@cityjet.com;ri=86400; adkim=s;aspf=s;fo=1;"/>
    <m/>
    <m/>
    <x v="0"/>
    <x v="115"/>
    <x v="3"/>
  </r>
  <r>
    <s v="mic.ul.ie"/>
    <s v="minus"/>
    <x v="0"/>
    <s v="v=spf1 ip4:193.1.98.40 include:spf.protection.outlook.com include:eu.zcsend.net ip4:193.1.102.160 ip4:193.1.102.174 ip4:193.1.101.155  ip4:193.1.101.156 -all"/>
    <s v="yes"/>
    <x v="3"/>
    <s v="v=DMARC1; p=reject ;pct=100 ; rua=mailto:ictalerts@mic.ul.ie"/>
    <m/>
    <m/>
    <x v="5"/>
    <x v="115"/>
    <x v="3"/>
  </r>
  <r>
    <s v="evros.ie"/>
    <s v="minus"/>
    <x v="0"/>
    <s v="v=spf1 mx a ip4:146.0.48.0/21 ip4:185.5.240.0/22 &quot; &quot;ip4:185.217.59.0/24 ip4:74.127.26.11 ip4:52.129.17.4 ip4:168.245.49.92 ip4:167.89.62.239 include:autotask.net include:spf.protection.outlook.com include:_spf-mailon-us-1.spamtitan.com include:_mailoutspf.cygrids.net ip4:91.220.45.0/24 -all"/>
    <s v="yes"/>
    <x v="3"/>
    <s v="v=DMARC1; p=reject; adkim=s; aspf=s; fo=1; rua=mailto:abuse@evros.ie; ruf=mailto:abuse@evros.ie"/>
    <m/>
    <m/>
    <x v="0"/>
    <x v="115"/>
    <x v="3"/>
  </r>
  <r>
    <s v="pinewood.ie"/>
    <s v="minus"/>
    <x v="0"/>
    <s v="v=spf1 mx a ip4:62.77.190.180 ip4:62.77.190.183 ip4:62.77.190.179 ip4:121.240.38.60 ip4:103.159.41.110 a:mailr2.wockhardt.com -all"/>
    <m/>
    <x v="2"/>
    <s v="v=DMARC1; p=none; rua=mailto:45-44-0821@aquilai.net; ruf=mailto:45-44-0821-f@aquilai.net; fo=1"/>
    <m/>
    <m/>
    <x v="13"/>
    <x v="115"/>
    <x v="3"/>
  </r>
  <r>
    <s v="moduslink.com"/>
    <s v="minus"/>
    <x v="0"/>
    <s v="v=spf1 ip4:216.245.20.34 ip4:216.245.20.220 ip4:216.245.51.34 ip4:216.245.51.154 include:_spf.salesforce.com include:spf.protection.outlook.com include:38775.spf07.hubspotemail.net -all"/>
    <s v="yes"/>
    <x v="3"/>
    <s v="v=DMARC1; p=reject; rua=mailto:itrua@moduslink.com; ruf=mailto:itruf@moduslink.com; fo=1;"/>
    <m/>
    <m/>
    <x v="16"/>
    <x v="116"/>
    <x v="3"/>
  </r>
  <r>
    <s v="jabil.com"/>
    <s v="minus"/>
    <x v="0"/>
    <s v="v=spf1 include:aspmx.pardot.com include:spf.protection.outlook.com include:spf.polydyne.com include:servers.mcsv.net include:amazonses.com include:47531300.spf01.hubspotemail.net &quot; &quot;a:b.spf.service-now.com a:c.spf.service-now.com a:d.spf.service-now.com &quot; &quot;ip4:8.14.198.160/31 ip4:8.14.198.235 ip4:8.14.198.237 ip4:65.205.13.181 ip4:5.61.117.80/28 ip4:63.65.31.241 ip4:69.31.5.41 -all"/>
    <s v="yes"/>
    <x v="1"/>
    <s v="v=DMARC1; p=quarantine; rua=mailto:DMARC_reporting@jabil.com; ruf=mailto:DMARC_reporting@jabil.com; pct=100; fo=1:d:s"/>
    <m/>
    <m/>
    <x v="0"/>
    <x v="117"/>
    <x v="3"/>
  </r>
  <r>
    <s v="willistowerswatson.com"/>
    <s v="tilde"/>
    <x v="1"/>
    <s v="v=spf1 include:%{i}._ip.%{h}._ehlo.%{d}._spf.vali.email ~all"/>
    <s v="yes"/>
    <x v="3"/>
    <s v="v=DMARC1; p=reject; fo=1; rua=mailto:dmarc_agg@vali.email"/>
    <m/>
    <m/>
    <x v="0"/>
    <x v="117"/>
    <x v="3"/>
  </r>
  <r>
    <s v="nrh.ie"/>
    <s v="minus"/>
    <x v="0"/>
    <s v="v=spf1 ip4:137.191.224.10 ip4:137.191.224.140 ip4:137.191.239.3 include:spf.protection.outlook.com include:spf.topsec.com include:email.freshdesk.com -all"/>
    <s v="yes"/>
    <x v="2"/>
    <s v="v=DMARC1;p=none;sp=reject;rua=mailto:211a5a2e44@rua.easydmarc.eu;ruf=mailto:211a5a2e44@ruf.easydmarc.eu;fo=1"/>
    <m/>
    <m/>
    <x v="0"/>
    <x v="118"/>
    <x v="3"/>
  </r>
  <r>
    <s v="ittralee.ie"/>
    <s v="minus"/>
    <x v="0"/>
    <s v="v=spf1 ip4:193.120.143.134 ip4:34.250.42.90 ip4:193.1.234.12 ip4:52.215.76.190 ip4:193.1.178.21 include:spf.protection.outlook.com +a +mx -all"/>
    <s v="yes"/>
    <x v="1"/>
    <s v="v=DMARC1; p=quarantine; pct=100; sp=none; rua=mailto:svc_dmarc@mtu.ie"/>
    <m/>
    <m/>
    <x v="14"/>
    <x v="119"/>
    <x v="3"/>
  </r>
  <r>
    <s v="dairymaster.com"/>
    <s v="tilde"/>
    <x v="1"/>
    <s v="v=spf1 include:spf.protection.outlook.com ip4:185.8.112.72 a:gorlois.blacknight.ie include:_spf.act-on.net include:send.zcsend.eu a mx ~all"/>
    <s v="yes"/>
    <x v="1"/>
    <s v="v=DMARC1; p=quarantine; rua=mailto:dairymaster@eu.cp-dmarc.com; ruf=mailto:dairymaster@eu.cp-dmarc.com; fo=1; pct=100; adkim=r; aspf=r"/>
    <m/>
    <m/>
    <x v="14"/>
    <x v="119"/>
    <x v="3"/>
  </r>
  <r>
    <s v="rehab.ie"/>
    <s v="minus"/>
    <x v="0"/>
    <s v="v=spf1 include:spf.protection.outlook.com -all"/>
    <s v="yes"/>
    <x v="3"/>
    <s v="v=DMARC1; p=reject; sp=reject; rua=mailto:kh63j5azfi@rua.powerdmarc.com; ruf=mailto:kh63j5azfi@ruf.powerdmarc.com; pct=100; fo=0:1;"/>
    <s v="yes"/>
    <s v="https://app.powerbimi.com/15507/fe8ed087-b525-471f-b4c9-32e50b37dd5d.svg"/>
    <x v="0"/>
    <x v="120"/>
    <x v="3"/>
  </r>
  <r>
    <s v="combilift.com"/>
    <s v="tilde"/>
    <x v="1"/>
    <s v="v=spf1 include:eu._netblocks.mimecast.com a:parts.combiliftspareparts.com include:spf.protection.outlook.com include:_spf.ricambio.net include:_spf.mailspamprotection.com include:relay.mailchannels.net ip4:77.104.175.79 ip4:192.161.144.0/20 ip4:185.12.80.&quot; &quot;0/22 ip4:188.172.128.0/20 ip4:216.198.0.0/18 ip4:185.56.84.4 ip4:185.56.84.9 ip4:185.56.84.19 ip4:167.89.0.0/17 ip4:208.117.48.0/20 ip4:50.31.32.0/19 ip4:198.37.144.0/20 ip4:198.21.0.0/21 ip4:192.254.112.0/20 ip4:168.245.0.0/17 ip4:149.72.0.0/16 ip4:159.1&quot; &quot;83.0.0/16 ~all"/>
    <s v="yes"/>
    <x v="3"/>
    <s v="v=DMARC1; p=reject; rua=mailto:1dd639777cd8332@rep.dmarcanalyzer.com; ruf=mailto:1dd639777cd8332@for.dmarcanalyzer.com; fo=1;"/>
    <m/>
    <m/>
    <x v="12"/>
    <x v="121"/>
    <x v="3"/>
  </r>
  <r>
    <s v="gilead.com"/>
    <s v="minus"/>
    <x v="0"/>
    <s v="v=spf1 include:%{ir}.%{v}.%{d}.spf.has.pphosted.com -all"/>
    <s v="yes"/>
    <x v="2"/>
    <s v="v=DMARC1; p=none; pct=100; fo=1; rua=mailto:dmarcreport@gilead.com,mailto:dmarc_rua@emaildefense.proofpoint.com; ruf=mailto:dmarc_ruf@emaildefense.proofpoint.com"/>
    <m/>
    <m/>
    <x v="1"/>
    <x v="121"/>
    <x v="3"/>
  </r>
  <r>
    <s v="wisetek.net"/>
    <s v="tilde"/>
    <x v="1"/>
    <s v="v=spf1 exists:%{i}.spf.hc889-37.c3s2.iphmx.com include:servers.mcsv.net include:spf.protection.outlook.com ~all"/>
    <s v="yes"/>
    <x v="1"/>
    <s v="v=DMARC1; p=quarantine; rua=mailto:dmarc@wisetek.net; ruf=mailto:dmarc@wisetek.net; fo=1; pct=100"/>
    <m/>
    <m/>
    <x v="1"/>
    <x v="122"/>
    <x v="3"/>
  </r>
  <r>
    <s v="rigneydolphin.ie"/>
    <s v="minus"/>
    <x v="0"/>
    <s v="v=spf1 include:spf.protection.outlook.com -all"/>
    <m/>
    <x v="0"/>
    <m/>
    <m/>
    <m/>
    <x v="10"/>
    <x v="123"/>
    <x v="3"/>
  </r>
  <r>
    <s v="servicesource.com"/>
    <s v="tilde"/>
    <x v="1"/>
    <s v="v=spf1 mx ip4:206.126.160.0/19 include:spf.protection.outlook.com include:mktomail.com include:aspmx.pardot.com ~all"/>
    <s v="yes"/>
    <x v="1"/>
    <s v="v=DMARC1; p=quarantine; pct=100; fo=1; rua=mailto:techops-alerts@servicesource.com; ruf=mailto:techops-alerts@servicesource.com; sp=reject; ri=84600"/>
    <m/>
    <m/>
    <x v="0"/>
    <x v="123"/>
    <x v="3"/>
  </r>
  <r>
    <s v="db.com"/>
    <s v="tilde"/>
    <x v="1"/>
    <s v="v=spf1 ip4:160.83.0.0/16 ~all"/>
    <s v="yes"/>
    <x v="3"/>
    <s v="v=DMARC1; p=reject; sp=reject; adkim=s; fo=1; ri=3600; rua=mailto:dmarc_rua@emaildefense.proofpoint.com; ruf=mailto:dmarc_ruf@emaildefense.proofpoint.com,mailto:dmarc.reports@db.com"/>
    <m/>
    <m/>
    <x v="0"/>
    <x v="123"/>
    <x v="3"/>
  </r>
  <r>
    <s v="giraffe.ie"/>
    <s v="minus"/>
    <x v="0"/>
    <s v="v=spf1 include:spf.protection.outlook.com -all"/>
    <s v="yes"/>
    <x v="1"/>
    <s v="v=DMARC1; p=quarantine; sp=none; rua=mailto:dmarc_ations@giraffe.ie!10m; ruf=mailto:dmarc_ations@giraffe.ie!10m; rf=afrf; pct=100; ri=86400;"/>
    <m/>
    <m/>
    <x v="0"/>
    <x v="123"/>
    <x v="3"/>
  </r>
  <r>
    <s v="emeraldfs.ie"/>
    <s v="minus"/>
    <x v="0"/>
    <s v="v=spf1 include:spf.protection.outlook.com -all"/>
    <m/>
    <x v="0"/>
    <m/>
    <m/>
    <m/>
    <x v="0"/>
    <x v="123"/>
    <x v="3"/>
  </r>
  <r>
    <s v="kirbygroup.com"/>
    <s v="mis"/>
    <x v="3"/>
    <s v="v=spf1 redirect=aen1o4d6._spf._d.mim.ec"/>
    <s v="yes"/>
    <x v="3"/>
    <s v="v=DMARC1; p=reject; rua=mailto:3dcde944d360625@rep.dmarcanalyzer.com; ruf=mailto:3dcde944d360625@for.dmarcanalyzer.com; fo=1;"/>
    <s v="yes"/>
    <s v="https://www.kirbygroup.com/wp-content/uploads/K-Logo.svg"/>
    <x v="5"/>
    <x v="123"/>
    <x v="3"/>
  </r>
  <r>
    <s v="statestreet.com"/>
    <s v="minus"/>
    <x v="0"/>
    <s v="v=spf1 a ip4:192.250.166.0/24 ip4:192.250.80.0/24 ip4:192.250.175.1 ip4:192.250.85.1 ip4:192.250.175.5 ip4:192.250.85.5 include:spf.protection.outlook.com -all"/>
    <m/>
    <x v="1"/>
    <s v="v=DMARC1;&quot; &quot;p=quarantine;&quot; &quot;fo=1;&quot; &quot;ri=3600;&quot; &quot;rua=mailto:state-street@rua.agari.com;&quot; &quot;ruf=mailto:state-street@ruf.agari.com"/>
    <m/>
    <m/>
    <x v="0"/>
    <x v="123"/>
    <x v="3"/>
  </r>
  <r>
    <s v="bd.com"/>
    <s v="tilde"/>
    <x v="1"/>
    <s v="v=spf1 include:%{i}._ip.%{h}._ehlo.%{d}._spf.vali.email include:mktomail.com ~all"/>
    <s v="yes"/>
    <x v="3"/>
    <s v="v=DMARC1; p=reject; rua=mailto:dmarc_agg@vali.email; ruf=mailto:NDQwNTIy@ruf.vali.email; fo=1"/>
    <m/>
    <m/>
    <x v="0"/>
    <x v="123"/>
    <x v="3"/>
  </r>
  <r>
    <s v="westmeathcoco.ie"/>
    <s v="tilde"/>
    <x v="1"/>
    <s v="v=spf1 a:dispatch-eu.ppe-hosted.com ip4:213.143.154.166/32 ~all"/>
    <m/>
    <x v="2"/>
    <s v="v=DMARC1;p=none;sp=none;rua=mailto:211a5a2e44@rua.easydmarc.eu;ruf=mailto:211a5a2e44@ruf.easydmarc.eu;fo=1"/>
    <m/>
    <m/>
    <x v="23"/>
    <x v="123"/>
    <x v="3"/>
  </r>
  <r>
    <s v="tyndall.ie"/>
    <s v="minus"/>
    <x v="0"/>
    <s v="v=spf1 ip4:143.239.64.131 include:spf.protection.outlook.com -all"/>
    <s v="yes"/>
    <x v="1"/>
    <s v="v=DMARC1; p=quarantine;sp=quarantine; rua=mailto:z09tjnba@ag.eu.dmarcian.com, mailto:dmarc@tyndall.ie; ruf=mailto:dmarc@tyndall.ie; fo=1"/>
    <m/>
    <m/>
    <x v="1"/>
    <x v="123"/>
    <x v="3"/>
  </r>
  <r>
    <s v="careyglass.com"/>
    <s v="minus"/>
    <x v="0"/>
    <s v="v=spf1 ip4:83.70.128.217 ip4:84.203.183.130  include:spf.protection.outlook.com -all"/>
    <s v="yes"/>
    <x v="1"/>
    <s v="v=DMARC1; p=quarantine; pct=100; rua=mailto:re+re3b8klgrkr@dmarc.postmarkapp.com; sp=none; aspf=r;"/>
    <m/>
    <m/>
    <x v="13"/>
    <x v="123"/>
    <x v="3"/>
  </r>
  <r>
    <s v="alcon.com"/>
    <s v="mis"/>
    <x v="3"/>
    <s v="v=spf1 redirect=b0f5qc91._spf._d.mim.ec"/>
    <s v="yes"/>
    <x v="3"/>
    <s v="v=DMARC1; p=reject; rua=mailto:f762a5e1e929449@rep.dmarcanalyzer.com; ruf=mailto:f762a5e1e929449@for.dmarcanalyzer.com; fo=1;"/>
    <m/>
    <m/>
    <x v="1"/>
    <x v="123"/>
    <x v="3"/>
  </r>
  <r>
    <s v="citywesthotel.com"/>
    <s v="minus"/>
    <x v="0"/>
    <s v="v=spf1 include:spf.protection.outlook.com include:spfa.cpmails.com -all"/>
    <s v="yes"/>
    <x v="3"/>
    <s v="v=DMARC1; p=reject; rua=mailto:citywesthotel@eu.cp-dmarc.com; ruf=mailto:citywesthotel@eu.cp-dmarc.com; fo=1"/>
    <m/>
    <m/>
    <x v="0"/>
    <x v="123"/>
    <x v="3"/>
  </r>
  <r>
    <s v="ashfordcastle.com"/>
    <s v="minus"/>
    <x v="0"/>
    <s v="v=spf1 ip4:159.134.255.74/32 include:spf_3a.oracleindustry.com include:spf.protection.outlook.com -all"/>
    <s v="yes"/>
    <x v="3"/>
    <s v="v=DMARC1; p=reject"/>
    <m/>
    <m/>
    <x v="4"/>
    <x v="123"/>
    <x v="3"/>
  </r>
  <r>
    <s v="castlecourthotel.ie"/>
    <s v="minus"/>
    <x v="0"/>
    <s v="v=spf1 a mx include:spf.newsletter.ie include:spf.mandrillapp.com a:mailon.spamtitan.com include:spf.protection.outlook.com include:spf.myhost.ie -all"/>
    <s v="yes"/>
    <x v="2"/>
    <s v="v=DMARC1; p=none;"/>
    <m/>
    <m/>
    <x v="4"/>
    <x v="123"/>
    <x v="3"/>
  </r>
  <r>
    <s v="stjosephsfoundation.ie"/>
    <s v="minus"/>
    <x v="0"/>
    <s v="v=spf1 a ip4:78.143.180.118 include:spf.protection.outlook.com include:spf.hes.trendmicro.com  -all"/>
    <m/>
    <x v="0"/>
    <m/>
    <m/>
    <m/>
    <x v="1"/>
    <x v="123"/>
    <x v="3"/>
  </r>
  <r>
    <s v="abilitywest.ie"/>
    <s v="minus"/>
    <x v="0"/>
    <s v="v=spf1 include:spf.protection.outlook.com -all"/>
    <s v="yes"/>
    <x v="1"/>
    <s v="v=DMARC1;p=quarantine;rua=mailto:3aa244375d@rua.easydmarc.eu;ruf=mailto:3aa244375d@ruf.easydmarc.eu;fo=1;"/>
    <m/>
    <m/>
    <x v="7"/>
    <x v="123"/>
    <x v="3"/>
  </r>
  <r>
    <s v="barnardos.ie"/>
    <s v="minus"/>
    <x v="0"/>
    <s v="v=spf1 a include:spf.protection.outlook.com include:spf.blacknight.ie include:servers.mcsv.net ip4:148.252.8.218 ip4:148.252.8.222 include:_spf.eu.messagegears.net include:authsmtp.com include:authsmtp.co.uk include:authsmtp.net include:spf.zohomail3&quot; &quot;60.eu include:barnardos-ie.mail.protection.outlook.com -all"/>
    <s v="yes"/>
    <x v="2"/>
    <s v="v=DMARC1; p=none;"/>
    <m/>
    <m/>
    <x v="0"/>
    <x v="123"/>
    <x v="3"/>
  </r>
  <r>
    <s v="focusireland.ie"/>
    <s v="minus"/>
    <x v="0"/>
    <s v="v=spf1 ip4:146.0.48.27 include:spf.protection.outlook.com include:spf.mtasv.net ip4:141.193.32.0/23 ip4:159.135.140.80/29 ip4:159.135.132.128/25 ip4:161.38.204.0/22 ip4:87.253.232.0/21 ip4:185.189.236.0/22 ip4:185.211.120.0/22 ip4:185.250.236.0/22 ip&quot; &quot;4:143.55.236.0/22 ip4:198.244.60.0/22 ip4:204.220.160.0/21 ip4:209.61.151.0/24 ip4:166.78.68.0/22 ip4:198.61.254.0/23 ip4:192.237.158.0/23 ip4:23.253.182.0/23 ip4:104.130.96.0/28 ip4:146.20.113.0/24 ip4:146.20.191.0/24 ip4:159.135.224.0/20 ip4:69.72.&quot; &quot;32.0/20 ip4:104.130.122.0/23 ip4:146.20.112.0/26 ip4:161.38.192.0/20 ip4:143.55.224.0/21 ip4:143.55.232.0/22 ip4:159.112.240.0/20 ip4:198.244.48.0/20 ip4:204.220.168.0/21 ip4:204.220.176.0/20 include:servers.mcsv.net include:customers.clickdimensions&quot; &quot;.com include:_spf.eu.messagegears.net include:spf.mandrillapp.com include:amazonses.com -all"/>
    <s v="yes"/>
    <x v="1"/>
    <s v="v=DMARC1; p=quarantine; sp=reject; adkim=r; aspf=s; fo=1"/>
    <m/>
    <m/>
    <x v="0"/>
    <x v="123"/>
    <x v="3"/>
  </r>
  <r>
    <s v="capita.co.uk"/>
    <s v="minus"/>
    <x v="0"/>
    <s v="v=spf1 include:spf1.capita.co.uk include:spf2.capita.co.uk include:spf3.capita.co.uk -all"/>
    <s v="yes"/>
    <x v="3"/>
    <s v="v=DMARC1; p=reject; aspf=r; adkim=r"/>
    <m/>
    <m/>
    <x v="0"/>
    <x v="123"/>
    <x v="3"/>
  </r>
  <r>
    <s v="newireland.ie"/>
    <s v="tilde"/>
    <x v="1"/>
    <s v="v=spf1 include:%{i}._ip.%{h}._ehlo.%{d}._spf.vali.email ~all"/>
    <m/>
    <x v="3"/>
    <s v="v=DMARC1; p=reject; rua=mailto:dmarc_agg@vali.email"/>
    <m/>
    <m/>
    <x v="0"/>
    <x v="123"/>
    <x v="3"/>
  </r>
  <r>
    <s v="cheeverstownschool.ie"/>
    <s v="no"/>
    <x v="2"/>
    <m/>
    <m/>
    <x v="0"/>
    <m/>
    <m/>
    <m/>
    <x v="0"/>
    <x v="123"/>
    <x v="3"/>
  </r>
  <r>
    <s v="kildarechillingco.ie"/>
    <s v="tilde"/>
    <x v="1"/>
    <s v="v=spf1 ip4:217.115.113.32 ip4:193.120.46.36 include:spf.protection.outlook.com ~all"/>
    <m/>
    <x v="0"/>
    <m/>
    <m/>
    <m/>
    <x v="16"/>
    <x v="123"/>
    <x v="3"/>
  </r>
  <r>
    <s v="dewvalley.com"/>
    <s v="minus"/>
    <x v="0"/>
    <s v="v=spf1 include:spf.mailanyone.net include:spf.seg.trustwave.com include:spf.protection.outlook.com -all"/>
    <m/>
    <x v="0"/>
    <m/>
    <m/>
    <m/>
    <x v="13"/>
    <x v="123"/>
    <x v="3"/>
  </r>
  <r>
    <s v="highfieldhealthcare.ie"/>
    <s v="minus"/>
    <x v="0"/>
    <s v="v=spf1 mx ip4:62.77.176.181/32 ip4:86.43.118.230/32 ip4:5.149.173.102/32 a:mail1.eircom.net a:mail2.highfieldhealthcare.ie include:spf.theemaillaundry.net include:spf.protection.outlook.com include:spf.topsec.com include:spf1.emailsecurity.app -all"/>
    <s v="yes"/>
    <x v="2"/>
    <s v="v=DMARC1; p=none;"/>
    <m/>
    <m/>
    <x v="0"/>
    <x v="123"/>
    <x v="3"/>
  </r>
  <r>
    <s v="pettitts.ie"/>
    <s v="minus"/>
    <x v="0"/>
    <s v="v=spf1 include:spf.protection.outlook.com include:spf.ess.de.barracudanetworks.com -all"/>
    <m/>
    <x v="0"/>
    <m/>
    <m/>
    <m/>
    <x v="3"/>
    <x v="123"/>
    <x v="3"/>
  </r>
  <r>
    <s v="nightline-delivers.com"/>
    <s v="question"/>
    <x v="4"/>
    <s v="v=spf1 include:mailcontrol.com include:spf.protection.outlook.com ?all"/>
    <s v="yes"/>
    <x v="0"/>
    <m/>
    <m/>
    <m/>
    <x v="0"/>
    <x v="123"/>
    <x v="3"/>
  </r>
  <r>
    <s v="doyleshippinggroup.com"/>
    <s v="no"/>
    <x v="2"/>
    <m/>
    <m/>
    <x v="0"/>
    <m/>
    <m/>
    <m/>
    <x v="0"/>
    <x v="123"/>
    <x v="3"/>
  </r>
  <r>
    <s v="stobartair.com"/>
    <s v="no"/>
    <x v="2"/>
    <m/>
    <m/>
    <x v="0"/>
    <m/>
    <m/>
    <m/>
    <x v="0"/>
    <x v="123"/>
    <x v="3"/>
  </r>
  <r>
    <s v="dbs.ie"/>
    <s v="minus"/>
    <x v="0"/>
    <s v="v=spf1 ip4:89.101.121.155 include:_u.dbs.ie._spf.smart.ondmarc.com include:_spf.salesforce.com -all"/>
    <s v="yes"/>
    <x v="2"/>
    <s v="v=DMARC1; p=none; sp=reject; fo=1; pct=100; ri=86400; rua=mailto:edc840a1@inbox.ondmarc.com,mailto:dmarc-reports@dbs.ie,mailto:56bd0390677b448f90363758eedc263f@dmarc-reports.cloudflare.net; ruf=mailto:edc840a1@inbox.ondmarc.com,mailto:dmarc-reports@dbs.ie"/>
    <m/>
    <m/>
    <x v="0"/>
    <x v="123"/>
    <x v="3"/>
  </r>
  <r>
    <s v="it-tallaght.ie"/>
    <s v="minus"/>
    <x v="0"/>
    <s v="v=spf1 include:spf.protection.outlook.com ip4:52.31.49.108/32 ip4:52.31.29.196/32 ip4:212.78.228.11 include:wpm.flywire.com -all"/>
    <s v="yes"/>
    <x v="3"/>
    <s v="v=DMARC1; p=reject; rua=mailto:xydjhcdp@ag.eu.dmarcian.com;"/>
    <m/>
    <m/>
    <x v="0"/>
    <x v="123"/>
    <x v="3"/>
  </r>
  <r>
    <s v="ncad.ie"/>
    <s v="minus"/>
    <x v="0"/>
    <s v="v=spf1 mx ip4:193.1.215.0/24 ip4:193.1.216.0/23  include:spf.elluciancloud.com include:mailsecure.net include:_spf.google.com -all"/>
    <s v="yes"/>
    <x v="2"/>
    <s v="v=DMARC1;p=none;"/>
    <m/>
    <m/>
    <x v="0"/>
    <x v="123"/>
    <x v="3"/>
  </r>
  <r>
    <s v="ait.ie"/>
    <s v="minus"/>
    <x v="0"/>
    <s v="v=spf1 include:spf.protection.outlook.com ip6:2001:770:50:4300::12 a:mail.mindaclient.com -all"/>
    <s v="yes"/>
    <x v="0"/>
    <m/>
    <m/>
    <m/>
    <x v="23"/>
    <x v="123"/>
    <x v="3"/>
  </r>
  <r>
    <s v="tipperary-water.ie"/>
    <s v="no"/>
    <x v="2"/>
    <m/>
    <m/>
    <x v="0"/>
    <m/>
    <m/>
    <m/>
    <x v="0"/>
    <x v="123"/>
    <x v="3"/>
  </r>
  <r>
    <s v="top.ie"/>
    <s v="tilde"/>
    <x v="1"/>
    <s v="v=spf1 include:eu._netblocks.mimecast.com include:%{ir}.%{v}.%{d}.spf.has.pphosted.com ~all"/>
    <m/>
    <x v="2"/>
    <s v="v=DMARC1; p=none; fo=1; rua=mailto:dmarc_rua@emaildefense.proofpoint.com; ruf=mailto:dmarc_ruf@emaildefense.proofpoint.com;"/>
    <m/>
    <m/>
    <x v="0"/>
    <x v="123"/>
    <x v="3"/>
  </r>
  <r>
    <s v="autolaunch.com"/>
    <s v="no"/>
    <x v="2"/>
    <m/>
    <m/>
    <x v="0"/>
    <m/>
    <m/>
    <m/>
    <x v="25"/>
    <x v="123"/>
    <x v="3"/>
  </r>
  <r>
    <s v="laois.ie"/>
    <s v="minus"/>
    <x v="0"/>
    <s v="v=spf1 -all"/>
    <s v="yes"/>
    <x v="3"/>
    <s v="v=DMARC1; p=reject"/>
    <m/>
    <m/>
    <x v="18"/>
    <x v="123"/>
    <x v="3"/>
  </r>
  <r>
    <s v="icsmortgages.ie"/>
    <s v="minus"/>
    <x v="0"/>
    <s v="v=spf1 include:spf.protection.outlook.com include:de._netblocks.mimecast.com include:spf-00379401.pphosted.com -all"/>
    <s v="yes"/>
    <x v="0"/>
    <m/>
    <m/>
    <m/>
    <x v="0"/>
    <x v="124"/>
    <x v="3"/>
  </r>
  <r>
    <s v="vistamed.net"/>
    <s v="minus"/>
    <x v="0"/>
    <s v="v=spf1 include:_spf.salesforce.com include:spf.protection.outlook.com ip4:86.43.120.144 ip4:83.70.207.254 ip4:75.16.150.51 -all"/>
    <s v="yes"/>
    <x v="1"/>
    <s v="v=DMARC1; p=quarantine; fo=1"/>
    <m/>
    <m/>
    <x v="19"/>
    <x v="125"/>
    <x v="3"/>
  </r>
  <r>
    <s v="valeofoods.ie"/>
    <s v="minus"/>
    <x v="0"/>
    <s v="v=spf1 ip4:84.207.208.2 ip4:193.203.126.0/24 ip4:95.83.231.64/28 ip4:95.83.225.81 ip4:95.83.225.86 ip4:95.83.225.82  a:smtp-out6.electric.net a:smtp-out4.electric.net include:spf.protection.outlook.com include:de._netblocks.mimecast.com include:auths&quot; &quot;mtp.com -all"/>
    <s v="yes"/>
    <x v="3"/>
    <s v="v=DMARC1; p=reject; rua=mailto:655d2a788d66450@rep.dmarcanalyzer.com; ruf=mailto:655d2a788d66450@for.dmarcanalyzer.com; fo=1;"/>
    <m/>
    <m/>
    <x v="0"/>
    <x v="125"/>
    <x v="3"/>
  </r>
  <r>
    <s v="zimmerbiomet.com"/>
    <s v="minus"/>
    <x v="0"/>
    <s v="v=spf1 ip4:69.160.206.21 ip4:12.40.148.10 ip4:12.215.190.194 ip4:12.235.93.254 ip4:213.95.132.52 ip4:213.155.74.87 ip4:213.155.74.157 ip4:213.155.74.23 ip4:213.155.74.133 ip4:20.119.174.191 ip4:20.230.106.230 ip4:20.114.186.35 ip4:20.119.207.133 include:s&quot; &quot;pf.protection.outlook.com include:spf.mailpro.com -all"/>
    <s v="yes"/>
    <x v="2"/>
    <s v="v=DMARC1; p=none; fo=1; rua=mailto:dmarc_rua@emaildefense.proofpoint.com; ruf=mailto:dmarc_ruf@emaildefense.proofpoint.com"/>
    <m/>
    <m/>
    <x v="9"/>
    <x v="125"/>
    <x v="3"/>
  </r>
  <r>
    <s v="cgglobal.com"/>
    <s v="tilde"/>
    <x v="1"/>
    <s v="v=spf1 include:zohomail.in mx include:spf.protection.outlook.com ~all"/>
    <s v="yes"/>
    <x v="2"/>
    <s v="v=DMARC1; p=none; rua=mailto:cg.dmarc@cgglobal.com; ruf=mailto:cg.dmarc@cgglobal.com; fo=1; adkim=s; aspf=s; pct=100; sp=quarantine"/>
    <m/>
    <m/>
    <x v="11"/>
    <x v="126"/>
    <x v="3"/>
  </r>
  <r>
    <s v="e6.com"/>
    <s v="tilde"/>
    <x v="1"/>
    <s v="v=spf1 include:za._netblocks.mimecast.com ip4:69.90.144.18 include:eu._netblocks.mimecast.com include:_spf.createsend.com ~all"/>
    <m/>
    <x v="1"/>
    <s v="v=DMARC1; p=quarantine; fo=1; pct=100; rua=mailto:07011f233254679@rep.dmarcanalyzer.com; ruf=mailto:07011f233254679@for.dmarcanalyzer.com"/>
    <m/>
    <m/>
    <x v="9"/>
    <x v="127"/>
    <x v="3"/>
  </r>
  <r>
    <s v="norlandmanagedservices.co.uk"/>
    <s v="tilde"/>
    <x v="1"/>
    <s v="v=spf1 mx include:spf.protection.outlook.com ip4:103.37.228.0/24 ip4:159.222.40.0/23 ip4:185.69.116.0/22 ip4:192.34.68.0/24 ip4:192.34.69.0/24 ip4:208.68.245.0/24 ip4:208.68.246.0/24 ip4:208.68.247.0/24 ~all"/>
    <s v="yes"/>
    <x v="2"/>
    <s v="v=DMARC1; p=none; rua=mailto:dmarc_rua@emaildefense.proofpoint.com; ruf=mailto:dmarc_ruf@emaildefense.proofpoint.com;fo=1"/>
    <m/>
    <m/>
    <x v="0"/>
    <x v="127"/>
    <x v="3"/>
  </r>
  <r>
    <s v="capitacustomersolutions.ie"/>
    <s v="tilde"/>
    <x v="1"/>
    <s v="v=spf1 include:mailcontrol.com include:spf.protection.outlook.com ~all"/>
    <s v="yes"/>
    <x v="3"/>
    <s v="v=DMARC1; p=reject; aspf=r; adkim=r"/>
    <m/>
    <m/>
    <x v="1"/>
    <x v="127"/>
    <x v="3"/>
  </r>
  <r>
    <s v="fbd.ie"/>
    <s v="minus"/>
    <x v="0"/>
    <s v="v=spf1 mx ip4:193.95.146.199 ip4:193.120.219.3 include:spf.protection.outlook.com -all"/>
    <s v="yes"/>
    <x v="1"/>
    <s v="v=DMARC1; p=quarantine; sp=reject; rua=mailto:dmarcreports@fbd.ie; ruf=mailto:dmarcreports@fbd.ie; rf=afrf; fo=1; pct=100; ri=86400; adkim=s; aspf=s"/>
    <m/>
    <m/>
    <x v="0"/>
    <x v="127"/>
    <x v="3"/>
  </r>
  <r>
    <s v="nolantransport.com"/>
    <s v="tilde"/>
    <x v="1"/>
    <s v="v=spf1 include:_spf.nolantransport.com ~all"/>
    <m/>
    <x v="2"/>
    <s v="v=DMARC1;p=none;rua=mailto:b0d7a466d4@rua.easydmarc.eu;ruf=mailto:b0d7a466d4@ruf.easydmarc.eu;fo=1;"/>
    <m/>
    <m/>
    <x v="3"/>
    <x v="127"/>
    <x v="3"/>
  </r>
  <r>
    <s v="transport.ie"/>
    <s v="tilde"/>
    <x v="1"/>
    <s v="v=spf1 ip4:31.193.219.67 include:spfext.itservices.gov.ie include:spf.protection.outlook.com include:newsletter.ie ~all"/>
    <m/>
    <x v="2"/>
    <s v="v=DMARC1; p=none;"/>
    <m/>
    <m/>
    <x v="0"/>
    <x v="127"/>
    <x v="3"/>
  </r>
  <r>
    <s v="offaly.ie"/>
    <s v="no"/>
    <x v="2"/>
    <m/>
    <m/>
    <x v="0"/>
    <m/>
    <m/>
    <m/>
    <x v="21"/>
    <x v="127"/>
    <x v="3"/>
  </r>
  <r>
    <s v="williamfry.com"/>
    <s v="tilde"/>
    <x v="1"/>
    <s v="v=spf1 include:_u.williamfry.com._spf.smart.ondmarc.com include:spf.protection.outlook.com ~all"/>
    <s v="yes"/>
    <x v="3"/>
    <s v="v=DMARC1; p=reject; pct=100; sp=reject; rua=mailto:030586eb@inbox.ondmarc.com; ruf=mailto:030586eb@inbox.ondmarc.com; adkim=r; aspf=r; fo=0; rf=afrf; ri=3600"/>
    <s v="yes"/>
    <s v="https://vmc.digicert.com/ddb0f8fb-3ffb-42e8-8c3a-e1709c7e87ea.svg"/>
    <x v="0"/>
    <x v="127"/>
    <x v="3"/>
  </r>
  <r>
    <s v="epswater.com"/>
    <s v="tilde"/>
    <x v="1"/>
    <s v="v=spf1 include:outlook.com include:spf.sendinblue.com mx ~all"/>
    <s v="yes"/>
    <x v="2"/>
    <s v="v=DMARC1; p=none;"/>
    <m/>
    <m/>
    <x v="1"/>
    <x v="127"/>
    <x v="3"/>
  </r>
  <r>
    <s v="bernedsen.ie"/>
    <s v="no"/>
    <x v="2"/>
    <m/>
    <m/>
    <x v="0"/>
    <m/>
    <m/>
    <m/>
    <x v="0"/>
    <x v="127"/>
    <x v="3"/>
  </r>
  <r>
    <s v="alkermes.com"/>
    <s v="tilde"/>
    <x v="1"/>
    <s v="v=spf1 ip4:155.212.24.4 include:spf-00049901.pphosted.com include:%{ir}.%{v}.%{d}.spf.has.pphosted.com include:mailgun.org include:spf.agiloft.com ~all"/>
    <m/>
    <x v="2"/>
    <s v="v=DMARC1; p=none; fo=1; rua=mailto:dmarc_rua@emaildefense.proofpoint.com; ruf=mailto:dmarc_ruf@emaildefense.proofpoint.com"/>
    <m/>
    <m/>
    <x v="23"/>
    <x v="127"/>
    <x v="3"/>
  </r>
  <r>
    <s v="cardinalhealth.com"/>
    <s v="tilde"/>
    <x v="1"/>
    <s v="v=spf1 exists:%{i}.spf.hc2781-64.iphmx.com include:_spf.salesforce.com include:spf-a.opntxtdns.com include:7698986.spf08.hubspotemail.net include:sendgrid.net include:amazonses.com ip4:12.19.100.11 ip4:208.185.229.41 ip4:208.185.229.42 ip4:208.185.22&quot; &quot;9.43 ip4:208.185.229.44 ip4:208.185.229.45 ip4:72.3.202.3 ip4:198.89.160.32 ip4:198.89.160.35 ip4:199.230.200.199 ip4:199.230.252.114 ~all"/>
    <s v="yes"/>
    <x v="3"/>
    <s v="v=DMARC1; p=reject; rua=mailto:dmarcreports@cardinalhealth.com; ruf=mailto:dmarcreports@cardinalhealth.com"/>
    <s v="yes"/>
    <s v="https://www.cardinalhealth.com/content/dam/corp/email/images/logos/ch-wingspan-4x4.svg"/>
    <x v="21"/>
    <x v="127"/>
    <x v="3"/>
  </r>
  <r>
    <s v="moriartygroup.ie"/>
    <s v="minus"/>
    <x v="0"/>
    <s v="v=spf1 ip4:93.107.109.74 ip4:89.101.125.14 include:spf.protection.outlook.com include:netaffinity.net include:sendgrid.net -all"/>
    <s v="yes"/>
    <x v="2"/>
    <s v="v=DMARC1; p=none;"/>
    <m/>
    <m/>
    <x v="0"/>
    <x v="127"/>
    <x v="3"/>
  </r>
  <r>
    <s v="doyleshipping.ie"/>
    <s v="no"/>
    <x v="2"/>
    <m/>
    <m/>
    <x v="0"/>
    <m/>
    <m/>
    <m/>
    <x v="1"/>
    <x v="127"/>
    <x v="3"/>
  </r>
  <r>
    <s v="dccae.gov.ie"/>
    <s v="minus"/>
    <x v="0"/>
    <s v="v=spf1 ip4:137.191.239.189 ip4:193.1.193.165 ip4:193.178.1.33 ip4:137.191.224.10 ip4:137.191.224.140  include:spfext.itservices.gov.ie -all"/>
    <m/>
    <x v="2"/>
    <s v="v=DMARC1; p=none;"/>
    <m/>
    <m/>
    <x v="0"/>
    <x v="128"/>
    <x v="3"/>
  </r>
  <r>
    <s v="originenterprises.com"/>
    <s v="minus"/>
    <x v="0"/>
    <s v="v=spf1 include:de._netblocks.mimecast.com include:_u.originenterprises.com._spf.dmarcly.com include:spf.protection.outlook.com -all"/>
    <s v="yes"/>
    <x v="1"/>
    <s v="v=DMARC1; p=quarantine; rua=mailto:5e4f93cf786a8@ag.dmarcly.com; ruf=mailto:5e4f93cf786a8@fo.dmarcly.com; sp=none; fo=0:1:d:s;"/>
    <m/>
    <m/>
    <x v="0"/>
    <x v="129"/>
    <x v="3"/>
  </r>
  <r>
    <s v="marriott.ie"/>
    <s v="no"/>
    <x v="2"/>
    <m/>
    <m/>
    <x v="0"/>
    <m/>
    <m/>
    <m/>
    <x v="0"/>
    <x v="130"/>
    <x v="3"/>
  </r>
  <r>
    <s v="zurich.ie"/>
    <s v="tilde"/>
    <x v="1"/>
    <s v="v=spf1 ip4:195.28.240.37 ip4:195.28.240.44 ip4:213.94.214.20 ip4:213.94.214.22 ip4:195.28.226.207 ip4:195.28.226.226 ip4:206.252.39.11 ip4:206.252.42.11 ip4:34.248.130.34 include:cmail1.com include:spf-002e5d02.pphosted.com include:spf-002e5d04.pphosted.c&quot; &quot;om ~all"/>
    <s v="yes"/>
    <x v="3"/>
    <s v="v=DMARC1; p=reject; rua=mailto:dmarc_rua@emaildefense.proofpoint.com; ruf=mailto:dmarc_ruf@emaildefense.proofpoint.com;fo=1"/>
    <m/>
    <m/>
    <x v="0"/>
    <x v="131"/>
    <x v="3"/>
  </r>
  <r>
    <s v="radleyeng.com"/>
    <s v="tilde"/>
    <x v="1"/>
    <s v="v=spf1 ip4:89.101.38.222 ip4:83.147.156.194 include:spf.protection.outlook.com include:remarkable.com ~all"/>
    <m/>
    <x v="1"/>
    <s v="v=DMARC1; p=quarantine; rua=mailto:a7b45ec2@mxtoolbox.dmarc-report.com; ruf=mailto:a7b45ec2@forensics.dmarc-report.com; fo=1; pct=5"/>
    <m/>
    <m/>
    <x v="10"/>
    <x v="132"/>
    <x v="3"/>
  </r>
  <r>
    <s v="aon.ie"/>
    <s v="minus"/>
    <x v="0"/>
    <s v="v=spf1 include:spf.mailjet.com include:spf.aon.net include:spf-00196902.pphosted.com -all"/>
    <s v="yes"/>
    <x v="3"/>
    <s v="v=DMARC1; p=reject; fo=1; rua=mailto:dmarc_agg@vali.email; ruf=mailto:NDM1ODAx@ruf.vali.email"/>
    <s v="yes"/>
    <s v="https://vmc.digicert.com/b8896f1b-258f-494d-8b95-684bd31c8bd9.svg"/>
    <x v="0"/>
    <x v="133"/>
    <x v="3"/>
  </r>
  <r>
    <s v="wardandburke.com"/>
    <s v="minus"/>
    <x v="0"/>
    <s v="v=spf1 include:spf.protection.outlook.com include:spf.eu.exclaimer.net a mx ip4:13.79.6.151 -all"/>
    <s v="yes"/>
    <x v="1"/>
    <s v="v=DMARC1; p=quarantine ; fo=1; rua=mailto:a9gm7n4p@ag.eu.dmarcian.com,mailto:dmarc@wardandburke.com; ruf=mailto:a9gm7n4p@fr.eu.dmarcian.com,mailto:dmarc@wardandburke.com; rf=afrf; pct=30"/>
    <m/>
    <m/>
    <x v="7"/>
    <x v="133"/>
    <x v="3"/>
  </r>
  <r>
    <s v="roadbridge.ie"/>
    <s v="tilde"/>
    <x v="1"/>
    <s v="v=spf1 ip4:89.204.254.122 ip4:51.141.9.125  include:spf.protection.outlook.com include:spf.smtp2go.com ~all"/>
    <s v="yes"/>
    <x v="3"/>
    <s v="v=DMARC1; p=reject; rua=mailto:dmarc.reporting@roadbridge.ie;ruf=mailto:dmarc.reporting@roadbridge.ie; fo=1;"/>
    <m/>
    <m/>
    <x v="5"/>
    <x v="133"/>
    <x v="3"/>
  </r>
  <r>
    <s v="sisk.ie"/>
    <s v="minus"/>
    <x v="0"/>
    <s v="v=spf1 ip4:93.94.119.196 ip4:82.198.141.134 ip4:162.247.160.0/21 include:spf.protection.outlook.com include:_spf.axxerion.com -all"/>
    <s v="yes"/>
    <x v="2"/>
    <s v="v=DMARC1; p=none; rua=mailto:DMARCreports@siskgroup.ie; pct=20;"/>
    <m/>
    <m/>
    <x v="0"/>
    <x v="133"/>
    <x v="3"/>
  </r>
  <r>
    <s v="designergroup.ie"/>
    <s v="no"/>
    <x v="2"/>
    <m/>
    <m/>
    <x v="0"/>
    <m/>
    <m/>
    <m/>
    <x v="0"/>
    <x v="133"/>
    <x v="3"/>
  </r>
  <r>
    <s v="esbi.ie"/>
    <s v="tilde"/>
    <x v="1"/>
    <s v="v=spf1 mx a: include:spf.protection.outlook.com ~all"/>
    <s v="yes"/>
    <x v="2"/>
    <s v="v=DMARC1; p=none; pct=100; fo=1; ri=3600; rua=mailto:a4714750@inbox.ondmarc.com,mailto:dmarcnotifications@esb.ie; ruf=mailto:a4714750@inbox.ondmarc.com,mailto:dmarcnotifications@esb.ie;"/>
    <m/>
    <m/>
    <x v="0"/>
    <x v="133"/>
    <x v="3"/>
  </r>
  <r>
    <s v="zurichlife.ie"/>
    <s v="minus"/>
    <x v="0"/>
    <s v="v=spf1 -all"/>
    <m/>
    <x v="3"/>
    <s v="v=DMARC1;p=reject;rua=mailto:dmarc_rua@emaildefense.proofpoint.com;ruf=mailto:dmarc_ruf@emaildefense.proofpoint.com;fo=1"/>
    <m/>
    <m/>
    <x v="0"/>
    <x v="133"/>
    <x v="3"/>
  </r>
  <r>
    <s v="cmetb.ie"/>
    <s v="minus"/>
    <x v="0"/>
    <s v="v=spf1 ip4:91.216.241.2 include:relay.mailchannels.net include:spf.protection.outlook.com include:spf.dcsnet.ie -all"/>
    <s v="yes"/>
    <x v="3"/>
    <s v="v=DMARC1; p=reject; rua=mailto:dmarcsupport@cmetb.ie"/>
    <m/>
    <m/>
    <x v="11"/>
    <x v="133"/>
    <x v="3"/>
  </r>
  <r>
    <s v="health.gov.ie"/>
    <s v="tilde"/>
    <x v="1"/>
    <s v="v=spf1 a mx ip4:137.191.247.36 ip4:18.130.212.176 include:spf.protection.outlook.com ~all"/>
    <s v="yes"/>
    <x v="1"/>
    <s v="v=DMARC1; p=quarantine; pct=100; adkim=r; aspf=r; rua=mailto:dmarc_agg@vali.email"/>
    <m/>
    <m/>
    <x v="0"/>
    <x v="133"/>
    <x v="3"/>
  </r>
  <r>
    <s v="peamount.ie"/>
    <s v="tilde"/>
    <x v="1"/>
    <s v="v=spf1 include:_u.peamount.ie._spf.smart.ondmarc.com ~all"/>
    <m/>
    <x v="3"/>
    <s v="v=DMARC1; p=reject; pct=100; sp=none; rua=mailto:d6325d09@inbox.ondmarc.com; ruf=mailto:d6325d09@inbox.ondmarc.com; adkim=r; aspf=r; fo=1; rf=afrf; ri=3600"/>
    <m/>
    <m/>
    <x v="0"/>
    <x v="133"/>
    <x v="3"/>
  </r>
  <r>
    <s v="slron.ie"/>
    <s v="no"/>
    <x v="2"/>
    <m/>
    <m/>
    <x v="0"/>
    <m/>
    <m/>
    <m/>
    <x v="0"/>
    <x v="133"/>
    <x v="3"/>
  </r>
  <r>
    <s v="starwoodhotels.com"/>
    <s v="tilde"/>
    <x v="1"/>
    <s v="v=spf1 include:spf-003bff01.pphosted.com include:spf.protection.outlook.com ip4:65.118.252.64/27 ip4:68.15.235.14 ip4:68.15.235.15 ip4:68.15.235.16 ip4:68.15.235.17 ip4:168.245.57.57 ip4:50.31.38.19 ip4:167.89.18.211 include:mail.zendesk.com include:sendg&quot; &quot;rid.net include:spf.vsrv.host ~all"/>
    <m/>
    <x v="1"/>
    <s v="v=DMARC1; p=quarantine; pct=100; rua=mailto:atp@1hotels.com,mailto:dmarc_rua@emaildefense.proofpoint.com; ruf=mailto:dmarc_ruf@emaildefense.proofpoint.com;fo=1"/>
    <m/>
    <m/>
    <x v="1"/>
    <x v="133"/>
    <x v="3"/>
  </r>
  <r>
    <s v="molex.com"/>
    <s v="minus"/>
    <x v="0"/>
    <s v="v=spf1 include:%{ir}.%{v}.%{d}.spf.has.pphosted.com include:mktomail.com -all"/>
    <s v="yes"/>
    <x v="3"/>
    <s v="v=DMARC1; p=reject; fo=1; rua=mailto:dmarc_rua@emaildefense.proofpoint.com; ruf=mailto:dmarc_ruf@emaildefense.proofpoint.com"/>
    <m/>
    <m/>
    <x v="9"/>
    <x v="133"/>
    <x v="3"/>
  </r>
  <r>
    <s v="pemberton.ie"/>
    <s v="minus"/>
    <x v="0"/>
    <s v="v=spf1 include:_u.pemberton.ie._spf.smart.ondmarc.com -all"/>
    <m/>
    <x v="3"/>
    <s v="v=DMARC1; p=reject; pct=100; sp=reject; rua=mailto:3fb658a1@inbox.eu.redsift.cloud; ruf=mailto:3fb658a1@inbox.eu.redsift.cloud; adkim=r; aspf=r; fo=1; rf=afrf; ri=86400"/>
    <m/>
    <m/>
    <x v="0"/>
    <x v="133"/>
    <x v="3"/>
  </r>
  <r>
    <s v="leo-pharma.ie"/>
    <s v="minus"/>
    <x v="0"/>
    <s v="v=spf1 -all"/>
    <s v="yes"/>
    <x v="3"/>
    <s v="v=DMARC1; p=reject; rua=mailto:6ymgai1o@ag.eu.dmarcadvisor.com;"/>
    <m/>
    <m/>
    <x v="0"/>
    <x v="133"/>
    <x v="3"/>
  </r>
  <r>
    <s v="westpharma.com"/>
    <s v="tilde"/>
    <x v="1"/>
    <s v="v=spf1 include:spf1.westpharma.com include:_spf.atlassian.net include:spf.protection.outlook.com ip4:32.66.192.11 ip4:32.66.192.12 ip4:32.66.192.13 ip4:32.66.192.14 ip4:32.66.192.15 ~all"/>
    <s v="yes"/>
    <x v="1"/>
    <s v="v=DMARC1; p=quarantine; pct=100; fo=1; rua=mailto:dmarc_agg@vali.email,mailto:Webmaster@westpharma.com; ruf=mailto:Webmaster@westpharma.com;"/>
    <m/>
    <m/>
    <x v="0"/>
    <x v="133"/>
    <x v="3"/>
  </r>
  <r>
    <s v="chanellegroup.ie"/>
    <s v="minus"/>
    <x v="0"/>
    <s v="v=spf1 a mx include:spf.protection.outlook.com include:spf.mandrillapp.com -all"/>
    <s v="yes"/>
    <x v="1"/>
    <s v="v=DMARC1; p=quarantine; rua=mailto:dmarc@chanellegroup.ie; ruf=mailto:dmarc@chanellegroup.ie; pct=50"/>
    <m/>
    <m/>
    <x v="7"/>
    <x v="133"/>
    <x v="3"/>
  </r>
  <r>
    <s v="kerry.com"/>
    <s v="mis"/>
    <x v="3"/>
    <s v="v=spf1 redirect=4xei67yy._spf._d.mim.ec"/>
    <s v="yes"/>
    <x v="3"/>
    <s v="v=DMARC1; p=reject; rua=mailto:dmarc_rua@emaildefense.proofpoint.com,mailto:6214fcb17775132@rep.dmarcanalyzer.com; ruf=mailto:dmarc_ruf@emaildefense.proofpoint.com,mailto:6214fcb17775132@for.dmarcanalyzer.com; fo=1"/>
    <m/>
    <m/>
    <x v="14"/>
    <x v="133"/>
    <x v="3"/>
  </r>
  <r>
    <s v="enterprise-ireland.com"/>
    <s v="minus"/>
    <x v="0"/>
    <s v="v=spf1 ip4:137.191.232.68 ip4:91.210.233.143 ip4:159.183.203.109 include:spf.protection.outlook.com include:nw007.com  include:inc.emailr.com include:mktomail.com include:_spf.createsend.com include:spf_c.oraclecloud.com -all"/>
    <s v="yes"/>
    <x v="3"/>
    <s v="v=DMARC1; p=reject; rua=mailto:dmarc_agg@vali.email,mailto:payfhdig@ag.eu.dmarcian.com; ruf=mailto:payfhdig@fr.eu.dmarcian.com; aspf=r;"/>
    <m/>
    <m/>
    <x v="0"/>
    <x v="133"/>
    <x v="3"/>
  </r>
  <r>
    <s v="ie.depaulcharity.org"/>
    <s v="no"/>
    <x v="2"/>
    <m/>
    <m/>
    <x v="2"/>
    <s v="v=DMARC1; p=none;"/>
    <m/>
    <m/>
    <x v="0"/>
    <x v="133"/>
    <x v="3"/>
  </r>
  <r>
    <s v="workday.com"/>
    <s v="tilde"/>
    <x v="1"/>
    <s v="v=spf1 include:workday.com._nspf.vali.email include:%{i}._ip.%{h}._ehlo.%{d}._spf.vali.email ~all"/>
    <s v="yes"/>
    <x v="3"/>
    <s v="v=DMARC1; p=reject; rua=mailto:dmarc_agg@vali.email,mailto:aad996bd@mxtoolbox.dmarc-report.com,mailto:dmarc_agg@dmarc.250ok.net"/>
    <s v="yes"/>
    <s v="https://amplify.valimail.com/bimi/workday/7XC05l7wsxC-workday_inc_1202938645.svg"/>
    <x v="0"/>
    <x v="133"/>
    <x v="3"/>
  </r>
  <r>
    <s v="independent.ie"/>
    <s v="minus"/>
    <x v="0"/>
    <s v="v=spf1 ip4:83.71.187.233 ip4:89.101.141.135 ip4:83.71.187.253 ip4:89.101.157.129 ip4:5.61.115.80/26 include:rlyhosts.be include:spf.protection.outlook.com include:mailgun.org -all"/>
    <s v="yes"/>
    <x v="3"/>
    <s v="v=DMARC1; p=reject; pct=100; fo=1; ri=3600; rua=mailto:13dbc9fb@inbox.ondmarc.com;ruf=mailto:13dbc9fb@inbox.ondmarc.com;"/>
    <s v="yes"/>
    <s v="https://www.independent.ie/editorial/logo/independent.svg"/>
    <x v="0"/>
    <x v="133"/>
    <x v="3"/>
  </r>
  <r>
    <s v="lufthansa-technik.com"/>
    <s v="minus"/>
    <x v="0"/>
    <s v="v=spf1 mx include:_spf.lufthansa.com -all"/>
    <m/>
    <x v="3"/>
    <s v="v=DMARC1; p=reject; fo=1; ri=3600; rua=mailto:lufthansa@rua.agari.com"/>
    <m/>
    <m/>
    <x v="9"/>
    <x v="133"/>
    <x v="3"/>
  </r>
  <r>
    <s v="marymount.ie"/>
    <s v="minus"/>
    <x v="0"/>
    <s v="v=spf1 ip4:137.191.231.94 ip4:54.246.195.203 ip4:52.214.137.168 ip4:91.223.9.26 include:spf.ess.de.barracudanetworks.com include:spf.protection.outlook.com include:authsmtp.com -all"/>
    <m/>
    <x v="0"/>
    <m/>
    <m/>
    <m/>
    <x v="1"/>
    <x v="133"/>
    <x v="3"/>
  </r>
  <r>
    <s v="elverys.ie"/>
    <s v="minus"/>
    <x v="0"/>
    <s v="v=spf1 a mx ip4:185.57.113.74 ip4:82.141.205.1 ip4:62.209.54.82 ip4:62.209.54.83 ip4:62.209.54.84 include:spf.mailanyone.net include:spf.mandrillapp.com include:mail.zendesk.com include:spf.protection.outlook.com include:spf.givex.com -all"/>
    <m/>
    <x v="2"/>
    <s v="v=DMARC1; p=none; rua=mailto:dmarcreports@elverys.ie"/>
    <m/>
    <m/>
    <x v="4"/>
    <x v="133"/>
    <x v="3"/>
  </r>
  <r>
    <s v="itsligo.ie"/>
    <s v="minus"/>
    <x v="0"/>
    <s v="v=spf1 include:spf.protection.outlook.com include:spf1.itsligo.ie include:spf2.itsligo.ie include:spf3.itsligo.ie include:spf4.itsligo.ie include:spf.mandrillapp.com include:spf.mailjet.com include:servers.mcsv.net include:cyberriskaware.com -all"/>
    <s v="yes"/>
    <x v="2"/>
    <s v="v=DMARC1; p=none; ruf=mailto:dmarc@itsligo.ie; rua=mailto:dmarc@itsligo.ie"/>
    <m/>
    <m/>
    <x v="8"/>
    <x v="133"/>
    <x v="3"/>
  </r>
  <r>
    <s v="clarecare.ie"/>
    <s v="tilde"/>
    <x v="1"/>
    <s v="v=spf1 a include:spf.blacknight.com include:spf0101.titan.email ~all"/>
    <m/>
    <x v="0"/>
    <m/>
    <m/>
    <m/>
    <x v="9"/>
    <x v="133"/>
    <x v="3"/>
  </r>
  <r>
    <s v="siskgroup.ie"/>
    <s v="minus"/>
    <x v="0"/>
    <s v="v=spf1 ip4:93.94.119.196 ip4:82.198.141.134 include:spf.protection.outlook.com -all"/>
    <s v="yes"/>
    <x v="2"/>
    <s v="v=DMARC1; p=none; rua=mailto:DMARCreports@siskgroup.ie; pct=20;"/>
    <m/>
    <m/>
    <x v="0"/>
    <x v="133"/>
    <x v="3"/>
  </r>
  <r>
    <s v="novartis.com"/>
    <s v="minus"/>
    <x v="0"/>
    <s v="v=spf1 include:%{ir}.%{v}.%{d}.spf.has.pphosted.com -all"/>
    <s v="yes"/>
    <x v="3"/>
    <s v="v=DMARC1; p=reject; sp=reject; fo=1; rua=mailto:dmarc_rua@emaildefense.proofpoint.com; ruf=mailto:dmarc_ruf@emaildefense.proofpoint.com"/>
    <m/>
    <m/>
    <x v="1"/>
    <x v="134"/>
    <x v="4"/>
  </r>
  <r>
    <s v="pepsico.ie"/>
    <s v="no"/>
    <x v="2"/>
    <m/>
    <m/>
    <x v="0"/>
    <m/>
    <m/>
    <m/>
    <x v="1"/>
    <x v="135"/>
    <x v="4"/>
  </r>
  <r>
    <s v="cagneycontractcleaning.ie"/>
    <s v="minus"/>
    <x v="0"/>
    <s v="v=spf1 a:spf.webtrade.ie include:spf.protection.outlook.com -all"/>
    <m/>
    <x v="0"/>
    <m/>
    <m/>
    <m/>
    <x v="0"/>
    <x v="136"/>
    <x v="4"/>
  </r>
  <r>
    <s v="hsbc.com"/>
    <s v="tilde"/>
    <x v="1"/>
    <s v="v=spf1 include:spf-00299f02.pphosted.com include:spf1.hsbc.com include:spf2.hsbc.com include:spf3.hsbc.com  include:spf-002f0603.pphosted.com ~all"/>
    <s v="yes"/>
    <x v="3"/>
    <s v="v=DMARC1; p=reject; fo=1; ri=3600; rua=mailto:dmarc_rua@emaildefense.proofpoint.com; ruf=mailto:dmarc_ruf@emaildefense.proofpoint.com"/>
    <m/>
    <m/>
    <x v="0"/>
    <x v="137"/>
    <x v="4"/>
  </r>
  <r>
    <s v="mckechnie-cleaning.ie"/>
    <s v="tilde"/>
    <x v="1"/>
    <s v="v=spf1 a mx ip4:77.68.91.107 ip4:104.156.181.224 include:spf.protection.outlook.com include:spf.ess.de.barracudanetworks.com ~all"/>
    <s v="yes"/>
    <x v="2"/>
    <s v="v=DMARC1; p=none;"/>
    <m/>
    <m/>
    <x v="1"/>
    <x v="137"/>
    <x v="4"/>
  </r>
  <r>
    <s v="sligococo.ie"/>
    <s v="minus"/>
    <x v="0"/>
    <s v="v=spf1 ip4:213.143.154.166 include:spf.topsec.com include:spf.protection.outlook.com -all"/>
    <s v="yes"/>
    <x v="3"/>
    <s v="v=DMARC1;p=reject;rua=mailto:211a5a2e44@rua.easydmarc.eu;ruf=mailto:211a5a2e44@ruf.easydmarc.eu;fo=1"/>
    <m/>
    <m/>
    <x v="8"/>
    <x v="137"/>
    <x v="4"/>
  </r>
  <r>
    <s v="coombe.ie"/>
    <s v="minus"/>
    <x v="0"/>
    <s v="v=spf1 a mx ip4:137.191.232.0/28 include:spf.topsec.com -all"/>
    <m/>
    <x v="3"/>
    <s v="v=DMARC1;p=reject;sp=reject;rua=mailto:211a5a2e44@rua.easydmarc.eu;ruf=mailto:211a5a2e44@ruf.easydmarc.eu;fo=1"/>
    <m/>
    <m/>
    <x v="0"/>
    <x v="137"/>
    <x v="4"/>
  </r>
  <r>
    <s v="stpatricks.ie"/>
    <s v="minus"/>
    <x v="0"/>
    <s v="v=spf1 include:spf.mailanyone.net include:mailgun.org mx a include:spf.protection.outlook.com -all"/>
    <s v="yes"/>
    <x v="3"/>
    <s v="v=DMARC1;p=reject;rua=mailto:211a5a2e44@rua.easydmarc.eu;ruf=mailto:211a5a2e44@ruf.easydmarc.eu;fo=1"/>
    <m/>
    <m/>
    <x v="0"/>
    <x v="137"/>
    <x v="4"/>
  </r>
  <r>
    <s v="sanmina.com"/>
    <s v="minus"/>
    <x v="0"/>
    <s v="v=spf1 mx ip4:143.116.250.174 include:_spf.google.com include:us-spf.email.litmos.com include:spf.protection.outlook.com -all"/>
    <s v="yes"/>
    <x v="3"/>
    <s v="v=DMARC1;&quot; &quot;p=reject;&quot; &quot;rua=mailto:dmarc.admin@sanmina.com;&quot; &quot;ruf=mailto:dmarc.admin@sanmina.com;&quot; &quot;sp=none;&quot; &quot;pct=100"/>
    <m/>
    <m/>
    <x v="1"/>
    <x v="137"/>
    <x v="4"/>
  </r>
  <r>
    <s v="thermoking.com"/>
    <s v="tilde"/>
    <x v="1"/>
    <s v="v=spf1 include:%{ir}.%{v}.%{d}.spf.has.pphosted.com include:_spf.qualtrics.com include:mktomail.com include:spf.mailjet.com ~all"/>
    <s v="yes"/>
    <x v="3"/>
    <s v="v=DMARC1;p=reject;fo=1;rua=mailto:dmarc_rua@emaildefense.proofpoint.com;ruf=mailto:dmarc_ruf@emaildefense.proofpoint.com"/>
    <m/>
    <m/>
    <x v="7"/>
    <x v="137"/>
    <x v="4"/>
  </r>
  <r>
    <s v="penseurope.com"/>
    <s v="tilde"/>
    <x v="1"/>
    <s v="v=spf1 include:spf.protection.outlook.com include:_netblocks.mimecast.com ~all"/>
    <s v="yes"/>
    <x v="1"/>
    <s v="v=DMARC1; p=quarantine; pct=100; rua=mailto:dmark.reports@pens.com; ruf=mailto:dmark.reports@pens.com; fo=1; sp=none;"/>
    <m/>
    <m/>
    <x v="2"/>
    <x v="137"/>
    <x v="4"/>
  </r>
  <r>
    <s v="conduit.ie"/>
    <s v="no"/>
    <x v="2"/>
    <m/>
    <m/>
    <x v="0"/>
    <m/>
    <m/>
    <m/>
    <x v="0"/>
    <x v="137"/>
    <x v="4"/>
  </r>
  <r>
    <s v="sammccauley.com"/>
    <s v="tilde"/>
    <x v="1"/>
    <s v="v=spf1 a mx a:lh50.dnsireland.com ip4:78.137.164.90 ip4:217.182.232.174 ip4:52.208.178.150 ip4:63.33.117.194 ip4:108.128.27.196 ip4:54.73.165.7 ip4:185.201.16.0/22 a:spfips.antispamcloud.com a:release.antispamcloud.com include:spf2.antispamcloud.com ~all"/>
    <s v="yes"/>
    <x v="0"/>
    <m/>
    <m/>
    <m/>
    <x v="3"/>
    <x v="138"/>
    <x v="4"/>
  </r>
  <r>
    <s v="corriboil.com"/>
    <s v="minus"/>
    <x v="0"/>
    <s v="v=spf1 include:spf.protection.outlook.com include:spf.ess.uk.barracudanetworks.com include:spf.mailjet.com ip4:84.203.183.218 include:amazonses.com include:spf.mandrillapp.com include:spf-eu.emailsignatures365.com -all"/>
    <s v="yes"/>
    <x v="3"/>
    <s v="v=DMARC1; p=reject; fo=1; rua=mailto:rua+corriboil.com@dmarc.barracudanetworks.com; ruf=mailto:ruf+corriboil.com@dmarc.barracudanetworks.com"/>
    <m/>
    <m/>
    <x v="7"/>
    <x v="139"/>
    <x v="4"/>
  </r>
  <r>
    <s v="accenture.com"/>
    <s v="minus"/>
    <x v="0"/>
    <s v="v=spf1 include:_spfa.exchange.accenture.com include:_spfb.exchange.accenture.com -all"/>
    <s v="yes"/>
    <x v="3"/>
    <s v="v=DMARC1;p=reject;fo=1;aspf=s;rua=mailto:dmarc_rua@emaildefense.proofpoint.com;ruf=mailto:dmarc_ruf@emaildefense.proofpoint.com"/>
    <m/>
    <m/>
    <x v="0"/>
    <x v="140"/>
    <x v="4"/>
  </r>
  <r>
    <s v="tcbrokers.com"/>
    <s v="minus"/>
    <x v="0"/>
    <s v="v=spf1 -all"/>
    <s v="yes"/>
    <x v="3"/>
    <s v="v=DMARC1; p=reject; fo=1; rua=mailto:dmarc_agg@vali.email"/>
    <m/>
    <m/>
    <x v="0"/>
    <x v="140"/>
    <x v="4"/>
  </r>
  <r>
    <s v="irishdistillers.ie"/>
    <s v="tilde"/>
    <x v="1"/>
    <s v="v=spf1 include:spf.protection.outlook.com ~all"/>
    <s v="yes"/>
    <x v="2"/>
    <s v="v=DMARC1; p=none; fo=1; rua=mailto:dmarc_rua@pernod-ricard.com; ruf=mailto:dmarc_ruf@pernod-ricard.com"/>
    <m/>
    <m/>
    <x v="0"/>
    <x v="140"/>
    <x v="4"/>
  </r>
  <r>
    <s v="cavancoco.ie"/>
    <s v="minus"/>
    <x v="0"/>
    <s v="v=spf1 a ip4:93.90.117.1/24 ip4:93.90.115.1/24 ip4:91.199.74.184 include:spf.topsec.com include:spf.blacknight.ie include:spf.protection.outlook.com include:sendersrv.com ip4:213.143.154.166 -all"/>
    <m/>
    <x v="3"/>
    <s v="v=DMARC1;p=reject;sp=reject;rua=mailto:211a5a2e44@rua.easydmarc.eu;ruf=mailto:211a5a2e44@ruf.easydmarc.eu;fo=1"/>
    <m/>
    <m/>
    <x v="11"/>
    <x v="140"/>
    <x v="4"/>
  </r>
  <r>
    <s v="mccannfitzgerald.com"/>
    <s v="minus"/>
    <x v="0"/>
    <s v="v=spf1 include:%{ir}.%{v}.%{d}.spf.has.pphosted.com -all"/>
    <s v="yes"/>
    <x v="3"/>
    <s v="v=DMARC1; p=reject; fo=1; rua=mailto:dmarc_rua@emaildefense.proofpoint.com; ruf=mailto:dmarc_ruf@emaildefense.proofpoint.com"/>
    <m/>
    <m/>
    <x v="0"/>
    <x v="140"/>
    <x v="4"/>
  </r>
  <r>
    <s v="three.ie"/>
    <s v="tilde"/>
    <x v="1"/>
    <s v="v=spf1 ip4:62.40.38.69 ip4:18.168.51.200 ip4:18.168.140.58 ip4:148.59.101.16/28 a:ironport.three.ie include:amazonses.com include:spf.protection.outlook.com include:spf.mandrillapp.com include:eu.khoros-mail.com include:_spf.salesforce.com ~all"/>
    <s v="yes"/>
    <x v="2"/>
    <s v="v=DMARC1; p=none; fo=1; rua=mailto:three@rua.netcraft.com; ruf=mailto:three@ruf.netcraft.com"/>
    <m/>
    <m/>
    <x v="0"/>
    <x v="140"/>
    <x v="4"/>
  </r>
  <r>
    <s v="dell.com"/>
    <s v="tilde"/>
    <x v="1"/>
    <s v="v=spf1 include:%{ir}.%{v}.%{d}.spf.has.pphosted.com ~all"/>
    <s v="yes"/>
    <x v="3"/>
    <s v="v=DMARC1; p=reject; fo=1; rua=mailto:dmarc_rua@emaildefense.proofpoint.com,mailto:dmarc.reports.rua@dell.com; ruf=mailto:dmarc_ruf@emaildefense.proofpoint.com,mailto:dmarc.reports.ruf@dell.com"/>
    <m/>
    <m/>
    <x v="5"/>
    <x v="140"/>
    <x v="4"/>
  </r>
  <r>
    <s v="allphar.ie"/>
    <s v="minus"/>
    <x v="0"/>
    <s v="v=spf1 include:spf-00779101.pphosted.com include:spf.protection.outlook.com a:mail1.allphar.ie ip4:89.101.228.97 -all"/>
    <m/>
    <x v="0"/>
    <m/>
    <m/>
    <m/>
    <x v="0"/>
    <x v="140"/>
    <x v="4"/>
  </r>
  <r>
    <s v="allianz.ie"/>
    <s v="minus"/>
    <x v="0"/>
    <s v="v=spf1 mx include:spf.allianz.com ip4:168.114.112.22 ip4:168.114.112.23 ip4:54.229.2.165 ip4:208.73.7.175 include:_spf.salesforce.com include:_spf-dc33.sapsf.eu -all"/>
    <s v="yes"/>
    <x v="3"/>
    <s v="v=DMARC1; p=reject; fo=1; ri=3600; rua=mailto:Rua-allianz@allianz.com; ruf=mailto:Ruf-allianz@allianz.com"/>
    <m/>
    <m/>
    <x v="0"/>
    <x v="140"/>
    <x v="4"/>
  </r>
  <r>
    <s v="bnpparibas.ie"/>
    <s v="minus"/>
    <x v="0"/>
    <s v="v=spf1 -all"/>
    <m/>
    <x v="3"/>
    <s v="v=DMARC1; p=reject; fo=1; rua=mailto:f1rg2pej@ag.eu.dmarcian.com; ruf=mailto:f1rg2pej@fr.eu.dmarcian.com"/>
    <m/>
    <m/>
    <x v="0"/>
    <x v="140"/>
    <x v="4"/>
  </r>
  <r>
    <s v="suireng.ie"/>
    <s v="tilde"/>
    <x v="1"/>
    <s v="v=spf1 include:_spf.mlsend.com +include:spf.webhostingireland.ie +include:spf.hornetsecurity.com +include:spf.protection.outlook.com +include:_spf.salesforce.com +ip4:91.210.235.220 +ip4:89.101.149.121 +ip4:172.16.10.10 +ip4:89.101.77.201 +ip4:40.69.24.17&quot; &quot;8 +ip4:20.238.80.39 +ip4:18.168.51.200 +ip4:18.168.140.58 +ip4:148.59.101.16/28  ~all"/>
    <s v="yes"/>
    <x v="3"/>
    <s v="v=DMARC1;p=reject;sp=reject;adkim=r;aspf=r;pct=100;fo=0;rf=afrf;ri=86400"/>
    <m/>
    <m/>
    <x v="10"/>
    <x v="140"/>
    <x v="4"/>
  </r>
  <r>
    <s v="synergy365.ie"/>
    <s v="tilde"/>
    <x v="1"/>
    <s v="v=spf1 a include:_spf.google.com include:spf.protection.outlook.com include:amazonses.com ~all"/>
    <m/>
    <x v="0"/>
    <m/>
    <m/>
    <m/>
    <x v="0"/>
    <x v="140"/>
    <x v="4"/>
  </r>
  <r>
    <s v="icg.ie"/>
    <s v="tilde"/>
    <x v="1"/>
    <s v="v=spf1 mx include:spf.protection.outlook.com include:iphmx.com ~all"/>
    <s v="yes"/>
    <x v="2"/>
    <s v="v=DMARC1; p=none; rua=mailto:65d5cee830a03@ag.eu.dmarcly.com; ruf=mailto:65d5cee830a03@fo.eu.dmarcly.com; sp=none;"/>
    <m/>
    <m/>
    <x v="0"/>
    <x v="140"/>
    <x v="4"/>
  </r>
  <r>
    <s v="bamcivil.ie"/>
    <s v="tilde"/>
    <x v="1"/>
    <s v="v=spf1 include:bamcivil.ie._nspf.vali.email include:%{i}._ip.%{h}._ehlo.%{d}._spf.vali.email ~all"/>
    <m/>
    <x v="3"/>
    <s v="v=DMARC1; p=reject; rua=mailto:dmarc_agg@vali.email"/>
    <m/>
    <m/>
    <x v="16"/>
    <x v="140"/>
    <x v="4"/>
  </r>
  <r>
    <s v="candcgroupplc.ie"/>
    <s v="minus"/>
    <x v="0"/>
    <s v="v=spf1 include:spf.protection.outlook.com -all"/>
    <s v="yes"/>
    <x v="0"/>
    <m/>
    <m/>
    <m/>
    <x v="0"/>
    <x v="140"/>
    <x v="4"/>
  </r>
  <r>
    <s v="harveynorman.ie"/>
    <s v="tilde"/>
    <x v="1"/>
    <s v="v=spf1 include:au._netblocks.mimecast.com ~all"/>
    <m/>
    <x v="1"/>
    <s v="v=DMARC1; p=quarantine; pct=100; fo=1; rua=mailto:admrpt@harveynorman.ie; ruf=mailto:admrpt@harveynorman.ie"/>
    <m/>
    <m/>
    <x v="0"/>
    <x v="140"/>
    <x v="4"/>
  </r>
  <r>
    <s v="boliden.com"/>
    <s v="minus"/>
    <x v="0"/>
    <s v="v=spf1&quot; &quot; mx&quot; &quot; ip4:62.20.82.185&quot; &quot; ip4:62.183.198.32/27&quot; &quot; ip4:212.181.0.10&quot; &quot; ip4:195.67.21.5&quot; &quot; ip4:195.67.21.7&quot; &quot; ip4:195.67.39.75&quot; &quot; ip4:131.207.55.48/29&quot; &quot; ip4:149.72.30.77&quot; &quot; ip4:76.223.128.48&quot; &quot; ip4:76.223.128.49&quot; &quot; ip4:76.223.128.50&quot; &quot; include:spf.nebu.com&quot; &quot; include:spf.protection.outlook.com&quot; &quot; include:spf.mailjet.com&quot; &quot; a:smtp-out1.tucaas.com&quot; &quot; a:smtp-out2.tucaas.com&quot; &quot; a:c.spf.service-now.com&quot; &quot; -all"/>
    <s v="yes"/>
    <x v="1"/>
    <s v="v=DMARC1; p=quarantine; rua=mailto:dmarc_report@boliden.com; ruf=mailto:spoofingtrap@boliden.com; fo=1;"/>
    <m/>
    <m/>
    <x v="15"/>
    <x v="141"/>
    <x v="4"/>
  </r>
  <r>
    <s v="ailesbury.com"/>
    <s v="minus"/>
    <x v="0"/>
    <s v="v=spf1 include:spf.protection.outlook.com -all"/>
    <s v="yes"/>
    <x v="2"/>
    <s v="v=DMARC1; rua=mailto:83e992e4131d544@rep.dmarcanalyzer.com; p=none; sp=none;"/>
    <m/>
    <m/>
    <x v="0"/>
    <x v="142"/>
    <x v="4"/>
  </r>
  <r>
    <s v="nmh.ie"/>
    <s v="minus"/>
    <x v="0"/>
    <s v="v=spf1 ip4:137.191.231.131 ip4:54.76.73.176 -all"/>
    <s v="yes"/>
    <x v="2"/>
    <s v="v=DMARC1; p=none; rua=mailto:dmarc@nmh.ie; ruf=mailto:dmarc@nmh.ie; fo=1; adkim=s; aspf=s"/>
    <m/>
    <m/>
    <x v="0"/>
    <x v="143"/>
    <x v="4"/>
  </r>
  <r>
    <s v="cleaningcontractors.ie"/>
    <s v="minus"/>
    <x v="0"/>
    <s v="v=spf1 include:spf.protection.outlook.com include:spf.ess.de.barracudanetworks.com -all"/>
    <s v="yes"/>
    <x v="0"/>
    <m/>
    <m/>
    <m/>
    <x v="0"/>
    <x v="144"/>
    <x v="4"/>
  </r>
  <r>
    <s v="hermitageclinic.ie"/>
    <s v="tilde"/>
    <x v="1"/>
    <s v="v=spf1 ip4:172.25.16.175 ip4:172.25.16.176 ip4:89.101.132.10 include:eu._netblocks.mimecast.com include:spf.protection.outlook.com include:spf-00273701.pphosted.com ~all"/>
    <m/>
    <x v="2"/>
    <s v="v=DMARC1; p=none; rua=mailto:za37gjmn@ag.eu.dmarcian.com;"/>
    <m/>
    <m/>
    <x v="0"/>
    <x v="144"/>
    <x v="4"/>
  </r>
  <r>
    <s v="algoodbody.ie"/>
    <s v="tilde"/>
    <x v="1"/>
    <s v="v=spf1 a ip4:89.100.177.79 ip4:89.100.177.113 include:eu._netblocks.mimecast.com include:_spf.fireeyecloud.com ~all"/>
    <m/>
    <x v="3"/>
    <s v="v=DMARC1; p=reject; rua=mailto:2ac55f7ef3f4033@rep.dmarcanalyzer.com; ruf=mailto:2ac55f7ef3f4033@for.dmarcanalyzer.com; fo=1;"/>
    <m/>
    <m/>
    <x v="0"/>
    <x v="144"/>
    <x v="4"/>
  </r>
  <r>
    <s v="roadstone.ie"/>
    <s v="minus"/>
    <x v="0"/>
    <s v="v=spf1 include:_spf.crh.com include:spf.mandrillapp.com ip4:208.68.95.163 ip4:46.22.136.190 include:servers.mcsv.net -all"/>
    <s v="yes"/>
    <x v="3"/>
    <s v="v=DMARC1; p=reject; fo=1; rua=mailto:dmarc_rua@emaildefense.proofpoint.com; ruf=mailto:dmarc_ruf@emaildefense.proofpoint.com"/>
    <m/>
    <m/>
    <x v="0"/>
    <x v="144"/>
    <x v="4"/>
  </r>
  <r>
    <s v="salesforce.com"/>
    <s v="tilde"/>
    <x v="1"/>
    <s v="v=spf1 include:_spf.google.com include:_spf.salesforce.com exists:%{i}._spf.corp.salesforce.com ~all"/>
    <s v="yes"/>
    <x v="3"/>
    <s v="v=DMARC1;p=reject;pct=100;fo=1;ruf=mailto:d@ruf.agari.com,mailto:dmarc_ruf@emaildefense.proofpoint.com;rua=mailto:d@rua.agari.com,mailto:dmarc_rua@emaildefense.proofpoint.com,mailto:dmarc_agg@vali.email"/>
    <s v="yes"/>
    <s v="https://www.salesforce.com/content/dam/web/en_us/www/images/home/bimi-salesforce-logo.svg"/>
    <x v="0"/>
    <x v="144"/>
    <x v="4"/>
  </r>
  <r>
    <s v="gmit.ie"/>
    <s v="minus"/>
    <x v="0"/>
    <s v="v=spf1 include:spf.protection.outlook.com include:spf1.gmit.ie ip4:92.52.102.162 ip4:34.241.149.181 a:newmail.ancheim.ie a:gwmailfilter.gmit.ie a:sendgrid.unit4cloud.com ip4:168.245.121.45 -all"/>
    <s v="yes"/>
    <x v="2"/>
    <s v="v=DMARC1; p=none; ruf=mailto:dmarc@gmit.ie; rua=mailto:dmarc@gmit.ie"/>
    <m/>
    <m/>
    <x v="7"/>
    <x v="144"/>
    <x v="4"/>
  </r>
  <r>
    <s v="arthurcox.com"/>
    <s v="tilde"/>
    <x v="1"/>
    <s v="v=spf1 include:_u.arthurcox.com._spf.smart.ondmarc.com ~all"/>
    <s v="yes"/>
    <x v="1"/>
    <s v="v=DMARC1; p=quarantine; pct=100; fo=1; ri=3600; rua=mailto:a4ee46fb@inbox.ondmarc.com; ruf=mailto:a4ee46fb@inbox.ondmarc.com;"/>
    <m/>
    <m/>
    <x v="0"/>
    <x v="145"/>
    <x v="4"/>
  </r>
  <r>
    <s v="blarney.com"/>
    <s v="minus"/>
    <x v="0"/>
    <s v="v=spf1 include:_spf.granite.ie include:authsmtp.com include:servers.mcsv.net include:spf.topsec.com include:spf.protection.outlook.com ip4:77.107.241.9 -all"/>
    <m/>
    <x v="2"/>
    <s v="v=DMARC1;p=none;sp=none;rua=mailto:211a5a2e44@rua.easydmarc.eu;ruf=mailto:211a5a2e44@ruf.easydmarc.eu;fo=1"/>
    <m/>
    <m/>
    <x v="1"/>
    <x v="145"/>
    <x v="4"/>
  </r>
  <r>
    <s v="igb.ie"/>
    <s v="minus"/>
    <x v="0"/>
    <s v="v=spf1 ip4:54.246.225.76 ip4:54.246.225.97 ip4:208.73.7.181 include:_senderspf.copernica.com include:spf.protection.outlook.com include:spf.ess.uk.barracudanetworks.com -all"/>
    <s v="yes"/>
    <x v="2"/>
    <s v="v=DMARC1;p=none;pct=100;rua=mailto:dmarc@smtpeter.com"/>
    <m/>
    <m/>
    <x v="5"/>
    <x v="146"/>
    <x v="4"/>
  </r>
  <r>
    <s v="kcetb.ie"/>
    <s v="minus"/>
    <x v="0"/>
    <s v="#v=spf1 +a +mx -all"/>
    <s v="yes"/>
    <x v="2"/>
    <s v="v=DMARC1; p=none; pct=100; rua=mailto:DMARCReports@kcetb.ie; ruf=mailto:DMARCReports@KCETB.ie"/>
    <m/>
    <m/>
    <x v="17"/>
    <x v="146"/>
    <x v="4"/>
  </r>
  <r>
    <s v="blackrock-clinic.com"/>
    <s v="tilde"/>
    <x v="1"/>
    <s v="v=spf1 include:servers.mcsv.net include:spf.protection.outlook.com include:spf-00273701.pphosted.com include:spf-eu.emailsignatures365.com ~all"/>
    <m/>
    <x v="2"/>
    <s v="v=DMARC1; p=none; rua=mailto:za37gjmn@ag.eu.dmarcian.com;"/>
    <m/>
    <m/>
    <x v="0"/>
    <x v="146"/>
    <x v="4"/>
  </r>
  <r>
    <s v="btireland.ie"/>
    <s v="tilde"/>
    <x v="1"/>
    <s v="v=spf1 a:outbound.btireland.ie a:mxbackup.esat.net mx ip4:193.95.153.18 ip4:193.95.153.17 ip4:194.145.128.72 include:cmail1.com ~all"/>
    <m/>
    <x v="0"/>
    <m/>
    <m/>
    <m/>
    <x v="0"/>
    <x v="146"/>
    <x v="4"/>
  </r>
  <r>
    <s v="mondelezinternational.ie"/>
    <s v="minus"/>
    <x v="0"/>
    <s v="v=spf1 -all"/>
    <m/>
    <x v="3"/>
    <s v="v=DMARC1; p=reject; fo=1; rua=mailto:dmarc_rua@emaildefense.proofpoint.com; ruf=mailto:dmarc_ruf@emaildefense.proofpoint.com"/>
    <m/>
    <m/>
    <x v="0"/>
    <x v="146"/>
    <x v="4"/>
  </r>
  <r>
    <s v="rcsi.ie"/>
    <s v="tilde"/>
    <x v="1"/>
    <s v="v=spf1 include:_spf2.rcsi.ie include:_spf3.rcsi.ie include:_spf.google.com include:spf.protection.outlook.com include:spf-eu.emailsignatures365.com include:elluciancloud.com ~all"/>
    <s v="yes"/>
    <x v="2"/>
    <s v="v=DMARC1; p=none; rua=mailto:noc@rcsi.ie"/>
    <m/>
    <m/>
    <x v="0"/>
    <x v="146"/>
    <x v="4"/>
  </r>
  <r>
    <s v="merckmillipore.com"/>
    <s v="tilde"/>
    <x v="1"/>
    <s v="v=spf1 include:spf-005f4802.pphosted.com include:spf.protection.outlook.com ~all"/>
    <m/>
    <x v="2"/>
    <s v="v=DMARC1; p=none; sp=none; fo=1; rua=mailto:dmarc_reports@m.group; ruf=mailto:dmarc_reports@m.group"/>
    <m/>
    <m/>
    <x v="1"/>
    <x v="147"/>
    <x v="4"/>
  </r>
  <r>
    <s v="sivuh.ie"/>
    <s v="minus"/>
    <x v="0"/>
    <s v="v=spf1 ip4:93.94.119.58 -all"/>
    <m/>
    <x v="0"/>
    <m/>
    <m/>
    <m/>
    <x v="1"/>
    <x v="148"/>
    <x v="4"/>
  </r>
  <r>
    <s v="dkit.ie"/>
    <s v="minus"/>
    <x v="0"/>
    <s v="v=spf1 mx a ip4:116.203.110.13 ip4:159.69.3.23 ip4:193.120.142.176 ip4:193.120.143.70 ip4:193.120.143.134 ip4:193.120.143.138 ip4:52.31.29.196 ip4:52.213.53.209 ip4:54.229.16.46 a:mailrelay.ancheim.ie mx:lgcsb.ie a:relay.lgcsb.ie a:Exch-Cas-2013.dkit.ie&quot; &quot; include:spf.protection.outlook.com include:amazonses.com include:eu.transmail.net include:_tuf-spf.touchnet.com include:em6920.dkit.ie include:sendgrid.net -all"/>
    <s v="yes"/>
    <x v="1"/>
    <s v="v=DMARC1; p=quarantine; rua=mailto:postmaster@dkit.ie"/>
    <m/>
    <m/>
    <x v="2"/>
    <x v="148"/>
    <x v="4"/>
  </r>
  <r>
    <s v="ml.com"/>
    <s v="tilde"/>
    <x v="1"/>
    <s v="v=spf1 include:bankofamerica.com ~all"/>
    <m/>
    <x v="3"/>
    <s v="v=DMARC1; p=reject; fo=1; rua=mailto:auth.report_ns@bankofamerica.com; ruf=mailto:bankofamerica@ruf.agari.com"/>
    <s v="yes"/>
    <s v="https://vmc.digicert.com/de3b1533-f5df-4bd8-8123-35bc9a3aa6fd.svg"/>
    <x v="0"/>
    <x v="149"/>
    <x v="4"/>
  </r>
  <r>
    <s v="rotunda.ie"/>
    <s v="minus"/>
    <x v="0"/>
    <s v="v=spf1 +ip4:137.191.232.39 +ip4:137.191.232.40 +ip4:35.189.100.238 +a:mail.rotunda.ie include:spf.protection.outlook.com +mx -all"/>
    <m/>
    <x v="2"/>
    <s v="v=DMARC1; p=none; fo=1; ri=3600; rua=mailto:803718f3c7f0419789d042a6530eaa18@dmarc-reports.cloudflare.net,mailto:postmaster@rotunda.ie; ruf=mailto:postmaster@rotunda.ie"/>
    <m/>
    <m/>
    <x v="0"/>
    <x v="149"/>
    <x v="4"/>
  </r>
  <r>
    <s v="libertyinsurance.ie"/>
    <s v="tilde"/>
    <x v="1"/>
    <s v="v=spf1 include:spf.lmig.com ~all"/>
    <s v="yes"/>
    <x v="2"/>
    <s v="v=DMARC1;&quot; &quot;p=none;&quot; &quot;sp=none;&quot; &quot;pct=100;&quot; &quot;ri=3600;"/>
    <m/>
    <m/>
    <x v="11"/>
    <x v="149"/>
    <x v="4"/>
  </r>
  <r>
    <s v="eielectronics.com"/>
    <s v="minus"/>
    <x v="0"/>
    <s v="v=spf1 include:spf.protection.outlook.com include:spf.mandrillapp.com -all"/>
    <s v="yes"/>
    <x v="3"/>
    <s v="v=DMARC1; p=reject"/>
    <m/>
    <m/>
    <x v="9"/>
    <x v="149"/>
    <x v="4"/>
  </r>
  <r>
    <s v="clarecoco.ie"/>
    <s v="minus"/>
    <x v="0"/>
    <s v="v=spf1 include:spf.topsec.com include:spf.protection.outlook.com include:_spf.mlsend.com ip4:193.178.30.150 ip4:213.143.154.166 ip4:137.191.234.226 -all"/>
    <s v="yes"/>
    <x v="3"/>
    <s v="v=DMARC1;p=reject;sp=reject;rua=mailto:211a5a2e44@rua.easydmarc.eu;ruf=mailto:211a5a2e44@ruf.easydmarc.eu;fo=1;"/>
    <m/>
    <m/>
    <x v="9"/>
    <x v="149"/>
    <x v="4"/>
  </r>
  <r>
    <s v="vmware.com"/>
    <s v="minus"/>
    <x v="0"/>
    <s v="v=spf1 include:_spf.vmware.com include:_spop.vmware.com include:mktomail.com include:_spf1.vmware.com include:stspg-customer.com include:spf.protection.outlook.com include:aspmx.pardot.com ip4:103.28.42.0/24 ip4:27.126.146.0/24 ip4:146.88.28.0/24 -all"/>
    <s v="yes"/>
    <x v="2"/>
    <s v="v=DMARC1; p=none; sp=none; adkim=r; aspf=r; rua=mailto:dmarc_agg@vali.email,mailto:dmarc-reports@vmware.com; ruf=mailto:dmarc-reports@vmware.com; fo=1"/>
    <m/>
    <m/>
    <x v="1"/>
    <x v="149"/>
    <x v="4"/>
  </r>
  <r>
    <s v="kainos.com"/>
    <s v="mis"/>
    <x v="3"/>
    <s v="v=spf1 redirect=kainos.com.hosted.spf-report.com"/>
    <s v="yes"/>
    <x v="3"/>
    <s v="v=DMARC1; p=reject; sp=reject; rua=mailto:9aa1d4e2@mxtoolbox.dmarc-report.com; ruf=mailto:9aa1d4e2@forensics.dmarc-report.com,mailto:dmarc@kainos.com; adkim=s; aspf=s; fo=1; pct=100"/>
    <m/>
    <m/>
    <x v="0"/>
    <x v="149"/>
    <x v="4"/>
  </r>
  <r>
    <s v="matheson.com"/>
    <s v="tilde"/>
    <x v="1"/>
    <s v="v=spf1 include:de._netblocks.mimecast.com include:spf-uk.vx-email.com include:spf.protection.outlook.com ip4:86.47.138.103/32 ~all"/>
    <m/>
    <x v="1"/>
    <s v="v=DMARC1; p=quarantine; rua=mailto:cb5c344d2de4124@rep.dmarcanalyzer.com; ruf=mailto:cb5c344d2de4124@for.dmarcanalyzer.com; fo=1;"/>
    <m/>
    <m/>
    <x v="0"/>
    <x v="149"/>
    <x v="4"/>
  </r>
  <r>
    <s v="loetb.ie"/>
    <s v="minus"/>
    <x v="0"/>
    <s v="v=spf1 include:spf.dcsnet.ie include:spf.protection.outlook.com include:_spf.granite.ie a:mail1.dcsnet.ie a:mail2.dcsnet.ie -all"/>
    <s v="yes"/>
    <x v="1"/>
    <s v="v=DMARC1; p=quarantine; pct=100; rua=mailto:ict@loetb.ie"/>
    <m/>
    <m/>
    <x v="18"/>
    <x v="150"/>
    <x v="4"/>
  </r>
  <r>
    <s v="materprivate.ie"/>
    <s v="minus"/>
    <x v="0"/>
    <s v="v=spf1 mx a ip4:109.70.209.92 ip4:74.127.26.11 ip4:109.70.209.90 ip4:91.220.45.49 a:mailvm.materprivate.ie a:filetx.digitalplanet.ie a:mailon.spamtitan.com include:spf.protection.outlook.com&quot; &quot; include:spf.eu1.defend.egress.com include:servers.mcsv.net ip4:91.220.45.40 a:dispatch-eu.ppe-hosted.com -all"/>
    <s v="yes"/>
    <x v="2"/>
    <s v="v=DMARC1;p=none;pct=100;rua=mailto:ec61c46e1d@rua.easydmarc.us;ruf=mailto:ec61c46e1d@ruf.easydmarc.us;fo=1;"/>
    <m/>
    <m/>
    <x v="0"/>
    <x v="150"/>
    <x v="4"/>
  </r>
  <r>
    <s v="vhi.ie"/>
    <s v="minus"/>
    <x v="0"/>
    <s v="v=spf1 mx ip4:193.104.136.17 ip4:52.210.16.151 include:amazonses.com include:spf.topsec.com include:_spf.salesforce.com include:spf.protection.outlook.com include:_spf.meddbase.com -all"/>
    <s v="yes"/>
    <x v="1"/>
    <s v="v=DMARC1; p=quarantine; rua=mailto:mxreport@vhi.ie; ruf=mailto:mxreport@vhi.ie; fo=1; adkim=s; aspf=s;"/>
    <m/>
    <m/>
    <x v="0"/>
    <x v="150"/>
    <x v="4"/>
  </r>
  <r>
    <s v="derrycourt.ie"/>
    <s v="minus"/>
    <x v="0"/>
    <s v="v=spf1 ip4:85.91.15.46 ip4:91.210.232.100 ip4:144.2.242.175 include:spf.protection.outlook.com include:_spf.salesforce.com include:spf.topsec.com include:authsmtp.com include:spf-eu.emailsignatures365.com include:spf.mailjet.com include:spf.constantcontac&quot; &quot;t.com -all"/>
    <m/>
    <x v="0"/>
    <m/>
    <m/>
    <m/>
    <x v="0"/>
    <x v="150"/>
    <x v="4"/>
  </r>
  <r>
    <s v="bostonscientific.com"/>
    <s v="tilde"/>
    <x v="1"/>
    <s v="v=spf1 include:_u.bostonscientific.com._spf.smart.ondmarc.com ~all"/>
    <s v="yes"/>
    <x v="3"/>
    <s v="v=DMARC1; p=reject; pct=100; sp=reject; rua=mailto:595d978f@inbox.ondmarc.com; ruf=mailto:595d978f@inbox.ondmarc.com; adkim=r; aspf=r; fo=1; rf=afrf; ri=3600"/>
    <m/>
    <m/>
    <x v="1"/>
    <x v="150"/>
    <x v="4"/>
  </r>
  <r>
    <s v="ntma.ie"/>
    <s v="tilde"/>
    <x v="1"/>
    <s v="v=spf1 mx ip4:78.153.205.64/28 ip4:137.191.233.25 ip4:78.153.203.154 ip4:205.138.36.10 ip4:159.135.145.156 ip4:5.61.115.80/28 ip4:198.2.128.0/18 ip4:205.201.128.0/20 ip4:148.105.8.0/21 ip4:13.69.226.128/25 ip4:13.74.106.128/25 include:spf.protection.&quot; &quot;outlook.com exists:%{i}._spf.mta.salesforce.com include:res.cisco.com include:successfactors.eu include:_spf.messagegears.net include:_spf.eu.messagegears.net ~all"/>
    <m/>
    <x v="2"/>
    <s v="v=DMARC1; p=none; rua=mailto:dmarc_reports@ntma.ie; ruf=mailto:dmarc_reports@ntma.ie;"/>
    <m/>
    <m/>
    <x v="0"/>
    <x v="150"/>
    <x v="4"/>
  </r>
  <r>
    <s v="bocsi.ie"/>
    <s v="tilde"/>
    <x v="1"/>
    <s v="v=spf1 mx a include:spf.protection.outlook.com include:autotask.net ~all"/>
    <s v="yes"/>
    <x v="3"/>
    <s v="v=DMARC1; p=reject; rua=mailto:fbkbpe0u@ag.dmarcian.com; ruf=mailto:fbkbpe0u@fr.dmarcian.com; fo=1;"/>
    <m/>
    <m/>
    <x v="1"/>
    <x v="150"/>
    <x v="4"/>
  </r>
  <r>
    <s v="hpe.com"/>
    <s v="tilde"/>
    <x v="1"/>
    <s v="v=spf1 include:%{ir}.%{v}.%{d}.spf.has.pphosted.com include:spf-002e3701.pphosted.com include:spf-002e3702.pphosted.com include:_spf.salesforce.com include:308166.spf02.hubspotemail.net  ~all"/>
    <s v="yes"/>
    <x v="3"/>
    <s v="v=DMARC1; p=reject; fo=1; rua=mailto:dmarc_rua@emaildefense.proofpoint.com; ruf=mailto:dmarc_ruf@emaildefense.proofpoint.com"/>
    <m/>
    <m/>
    <x v="7"/>
    <x v="150"/>
    <x v="4"/>
  </r>
  <r>
    <s v="sarsecurity.ie"/>
    <s v="no"/>
    <x v="2"/>
    <m/>
    <m/>
    <x v="0"/>
    <m/>
    <m/>
    <m/>
    <x v="0"/>
    <x v="150"/>
    <x v="4"/>
  </r>
  <r>
    <s v="manguardplus.ie"/>
    <s v="minus"/>
    <x v="0"/>
    <s v="v=spf1 ip4:93.107.105.0 ip4:213.233.141.18 ip4:81.173.14.75 ip4:213.79.45.112 include:spf.protection.outlook.com include:spf.exclaimer.net a:mx1.webcore.cloud a:mx2.webcore.cloud include:spf.smtp2go.com  -all"/>
    <m/>
    <x v="0"/>
    <m/>
    <m/>
    <m/>
    <x v="16"/>
    <x v="150"/>
    <x v="4"/>
  </r>
  <r>
    <s v="kerry.ie"/>
    <s v="minus"/>
    <x v="0"/>
    <s v="v=spf1 ip4:149.72.72.185 ip4:12.40.84.162 ip4:194.69.173.150 ip4:194.69.173.151 include:spf.protection.outlook.com include:de._netblocks.mimecast.com include:_spf.salesforce.com include:mktomail.com include:_spf.spotme.com include:aws.de1.spf.staffbase.co&quot; &quot;m -all"/>
    <s v="yes"/>
    <x v="3"/>
    <s v="v=DMARC1; p=reject; rua=mailto:dmarc_rua@emaildefense.proofpoint.com,mailto:6214fcb17775132@rep.dmarcanalyzer.com; ruf=mailto:dmarc_ruf@emaildefense.proofpoint.com,mailto:6214fcb17775132@for.dmarcanalyzer.com; fo=1"/>
    <m/>
    <m/>
    <x v="24"/>
    <x v="150"/>
    <x v="4"/>
  </r>
  <r>
    <s v="aryzta.com"/>
    <s v="tilde"/>
    <x v="1"/>
    <s v="v=spf1 exists:%{i}.spf.aryzta.iphmx.com include:spf.messagelabs.com a:b.spf.service-now.com a:c.spf.service-now.com a:d.spf.service-now.com&quot; &quot; ip4:183.181.96.66 ip4:194.218.198.67 ip4:194.55.91.82 ip4:62.216.235.71 ip4:62.216.235.103 include:spf.protection.outlook.com ~all"/>
    <s v="yes"/>
    <x v="3"/>
    <s v="v=DMARC1;p=reject;pct=100;fo=1;rua=mailto:7rajixlj@ag.eu.dmarcian.com;ruf=mailto:7rajixlj@fr.eu.dmarcian.com"/>
    <m/>
    <m/>
    <x v="0"/>
    <x v="150"/>
    <x v="4"/>
  </r>
  <r>
    <s v="hertz.com"/>
    <s v="tilde"/>
    <x v="1"/>
    <s v="v=spf1 include:%{ir}.%{v}.%{d}.spf.has.pphosted.com ~all"/>
    <s v="yes"/>
    <x v="1"/>
    <s v="v=DMARC1; p=quarantine; fo=1; rua=mailto:dmarc_rua@emaildefense.proofpoint.com,mailto:dmarc_rua@hertz.com; ruf=mailto:dmarc_ruf@emaildefense.proofpoint.com,mailto:dmarc_ruf@hertz.com"/>
    <m/>
    <m/>
    <x v="0"/>
    <x v="150"/>
    <x v="4"/>
  </r>
  <r>
    <s v="alps.ie"/>
    <s v="minus"/>
    <x v="0"/>
    <s v="v=spf1 include:_spf.salesforce.com include:spf.protection.outlook.com -all"/>
    <s v="yes"/>
    <x v="2"/>
    <s v="v=DMARC1; p=none; rua=mailto:mis@alps.ie; ruf=mailto:mis@alps.ie; fo=1"/>
    <m/>
    <m/>
    <x v="1"/>
    <x v="150"/>
    <x v="4"/>
  </r>
  <r>
    <s v="coillte.ie"/>
    <s v="minus"/>
    <x v="0"/>
    <s v="v=spf1 include:autotask.net include:spf.protection.outlook.com include:sendgrid.net include:spf.topsec.com include:spf.eu.exclaimer.net ip4:185.5.241.97/27 ip4:146.0.55.97/27 ip4:185.5.241.68/32 ip4:213.168.232.34/32 ip4:213.168.232.38/32 ip4:213.168&quot; &quot;.232.42/32 ip4:213.168.232.46/32 -all"/>
    <s v="yes"/>
    <x v="1"/>
    <s v="v=DMARC1;p=quarantine;sp=quarantine;rua=mailto:211a5a2e44@rua.easydmarc.eu;ruf=mailto:211a5a2e44@ruf.easydmarc.eu;fo=1"/>
    <m/>
    <m/>
    <x v="24"/>
    <x v="150"/>
    <x v="4"/>
  </r>
  <r>
    <s v="iconplc.com"/>
    <s v="minus"/>
    <x v="0"/>
    <s v="v=spf1 exists:%{i}._i.%{d}._d.espf.agari.com include:%{d}.ee.spf-protect.agari.com -all"/>
    <s v="yes"/>
    <x v="3"/>
    <s v="v=DMARC1; p=reject; fo=1; ri=3600; rua=mailto:icon@rua.agari.com; ruf=mailto:icon@ruf.agari.com"/>
    <m/>
    <m/>
    <x v="0"/>
    <x v="150"/>
    <x v="4"/>
  </r>
  <r>
    <s v="wit.ie"/>
    <s v="minus"/>
    <x v="0"/>
    <s v="v=spf1 ip4:34.240.68.23 ip4:34.254.2.161 mx include:spf.protection.outlook.com include:spf.mailjet.com include:_spf.google.com -all"/>
    <s v="yes"/>
    <x v="2"/>
    <s v="v=DMARC1;p=none; pct=100;rua=mailto:djt@wit.ie;ruf=mailto:djt@wit.ie"/>
    <m/>
    <m/>
    <x v="10"/>
    <x v="150"/>
    <x v="4"/>
  </r>
  <r>
    <s v="manorfarm.ie"/>
    <s v="tilde"/>
    <x v="1"/>
    <s v="v=spf1 include:spf.topsec.com include:spf.protection.outlook.com include:spf_ip.fouredge.se ~all"/>
    <s v="yes"/>
    <x v="3"/>
    <s v="v=DMARC1;p=reject;sp=reject;rua=mailto:211a5a2e44@rua.easydmarc.eu;ruf=mailto:211a5a2e44@ruf.easydmarc.eu;fo=1"/>
    <m/>
    <m/>
    <x v="15"/>
    <x v="151"/>
    <x v="4"/>
  </r>
  <r>
    <s v="lilly.ie"/>
    <s v="no"/>
    <x v="2"/>
    <m/>
    <m/>
    <x v="3"/>
    <s v="v=DMARC1;p=reject;pct=100;rua=mailto:lilly@rua.dmp.cisco.com"/>
    <m/>
    <m/>
    <x v="1"/>
    <x v="151"/>
    <x v="4"/>
  </r>
  <r>
    <s v="waterfordcouncil.ie"/>
    <s v="tilde"/>
    <x v="1"/>
    <s v="v=spf1 include:spf.anu.net ip4:34.253.61.97 ip4:213.143.154.166 include:spf.topsec.com include:spf.protection.outlook.com  ~all"/>
    <m/>
    <x v="2"/>
    <s v="v=DMARC1;p=none;sp=none;rua=mailto:211a5a2e44@rua.easydmarc.eu;ruf=mailto:211a5a2e44@ruf.easydmarc.eu;fo=1;"/>
    <m/>
    <m/>
    <x v="10"/>
    <x v="152"/>
    <x v="4"/>
  </r>
  <r>
    <s v="acuvue.com"/>
    <s v="minus"/>
    <x v="0"/>
    <s v="v=spf1 include:%{d}.ce.spf-protect.dmp.cisco.com exists:%{i}._i.%{d}._d.espf.dmp.cisco.com -all"/>
    <m/>
    <x v="3"/>
    <s v="v=DMARC1; p=reject; fo=1; ri=3600; rua=mailto:jnj@rua.dmp.cisco.com,mailto:jnj@rua.agari.com; ruf=mailto:jnj@ruf.dmp.cisco.com,mailto:jnj@ruf.agari.com"/>
    <m/>
    <m/>
    <x v="5"/>
    <x v="152"/>
    <x v="4"/>
  </r>
  <r>
    <s v="mylan.ie"/>
    <s v="no"/>
    <x v="2"/>
    <m/>
    <m/>
    <x v="0"/>
    <m/>
    <m/>
    <m/>
    <x v="0"/>
    <x v="152"/>
    <x v="4"/>
  </r>
  <r>
    <s v="merit.com"/>
    <s v="tilde"/>
    <x v="1"/>
    <s v="v=spf1 include:spfa.cpmails.com include:spf-0026ba02.pphosted.com include:mailgun.org ip4:198.161.200.100 ip4:52.162.207.40/29 ip4:52.252.140.200/29 ip4:35.156.0.138 ip4:37.139.12.94 ip4:193.3.183.0/25 mx ~all"/>
    <s v="yes"/>
    <x v="1"/>
    <s v="v=DMARC1; p=quarantine; rua=mailto:dmarc_agg@vali.email"/>
    <m/>
    <m/>
    <x v="7"/>
    <x v="152"/>
    <x v="4"/>
  </r>
  <r>
    <s v="cookmedical.com"/>
    <s v="tilde"/>
    <x v="1"/>
    <s v="v=spf1 include:%{ir}.%{v}.%{d}.spf.has.pphosted.com ~all"/>
    <m/>
    <x v="3"/>
    <s v="v=DMARC1; p=reject; fo=1; rua=mailto:dmarc_rua@emaildefense.proofpoint.com; ruf=mailto:dmarc_ruf@emaildefense.proofpoint.com"/>
    <m/>
    <m/>
    <x v="5"/>
    <x v="152"/>
    <x v="4"/>
  </r>
  <r>
    <s v="liebherr.com"/>
    <s v="minus"/>
    <x v="0"/>
    <s v="v=spf1 include:%{ir}.%{v}.%{d}.spf.has.pphosted.com -all"/>
    <s v="yes"/>
    <x v="3"/>
    <s v="v=DMARC1; p=reject; sp=reject; aspf=s; fo=1; rua=mailto:dmarc_rua@emaildefense.proofpoint.com; ruf=mailto:dmarc_ruf@emaildefense.proofpoint.com"/>
    <m/>
    <m/>
    <x v="14"/>
    <x v="152"/>
    <x v="4"/>
  </r>
  <r>
    <s v="courtsservices.ie"/>
    <s v="no"/>
    <x v="2"/>
    <m/>
    <m/>
    <x v="0"/>
    <m/>
    <m/>
    <m/>
    <x v="0"/>
    <x v="153"/>
    <x v="4"/>
  </r>
  <r>
    <s v="pmg.ie"/>
    <s v="tilde"/>
    <x v="1"/>
    <s v="v=spf1 a include:spf.blacknight.ie  ~all"/>
    <m/>
    <x v="0"/>
    <m/>
    <m/>
    <m/>
    <x v="0"/>
    <x v="154"/>
    <x v="4"/>
  </r>
  <r>
    <s v="linesight.com"/>
    <s v="tilde"/>
    <x v="1"/>
    <s v="v=spf1 ip4:89.101.228.112/28 ip4:149.72.127.121 ip4:18.168.51.200 ip4:18.168.140.58 ip4:148.59.101.16/28 ip4:23.21.109.197 ip4:23.21.109.212 ip4:147.160.167.0/26 ip4:137.135.185.191 &quot; &quot;include:spf.protection.outlook.com include:spf.emailsignatures365.com include:spf.zohomail360.eu include:_spf.act-on.net include:spf_c.oraclecloud.com include:mktomail.com exists:%{i}._spf.mta.salesforce.com include:_spf&quot; &quot;.psm.knowbe4.com ~all"/>
    <s v="yes"/>
    <x v="3"/>
    <s v="v=DMARC1; p=reject; rua=mailto:dmarc@linesight.com; ruf=mailto:dmarc@linesight.com; fo=1;"/>
    <m/>
    <m/>
    <x v="0"/>
    <x v="154"/>
    <x v="4"/>
  </r>
  <r>
    <s v="analog.com"/>
    <s v="minus"/>
    <x v="0"/>
    <s v="v=spf1 ip4:137.71.173.56 ip4:137.71.173.58 include:spf.protection.outlook.com include:spf-00128a01.pphosted.com -all"/>
    <s v="yes"/>
    <x v="1"/>
    <s v="v=DMARC1; p=quarantine; fo=1; rua=mailto:dmarc-analog-com-rua@analog.com; ruf=mailto:dmarc-analog-com-ruf@analog.com"/>
    <m/>
    <m/>
    <x v="5"/>
    <x v="154"/>
    <x v="4"/>
  </r>
  <r>
    <s v="ksg.ie"/>
    <s v="mis"/>
    <x v="3"/>
    <s v="v=spf1 redirect=ksg.ie.spf.hornetdmarc.com"/>
    <s v="yes"/>
    <x v="2"/>
    <s v="v=DMARC1; p=none; pct=100; rua=mailto:a.hx2nw8g9@reports.hornetdmarc.com"/>
    <m/>
    <m/>
    <x v="0"/>
    <x v="154"/>
    <x v="4"/>
  </r>
  <r>
    <s v="beaconhospital.ie"/>
    <s v="minus"/>
    <x v="0"/>
    <s v="v=spf1 mx a:mail.beaconhospital.ie include:sharepointonline.com ip4:192.124.249.118 ip4:185.224.197.201 -all"/>
    <m/>
    <x v="2"/>
    <s v="v=DMARC1; p=none; fo=1; rua=mailto:dmarc_report@beaconhospital.ie; ruf=mailto:dmarc_report@beaconhospital.ie"/>
    <m/>
    <m/>
    <x v="0"/>
    <x v="154"/>
    <x v="4"/>
  </r>
  <r>
    <s v="eason.com"/>
    <s v="minus"/>
    <x v="0"/>
    <s v="v=spf1 include:spf.mxhichina.com -all"/>
    <m/>
    <x v="0"/>
    <m/>
    <m/>
    <m/>
    <x v="0"/>
    <x v="154"/>
    <x v="4"/>
  </r>
  <r>
    <s v="svph.ie"/>
    <s v="tilde"/>
    <x v="1"/>
    <s v="v=spf1 include:spf.topsec.com ip4:137.191.237.224/27 ip4:139.59.178.253 ~all"/>
    <s v="yes"/>
    <x v="3"/>
    <s v="v=DMARC1;p=reject;sp=none;rua=mailto:211a5a2e44@rua.easydmarc.eu;ruf=mailto:211a5a2e44@ruf.easydmarc.eu;fo=1"/>
    <m/>
    <m/>
    <x v="0"/>
    <x v="154"/>
    <x v="4"/>
  </r>
  <r>
    <s v="version1.com"/>
    <s v="tilde"/>
    <x v="1"/>
    <s v="v=spf1 include:_spf.eu.messagegears.net include:spf.protection.outlook.com include:nw010.com include:_spf.brainier.com a:c.spf.service-now.com  include:spf1.workhuman.com include:amazonses.com include:139674475.spf08.hubspotemail.net ~all"/>
    <s v="yes"/>
    <x v="1"/>
    <s v="v=DMARC1; p=quarantine; rua=mailto:dmarc_agg@vali.email;"/>
    <s v="yes"/>
    <s v="https://s3-eu-west-1.amazonaws.com/crl.version1.com/Version1-logo.svg"/>
    <x v="0"/>
    <x v="154"/>
    <x v="4"/>
  </r>
  <r>
    <s v="munsterjoinery.ie"/>
    <s v="tilde"/>
    <x v="1"/>
    <s v="v=spf1 ip4:109.106.104.53 include:spf.mailanyone.net ~all"/>
    <s v="yes"/>
    <x v="0"/>
    <m/>
    <m/>
    <m/>
    <x v="1"/>
    <x v="154"/>
    <x v="4"/>
  </r>
  <r>
    <s v="dbei.ie"/>
    <s v="no"/>
    <x v="2"/>
    <m/>
    <m/>
    <x v="0"/>
    <m/>
    <m/>
    <m/>
    <x v="0"/>
    <x v="154"/>
    <x v="4"/>
  </r>
  <r>
    <s v="mercuryeng.com"/>
    <s v="minus"/>
    <x v="0"/>
    <s v="v=spf1 include:spf.protection.outlook.com include:_netblocks.mimecast.com include:mail.zendesk.com include:_spf-dc57.sapsf.eu ip4:217.112.146.90 -all"/>
    <s v="yes"/>
    <x v="3"/>
    <s v="v=DMARC1; p=reject; rua=mailto:rua@mercuryeng.com,mailto:2c541c8369bd818@rep.dmarcanalyzer.com; ruf=mailto:ruf@mercuryeng.com,mailto:2c541c8369bd818@for.dmarcanalyzer.com; fo=1;"/>
    <m/>
    <m/>
    <x v="0"/>
    <x v="155"/>
    <x v="5"/>
  </r>
  <r>
    <s v="inmplc.com"/>
    <s v="minus"/>
    <x v="0"/>
    <s v="v=spf1 include:mailcontrol.com include:spf.protection.outlook.com -all"/>
    <s v="yes"/>
    <x v="2"/>
    <s v="v=DMARC1; p=none; rua=mailto:dmarcreports@independent.ie"/>
    <m/>
    <m/>
    <x v="0"/>
    <x v="156"/>
    <x v="5"/>
  </r>
  <r>
    <s v="momentumsupport.eu"/>
    <s v="minus"/>
    <x v="0"/>
    <s v="v=spf1 include:spf.protection.outlook.com -all"/>
    <m/>
    <x v="0"/>
    <m/>
    <m/>
    <m/>
    <x v="0"/>
    <x v="157"/>
    <x v="5"/>
  </r>
  <r>
    <s v="corkcity.ie"/>
    <s v="tilde"/>
    <x v="1"/>
    <s v="v=spf1 include:sendgrid.net include:spf.protection.outlook.com include:_spf.psm.knowbe4.com include:amazonses.com include:spf.mailjet.com include:one.zoho.eu ip4:34.253.61.97 ip4:137.191.227.194 ip4:137.191.227.234 ip4:137.191.237.194 ip4:213.143.154&quot; &quot;.166 ~all"/>
    <s v="yes"/>
    <x v="2"/>
    <s v="v=DMARC1;p=none;sp=none;rua=mailto:211a5a2e44@rua.easydmarc.eu;ruf=mailto:211a5a2e44@ruf.easydmarc.eu;fo=1"/>
    <m/>
    <m/>
    <x v="1"/>
    <x v="157"/>
    <x v="5"/>
  </r>
  <r>
    <s v="dlrcoco.ie"/>
    <s v="minus"/>
    <x v="0"/>
    <s v="v=spf1 include:eu._netblocks.mimecast.com include:spf.topsec.com include:spf.protection.outlook.com include:spf.mailjet.com ip4:213.143.154.166 ip4:51.254.190.26 ip4:51.254.190.10 ip4:51.254.190.13 ip4:52.17.60.159 ip4:99.81.217.139 &quot; &quot;ip4:142.93.129.113 -all"/>
    <s v="yes"/>
    <x v="3"/>
    <s v="v=DMARC1; p=reject; rua=mailto:45ccfef76185555@rep.dmarcanalyzer.com; ruf=mailto:45ccfef76185555@for.dmarcanalyzer.com; fo=1;"/>
    <m/>
    <m/>
    <x v="0"/>
    <x v="157"/>
    <x v="5"/>
  </r>
  <r>
    <s v="muh.ie"/>
    <s v="tilde"/>
    <x v="1"/>
    <s v="v=spf1 ip4:137.191.231.178/32 ip4:137.191.231.179/32 include:de._netblocks.mimecast.com include:amazonses.com include:authsmtp.com ~all"/>
    <m/>
    <x v="2"/>
    <s v="v=DMARC1; p=none; rua=mailto:dmarc_reports@muh.ie,mailto:dmarc_agg@vali.email;"/>
    <m/>
    <m/>
    <x v="1"/>
    <x v="157"/>
    <x v="5"/>
  </r>
  <r>
    <s v="cuh.ie"/>
    <s v="tilde"/>
    <x v="1"/>
    <s v="v=spf1 ip4:137.191.248.195 ip4:137.191.248.196 ip4:193.120.69.8 include:mailcontrol.com include:authsmtp.com include:spf.protection.outlook.com ~all"/>
    <m/>
    <x v="0"/>
    <m/>
    <m/>
    <m/>
    <x v="0"/>
    <x v="157"/>
    <x v="5"/>
  </r>
  <r>
    <s v="knnetworkservices.com"/>
    <s v="no"/>
    <x v="2"/>
    <m/>
    <m/>
    <x v="0"/>
    <m/>
    <m/>
    <m/>
    <x v="0"/>
    <x v="157"/>
    <x v="5"/>
  </r>
  <r>
    <s v="creganna.com"/>
    <s v="tilde"/>
    <x v="1"/>
    <s v="v=spf1 ip4:69.46.21.82/32 ip4:198.37.148.199/32 ip4:12.23.76.241/32 include:mxlogic.net include:spf.protection.outlook.com include:sharepointonline.com ~all"/>
    <s v="yes"/>
    <x v="3"/>
    <s v="v=DMARC1; p=reject; rua=mailto:52d1bf7cee2d365@rep.dmarcanalyzer.com; ruf=mailto:52d1bf7cee2d365@for.dmarcanalyzer.com; fo=1;"/>
    <m/>
    <m/>
    <x v="7"/>
    <x v="157"/>
    <x v="5"/>
  </r>
  <r>
    <s v="arnotts.ie"/>
    <s v="tilde"/>
    <x v="1"/>
    <s v="v=spf1 a ip4:37.110.219.152 ip4:89.101.232.203 include:_spf_3rdparty.arnotts.ie ~all"/>
    <s v="yes"/>
    <x v="1"/>
    <s v="v=DMARC1; p=quarantine; rua=mailto:btsupport@arnotts.ie; ruf=mailto:btsupport@arnotts.ie; fo=1; pct=100"/>
    <m/>
    <m/>
    <x v="0"/>
    <x v="157"/>
    <x v="5"/>
  </r>
  <r>
    <s v="pramerica.ie"/>
    <s v="tilde"/>
    <x v="1"/>
    <s v="v=spf1 include:spf.prudential.com include:spf.protection.outlook.com ~all"/>
    <s v="yes"/>
    <x v="1"/>
    <s v="v=DMARC1; p=quarantine; rua=mailto:ivrejeuw@ag.c1.dmarcian.com;"/>
    <m/>
    <m/>
    <x v="6"/>
    <x v="157"/>
    <x v="5"/>
  </r>
  <r>
    <s v="sap.com"/>
    <s v="mis"/>
    <x v="3"/>
    <s v="v=spf1 redirect=_spf.sap.com"/>
    <s v="yes"/>
    <x v="3"/>
    <s v="v=DMARC1; p=reject; pct=100; adkim=s; aspf=s; rua=mailto:mailauth-reports@sap.com"/>
    <m/>
    <m/>
    <x v="0"/>
    <x v="157"/>
    <x v="5"/>
  </r>
  <r>
    <s v="connollyhospital.ie"/>
    <s v="no"/>
    <x v="2"/>
    <m/>
    <m/>
    <x v="0"/>
    <m/>
    <m/>
    <m/>
    <x v="0"/>
    <x v="157"/>
    <x v="5"/>
  </r>
  <r>
    <s v="olchc.ie"/>
    <s v="tilde"/>
    <x v="1"/>
    <s v="v=spf1 +a +mx +ip4:34.248.16.77 include:spf.webhostingireland.ie include:spf.protection.outlook.com ~all"/>
    <m/>
    <x v="0"/>
    <m/>
    <m/>
    <m/>
    <x v="0"/>
    <x v="157"/>
    <x v="5"/>
  </r>
  <r>
    <s v="galway.ie"/>
    <s v="minus"/>
    <x v="0"/>
    <s v="v=spf1 ip4:137.191.229.73 ip4:137.191.229.75 include:spf.protection.outlook.com -all"/>
    <m/>
    <x v="0"/>
    <m/>
    <m/>
    <m/>
    <x v="7"/>
    <x v="158"/>
    <x v="5"/>
  </r>
  <r>
    <s v="bausch.com"/>
    <s v="tilde"/>
    <x v="1"/>
    <s v="v=spf1 mx ip4:161.242.0.0/16 ip4:20.72.141.232 ip4:20.110.18.118 include:spf.protection.outlook.com include:_spf-dc57.sapsf.eu include:_spf.salesforce.com include:docebosaas.com ~all"/>
    <s v="yes"/>
    <x v="2"/>
    <s v="v=DMARC1; p=none; rua=mailto:52jwurap@ag.dmarcian.com;"/>
    <m/>
    <m/>
    <x v="10"/>
    <x v="158"/>
    <x v="5"/>
  </r>
  <r>
    <s v="mayo.ie"/>
    <s v="minus"/>
    <x v="0"/>
    <s v="v=spf1 include:spf.protection.outlook.com include:_netblocks.mimecast.com include:spf.topsec.com a ip4:137.191.225.163 ip4:89.185.145.185 -all"/>
    <m/>
    <x v="3"/>
    <s v="v=DMARC1;p=reject;rua=mailto:211a5a2e44@rua.easydmarc.eu;ruf=mailto:211a5a2e44@ruf.easydmarc.eu;fo=1"/>
    <m/>
    <m/>
    <x v="4"/>
    <x v="159"/>
    <x v="5"/>
  </r>
  <r>
    <s v="cit.ie"/>
    <s v="minus"/>
    <x v="0"/>
    <s v="v=spf1 ip4:193.120.143.134 include:spf.protection.outlook.com -all"/>
    <s v="yes"/>
    <x v="2"/>
    <s v="v=DMARC1; p=none; rua=mailto:svc_dmarc@mtu.ie"/>
    <m/>
    <m/>
    <x v="1"/>
    <x v="159"/>
    <x v="5"/>
  </r>
  <r>
    <s v="deloitte.ie"/>
    <s v="minus"/>
    <x v="0"/>
    <s v="v=spf1 exists:%{i}.spf.deloitteie.c3s2.iphmx.com include:spf2.deloitte.ie include:_spf.createsend.com include:_spf.eu.messagegears.net include:spf.protection.outlook.com -all"/>
    <s v="yes"/>
    <x v="3"/>
    <s v="v=DMARC1; p=reject; sp=none; fo=1; ri=3600; rua=mailto:deloitte-global@rua.dmp.cisco.com; ruf=mailto:deloitte-global@ruf.dmp.cisco.com"/>
    <m/>
    <m/>
    <x v="0"/>
    <x v="160"/>
    <x v="5"/>
  </r>
  <r>
    <s v="paddypowerbetfair.com"/>
    <s v="minus"/>
    <x v="0"/>
    <s v="v=spf1 include:spf.protection.outlook.com include:nw010.com include:cust-spf.exacttarget.com include:_spf.salesforce.com include:mail.zendesk.com include:de._netblocks.mimecast.com ip4:217.112.150.5 ip4:185.20.95.20 ip4:217.112.150.38 ip4:217.112.150.47 i&quot; &quot;p4:217.112.150.48 ip4:94.236.83.186 ip4:54.195.28.80 ip4:213.187.237.32 ip4:52.213.120.101 ip4:54.76.240.229 ip4:52.49.201.246 include:spf.mandrillapp.com include:_spf.psm.knowbe4.com -all"/>
    <s v="yes"/>
    <x v="3"/>
    <s v="v=DMARC1; p=reject; rua=mailto:dfdb1ef5f58b4ea79a28474e1abf009f@dmarc-reports.cloudflare.net"/>
    <m/>
    <m/>
    <x v="0"/>
    <x v="160"/>
    <x v="5"/>
  </r>
  <r>
    <s v="environ.ie"/>
    <s v="minus"/>
    <x v="0"/>
    <s v="v=spf1  mx ip4:137.191.226.88/29 ip4:137.191.229.96/28 include:spfext.itservices.gov.ie -all"/>
    <m/>
    <x v="2"/>
    <s v="v=DMARC1; p=none; rua=mailto:dmarc@housing.gov.ie; ruf=mailto:dmarc@housing.gov.ie; fo=0; adkim=r; aspf=r; pct=100; rf=afrf; ri=604800"/>
    <m/>
    <m/>
    <x v="0"/>
    <x v="160"/>
    <x v="5"/>
  </r>
  <r>
    <s v="fingal.ie"/>
    <s v="minus"/>
    <x v="0"/>
    <s v="v=spf1 mx include:spf.protection.outlook.com ip4:137.191.240.163 ip4:213.143.154.166 include:spf.mailjet.com include:spf.topsec.com -all"/>
    <s v="yes"/>
    <x v="3"/>
    <s v="v=DMARC1; p=reject; rua=mailto:dmarc_agg@vali.email; pct=100; fo=1;"/>
    <m/>
    <m/>
    <x v="0"/>
    <x v="160"/>
    <x v="5"/>
  </r>
  <r>
    <s v="kildarecountycouncil.ie"/>
    <s v="tilde"/>
    <x v="1"/>
    <s v="v=spf1 mx a include:_spf.livemail.co.uk ~all"/>
    <s v="yes"/>
    <x v="2"/>
    <s v="v=DMARC1; p=none;"/>
    <m/>
    <m/>
    <x v="16"/>
    <x v="160"/>
    <x v="5"/>
  </r>
  <r>
    <s v="petermark.ie"/>
    <s v="tilde"/>
    <x v="1"/>
    <s v="v=spf1 a ip4:62.190.159.144/28 ip4:62.190.59.144/28 include:spf.protection.outlook.com include:sendgrid.net include:spf.givex.com include:authsmtp.com include:relay.mailchannels.net   ~all"/>
    <s v="yes"/>
    <x v="1"/>
    <s v="v=DMARC1;p=quarantine;rua=mailto:cc789e6eee@rua.easydmarc.eu;ruf=mailto:cc789e6eee@ruf.easydmarc.eu;fo=1;"/>
    <s v="yes"/>
    <s v="https://assets.easydmarc.com/9808008439/bimi-petermark-ie-3bd74e3e.svg"/>
    <x v="0"/>
    <x v="160"/>
    <x v="5"/>
  </r>
  <r>
    <s v="crescentshoppingcentre.ie"/>
    <s v="minus"/>
    <x v="0"/>
    <s v="v=spf1 ip4:178.63.81.198/32 ip4:144.76.75.138/32 ip4:144.76.75.187/32 ip4:188.40.29.197/32 a mx ptr -all"/>
    <m/>
    <x v="0"/>
    <m/>
    <m/>
    <m/>
    <x v="5"/>
    <x v="160"/>
    <x v="5"/>
  </r>
  <r>
    <s v="ul.ie"/>
    <s v="minus"/>
    <x v="0"/>
    <s v="v=spf1 ip4:139.60.152.0/22 include:spf.protection.outlook.com include:spf.topdesk.net ip4:195.154.27.41 ip4:149.202.76.209 ip4:193.120.142.176 ip4:193.120.143.134 ip4:193.120.143.138 ip4:193.1.100.0/21 include:spf1.ul.ie -all"/>
    <s v="yes"/>
    <x v="1"/>
    <s v="v=DMARC1; p=quarantine; rua=mailto:dmarc_reporting@ul.ie;"/>
    <m/>
    <m/>
    <x v="5"/>
    <x v="160"/>
    <x v="5"/>
  </r>
  <r>
    <s v="lidl.ie"/>
    <s v="minus"/>
    <x v="0"/>
    <s v="v=spf1 include:_spfg.mail.schwarz ip4:94.236.83.186 ip4:52.58.140.247 ip4:52.58.125.153 ip4:52.58.101.176 ip4:52.58.71.98 ip4:52.58.208.11 ip4:52.58.208.17 ip4:52.28.33.180 ip4:52.29.33.71 ip4:81.246.117.64/26 ip4:81.246.126.128/25 ip4:91.183.148.64/&quot; &quot;27 ip4:217.111.201.64/28 ip4:212.35.104.128/26 ip4:212.35.104.176/28 ip4:185.145.13.98 -all"/>
    <s v="yes"/>
    <x v="3"/>
    <s v="v=DMARC1;p=reject;adkim=r;aspf=r;rua=mailto:schwarz-dmarc-rua@sasms.mail.schwarz"/>
    <m/>
    <m/>
    <x v="0"/>
    <x v="160"/>
    <x v="5"/>
  </r>
  <r>
    <s v="grosvenorservices.com"/>
    <s v="minus"/>
    <x v="0"/>
    <s v="v=spf1 include:_u.grosvenorservices.com._spf.smart.ondmarc.com include:sendgrid.net -all"/>
    <s v="yes"/>
    <x v="3"/>
    <s v="v=DMARC1; p=reject; pct=100; fo=1; ri=3600; rua=mailto:216342b8@inbox.ondmarc.com; ruf=mailto:216342b8@inbox.ondmarc.com;"/>
    <m/>
    <m/>
    <x v="0"/>
    <x v="161"/>
    <x v="5"/>
  </r>
  <r>
    <s v="vodafone.ie"/>
    <s v="minus"/>
    <x v="0"/>
    <s v="v=spf1 include:spf2.vodafone.com ip4:167.89.0.0/17 -all"/>
    <s v="yes"/>
    <x v="3"/>
    <s v="v=DMARC1; p=reject; rua=mailto:adeeb5c538f9684@rep.dmarcanalyzer.com; ruf=mailto:adeeb5c538f9684@for.dmarcanalyzer.com; fo=0"/>
    <m/>
    <m/>
    <x v="0"/>
    <x v="161"/>
    <x v="5"/>
  </r>
  <r>
    <s v="united-drug.com"/>
    <s v="minus"/>
    <x v="0"/>
    <s v="v=spf1 include:_u.united-drug.com._spf.smart.ondmarc.com -all"/>
    <m/>
    <x v="2"/>
    <s v="v=DMARC1; p=none; pct=100; sp=none; rua=mailto:3fb658a1@inbox.eu.redsift.cloud; ruf=mailto:3fb658a1@inbox.eu.redsift.cloud; adkim=r; aspf=r; fo=1; rf=afrf; ri=86400"/>
    <m/>
    <m/>
    <x v="0"/>
    <x v="161"/>
    <x v="5"/>
  </r>
  <r>
    <s v="ericsson.com"/>
    <s v="tilde"/>
    <x v="1"/>
    <s v="v=spf1 ip4:193.180.251.71/32 ip4:193.180.251.72/31 ip4:198.24.6.0/25 ip4:192.176.1.74/32 ip4:213.68.11.254/32 ip4&quot; &quot;:109.203.101.205/32 ip4:129.192.139.193/32 ip4:129.192.129.0/24 ip4:130.100.64.168/32 include:spf.protection.outlook.com ~all"/>
    <s v="yes"/>
    <x v="3"/>
    <s v="v=DMARC1; p=reject; fo=1; ri=3600; rua=mailto:ericsson@rua.agari.com; ruf=mailto:ericsson@ruf.agari.com"/>
    <s v="yes"/>
    <s v="https://www.ericsson.com/bimi/ericsson_ab_vmc_2025.svg"/>
    <x v="0"/>
    <x v="161"/>
    <x v="5"/>
  </r>
  <r>
    <s v="dell.ie"/>
    <s v="minus"/>
    <x v="0"/>
    <s v="v=spf1 ip4:23.253.197.137 -all"/>
    <m/>
    <x v="3"/>
    <s v="v=DMARC1; p=reject; fo=1; rua=mailto:dmarc_rua@emaildefense.proofpoint.com; ruf=mailto:dmarc_ruf@emaildefense.proofpoint.com"/>
    <m/>
    <m/>
    <x v="0"/>
    <x v="162"/>
    <x v="5"/>
  </r>
  <r>
    <s v="sodexo.com"/>
    <s v="minus"/>
    <x v="0"/>
    <s v="v=spf1 a:smtpgate.sodexo.com include:spf-00009201.pphosted.com include:spf.sodexo.com -all"/>
    <s v="yes"/>
    <x v="3"/>
    <s v="v=DMARC1; p=reject; fo=1; rua=mailto:dmarc_rua@emaildefense.proofpoint.com; ruf=mailto:dmarc_ruf@emaildefense.proofpoint.com"/>
    <m/>
    <m/>
    <x v="0"/>
    <x v="163"/>
    <x v="5"/>
  </r>
  <r>
    <s v="sdcc.ie"/>
    <s v="minus"/>
    <x v="0"/>
    <s v="v=spf1 mx include:spf.protection.outlook.com ip4:137.191.230.202 -all"/>
    <m/>
    <x v="3"/>
    <s v="v=DMARC1;p=reject;sp=reject;rua=mailto:211a5a2e44@rua.easydmarc.eu;ruf=mailto:211a5a2e44@ruf.easydmarc.eu;fo=1"/>
    <m/>
    <m/>
    <x v="0"/>
    <x v="163"/>
    <x v="5"/>
  </r>
  <r>
    <s v="keelings.ie"/>
    <s v="minus"/>
    <x v="0"/>
    <s v="v=spf1 ip4: 5.61.115.48/28 include:nw005.com -all"/>
    <m/>
    <x v="2"/>
    <s v="v=DMARC1; p=none; sp=none; rua=mailto:dmarc_report@keelings.ie; ruf=mailto:dmarc_report@keelings.ie; fo=1;"/>
    <m/>
    <m/>
    <x v="0"/>
    <x v="163"/>
    <x v="5"/>
  </r>
  <r>
    <s v="fbdgroup.com"/>
    <s v="minus"/>
    <x v="0"/>
    <s v="v=spf1 mx ip4:193.95.146.199 ip4:193.120.219.3 include:spf.protection.outlook.com -all"/>
    <s v="yes"/>
    <x v="1"/>
    <s v="v=DMARC1; p=quarantine; sp=reject; rua=mailto:dmarcreports@fbd.ie; ruf=mailto:dmarcreports@fbd.ie; rf=afrf; fo=1; pct=100; ri=86400; adkim=s; aspf=s"/>
    <m/>
    <m/>
    <x v="0"/>
    <x v="164"/>
    <x v="5"/>
  </r>
  <r>
    <s v="citi.com"/>
    <s v="mis"/>
    <x v="3"/>
    <s v="v=spf1 a:1._spf.citigroup.com a:2._spf.citigroup.com a:mailir.citi.com include:spf-00123c01.pphosted.com include:_spf.lwo.locaweb.com.br redirect=ext1._spf.citigroup.com"/>
    <s v="yes"/>
    <x v="3"/>
    <s v="v=DMARC1; p=reject; rua=mailto:dmarc_rua@emaildefense.proofpoint.com,mailto:dmarc.reports.rua@citi.com"/>
    <m/>
    <m/>
    <x v="0"/>
    <x v="165"/>
    <x v="5"/>
  </r>
  <r>
    <s v="abtran.com"/>
    <s v="minus"/>
    <x v="0"/>
    <s v="v=spf1 ip4:150.70.0.0/16 ip4:91.209.74.0/24 ip4:160.34.64.14/32 ip4:138.1.16.88/32 include:spf.tmes.trendmicro.eu include:spf.protection.outlook.com include:rnmk.com include:authsmtp.com include:amazonses.com -all"/>
    <s v="yes"/>
    <x v="1"/>
    <s v="v=DMARC1; p=quarantine; rua=mailto:dmarc@abtran.com; ruf=mailto:dmarc@abtran.com; fo=1"/>
    <m/>
    <m/>
    <x v="1"/>
    <x v="165"/>
    <x v="5"/>
  </r>
  <r>
    <s v="compass-group.ie"/>
    <s v="minus"/>
    <x v="0"/>
    <s v="v=spf1 mx include:spf.protection.outlook.com ip4:52.212.227.234 -all"/>
    <s v="yes"/>
    <x v="3"/>
    <s v="v=DMARC1; p=reject; pct=100; rua=mailto:gxq2lm1e@ag.eu.dmarcadvisor.com; ruf=mailto:gxq2lm1e@fr.eu.dmarcadvisor.com; fo=1; ri=60"/>
    <m/>
    <m/>
    <x v="0"/>
    <x v="165"/>
    <x v="5"/>
  </r>
  <r>
    <s v="telent.com"/>
    <s v="tilde"/>
    <x v="1"/>
    <s v="v=spf1 ip4:51.140.205.44 ip4:104.45.90.69 ip4:82.141.247.90 ip4:80.6.91.150 ip4:203.55.21.31 ip4:213.143.152.2 ip4:20.68.241.51 ip4:51.132.83.216 ip4:51.104.201.83 ip4:20.26.49.116 ip4:51.11.110.125 ip4:51.132.164.243 ip4:20.90.56.1 mx include:spf.prote&quot; &quot;ction.outlook.com include:spf.emailsignatures365.com include:aspmx.pardot.com a:c.spf.service-now.com a:d.spf.service-now.com include:_spf.salesforce.com include:spf_c.oraclecloud.com ~all"/>
    <s v="yes"/>
    <x v="1"/>
    <s v="v=DMARC1;p=quarantine;sp=quarantine;fo=1;rua=mailto:dmarc-rua@telent.com;ruf=mailto:dmarc-ruf@telent.com"/>
    <m/>
    <m/>
    <x v="0"/>
    <x v="165"/>
    <x v="5"/>
  </r>
  <r>
    <s v="aib.ie"/>
    <s v="tilde"/>
    <x v="1"/>
    <s v="v=spf1 include:aib.ie._nspf.vali.email include:%{i}._ip.%{h}._ehlo.%{d}._spf.vali.email ~all"/>
    <s v="yes"/>
    <x v="3"/>
    <s v="v=DMARC1; p=reject; rua=mailto:dmarc_agg@vali.email"/>
    <m/>
    <m/>
    <x v="0"/>
    <x v="165"/>
    <x v="5"/>
  </r>
  <r>
    <s v="dcu.ie"/>
    <s v="tilde"/>
    <x v="1"/>
    <s v="v=spf1 include:_spf.google.com ip4:136.206.1.100 ip4:198.187.196.100 ip4:193.120.143.134 include:spf-eu.exlibrisgroup.com include:spf.protection.outlook.com include:mail.zendesk.com ~all"/>
    <s v="yes"/>
    <x v="3"/>
    <s v="v=DMARC1; p=reject; rua=mailto:dmarc@dcu.ie, mailto:xp52vxju@ag.eu.dmarcian.com"/>
    <m/>
    <m/>
    <x v="0"/>
    <x v="165"/>
    <x v="5"/>
  </r>
  <r>
    <s v="dudublin.ie"/>
    <s v="no"/>
    <x v="2"/>
    <m/>
    <m/>
    <x v="0"/>
    <m/>
    <m/>
    <m/>
    <x v="0"/>
    <x v="165"/>
    <x v="5"/>
  </r>
  <r>
    <s v="ilim.com"/>
    <s v="tilde"/>
    <x v="1"/>
    <s v="v=spf1 include:%{ir}.%{v}.%{d}.spf.has.pphosted.com ~all"/>
    <m/>
    <x v="3"/>
    <s v="v=DMARC1; p=reject; rua=mailto:dmarc_rua@emaildefense.proofpoint.com; ruf=mailto:dmarc_ruf@emaildefense.proofpoint.com; fo=1;"/>
    <m/>
    <m/>
    <x v="0"/>
    <x v="165"/>
    <x v="5"/>
  </r>
  <r>
    <s v="fexco.com"/>
    <s v="tilde"/>
    <x v="1"/>
    <s v="v=spf1 include:%{i}._ip.%{h}._ehlo.%{d}._spf.vali.email ~all"/>
    <m/>
    <x v="1"/>
    <s v="v=DMARC1; p=quarantine; rua=mailto:dmarc_agg@vali.email"/>
    <m/>
    <m/>
    <x v="14"/>
    <x v="166"/>
    <x v="5"/>
  </r>
  <r>
    <s v="dit.ie"/>
    <s v="minus"/>
    <x v="0"/>
    <s v="v=spf1 include:spf1.dit.ie include:spf2.dit.ie include:_spf.google.com include:irdub.iii.com include:a._spf.brightspace.com -all"/>
    <s v="yes"/>
    <x v="3"/>
    <s v="v=DMARC1; p=reject; rua=mailto:xydjhcdp@ag.eu.dmarcian.com;"/>
    <m/>
    <m/>
    <x v="0"/>
    <x v="166"/>
    <x v="5"/>
  </r>
  <r>
    <s v="nuigalway.ie"/>
    <s v="minus"/>
    <x v="0"/>
    <s v="v=spf1 ip4:95.172.90.143 ip4:95.172.90.156 ip4:206.132.28.57 ip4:92.52.102.162 ip4:206.132.28.20 ip4:140.203.202.74 ip4:140.203.12.209&quot; &quot; include:spf.protection.outlook.com ip4:82.195.135.109 ip4:147.197.215.112 ip4:80.93.26.177 include:listserv.heanet.ie include:spf-eu.exlibrisgroup.com include:mh.blackboard.com&quot; &quot; ip4:193.120.143.70 ip4:193.120.252.86 include:servers.mcsv.net -all"/>
    <s v="yes"/>
    <x v="1"/>
    <s v="v=DMARC1;&quot; &quot;p=quarantine;&quot; &quot;rua=mailto:DMARC@universityofgalway.ie;"/>
    <m/>
    <m/>
    <x v="7"/>
    <x v="167"/>
    <x v="5"/>
  </r>
  <r>
    <s v="corkcoco.ie"/>
    <s v="mis"/>
    <x v="3"/>
    <s v="v=spf1 mx include:spf.protection.outlook.com include:spf.topsec.com include:spf.mailjet.com include:spf.anu.net include:_spf.firmstep.com include:_spf.psm.knowbe4.com include:servers.mcsv.net ip4:137.191.236.2 ip4:193.120.143.138 ip4:213.143.154.166 &quot; &quot;-all"/>
    <s v="yes"/>
    <x v="2"/>
    <s v="v=DMARC1; p=none; pct=100; fo=1; ri=3600; rua=mailto:12c2c213@inbox.ondmarc.com; ruf=mailto:12c2c213@inbox.ondmarc.com;"/>
    <m/>
    <m/>
    <x v="1"/>
    <x v="168"/>
    <x v="5"/>
  </r>
  <r>
    <s v="emc.com"/>
    <s v="tilde"/>
    <x v="1"/>
    <s v="v=spf1 include:%{ir}.%{v}.%{d}.spf.has.pphosted.com ~all"/>
    <m/>
    <x v="3"/>
    <s v="v=DMARC1; p=reject; fo=1; rua=mailto:dmarc_rua@emaildefense.proofpoint.com,mailto:dmarc.reports.rua@dell.com; ruf=mailto:dmarc_ruf@emaildefense.proofpoint.com,mailto:dmarc.reports.ruf@dell.com"/>
    <m/>
    <m/>
    <x v="1"/>
    <x v="168"/>
    <x v="5"/>
  </r>
  <r>
    <s v="musgravegroup.ie"/>
    <s v="no"/>
    <x v="2"/>
    <m/>
    <m/>
    <x v="0"/>
    <m/>
    <m/>
    <m/>
    <x v="1"/>
    <x v="168"/>
    <x v="5"/>
  </r>
  <r>
    <s v="ornua.com"/>
    <s v="minus"/>
    <x v="0"/>
    <s v="v=spf1 ip4:212.2.161.110 ip4:213.137.181&quot; &quot;.78 include:spf.protection.outlook.com i&quot; &quot;nclude:spf.mailjet.com include:spf.messa&quot; &quot;gelabs.com include:sendgrid.net include:&quot; &quot;_spf.mlsend.com -all"/>
    <s v="yes"/>
    <x v="3"/>
    <s v="v=DMARC1; p=reject; pct=100; fo=1; ri=36&quot; &quot;00; rua=mailto:f9d420a7@inbox.eu.redsift&quot; &quot;.cloud; ruf=mailto:f9d420a7@inbox.eu.red&quot; &quot;sift.cloud"/>
    <s v="yes"/>
    <s v="https://bimi.entrust.net/ornu&quot; &quot;a.com/logo.svg"/>
    <x v="0"/>
    <x v="169"/>
    <x v="5"/>
  </r>
  <r>
    <s v="amnch.ie"/>
    <s v="minus"/>
    <x v="0"/>
    <s v="v=spf1 mx a ip4:137.191.244.4/32 ip4:137.191.241.24/32 ip4:18.185.115.0/25 ip4:18.185.115.128/26 ip4:34.253.238.128/26 ip4:34.253.238.192/26 include:spf.tmes.trendmicro.com include:spf.topsec.com include:spf.cirqahosting.com -all"/>
    <m/>
    <x v="0"/>
    <m/>
    <m/>
    <m/>
    <x v="0"/>
    <x v="170"/>
    <x v="5"/>
  </r>
  <r>
    <s v="sodexo.ie"/>
    <s v="no"/>
    <x v="2"/>
    <m/>
    <m/>
    <x v="3"/>
    <s v="v=DMARC1; p=reject; fo=1; rua=mailto:dmarc_rua@emaildefense.proofpoint.com; ruf=mailto:dmarc_ruf@emaildefense.proofpoint.com"/>
    <m/>
    <m/>
    <x v="1"/>
    <x v="171"/>
    <x v="5"/>
  </r>
  <r>
    <s v="aramark.ie"/>
    <s v="minus"/>
    <x v="0"/>
    <s v="v=spf1 exists:%{i}._i.%{d}._d.espf.agari.com include:%{d}.5b.spf-protect.agari.com -all"/>
    <s v="yes"/>
    <x v="3"/>
    <s v="v=DMARC1; p=reject; fo=1; ri=3600; rua=mailto:aramark@rua.agari.com; ruf=mailto:aramark@ruf.agari.com"/>
    <m/>
    <m/>
    <x v="0"/>
    <x v="171"/>
    <x v="5"/>
  </r>
  <r>
    <s v="mater.ie"/>
    <s v="minus"/>
    <x v="0"/>
    <s v="v=spf1 ip4:84.203.136.181 ip4:84.203.136.182 include:spf.protection.outlook.com -all"/>
    <m/>
    <x v="2"/>
    <s v="v=DMARC1;p=none;sp=none;pct=100;rua=mailto:infosec@mater.ie;ri=86400;aspf=r;adkim=r"/>
    <m/>
    <m/>
    <x v="0"/>
    <x v="171"/>
    <x v="5"/>
  </r>
  <r>
    <s v="stvincents.ie"/>
    <s v="no"/>
    <x v="2"/>
    <m/>
    <m/>
    <x v="3"/>
    <s v="v=DMARC1; p=reject; rua=mailto:c75762f7@mxtoolbox.dmarc-report.com; ruf=mailto:c75762f7@forensics.dmarc-report.com; fo=1"/>
    <m/>
    <m/>
    <x v="0"/>
    <x v="171"/>
    <x v="5"/>
  </r>
  <r>
    <s v="dublinairportauthority.com"/>
    <s v="minus"/>
    <x v="0"/>
    <s v="v=spf1 include:spf.protection.outlook.com include:spf.messagelabs.com -all"/>
    <m/>
    <x v="2"/>
    <s v="v=DMARC1; p=none; fo=1; rua=mailto:dmarc_alerts@daa.ie"/>
    <m/>
    <m/>
    <x v="0"/>
    <x v="171"/>
    <x v="5"/>
  </r>
  <r>
    <s v="iss.ie"/>
    <s v="minus"/>
    <x v="0"/>
    <s v="v=spf1 mx a -all"/>
    <m/>
    <x v="1"/>
    <s v="v=DMARC1; p=quarantine; rua=mailto:0741f6cf@mxtoolbox.dmarc-report.com; ruf=mailto:0741f6cf@forensics.dmarc-report.com; fo=1; pct=80"/>
    <m/>
    <m/>
    <x v="0"/>
    <x v="171"/>
    <x v="5"/>
  </r>
  <r>
    <s v="dublinbus.ie"/>
    <s v="minus"/>
    <x v="0"/>
    <s v="v=spf1 ip4:194.106.151.242 include:_netblocks.mimecast.com include:spf.protection.outlook.com include:_spf.mlsend.com -all"/>
    <s v="yes"/>
    <x v="3"/>
    <s v="v=DMARC1; p=reject; rua=mailto:1682ed89ae77559@rep.dmarcanalyzer.com; ruf=mailto:1682ed89ae77559@for.dmarcanalyzer.com; fo=1;"/>
    <m/>
    <m/>
    <x v="0"/>
    <x v="172"/>
    <x v="5"/>
  </r>
  <r>
    <s v="stjames.ie"/>
    <s v="tilde"/>
    <x v="1"/>
    <s v="v=spf1 mx include:spf.tmes.trendmicro.com ~all"/>
    <m/>
    <x v="0"/>
    <m/>
    <m/>
    <m/>
    <x v="0"/>
    <x v="173"/>
    <x v="5"/>
  </r>
  <r>
    <s v="cuh.hse.ie"/>
    <s v="no"/>
    <x v="2"/>
    <m/>
    <m/>
    <x v="0"/>
    <m/>
    <m/>
    <m/>
    <x v="1"/>
    <x v="174"/>
    <x v="5"/>
  </r>
  <r>
    <s v="apple.com"/>
    <s v="tilde"/>
    <x v="1"/>
    <s v="v=spf1 include:_spf.apple.com include:_spf-txn.apple.com ~all"/>
    <s v="yes"/>
    <x v="1"/>
    <s v="v=DMARC1; p=quarantine; sp=reject; rua=mailto:d@rua.agari.com; ruf=mailto:d@ruf.agari.com;"/>
    <s v="yes"/>
    <s v="https://www.apple.com/bimi/v2/apple.svg"/>
    <x v="1"/>
    <x v="174"/>
    <x v="5"/>
  </r>
  <r>
    <s v="dundrum.ie"/>
    <s v="tilde"/>
    <x v="1"/>
    <s v="v=spf1 include:_spf.google.com include:cmail1.com ip4:207.126.144.0/20 ip4:185.132.183.149 ip4:185.183.30.200 include:spf.protection.outlook.com include:asp-spf1.yardi.com include:asp-spf2.yardi.com include:spf.tmes.trendmicro.com include:spf.UK.exclaimer&quot; &quot;.net ~all"/>
    <s v="yes"/>
    <x v="1"/>
    <s v="v=DMARC1; p=quarantine; rua=mailto:dundrumire@dmarcrua.tmes.trendmicro.eu; pct=50"/>
    <m/>
    <m/>
    <x v="0"/>
    <x v="175"/>
    <x v="5"/>
  </r>
  <r>
    <s v="ryanair.com"/>
    <s v="tilde"/>
    <x v="1"/>
    <s v="v=spf1 include:ryanair.com._nspf.vali.email include:%{i}._ip.%{h}._ehlo.%{d}._spf.vali.email include:_netblocks.mimecast.com include:_spf-dc57.sapsf.eu ~all"/>
    <m/>
    <x v="3"/>
    <s v="v=DMARC1; p=reject; rua=mailto:dmarc_agg@vali.email"/>
    <s v="yes"/>
    <s v="https://amplify.valimail.com/bimi/ryanair/JgDx5m5g7Bx-ryanair_dac_1323452655.svg"/>
    <x v="0"/>
    <x v="176"/>
    <x v="5"/>
  </r>
  <r>
    <s v="garda.ie"/>
    <s v="minus"/>
    <x v="0"/>
    <s v="v=spf1 mx ip4:137.191.224.102 ip4:137.191.224.122 ip4:137.191.224.89 ip4:137.191.225.35 ip4:137.191.225.37 ip4:169.254.231.133 ip4:169.254.39.133 ip4:193.178.100.71 include:spf.protection.outlook.com -all"/>
    <m/>
    <x v="0"/>
    <m/>
    <m/>
    <m/>
    <x v="0"/>
    <x v="177"/>
    <x v="5"/>
  </r>
  <r>
    <s v="bankofireland.com"/>
    <s v="tilde"/>
    <x v="1"/>
    <s v="v=spf1 include:%{i}._ip.%{h}._ehlo.%{d}._spf.vali.email ~all"/>
    <m/>
    <x v="3"/>
    <s v="v=DMARC1; p=reject; rua=mailto:dmarc_agg@vali.email"/>
    <m/>
    <m/>
    <x v="0"/>
    <x v="178"/>
    <x v="5"/>
  </r>
  <r>
    <s v="greencore.com"/>
    <s v="minus"/>
    <x v="0"/>
    <s v="v=spf1 include:%{ir}.%{v}.%{d}.spf.has.pphosted.com -all"/>
    <s v="yes"/>
    <x v="3"/>
    <s v="v=DMARC1; p=reject; fo=1; rua=mailto:dmarc_rua@emaildefense.proofpoint.com; ruf=mailto:dmarc_ruf@emaildefense.proofpoint.com"/>
    <m/>
    <m/>
    <x v="0"/>
    <x v="179"/>
    <x v="5"/>
  </r>
  <r>
    <s v="snclavalin.com"/>
    <s v="minus"/>
    <x v="0"/>
    <s v="v=spf1 ip4:66.252.152.206 ip4:66.252.152.227 ip4:142.242.2.248 ip4:142.242.2.91 ip4:51.140.185.73 ip4:51.145.26.67 ip4:51.140.29.80 ip4:142.242.7.15 ip4:142.242.7.16 include:spf-0028ed01.pphosted.com include:spf.power365.quest.com&quot; &quot; include:spf.protection.outlook.com ip4:18.168.51.200 ip4:18.168.140.58 include:spf-001bd701.pphosted.com include:spf-001bd702.pphosted.com include:spf-001bd703.pphosted.com ip4:204.93.133.100 -all"/>
    <s v="yes"/>
    <x v="2"/>
    <s v="v=DMARC1; p=none; fo=1; rua=mailto:snc_dmarc_rua@snclgroup.com,mailto:dmarc_rua@emaildefense.proofpoint.com; ruf=mailto:snc_dmarc_ruf@snclgroup.com,mailto:dmarc_ruf@emaildefense.proofpoint.com"/>
    <m/>
    <m/>
    <x v="13"/>
    <x v="180"/>
    <x v="5"/>
  </r>
  <r>
    <m/>
    <m/>
    <x v="6"/>
    <m/>
    <m/>
    <x v="5"/>
    <m/>
    <m/>
    <m/>
    <x v="26"/>
    <x v="18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25C45-0EF4-49B0-BC0C-66F0A486E326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2" firstHeaderRow="1" firstDataRow="2" firstDataCol="1"/>
  <pivotFields count="12">
    <pivotField showAll="0"/>
    <pivotField showAll="0"/>
    <pivotField showAll="0"/>
    <pivotField showAll="0"/>
    <pivotField showAll="0"/>
    <pivotField axis="axisCol" dataField="1" showAll="0">
      <items count="7">
        <item x="4"/>
        <item x="0"/>
        <item x="2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x="5"/>
        <item x="2"/>
        <item x="3"/>
        <item x="4"/>
        <item x="1"/>
        <item x="6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dmarc_policy" fld="5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F00FC-F33F-4417-9AFE-C869EB53D65E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2" firstHeaderRow="1" firstDataRow="2" firstDataCol="1"/>
  <pivotFields count="12">
    <pivotField showAll="0"/>
    <pivotField showAll="0"/>
    <pivotField axis="axisCol" dataField="1" showAll="0">
      <items count="8">
        <item x="0"/>
        <item x="3"/>
        <item x="4"/>
        <item x="2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0"/>
        <item x="5"/>
        <item x="2"/>
        <item x="3"/>
        <item x="4"/>
        <item x="1"/>
        <item x="6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spf-implementation" fld="2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5707C-E15D-4410-B469-73051F96A9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32" firstHeaderRow="1" firstDataRow="2" firstDataCol="1"/>
  <pivotFields count="11">
    <pivotField showAll="0"/>
    <pivotField showAll="0"/>
    <pivotField showAll="0"/>
    <pivotField showAll="0"/>
    <pivotField showAll="0"/>
    <pivotField axis="axisCol" dataField="1" showAll="0">
      <items count="9">
        <item m="1" x="7"/>
        <item m="1" x="6"/>
        <item x="2"/>
        <item x="1"/>
        <item x="3"/>
        <item x="5"/>
        <item x="0"/>
        <item x="4"/>
        <item t="default"/>
      </items>
    </pivotField>
    <pivotField showAll="0"/>
    <pivotField showAll="0"/>
    <pivotField showAll="0"/>
    <pivotField axis="axisRow" showAll="0">
      <items count="28">
        <item x="25"/>
        <item x="11"/>
        <item x="9"/>
        <item x="1"/>
        <item x="6"/>
        <item x="0"/>
        <item x="7"/>
        <item x="14"/>
        <item x="16"/>
        <item x="17"/>
        <item x="18"/>
        <item x="19"/>
        <item x="5"/>
        <item x="20"/>
        <item x="2"/>
        <item x="4"/>
        <item x="15"/>
        <item x="12"/>
        <item x="21"/>
        <item x="22"/>
        <item x="8"/>
        <item x="13"/>
        <item x="10"/>
        <item x="23"/>
        <item x="3"/>
        <item x="24"/>
        <item x="26"/>
        <item t="default"/>
      </items>
    </pivotField>
    <pivotField showAll="0"/>
  </pivotFields>
  <rowFields count="1">
    <field x="9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5"/>
  </colFields>
  <colItems count="7"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dmarc_polic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64CBE-E138-4EFA-9EB1-C67EB6436A5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32" firstHeaderRow="1" firstDataRow="2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">
        <item x="25"/>
        <item x="11"/>
        <item x="9"/>
        <item x="1"/>
        <item x="6"/>
        <item x="0"/>
        <item x="7"/>
        <item x="14"/>
        <item x="16"/>
        <item x="17"/>
        <item x="18"/>
        <item x="19"/>
        <item x="5"/>
        <item x="20"/>
        <item x="2"/>
        <item x="4"/>
        <item x="15"/>
        <item x="12"/>
        <item x="21"/>
        <item x="22"/>
        <item x="8"/>
        <item x="13"/>
        <item x="10"/>
        <item x="23"/>
        <item x="3"/>
        <item x="24"/>
        <item x="26"/>
        <item t="default"/>
      </items>
    </pivotField>
    <pivotField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axis="axisCol" dataField="1" showAll="0">
      <items count="8">
        <item x="0"/>
        <item x="5"/>
        <item x="2"/>
        <item x="3"/>
        <item x="4"/>
        <item x="1"/>
        <item x="6"/>
        <item t="default"/>
      </items>
    </pivotField>
  </pivotFields>
  <rowFields count="1">
    <field x="9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ompanySiz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FAAD-1476-4EF0-8A30-F112BCF9631D}">
  <dimension ref="A3:U21"/>
  <sheetViews>
    <sheetView workbookViewId="0">
      <selection activeCell="G14" sqref="G14"/>
    </sheetView>
  </sheetViews>
  <sheetFormatPr defaultRowHeight="14.4" x14ac:dyDescent="0.3"/>
  <cols>
    <col min="1" max="1" width="21" bestFit="1" customWidth="1"/>
    <col min="2" max="2" width="16.33203125" bestFit="1" customWidth="1"/>
    <col min="3" max="3" width="9" bestFit="1" customWidth="1"/>
    <col min="4" max="4" width="7.21875" bestFit="1" customWidth="1"/>
    <col min="5" max="5" width="10.44140625" bestFit="1" customWidth="1"/>
    <col min="6" max="7" width="7.21875" bestFit="1" customWidth="1"/>
    <col min="8" max="8" width="11" bestFit="1" customWidth="1"/>
    <col min="11" max="11" width="10.77734375" bestFit="1" customWidth="1"/>
    <col min="12" max="12" width="9.6640625" bestFit="1" customWidth="1"/>
    <col min="13" max="13" width="7.109375" bestFit="1" customWidth="1"/>
    <col min="14" max="14" width="12.44140625" bestFit="1" customWidth="1"/>
    <col min="16" max="16" width="13.5546875" bestFit="1" customWidth="1"/>
    <col min="18" max="18" width="10.77734375" bestFit="1" customWidth="1"/>
    <col min="19" max="19" width="19" bestFit="1" customWidth="1"/>
    <col min="20" max="20" width="14.44140625" bestFit="1" customWidth="1"/>
  </cols>
  <sheetData>
    <row r="3" spans="1:21" x14ac:dyDescent="0.3">
      <c r="A3" s="1" t="s">
        <v>5767</v>
      </c>
      <c r="B3" s="1" t="s">
        <v>5768</v>
      </c>
    </row>
    <row r="4" spans="1:21" x14ac:dyDescent="0.3">
      <c r="A4" s="1" t="s">
        <v>5764</v>
      </c>
      <c r="B4" t="s">
        <v>5769</v>
      </c>
      <c r="C4" t="s">
        <v>5770</v>
      </c>
      <c r="D4" t="s">
        <v>20</v>
      </c>
      <c r="E4" t="s">
        <v>16</v>
      </c>
      <c r="F4" t="s">
        <v>54</v>
      </c>
      <c r="G4" t="s">
        <v>5765</v>
      </c>
      <c r="H4" t="s">
        <v>5766</v>
      </c>
      <c r="K4" s="3"/>
      <c r="L4" s="3"/>
      <c r="M4" s="3"/>
      <c r="N4" s="3"/>
      <c r="O4" s="3"/>
      <c r="P4" s="3"/>
    </row>
    <row r="5" spans="1:21" x14ac:dyDescent="0.3">
      <c r="A5" s="2" t="s">
        <v>5783</v>
      </c>
      <c r="B5" s="4">
        <v>3.5398230088495575E-3</v>
      </c>
      <c r="C5" s="4">
        <v>0.53982300884955747</v>
      </c>
      <c r="D5" s="4">
        <v>0.24778761061946902</v>
      </c>
      <c r="E5" s="4">
        <v>9.3805309734513273E-2</v>
      </c>
      <c r="F5" s="4">
        <v>0.11504424778761062</v>
      </c>
      <c r="G5" s="4">
        <v>0</v>
      </c>
      <c r="H5" s="4">
        <v>1</v>
      </c>
      <c r="K5" s="2"/>
      <c r="L5" s="4"/>
      <c r="M5" s="4"/>
      <c r="N5" s="4"/>
      <c r="O5" s="4"/>
      <c r="P5" s="4"/>
    </row>
    <row r="6" spans="1:21" x14ac:dyDescent="0.3">
      <c r="A6" s="2" t="s">
        <v>5784</v>
      </c>
      <c r="B6" s="4">
        <v>0</v>
      </c>
      <c r="C6" s="4">
        <v>0.19117647058823528</v>
      </c>
      <c r="D6" s="4">
        <v>0.19117647058823528</v>
      </c>
      <c r="E6" s="4">
        <v>0.17647058823529413</v>
      </c>
      <c r="F6" s="4">
        <v>0.44117647058823528</v>
      </c>
      <c r="G6" s="4">
        <v>0</v>
      </c>
      <c r="H6" s="4">
        <v>1</v>
      </c>
    </row>
    <row r="7" spans="1:21" x14ac:dyDescent="0.3">
      <c r="A7" s="2" t="s">
        <v>5785</v>
      </c>
      <c r="B7" s="4">
        <v>0</v>
      </c>
      <c r="C7" s="4">
        <v>0.34358047016274862</v>
      </c>
      <c r="D7" s="4">
        <v>0.30018083182640143</v>
      </c>
      <c r="E7" s="4">
        <v>0.15913200723327306</v>
      </c>
      <c r="F7" s="4">
        <v>0.19710669077757687</v>
      </c>
      <c r="G7" s="4">
        <v>0</v>
      </c>
      <c r="H7" s="4">
        <v>1</v>
      </c>
    </row>
    <row r="8" spans="1:21" x14ac:dyDescent="0.3">
      <c r="A8" s="2" t="s">
        <v>5786</v>
      </c>
      <c r="B8" s="4">
        <v>0</v>
      </c>
      <c r="C8" s="4">
        <v>0.23809523809523808</v>
      </c>
      <c r="D8" s="4">
        <v>0.24761904761904763</v>
      </c>
      <c r="E8" s="4">
        <v>0.19047619047619047</v>
      </c>
      <c r="F8" s="4">
        <v>0.32380952380952382</v>
      </c>
      <c r="G8" s="4">
        <v>0</v>
      </c>
      <c r="H8" s="4">
        <v>1</v>
      </c>
    </row>
    <row r="9" spans="1:21" x14ac:dyDescent="0.3">
      <c r="A9" s="2" t="s">
        <v>5787</v>
      </c>
      <c r="B9" s="4">
        <v>0</v>
      </c>
      <c r="C9" s="4">
        <v>0.20212765957446807</v>
      </c>
      <c r="D9" s="4">
        <v>0.25531914893617019</v>
      </c>
      <c r="E9" s="4">
        <v>0.13829787234042554</v>
      </c>
      <c r="F9" s="4">
        <v>0.40425531914893614</v>
      </c>
      <c r="G9" s="4">
        <v>0</v>
      </c>
      <c r="H9" s="4">
        <v>1</v>
      </c>
    </row>
    <row r="10" spans="1:21" x14ac:dyDescent="0.3">
      <c r="A10" s="2" t="s">
        <v>5788</v>
      </c>
      <c r="B10" s="4">
        <v>2.976190476190476E-3</v>
      </c>
      <c r="C10" s="4">
        <v>0.49925595238095238</v>
      </c>
      <c r="D10" s="4">
        <v>0.23214285714285715</v>
      </c>
      <c r="E10" s="4">
        <v>0.13020833333333334</v>
      </c>
      <c r="F10" s="4">
        <v>0.13541666666666666</v>
      </c>
      <c r="G10" s="4">
        <v>0</v>
      </c>
      <c r="H10" s="4">
        <v>1</v>
      </c>
      <c r="K10" s="2"/>
      <c r="L10" s="4"/>
      <c r="M10" s="4"/>
      <c r="N10" s="4"/>
      <c r="O10" s="4"/>
      <c r="P10" s="4"/>
    </row>
    <row r="11" spans="1:21" x14ac:dyDescent="0.3">
      <c r="A11" s="2" t="s">
        <v>5765</v>
      </c>
      <c r="B11" s="4" t="e">
        <v>#DIV/0!</v>
      </c>
      <c r="C11" s="4" t="e">
        <v>#DIV/0!</v>
      </c>
      <c r="D11" s="4" t="e">
        <v>#DIV/0!</v>
      </c>
      <c r="E11" s="4" t="e">
        <v>#DIV/0!</v>
      </c>
      <c r="F11" s="4" t="e">
        <v>#DIV/0!</v>
      </c>
      <c r="G11" s="4" t="e">
        <v>#DIV/0!</v>
      </c>
      <c r="H11" s="4" t="e">
        <v>#DIV/0!</v>
      </c>
    </row>
    <row r="12" spans="1:21" x14ac:dyDescent="0.3">
      <c r="A12" s="2" t="s">
        <v>5766</v>
      </c>
      <c r="B12" s="4">
        <v>2.1171489061397319E-3</v>
      </c>
      <c r="C12" s="4">
        <v>0.44036697247706424</v>
      </c>
      <c r="D12" s="4">
        <v>0.24947071277346508</v>
      </c>
      <c r="E12" s="4">
        <v>0.13443895553987298</v>
      </c>
      <c r="F12" s="4">
        <v>0.17360621030345802</v>
      </c>
      <c r="G12" s="4">
        <v>0</v>
      </c>
      <c r="H12" s="4">
        <v>1</v>
      </c>
    </row>
    <row r="15" spans="1:21" x14ac:dyDescent="0.3">
      <c r="K15" s="3" t="s">
        <v>5764</v>
      </c>
      <c r="L15" s="3" t="s">
        <v>5776</v>
      </c>
      <c r="M15" s="3" t="s">
        <v>5793</v>
      </c>
      <c r="N15" s="3" t="s">
        <v>5794</v>
      </c>
      <c r="O15" s="3" t="s">
        <v>5795</v>
      </c>
      <c r="P15" s="3" t="s">
        <v>5792</v>
      </c>
      <c r="R15" s="3" t="s">
        <v>5764</v>
      </c>
      <c r="S15" t="s">
        <v>5790</v>
      </c>
      <c r="T15" t="s">
        <v>5796</v>
      </c>
    </row>
    <row r="16" spans="1:21" x14ac:dyDescent="0.3">
      <c r="K16" s="2" t="s">
        <v>5783</v>
      </c>
      <c r="L16" s="4">
        <v>0.53982300884955747</v>
      </c>
      <c r="M16" s="4">
        <v>0.24778761061946902</v>
      </c>
      <c r="N16" s="4">
        <v>9.3805309734513273E-2</v>
      </c>
      <c r="O16" s="4">
        <v>0.11504424778761062</v>
      </c>
      <c r="P16" s="4">
        <v>3.5398230088495575E-3</v>
      </c>
      <c r="R16" s="2" t="s">
        <v>5783</v>
      </c>
      <c r="S16" s="4">
        <f>SUM(M16:P16)</f>
        <v>0.46017699115044253</v>
      </c>
      <c r="T16" s="4">
        <f>L16</f>
        <v>0.53982300884955747</v>
      </c>
      <c r="U16" s="4">
        <f>SUM(S16:T16)</f>
        <v>1</v>
      </c>
    </row>
    <row r="17" spans="11:21" x14ac:dyDescent="0.3">
      <c r="K17" s="2" t="s">
        <v>5788</v>
      </c>
      <c r="L17" s="4">
        <v>0.49925595238095238</v>
      </c>
      <c r="M17" s="4">
        <v>0.23214285714285715</v>
      </c>
      <c r="N17" s="4">
        <v>0.13020833333333334</v>
      </c>
      <c r="O17" s="4">
        <v>0.13541666666666666</v>
      </c>
      <c r="P17" s="4">
        <v>2.976190476190476E-3</v>
      </c>
      <c r="R17" s="2" t="s">
        <v>5788</v>
      </c>
      <c r="S17" s="4">
        <f t="shared" ref="S17:S21" si="0">SUM(M17:P17)</f>
        <v>0.50074404761904756</v>
      </c>
      <c r="T17" s="4">
        <f t="shared" ref="T17:T21" si="1">L17</f>
        <v>0.49925595238095238</v>
      </c>
      <c r="U17" s="4">
        <f t="shared" ref="U17:U21" si="2">SUM(S17:T17)</f>
        <v>1</v>
      </c>
    </row>
    <row r="18" spans="11:21" x14ac:dyDescent="0.3">
      <c r="K18" s="2" t="s">
        <v>5785</v>
      </c>
      <c r="L18" s="4">
        <v>0.34358047016274862</v>
      </c>
      <c r="M18" s="4">
        <v>0.30018083182640143</v>
      </c>
      <c r="N18" s="4">
        <v>0.15913200723327306</v>
      </c>
      <c r="O18" s="4">
        <v>0.19710669077757687</v>
      </c>
      <c r="P18" s="4">
        <v>0</v>
      </c>
      <c r="R18" s="2" t="s">
        <v>5785</v>
      </c>
      <c r="S18" s="4">
        <f t="shared" si="0"/>
        <v>0.65641952983725127</v>
      </c>
      <c r="T18" s="4">
        <f t="shared" si="1"/>
        <v>0.34358047016274862</v>
      </c>
      <c r="U18" s="4">
        <f t="shared" si="2"/>
        <v>0.99999999999999989</v>
      </c>
    </row>
    <row r="19" spans="11:21" x14ac:dyDescent="0.3">
      <c r="K19" s="2" t="s">
        <v>5786</v>
      </c>
      <c r="L19" s="4">
        <v>0.23809523809523808</v>
      </c>
      <c r="M19" s="4">
        <v>0.24761904761904763</v>
      </c>
      <c r="N19" s="4">
        <v>0.19047619047619047</v>
      </c>
      <c r="O19" s="4">
        <v>0.32380952380952382</v>
      </c>
      <c r="P19" s="4">
        <v>0</v>
      </c>
      <c r="R19" s="2" t="s">
        <v>5786</v>
      </c>
      <c r="S19" s="4">
        <f t="shared" si="0"/>
        <v>0.76190476190476186</v>
      </c>
      <c r="T19" s="4">
        <f t="shared" si="1"/>
        <v>0.23809523809523808</v>
      </c>
      <c r="U19" s="4">
        <f t="shared" si="2"/>
        <v>1</v>
      </c>
    </row>
    <row r="20" spans="11:21" x14ac:dyDescent="0.3">
      <c r="K20" s="2" t="s">
        <v>5787</v>
      </c>
      <c r="L20" s="4">
        <v>0.20212765957446807</v>
      </c>
      <c r="M20" s="4">
        <v>0.25531914893617019</v>
      </c>
      <c r="N20" s="4">
        <v>0.13829787234042554</v>
      </c>
      <c r="O20" s="4">
        <v>0.40425531914893614</v>
      </c>
      <c r="P20" s="4">
        <v>0</v>
      </c>
      <c r="R20" s="2" t="s">
        <v>5787</v>
      </c>
      <c r="S20" s="4">
        <f t="shared" si="0"/>
        <v>0.7978723404255319</v>
      </c>
      <c r="T20" s="4">
        <f t="shared" si="1"/>
        <v>0.20212765957446807</v>
      </c>
      <c r="U20" s="4">
        <f t="shared" si="2"/>
        <v>1</v>
      </c>
    </row>
    <row r="21" spans="11:21" x14ac:dyDescent="0.3">
      <c r="K21" s="2" t="s">
        <v>5784</v>
      </c>
      <c r="L21" s="4">
        <v>0.19117647058823528</v>
      </c>
      <c r="M21" s="4">
        <v>0.19117647058823528</v>
      </c>
      <c r="N21" s="4">
        <v>0.17647058823529413</v>
      </c>
      <c r="O21" s="4">
        <v>0.44117647058823528</v>
      </c>
      <c r="P21" s="4">
        <v>0</v>
      </c>
      <c r="R21" s="2" t="s">
        <v>5784</v>
      </c>
      <c r="S21" s="4">
        <f t="shared" si="0"/>
        <v>0.80882352941176472</v>
      </c>
      <c r="T21" s="4">
        <f t="shared" si="1"/>
        <v>0.19117647058823528</v>
      </c>
      <c r="U21" s="4">
        <f t="shared" si="2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2D72-69F8-45D4-ACC1-834B3496F2F6}">
  <dimension ref="A3:V23"/>
  <sheetViews>
    <sheetView workbookViewId="0">
      <selection activeCell="L17" sqref="L17"/>
    </sheetView>
  </sheetViews>
  <sheetFormatPr defaultRowHeight="14.4" x14ac:dyDescent="0.3"/>
  <cols>
    <col min="1" max="1" width="27.109375" bestFit="1" customWidth="1"/>
    <col min="2" max="2" width="16.33203125" bestFit="1" customWidth="1"/>
    <col min="3" max="3" width="16.88671875" bestFit="1" customWidth="1"/>
    <col min="4" max="4" width="7.44140625" bestFit="1" customWidth="1"/>
    <col min="5" max="5" width="9.6640625" bestFit="1" customWidth="1"/>
    <col min="6" max="6" width="7.21875" bestFit="1" customWidth="1"/>
    <col min="7" max="7" width="8" bestFit="1" customWidth="1"/>
    <col min="8" max="8" width="7.21875" bestFit="1" customWidth="1"/>
    <col min="9" max="9" width="11" bestFit="1" customWidth="1"/>
    <col min="11" max="11" width="10.77734375" bestFit="1" customWidth="1"/>
    <col min="12" max="12" width="7.109375" bestFit="1" customWidth="1"/>
    <col min="17" max="17" width="9.6640625" bestFit="1" customWidth="1"/>
    <col min="19" max="19" width="13.44140625" bestFit="1" customWidth="1"/>
    <col min="20" max="20" width="19" bestFit="1" customWidth="1"/>
    <col min="21" max="21" width="23.21875" bestFit="1" customWidth="1"/>
  </cols>
  <sheetData>
    <row r="3" spans="1:17" x14ac:dyDescent="0.3">
      <c r="A3" s="1" t="s">
        <v>5782</v>
      </c>
      <c r="B3" s="1" t="s">
        <v>5768</v>
      </c>
    </row>
    <row r="4" spans="1:17" x14ac:dyDescent="0.3">
      <c r="A4" s="1" t="s">
        <v>5764</v>
      </c>
      <c r="B4" t="s">
        <v>5780</v>
      </c>
      <c r="C4" t="s">
        <v>5774</v>
      </c>
      <c r="D4" t="s">
        <v>5778</v>
      </c>
      <c r="E4" t="s">
        <v>5776</v>
      </c>
      <c r="F4" t="s">
        <v>5779</v>
      </c>
      <c r="G4" t="s">
        <v>5777</v>
      </c>
      <c r="H4" t="s">
        <v>5765</v>
      </c>
      <c r="I4" t="s">
        <v>5766</v>
      </c>
      <c r="K4" s="3"/>
      <c r="L4" s="3"/>
      <c r="M4" s="3"/>
      <c r="N4" s="3"/>
      <c r="O4" s="3"/>
      <c r="P4" s="3"/>
      <c r="Q4" s="3"/>
    </row>
    <row r="5" spans="1:17" x14ac:dyDescent="0.3">
      <c r="A5" s="2" t="s">
        <v>5783</v>
      </c>
      <c r="B5" s="4">
        <v>0.50796460176991154</v>
      </c>
      <c r="C5" s="4">
        <v>1.7699115044247787E-2</v>
      </c>
      <c r="D5" s="4">
        <v>8.8495575221238937E-3</v>
      </c>
      <c r="E5" s="4">
        <v>0.17168141592920355</v>
      </c>
      <c r="F5" s="4">
        <v>1.7699115044247787E-3</v>
      </c>
      <c r="G5" s="4">
        <v>0.29203539823008851</v>
      </c>
      <c r="H5" s="4">
        <v>0</v>
      </c>
      <c r="I5" s="4">
        <v>1</v>
      </c>
      <c r="K5" s="2"/>
      <c r="L5" s="4"/>
      <c r="M5" s="4"/>
      <c r="N5" s="4"/>
      <c r="O5" s="4"/>
      <c r="P5" s="4"/>
      <c r="Q5" s="4"/>
    </row>
    <row r="6" spans="1:17" x14ac:dyDescent="0.3">
      <c r="A6" s="2" t="s">
        <v>5784</v>
      </c>
      <c r="B6" s="4">
        <v>0.52941176470588236</v>
      </c>
      <c r="C6" s="4">
        <v>4.4117647058823532E-2</v>
      </c>
      <c r="D6" s="4">
        <v>0</v>
      </c>
      <c r="E6" s="4">
        <v>0.10294117647058823</v>
      </c>
      <c r="F6" s="4">
        <v>0</v>
      </c>
      <c r="G6" s="4">
        <v>0.3235294117647059</v>
      </c>
      <c r="H6" s="4">
        <v>0</v>
      </c>
      <c r="I6" s="4">
        <v>1</v>
      </c>
      <c r="K6" s="2"/>
      <c r="L6" s="4"/>
      <c r="M6" s="4"/>
      <c r="N6" s="4"/>
      <c r="O6" s="4"/>
      <c r="P6" s="4"/>
      <c r="Q6" s="4"/>
    </row>
    <row r="7" spans="1:17" x14ac:dyDescent="0.3">
      <c r="A7" s="2" t="s">
        <v>5785</v>
      </c>
      <c r="B7" s="4">
        <v>0.58227848101265822</v>
      </c>
      <c r="C7" s="4">
        <v>1.8083182640144666E-2</v>
      </c>
      <c r="D7" s="4">
        <v>7.2332730560578659E-3</v>
      </c>
      <c r="E7" s="4">
        <v>0.12658227848101267</v>
      </c>
      <c r="F7" s="4">
        <v>0</v>
      </c>
      <c r="G7" s="4">
        <v>0.26582278481012656</v>
      </c>
      <c r="H7" s="4">
        <v>0</v>
      </c>
      <c r="I7" s="4">
        <v>1</v>
      </c>
      <c r="K7" s="2"/>
      <c r="L7" s="4"/>
      <c r="M7" s="4"/>
      <c r="N7" s="4"/>
      <c r="O7" s="4"/>
      <c r="P7" s="4"/>
      <c r="Q7" s="4"/>
    </row>
    <row r="8" spans="1:17" x14ac:dyDescent="0.3">
      <c r="A8" s="2" t="s">
        <v>5786</v>
      </c>
      <c r="B8" s="4">
        <v>0.57619047619047614</v>
      </c>
      <c r="C8" s="4">
        <v>3.3333333333333333E-2</v>
      </c>
      <c r="D8" s="4">
        <v>4.7619047619047623E-3</v>
      </c>
      <c r="E8" s="4">
        <v>0.10952380952380952</v>
      </c>
      <c r="F8" s="4">
        <v>0</v>
      </c>
      <c r="G8" s="4">
        <v>0.27619047619047621</v>
      </c>
      <c r="H8" s="4">
        <v>0</v>
      </c>
      <c r="I8" s="4">
        <v>1</v>
      </c>
      <c r="K8" s="2"/>
      <c r="L8" s="4"/>
      <c r="M8" s="4"/>
      <c r="N8" s="4"/>
      <c r="O8" s="4"/>
      <c r="P8" s="4"/>
      <c r="Q8" s="4"/>
    </row>
    <row r="9" spans="1:17" x14ac:dyDescent="0.3">
      <c r="A9" s="2" t="s">
        <v>5787</v>
      </c>
      <c r="B9" s="4">
        <v>0.48936170212765956</v>
      </c>
      <c r="C9" s="4">
        <v>2.1276595744680851E-2</v>
      </c>
      <c r="D9" s="4">
        <v>0</v>
      </c>
      <c r="E9" s="4">
        <v>7.4468085106382975E-2</v>
      </c>
      <c r="F9" s="4">
        <v>0</v>
      </c>
      <c r="G9" s="4">
        <v>0.41489361702127658</v>
      </c>
      <c r="H9" s="4">
        <v>0</v>
      </c>
      <c r="I9" s="4">
        <v>1</v>
      </c>
      <c r="K9" s="2"/>
      <c r="L9" s="4"/>
      <c r="M9" s="4"/>
      <c r="N9" s="4"/>
      <c r="O9" s="4"/>
      <c r="P9" s="4"/>
      <c r="Q9" s="4"/>
    </row>
    <row r="10" spans="1:17" x14ac:dyDescent="0.3">
      <c r="A10" s="2" t="s">
        <v>5788</v>
      </c>
      <c r="B10" s="4">
        <v>0.55208333333333337</v>
      </c>
      <c r="C10" s="4">
        <v>2.7529761904761904E-2</v>
      </c>
      <c r="D10" s="4">
        <v>5.9523809523809521E-3</v>
      </c>
      <c r="E10" s="4">
        <v>0.15922619047619047</v>
      </c>
      <c r="F10" s="4">
        <v>0</v>
      </c>
      <c r="G10" s="4">
        <v>0.25520833333333331</v>
      </c>
      <c r="H10" s="4">
        <v>0</v>
      </c>
      <c r="I10" s="4">
        <v>1</v>
      </c>
      <c r="K10" s="2"/>
      <c r="L10" s="4"/>
      <c r="M10" s="4"/>
      <c r="N10" s="4"/>
      <c r="O10" s="4"/>
      <c r="P10" s="4"/>
      <c r="Q10" s="4"/>
    </row>
    <row r="11" spans="1:17" x14ac:dyDescent="0.3">
      <c r="A11" s="2" t="s">
        <v>5765</v>
      </c>
      <c r="B11" s="4" t="e">
        <v>#DIV/0!</v>
      </c>
      <c r="C11" s="4" t="e">
        <v>#DIV/0!</v>
      </c>
      <c r="D11" s="4" t="e">
        <v>#DIV/0!</v>
      </c>
      <c r="E11" s="4" t="e">
        <v>#DIV/0!</v>
      </c>
      <c r="F11" s="4" t="e">
        <v>#DIV/0!</v>
      </c>
      <c r="G11" s="4" t="e">
        <v>#DIV/0!</v>
      </c>
      <c r="H11" s="4" t="e">
        <v>#DIV/0!</v>
      </c>
      <c r="I11" s="4" t="e">
        <v>#DIV/0!</v>
      </c>
    </row>
    <row r="12" spans="1:17" x14ac:dyDescent="0.3">
      <c r="A12" s="2" t="s">
        <v>5766</v>
      </c>
      <c r="B12" s="4">
        <v>0.54834156669019052</v>
      </c>
      <c r="C12" s="4">
        <v>2.4347212420606917E-2</v>
      </c>
      <c r="D12" s="4">
        <v>6.3514467184191958E-3</v>
      </c>
      <c r="E12" s="4">
        <v>0.14749470712773466</v>
      </c>
      <c r="F12" s="4">
        <v>3.5285815102328866E-4</v>
      </c>
      <c r="G12" s="4">
        <v>0.27311220889202542</v>
      </c>
      <c r="H12" s="4">
        <v>0</v>
      </c>
      <c r="I12" s="4">
        <v>1</v>
      </c>
    </row>
    <row r="17" spans="11:22" x14ac:dyDescent="0.3">
      <c r="K17" s="3" t="s">
        <v>5789</v>
      </c>
      <c r="L17" s="3" t="s">
        <v>5780</v>
      </c>
      <c r="M17" s="3" t="s">
        <v>5777</v>
      </c>
      <c r="N17" s="3" t="s">
        <v>5778</v>
      </c>
      <c r="O17" s="3" t="s">
        <v>5779</v>
      </c>
      <c r="P17" s="3" t="s">
        <v>5774</v>
      </c>
      <c r="Q17" s="3" t="s">
        <v>5776</v>
      </c>
      <c r="S17" s="3" t="s">
        <v>5789</v>
      </c>
      <c r="T17" t="s">
        <v>5790</v>
      </c>
      <c r="U17" t="s">
        <v>5791</v>
      </c>
    </row>
    <row r="18" spans="11:22" x14ac:dyDescent="0.3">
      <c r="K18" s="2" t="s">
        <v>5783</v>
      </c>
      <c r="L18" s="4">
        <v>0.50796460176991154</v>
      </c>
      <c r="M18" s="4">
        <v>0.29203539823008851</v>
      </c>
      <c r="N18" s="4">
        <v>8.8495575221238937E-3</v>
      </c>
      <c r="O18" s="4">
        <v>1.7699115044247787E-3</v>
      </c>
      <c r="P18" s="4">
        <v>1.7699115044247787E-2</v>
      </c>
      <c r="Q18" s="4">
        <v>0.17168141592920355</v>
      </c>
      <c r="S18" s="2" t="s">
        <v>5783</v>
      </c>
      <c r="T18" s="4">
        <f>L18+M18+N18+O18</f>
        <v>0.81061946902654869</v>
      </c>
      <c r="U18" s="4">
        <f>P18+Q18</f>
        <v>0.18938053097345134</v>
      </c>
      <c r="V18" s="4">
        <f>SUM(T18:U18)</f>
        <v>1</v>
      </c>
    </row>
    <row r="19" spans="11:22" x14ac:dyDescent="0.3">
      <c r="K19" s="2" t="s">
        <v>5788</v>
      </c>
      <c r="L19" s="4">
        <v>0.55208333333333337</v>
      </c>
      <c r="M19" s="4">
        <v>0.25520833333333331</v>
      </c>
      <c r="N19" s="4">
        <v>5.9523809523809521E-3</v>
      </c>
      <c r="O19" s="4">
        <v>0</v>
      </c>
      <c r="P19" s="4">
        <v>2.7529761904761904E-2</v>
      </c>
      <c r="Q19" s="4">
        <v>0.15922619047619047</v>
      </c>
      <c r="S19" s="2" t="s">
        <v>5788</v>
      </c>
      <c r="T19" s="4">
        <f t="shared" ref="T19:T23" si="0">L19+M19+N19+O19</f>
        <v>0.81324404761904767</v>
      </c>
      <c r="U19" s="4">
        <f t="shared" ref="U19:U23" si="1">P19+Q19</f>
        <v>0.18675595238095238</v>
      </c>
      <c r="V19" s="4">
        <f t="shared" ref="V19:V23" si="2">SUM(T19:U19)</f>
        <v>1</v>
      </c>
    </row>
    <row r="20" spans="11:22" x14ac:dyDescent="0.3">
      <c r="K20" s="2" t="s">
        <v>5785</v>
      </c>
      <c r="L20" s="4">
        <v>0.58227848101265822</v>
      </c>
      <c r="M20" s="4">
        <v>0.26582278481012656</v>
      </c>
      <c r="N20" s="4">
        <v>7.2332730560578659E-3</v>
      </c>
      <c r="O20" s="4">
        <v>0</v>
      </c>
      <c r="P20" s="4">
        <v>1.8083182640144666E-2</v>
      </c>
      <c r="Q20" s="4">
        <v>0.12658227848101267</v>
      </c>
      <c r="S20" s="2" t="s">
        <v>5785</v>
      </c>
      <c r="T20" s="4">
        <f t="shared" si="0"/>
        <v>0.8553345388788427</v>
      </c>
      <c r="U20" s="4">
        <f t="shared" si="1"/>
        <v>0.14466546112115733</v>
      </c>
      <c r="V20" s="4">
        <f t="shared" si="2"/>
        <v>1</v>
      </c>
    </row>
    <row r="21" spans="11:22" x14ac:dyDescent="0.3">
      <c r="K21" s="2" t="s">
        <v>5786</v>
      </c>
      <c r="L21" s="4">
        <v>0.57619047619047614</v>
      </c>
      <c r="M21" s="4">
        <v>0.27619047619047621</v>
      </c>
      <c r="N21" s="4">
        <v>4.7619047619047623E-3</v>
      </c>
      <c r="O21" s="4">
        <v>0</v>
      </c>
      <c r="P21" s="4">
        <v>3.3333333333333333E-2</v>
      </c>
      <c r="Q21" s="4">
        <v>0.10952380952380952</v>
      </c>
      <c r="S21" s="2" t="s">
        <v>5786</v>
      </c>
      <c r="T21" s="4">
        <f t="shared" si="0"/>
        <v>0.8571428571428571</v>
      </c>
      <c r="U21" s="4">
        <f t="shared" si="1"/>
        <v>0.14285714285714285</v>
      </c>
      <c r="V21" s="4">
        <f t="shared" si="2"/>
        <v>1</v>
      </c>
    </row>
    <row r="22" spans="11:22" x14ac:dyDescent="0.3">
      <c r="K22" s="2" t="s">
        <v>5787</v>
      </c>
      <c r="L22" s="4">
        <v>0.48936170212765956</v>
      </c>
      <c r="M22" s="4">
        <v>0.41489361702127658</v>
      </c>
      <c r="N22" s="4">
        <v>0</v>
      </c>
      <c r="O22" s="4">
        <v>0</v>
      </c>
      <c r="P22" s="4">
        <v>2.1276595744680851E-2</v>
      </c>
      <c r="Q22" s="4">
        <v>7.4468085106382975E-2</v>
      </c>
      <c r="S22" s="2" t="s">
        <v>5787</v>
      </c>
      <c r="T22" s="4">
        <f t="shared" si="0"/>
        <v>0.9042553191489362</v>
      </c>
      <c r="U22" s="4">
        <f t="shared" si="1"/>
        <v>9.5744680851063829E-2</v>
      </c>
      <c r="V22" s="4">
        <f t="shared" si="2"/>
        <v>1</v>
      </c>
    </row>
    <row r="23" spans="11:22" x14ac:dyDescent="0.3">
      <c r="K23" s="2" t="s">
        <v>5784</v>
      </c>
      <c r="L23" s="4">
        <v>0.52941176470588236</v>
      </c>
      <c r="M23" s="4">
        <v>0.3235294117647059</v>
      </c>
      <c r="N23" s="4">
        <v>0</v>
      </c>
      <c r="O23" s="4">
        <v>0</v>
      </c>
      <c r="P23" s="4">
        <v>4.4117647058823532E-2</v>
      </c>
      <c r="Q23" s="4">
        <v>0.10294117647058823</v>
      </c>
      <c r="S23" s="2" t="s">
        <v>5784</v>
      </c>
      <c r="T23" s="4">
        <f t="shared" si="0"/>
        <v>0.85294117647058831</v>
      </c>
      <c r="U23" s="4">
        <f t="shared" si="1"/>
        <v>0.14705882352941177</v>
      </c>
      <c r="V23" s="4">
        <f t="shared" si="2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6F3E-1374-4157-9F09-69DFC57E3D3B}">
  <dimension ref="A3:T32"/>
  <sheetViews>
    <sheetView workbookViewId="0">
      <selection activeCell="I6" sqref="I6"/>
    </sheetView>
  </sheetViews>
  <sheetFormatPr defaultRowHeight="14.4" x14ac:dyDescent="0.3"/>
  <cols>
    <col min="1" max="1" width="21" bestFit="1" customWidth="1"/>
    <col min="2" max="2" width="16.33203125" bestFit="1" customWidth="1"/>
    <col min="3" max="3" width="10.44140625" bestFit="1" customWidth="1"/>
    <col min="4" max="4" width="6.109375" bestFit="1" customWidth="1"/>
    <col min="5" max="5" width="7.109375" bestFit="1" customWidth="1"/>
    <col min="6" max="6" width="9" bestFit="1" customWidth="1"/>
    <col min="7" max="7" width="13.77734375" bestFit="1" customWidth="1"/>
    <col min="8" max="8" width="11" bestFit="1" customWidth="1"/>
    <col min="11" max="11" width="11.77734375" bestFit="1" customWidth="1"/>
    <col min="12" max="12" width="13.77734375" bestFit="1" customWidth="1"/>
    <col min="15" max="15" width="10.44140625" bestFit="1" customWidth="1"/>
    <col min="17" max="17" width="10.77734375" bestFit="1" customWidth="1"/>
    <col min="18" max="18" width="21.77734375" bestFit="1" customWidth="1"/>
    <col min="19" max="19" width="11.109375" customWidth="1"/>
  </cols>
  <sheetData>
    <row r="3" spans="1:20" x14ac:dyDescent="0.3">
      <c r="A3" s="1" t="s">
        <v>5767</v>
      </c>
      <c r="B3" s="1" t="s">
        <v>5768</v>
      </c>
    </row>
    <row r="4" spans="1:20" x14ac:dyDescent="0.3">
      <c r="A4" s="1" t="s">
        <v>5764</v>
      </c>
      <c r="B4" t="s">
        <v>20</v>
      </c>
      <c r="C4" t="s">
        <v>16</v>
      </c>
      <c r="D4" t="s">
        <v>54</v>
      </c>
      <c r="E4" t="s">
        <v>5765</v>
      </c>
      <c r="F4" t="s">
        <v>5770</v>
      </c>
      <c r="G4" t="s">
        <v>5769</v>
      </c>
      <c r="H4" t="s">
        <v>5766</v>
      </c>
      <c r="K4" s="3" t="s">
        <v>5771</v>
      </c>
      <c r="L4" s="3" t="s">
        <v>5769</v>
      </c>
      <c r="M4" s="3" t="s">
        <v>5770</v>
      </c>
      <c r="N4" s="3" t="s">
        <v>20</v>
      </c>
      <c r="O4" s="3" t="s">
        <v>16</v>
      </c>
      <c r="P4" s="3" t="s">
        <v>54</v>
      </c>
      <c r="Q4" s="3" t="s">
        <v>5772</v>
      </c>
      <c r="R4" s="3" t="s">
        <v>5773</v>
      </c>
      <c r="S4" s="3" t="s">
        <v>5766</v>
      </c>
    </row>
    <row r="5" spans="1:20" x14ac:dyDescent="0.3">
      <c r="A5" s="2" t="s">
        <v>5762</v>
      </c>
      <c r="B5">
        <v>6</v>
      </c>
      <c r="C5">
        <v>3</v>
      </c>
      <c r="F5">
        <v>23</v>
      </c>
      <c r="H5">
        <v>32</v>
      </c>
      <c r="K5" s="2" t="s">
        <v>5762</v>
      </c>
      <c r="M5">
        <v>23</v>
      </c>
      <c r="N5">
        <v>6</v>
      </c>
      <c r="O5">
        <v>3</v>
      </c>
      <c r="Q5">
        <f>O5+P5</f>
        <v>3</v>
      </c>
      <c r="R5" s="4">
        <f>Q5/S5</f>
        <v>9.375E-2</v>
      </c>
      <c r="S5">
        <v>32</v>
      </c>
      <c r="T5">
        <f>L5+M5+N5</f>
        <v>29</v>
      </c>
    </row>
    <row r="6" spans="1:20" x14ac:dyDescent="0.3">
      <c r="A6" s="2" t="s">
        <v>5748</v>
      </c>
      <c r="B6">
        <v>9</v>
      </c>
      <c r="C6">
        <v>5</v>
      </c>
      <c r="D6">
        <v>10</v>
      </c>
      <c r="F6">
        <v>12</v>
      </c>
      <c r="G6">
        <v>1</v>
      </c>
      <c r="H6">
        <v>37</v>
      </c>
      <c r="K6" s="2" t="s">
        <v>5748</v>
      </c>
      <c r="L6">
        <v>1</v>
      </c>
      <c r="M6">
        <v>12</v>
      </c>
      <c r="N6">
        <v>9</v>
      </c>
      <c r="O6">
        <v>5</v>
      </c>
      <c r="P6">
        <v>10</v>
      </c>
      <c r="Q6">
        <f t="shared" ref="Q6:Q30" si="0">O6+P6</f>
        <v>15</v>
      </c>
      <c r="R6" s="4">
        <f t="shared" ref="R6:R30" si="1">Q6/S6</f>
        <v>0.40540540540540543</v>
      </c>
      <c r="S6">
        <v>37</v>
      </c>
      <c r="T6">
        <f t="shared" ref="T6:T30" si="2">L6+M6+N6</f>
        <v>22</v>
      </c>
    </row>
    <row r="7" spans="1:20" x14ac:dyDescent="0.3">
      <c r="A7" s="2" t="s">
        <v>5746</v>
      </c>
      <c r="B7">
        <v>21</v>
      </c>
      <c r="C7">
        <v>4</v>
      </c>
      <c r="D7">
        <v>7</v>
      </c>
      <c r="F7">
        <v>26</v>
      </c>
      <c r="H7">
        <v>58</v>
      </c>
      <c r="K7" s="2" t="s">
        <v>5746</v>
      </c>
      <c r="M7">
        <v>26</v>
      </c>
      <c r="N7">
        <v>21</v>
      </c>
      <c r="O7">
        <v>4</v>
      </c>
      <c r="P7">
        <v>7</v>
      </c>
      <c r="Q7">
        <f t="shared" si="0"/>
        <v>11</v>
      </c>
      <c r="R7" s="4">
        <f t="shared" si="1"/>
        <v>0.18965517241379309</v>
      </c>
      <c r="S7">
        <v>58</v>
      </c>
      <c r="T7">
        <f t="shared" si="2"/>
        <v>47</v>
      </c>
    </row>
    <row r="8" spans="1:20" x14ac:dyDescent="0.3">
      <c r="A8" s="2" t="s">
        <v>5738</v>
      </c>
      <c r="B8">
        <v>97</v>
      </c>
      <c r="C8">
        <v>40</v>
      </c>
      <c r="D8">
        <v>40</v>
      </c>
      <c r="F8">
        <v>136</v>
      </c>
      <c r="H8">
        <v>313</v>
      </c>
      <c r="K8" s="2" t="s">
        <v>5738</v>
      </c>
      <c r="M8">
        <v>136</v>
      </c>
      <c r="N8">
        <v>97</v>
      </c>
      <c r="O8">
        <v>40</v>
      </c>
      <c r="P8">
        <v>40</v>
      </c>
      <c r="Q8">
        <f t="shared" si="0"/>
        <v>80</v>
      </c>
      <c r="R8" s="4">
        <f t="shared" si="1"/>
        <v>0.25559105431309903</v>
      </c>
      <c r="S8">
        <v>313</v>
      </c>
      <c r="T8">
        <f t="shared" si="2"/>
        <v>233</v>
      </c>
    </row>
    <row r="9" spans="1:20" x14ac:dyDescent="0.3">
      <c r="A9" s="2" t="s">
        <v>5743</v>
      </c>
      <c r="B9">
        <v>18</v>
      </c>
      <c r="C9">
        <v>3</v>
      </c>
      <c r="D9">
        <v>9</v>
      </c>
      <c r="F9">
        <v>32</v>
      </c>
      <c r="H9">
        <v>62</v>
      </c>
      <c r="K9" s="2" t="s">
        <v>5743</v>
      </c>
      <c r="M9">
        <v>32</v>
      </c>
      <c r="N9">
        <v>18</v>
      </c>
      <c r="O9">
        <v>3</v>
      </c>
      <c r="P9">
        <v>9</v>
      </c>
      <c r="Q9">
        <f t="shared" si="0"/>
        <v>12</v>
      </c>
      <c r="R9" s="4">
        <f t="shared" si="1"/>
        <v>0.19354838709677419</v>
      </c>
      <c r="S9">
        <v>62</v>
      </c>
      <c r="T9">
        <f t="shared" si="2"/>
        <v>50</v>
      </c>
    </row>
    <row r="10" spans="1:20" x14ac:dyDescent="0.3">
      <c r="A10" s="2" t="s">
        <v>5737</v>
      </c>
      <c r="B10">
        <v>267</v>
      </c>
      <c r="C10">
        <v>177</v>
      </c>
      <c r="D10">
        <v>290</v>
      </c>
      <c r="F10">
        <v>472</v>
      </c>
      <c r="G10">
        <v>1</v>
      </c>
      <c r="H10">
        <v>1207</v>
      </c>
      <c r="K10" s="2" t="s">
        <v>5737</v>
      </c>
      <c r="L10">
        <v>1</v>
      </c>
      <c r="M10">
        <v>472</v>
      </c>
      <c r="N10">
        <v>267</v>
      </c>
      <c r="O10">
        <v>177</v>
      </c>
      <c r="P10">
        <v>290</v>
      </c>
      <c r="Q10">
        <f t="shared" si="0"/>
        <v>467</v>
      </c>
      <c r="R10" s="4">
        <f t="shared" si="1"/>
        <v>0.38690969345484671</v>
      </c>
      <c r="S10">
        <v>1207</v>
      </c>
      <c r="T10">
        <f t="shared" si="2"/>
        <v>740</v>
      </c>
    </row>
    <row r="11" spans="1:20" x14ac:dyDescent="0.3">
      <c r="A11" s="2" t="s">
        <v>5744</v>
      </c>
      <c r="B11">
        <v>30</v>
      </c>
      <c r="C11">
        <v>38</v>
      </c>
      <c r="D11">
        <v>21</v>
      </c>
      <c r="F11">
        <v>66</v>
      </c>
      <c r="H11">
        <v>155</v>
      </c>
      <c r="K11" s="2" t="s">
        <v>5744</v>
      </c>
      <c r="M11">
        <v>66</v>
      </c>
      <c r="N11">
        <v>30</v>
      </c>
      <c r="O11">
        <v>38</v>
      </c>
      <c r="P11">
        <v>21</v>
      </c>
      <c r="Q11">
        <f t="shared" si="0"/>
        <v>59</v>
      </c>
      <c r="R11" s="4">
        <f t="shared" si="1"/>
        <v>0.38064516129032255</v>
      </c>
      <c r="S11">
        <v>155</v>
      </c>
      <c r="T11">
        <f t="shared" si="2"/>
        <v>96</v>
      </c>
    </row>
    <row r="12" spans="1:20" x14ac:dyDescent="0.3">
      <c r="A12" s="2" t="s">
        <v>5751</v>
      </c>
      <c r="B12">
        <v>30</v>
      </c>
      <c r="C12">
        <v>9</v>
      </c>
      <c r="D12">
        <v>4</v>
      </c>
      <c r="F12">
        <v>25</v>
      </c>
      <c r="G12">
        <v>1</v>
      </c>
      <c r="H12">
        <v>69</v>
      </c>
      <c r="K12" s="2" t="s">
        <v>5751</v>
      </c>
      <c r="L12">
        <v>1</v>
      </c>
      <c r="M12">
        <v>25</v>
      </c>
      <c r="N12">
        <v>30</v>
      </c>
      <c r="O12">
        <v>9</v>
      </c>
      <c r="P12">
        <v>4</v>
      </c>
      <c r="Q12">
        <f t="shared" si="0"/>
        <v>13</v>
      </c>
      <c r="R12" s="4">
        <f t="shared" si="1"/>
        <v>0.18840579710144928</v>
      </c>
      <c r="S12">
        <v>69</v>
      </c>
      <c r="T12">
        <f t="shared" si="2"/>
        <v>56</v>
      </c>
    </row>
    <row r="13" spans="1:20" x14ac:dyDescent="0.3">
      <c r="A13" s="2" t="s">
        <v>5753</v>
      </c>
      <c r="B13">
        <v>34</v>
      </c>
      <c r="C13">
        <v>7</v>
      </c>
      <c r="D13">
        <v>14</v>
      </c>
      <c r="F13">
        <v>44</v>
      </c>
      <c r="H13">
        <v>99</v>
      </c>
      <c r="K13" s="2" t="s">
        <v>5753</v>
      </c>
      <c r="M13">
        <v>44</v>
      </c>
      <c r="N13">
        <v>34</v>
      </c>
      <c r="O13">
        <v>7</v>
      </c>
      <c r="P13">
        <v>14</v>
      </c>
      <c r="Q13">
        <f t="shared" si="0"/>
        <v>21</v>
      </c>
      <c r="R13" s="4">
        <f t="shared" si="1"/>
        <v>0.21212121212121213</v>
      </c>
      <c r="S13">
        <v>99</v>
      </c>
      <c r="T13">
        <f t="shared" si="2"/>
        <v>78</v>
      </c>
    </row>
    <row r="14" spans="1:20" x14ac:dyDescent="0.3">
      <c r="A14" s="2" t="s">
        <v>5754</v>
      </c>
      <c r="B14">
        <v>9</v>
      </c>
      <c r="C14">
        <v>5</v>
      </c>
      <c r="D14">
        <v>4</v>
      </c>
      <c r="F14">
        <v>23</v>
      </c>
      <c r="H14">
        <v>41</v>
      </c>
      <c r="K14" s="2" t="s">
        <v>5754</v>
      </c>
      <c r="M14">
        <v>23</v>
      </c>
      <c r="N14">
        <v>9</v>
      </c>
      <c r="O14">
        <v>5</v>
      </c>
      <c r="P14">
        <v>4</v>
      </c>
      <c r="Q14">
        <f t="shared" si="0"/>
        <v>9</v>
      </c>
      <c r="R14" s="4">
        <f t="shared" si="1"/>
        <v>0.21951219512195122</v>
      </c>
      <c r="S14">
        <v>41</v>
      </c>
      <c r="T14">
        <f t="shared" si="2"/>
        <v>32</v>
      </c>
    </row>
    <row r="15" spans="1:20" x14ac:dyDescent="0.3">
      <c r="A15" s="2" t="s">
        <v>5755</v>
      </c>
      <c r="B15">
        <v>5</v>
      </c>
      <c r="C15">
        <v>3</v>
      </c>
      <c r="D15">
        <v>7</v>
      </c>
      <c r="F15">
        <v>11</v>
      </c>
      <c r="H15">
        <v>26</v>
      </c>
      <c r="K15" s="2" t="s">
        <v>5755</v>
      </c>
      <c r="M15">
        <v>11</v>
      </c>
      <c r="N15">
        <v>5</v>
      </c>
      <c r="O15">
        <v>3</v>
      </c>
      <c r="P15">
        <v>7</v>
      </c>
      <c r="Q15">
        <f t="shared" si="0"/>
        <v>10</v>
      </c>
      <c r="R15" s="4">
        <f t="shared" si="1"/>
        <v>0.38461538461538464</v>
      </c>
      <c r="S15">
        <v>26</v>
      </c>
      <c r="T15">
        <f t="shared" si="2"/>
        <v>16</v>
      </c>
    </row>
    <row r="16" spans="1:20" x14ac:dyDescent="0.3">
      <c r="A16" s="2" t="s">
        <v>5756</v>
      </c>
      <c r="B16">
        <v>2</v>
      </c>
      <c r="C16">
        <v>2</v>
      </c>
      <c r="D16">
        <v>2</v>
      </c>
      <c r="F16">
        <v>4</v>
      </c>
      <c r="H16">
        <v>10</v>
      </c>
      <c r="K16" s="2" t="s">
        <v>5756</v>
      </c>
      <c r="M16">
        <v>4</v>
      </c>
      <c r="N16">
        <v>2</v>
      </c>
      <c r="O16">
        <v>2</v>
      </c>
      <c r="P16">
        <v>2</v>
      </c>
      <c r="Q16">
        <f t="shared" si="0"/>
        <v>4</v>
      </c>
      <c r="R16" s="4">
        <f t="shared" si="1"/>
        <v>0.4</v>
      </c>
      <c r="S16">
        <v>10</v>
      </c>
      <c r="T16">
        <f t="shared" si="2"/>
        <v>6</v>
      </c>
    </row>
    <row r="17" spans="1:20" x14ac:dyDescent="0.3">
      <c r="A17" s="2" t="s">
        <v>5742</v>
      </c>
      <c r="B17">
        <v>23</v>
      </c>
      <c r="C17">
        <v>15</v>
      </c>
      <c r="D17">
        <v>17</v>
      </c>
      <c r="F17">
        <v>58</v>
      </c>
      <c r="H17">
        <v>113</v>
      </c>
      <c r="K17" s="2" t="s">
        <v>5742</v>
      </c>
      <c r="M17">
        <v>58</v>
      </c>
      <c r="N17">
        <v>23</v>
      </c>
      <c r="O17">
        <v>15</v>
      </c>
      <c r="P17">
        <v>17</v>
      </c>
      <c r="Q17">
        <f t="shared" si="0"/>
        <v>32</v>
      </c>
      <c r="R17" s="4">
        <f t="shared" si="1"/>
        <v>0.2831858407079646</v>
      </c>
      <c r="S17">
        <v>113</v>
      </c>
      <c r="T17">
        <f t="shared" si="2"/>
        <v>81</v>
      </c>
    </row>
    <row r="18" spans="1:20" x14ac:dyDescent="0.3">
      <c r="A18" s="2" t="s">
        <v>5757</v>
      </c>
      <c r="B18">
        <v>2</v>
      </c>
      <c r="C18">
        <v>1</v>
      </c>
      <c r="D18">
        <v>2</v>
      </c>
      <c r="F18">
        <v>9</v>
      </c>
      <c r="H18">
        <v>14</v>
      </c>
      <c r="K18" s="2" t="s">
        <v>5757</v>
      </c>
      <c r="M18">
        <v>9</v>
      </c>
      <c r="N18">
        <v>2</v>
      </c>
      <c r="O18">
        <v>1</v>
      </c>
      <c r="P18">
        <v>2</v>
      </c>
      <c r="Q18">
        <f t="shared" si="0"/>
        <v>3</v>
      </c>
      <c r="R18" s="4">
        <f t="shared" si="1"/>
        <v>0.21428571428571427</v>
      </c>
      <c r="S18">
        <v>14</v>
      </c>
      <c r="T18">
        <f t="shared" si="2"/>
        <v>11</v>
      </c>
    </row>
    <row r="19" spans="1:20" x14ac:dyDescent="0.3">
      <c r="A19" s="2" t="s">
        <v>5739</v>
      </c>
      <c r="B19">
        <v>13</v>
      </c>
      <c r="C19">
        <v>6</v>
      </c>
      <c r="D19">
        <v>9</v>
      </c>
      <c r="F19">
        <v>26</v>
      </c>
      <c r="H19">
        <v>54</v>
      </c>
      <c r="K19" s="2" t="s">
        <v>5739</v>
      </c>
      <c r="M19">
        <v>26</v>
      </c>
      <c r="N19">
        <v>13</v>
      </c>
      <c r="O19">
        <v>6</v>
      </c>
      <c r="P19">
        <v>9</v>
      </c>
      <c r="Q19">
        <f t="shared" si="0"/>
        <v>15</v>
      </c>
      <c r="R19" s="4">
        <f t="shared" si="1"/>
        <v>0.27777777777777779</v>
      </c>
      <c r="S19">
        <v>54</v>
      </c>
      <c r="T19">
        <f t="shared" si="2"/>
        <v>39</v>
      </c>
    </row>
    <row r="20" spans="1:20" x14ac:dyDescent="0.3">
      <c r="A20" s="2" t="s">
        <v>5741</v>
      </c>
      <c r="B20">
        <v>19</v>
      </c>
      <c r="C20">
        <v>9</v>
      </c>
      <c r="D20">
        <v>6</v>
      </c>
      <c r="F20">
        <v>18</v>
      </c>
      <c r="G20">
        <v>1</v>
      </c>
      <c r="H20">
        <v>53</v>
      </c>
      <c r="K20" s="2" t="s">
        <v>5741</v>
      </c>
      <c r="L20">
        <v>1</v>
      </c>
      <c r="M20">
        <v>18</v>
      </c>
      <c r="N20">
        <v>19</v>
      </c>
      <c r="O20">
        <v>9</v>
      </c>
      <c r="P20">
        <v>6</v>
      </c>
      <c r="Q20">
        <f t="shared" si="0"/>
        <v>15</v>
      </c>
      <c r="R20" s="4">
        <f t="shared" si="1"/>
        <v>0.28301886792452829</v>
      </c>
      <c r="S20">
        <v>53</v>
      </c>
      <c r="T20">
        <f t="shared" si="2"/>
        <v>38</v>
      </c>
    </row>
    <row r="21" spans="1:20" x14ac:dyDescent="0.3">
      <c r="A21" s="2" t="s">
        <v>5752</v>
      </c>
      <c r="B21">
        <v>11</v>
      </c>
      <c r="C21">
        <v>6</v>
      </c>
      <c r="D21">
        <v>10</v>
      </c>
      <c r="F21">
        <v>36</v>
      </c>
      <c r="H21">
        <v>63</v>
      </c>
      <c r="K21" s="2" t="s">
        <v>5752</v>
      </c>
      <c r="M21">
        <v>36</v>
      </c>
      <c r="N21">
        <v>11</v>
      </c>
      <c r="O21">
        <v>6</v>
      </c>
      <c r="P21">
        <v>10</v>
      </c>
      <c r="Q21">
        <f t="shared" si="0"/>
        <v>16</v>
      </c>
      <c r="R21" s="4">
        <f t="shared" si="1"/>
        <v>0.25396825396825395</v>
      </c>
      <c r="S21">
        <v>63</v>
      </c>
      <c r="T21">
        <f t="shared" si="2"/>
        <v>47</v>
      </c>
    </row>
    <row r="22" spans="1:20" x14ac:dyDescent="0.3">
      <c r="A22" s="2" t="s">
        <v>5749</v>
      </c>
      <c r="B22">
        <v>12</v>
      </c>
      <c r="D22">
        <v>4</v>
      </c>
      <c r="F22">
        <v>20</v>
      </c>
      <c r="G22">
        <v>1</v>
      </c>
      <c r="H22">
        <v>37</v>
      </c>
      <c r="K22" s="2" t="s">
        <v>5749</v>
      </c>
      <c r="L22">
        <v>1</v>
      </c>
      <c r="M22">
        <v>20</v>
      </c>
      <c r="N22">
        <v>12</v>
      </c>
      <c r="P22">
        <v>4</v>
      </c>
      <c r="Q22">
        <f t="shared" si="0"/>
        <v>4</v>
      </c>
      <c r="R22" s="4">
        <f t="shared" si="1"/>
        <v>0.10810810810810811</v>
      </c>
      <c r="S22">
        <v>37</v>
      </c>
      <c r="T22">
        <f t="shared" si="2"/>
        <v>33</v>
      </c>
    </row>
    <row r="23" spans="1:20" x14ac:dyDescent="0.3">
      <c r="A23" s="2" t="s">
        <v>5758</v>
      </c>
      <c r="B23">
        <v>6</v>
      </c>
      <c r="C23">
        <v>10</v>
      </c>
      <c r="D23">
        <v>4</v>
      </c>
      <c r="F23">
        <v>16</v>
      </c>
      <c r="H23">
        <v>36</v>
      </c>
      <c r="K23" s="2" t="s">
        <v>5758</v>
      </c>
      <c r="M23">
        <v>16</v>
      </c>
      <c r="N23">
        <v>6</v>
      </c>
      <c r="O23">
        <v>10</v>
      </c>
      <c r="P23">
        <v>4</v>
      </c>
      <c r="Q23">
        <f t="shared" si="0"/>
        <v>14</v>
      </c>
      <c r="R23" s="4">
        <f t="shared" si="1"/>
        <v>0.3888888888888889</v>
      </c>
      <c r="S23">
        <v>36</v>
      </c>
      <c r="T23">
        <f t="shared" si="2"/>
        <v>22</v>
      </c>
    </row>
    <row r="24" spans="1:20" x14ac:dyDescent="0.3">
      <c r="A24" s="2" t="s">
        <v>5759</v>
      </c>
      <c r="B24">
        <v>9</v>
      </c>
      <c r="C24">
        <v>5</v>
      </c>
      <c r="D24">
        <v>1</v>
      </c>
      <c r="F24">
        <v>7</v>
      </c>
      <c r="H24">
        <v>22</v>
      </c>
      <c r="K24" s="2" t="s">
        <v>5759</v>
      </c>
      <c r="M24">
        <v>7</v>
      </c>
      <c r="N24">
        <v>9</v>
      </c>
      <c r="O24">
        <v>5</v>
      </c>
      <c r="P24">
        <v>1</v>
      </c>
      <c r="Q24">
        <f t="shared" si="0"/>
        <v>6</v>
      </c>
      <c r="R24" s="4">
        <f t="shared" si="1"/>
        <v>0.27272727272727271</v>
      </c>
      <c r="S24">
        <v>22</v>
      </c>
      <c r="T24">
        <f t="shared" si="2"/>
        <v>16</v>
      </c>
    </row>
    <row r="25" spans="1:20" x14ac:dyDescent="0.3">
      <c r="A25" s="2" t="s">
        <v>5745</v>
      </c>
      <c r="B25">
        <v>5</v>
      </c>
      <c r="C25">
        <v>4</v>
      </c>
      <c r="D25">
        <v>6</v>
      </c>
      <c r="F25">
        <v>21</v>
      </c>
      <c r="H25">
        <v>36</v>
      </c>
      <c r="K25" s="2" t="s">
        <v>5745</v>
      </c>
      <c r="M25">
        <v>21</v>
      </c>
      <c r="N25">
        <v>5</v>
      </c>
      <c r="O25">
        <v>4</v>
      </c>
      <c r="P25">
        <v>6</v>
      </c>
      <c r="Q25">
        <f t="shared" si="0"/>
        <v>10</v>
      </c>
      <c r="R25" s="4">
        <f t="shared" si="1"/>
        <v>0.27777777777777779</v>
      </c>
      <c r="S25">
        <v>36</v>
      </c>
      <c r="T25">
        <f t="shared" si="2"/>
        <v>26</v>
      </c>
    </row>
    <row r="26" spans="1:20" x14ac:dyDescent="0.3">
      <c r="A26" s="2" t="s">
        <v>5750</v>
      </c>
      <c r="B26">
        <v>22</v>
      </c>
      <c r="C26">
        <v>6</v>
      </c>
      <c r="D26">
        <v>2</v>
      </c>
      <c r="F26">
        <v>32</v>
      </c>
      <c r="H26">
        <v>62</v>
      </c>
      <c r="K26" s="2" t="s">
        <v>5750</v>
      </c>
      <c r="M26">
        <v>32</v>
      </c>
      <c r="N26">
        <v>22</v>
      </c>
      <c r="O26">
        <v>6</v>
      </c>
      <c r="P26">
        <v>2</v>
      </c>
      <c r="Q26">
        <f t="shared" si="0"/>
        <v>8</v>
      </c>
      <c r="R26" s="4">
        <f t="shared" si="1"/>
        <v>0.12903225806451613</v>
      </c>
      <c r="S26">
        <v>62</v>
      </c>
      <c r="T26">
        <f t="shared" si="2"/>
        <v>54</v>
      </c>
    </row>
    <row r="27" spans="1:20" x14ac:dyDescent="0.3">
      <c r="A27" s="2" t="s">
        <v>5747</v>
      </c>
      <c r="B27">
        <v>19</v>
      </c>
      <c r="C27">
        <v>8</v>
      </c>
      <c r="D27">
        <v>5</v>
      </c>
      <c r="F27">
        <v>25</v>
      </c>
      <c r="G27">
        <v>1</v>
      </c>
      <c r="H27">
        <v>58</v>
      </c>
      <c r="K27" s="2" t="s">
        <v>5747</v>
      </c>
      <c r="L27">
        <v>1</v>
      </c>
      <c r="M27">
        <v>25</v>
      </c>
      <c r="N27">
        <v>19</v>
      </c>
      <c r="O27">
        <v>8</v>
      </c>
      <c r="P27">
        <v>5</v>
      </c>
      <c r="Q27">
        <f t="shared" si="0"/>
        <v>13</v>
      </c>
      <c r="R27" s="4">
        <f t="shared" si="1"/>
        <v>0.22413793103448276</v>
      </c>
      <c r="S27">
        <v>58</v>
      </c>
      <c r="T27">
        <f t="shared" si="2"/>
        <v>45</v>
      </c>
    </row>
    <row r="28" spans="1:20" x14ac:dyDescent="0.3">
      <c r="A28" s="2" t="s">
        <v>5760</v>
      </c>
      <c r="B28">
        <v>6</v>
      </c>
      <c r="C28">
        <v>6</v>
      </c>
      <c r="D28">
        <v>5</v>
      </c>
      <c r="F28">
        <v>30</v>
      </c>
      <c r="H28">
        <v>47</v>
      </c>
      <c r="K28" s="2" t="s">
        <v>5760</v>
      </c>
      <c r="M28">
        <v>30</v>
      </c>
      <c r="N28">
        <v>6</v>
      </c>
      <c r="O28">
        <v>6</v>
      </c>
      <c r="P28">
        <v>5</v>
      </c>
      <c r="Q28">
        <f t="shared" si="0"/>
        <v>11</v>
      </c>
      <c r="R28" s="4">
        <f t="shared" si="1"/>
        <v>0.23404255319148937</v>
      </c>
      <c r="S28">
        <v>47</v>
      </c>
      <c r="T28">
        <f t="shared" si="2"/>
        <v>36</v>
      </c>
    </row>
    <row r="29" spans="1:20" x14ac:dyDescent="0.3">
      <c r="A29" s="2" t="s">
        <v>5740</v>
      </c>
      <c r="B29">
        <v>17</v>
      </c>
      <c r="C29">
        <v>4</v>
      </c>
      <c r="D29">
        <v>8</v>
      </c>
      <c r="F29">
        <v>50</v>
      </c>
      <c r="H29">
        <v>79</v>
      </c>
      <c r="K29" s="2" t="s">
        <v>5740</v>
      </c>
      <c r="M29">
        <v>50</v>
      </c>
      <c r="N29">
        <v>17</v>
      </c>
      <c r="O29">
        <v>4</v>
      </c>
      <c r="P29">
        <v>8</v>
      </c>
      <c r="Q29">
        <f t="shared" si="0"/>
        <v>12</v>
      </c>
      <c r="R29" s="4">
        <f t="shared" si="1"/>
        <v>0.15189873417721519</v>
      </c>
      <c r="S29">
        <v>79</v>
      </c>
      <c r="T29">
        <f t="shared" si="2"/>
        <v>67</v>
      </c>
    </row>
    <row r="30" spans="1:20" x14ac:dyDescent="0.3">
      <c r="A30" s="2" t="s">
        <v>5761</v>
      </c>
      <c r="B30">
        <v>15</v>
      </c>
      <c r="C30">
        <v>5</v>
      </c>
      <c r="D30">
        <v>5</v>
      </c>
      <c r="F30">
        <v>26</v>
      </c>
      <c r="H30">
        <v>51</v>
      </c>
      <c r="K30" s="2" t="s">
        <v>5761</v>
      </c>
      <c r="M30">
        <v>26</v>
      </c>
      <c r="N30">
        <v>15</v>
      </c>
      <c r="O30">
        <v>5</v>
      </c>
      <c r="P30">
        <v>5</v>
      </c>
      <c r="Q30">
        <f t="shared" si="0"/>
        <v>10</v>
      </c>
      <c r="R30" s="4">
        <f t="shared" si="1"/>
        <v>0.19607843137254902</v>
      </c>
      <c r="S30">
        <v>51</v>
      </c>
      <c r="T30">
        <f t="shared" si="2"/>
        <v>41</v>
      </c>
    </row>
    <row r="31" spans="1:20" x14ac:dyDescent="0.3">
      <c r="A31" s="2" t="s">
        <v>5765</v>
      </c>
    </row>
    <row r="32" spans="1:20" x14ac:dyDescent="0.3">
      <c r="A32" s="2" t="s">
        <v>5766</v>
      </c>
      <c r="B32">
        <v>707</v>
      </c>
      <c r="C32">
        <v>381</v>
      </c>
      <c r="D32">
        <v>492</v>
      </c>
      <c r="F32">
        <v>1248</v>
      </c>
      <c r="G32">
        <v>6</v>
      </c>
      <c r="H32">
        <v>2834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7FF3-7A98-4750-8E0C-36AA3E1CA7B9}">
  <dimension ref="A3:S32"/>
  <sheetViews>
    <sheetView tabSelected="1" workbookViewId="0">
      <selection activeCell="S30" sqref="M4:S30"/>
    </sheetView>
  </sheetViews>
  <sheetFormatPr defaultRowHeight="14.4" x14ac:dyDescent="0.3"/>
  <cols>
    <col min="1" max="1" width="21.33203125" bestFit="1" customWidth="1"/>
    <col min="2" max="2" width="16.33203125" bestFit="1" customWidth="1"/>
    <col min="3" max="3" width="6" bestFit="1" customWidth="1"/>
    <col min="4" max="5" width="7.77734375" bestFit="1" customWidth="1"/>
    <col min="6" max="6" width="8.77734375" bestFit="1" customWidth="1"/>
    <col min="7" max="7" width="6.77734375" bestFit="1" customWidth="1"/>
    <col min="8" max="8" width="7.109375" bestFit="1" customWidth="1"/>
    <col min="9" max="9" width="11" bestFit="1" customWidth="1"/>
    <col min="10" max="11" width="3" bestFit="1" customWidth="1"/>
    <col min="12" max="12" width="3" customWidth="1"/>
    <col min="13" max="13" width="11.77734375" bestFit="1" customWidth="1"/>
    <col min="14" max="14" width="4" bestFit="1" customWidth="1"/>
    <col min="15" max="15" width="6.77734375" bestFit="1" customWidth="1"/>
    <col min="16" max="17" width="7.77734375" bestFit="1" customWidth="1"/>
    <col min="18" max="18" width="8.77734375" bestFit="1" customWidth="1"/>
    <col min="19" max="19" width="6" bestFit="1" customWidth="1"/>
    <col min="24" max="51" width="3" bestFit="1" customWidth="1"/>
    <col min="52" max="159" width="4" bestFit="1" customWidth="1"/>
    <col min="160" max="181" width="5" bestFit="1" customWidth="1"/>
    <col min="182" max="186" width="6" bestFit="1" customWidth="1"/>
    <col min="187" max="187" width="7.109375" bestFit="1" customWidth="1"/>
    <col min="188" max="188" width="11" bestFit="1" customWidth="1"/>
  </cols>
  <sheetData>
    <row r="3" spans="1:19" x14ac:dyDescent="0.3">
      <c r="A3" s="1" t="s">
        <v>5797</v>
      </c>
      <c r="B3" s="1" t="s">
        <v>5768</v>
      </c>
    </row>
    <row r="4" spans="1:19" x14ac:dyDescent="0.3">
      <c r="A4" s="1" t="s">
        <v>5764</v>
      </c>
      <c r="B4" t="s">
        <v>5783</v>
      </c>
      <c r="C4" t="s">
        <v>5784</v>
      </c>
      <c r="D4" t="s">
        <v>5785</v>
      </c>
      <c r="E4" t="s">
        <v>5786</v>
      </c>
      <c r="F4" t="s">
        <v>5787</v>
      </c>
      <c r="G4" t="s">
        <v>5788</v>
      </c>
      <c r="H4" t="s">
        <v>5765</v>
      </c>
      <c r="I4" t="s">
        <v>5766</v>
      </c>
      <c r="M4" s="3" t="s">
        <v>5764</v>
      </c>
      <c r="N4" s="3" t="s">
        <v>5783</v>
      </c>
      <c r="O4" s="3" t="s">
        <v>5788</v>
      </c>
      <c r="P4" s="3" t="s">
        <v>5785</v>
      </c>
      <c r="Q4" s="3" t="s">
        <v>5786</v>
      </c>
      <c r="R4" s="3" t="s">
        <v>5787</v>
      </c>
      <c r="S4" s="3" t="s">
        <v>5784</v>
      </c>
    </row>
    <row r="5" spans="1:19" x14ac:dyDescent="0.3">
      <c r="A5" s="2" t="s">
        <v>5762</v>
      </c>
      <c r="B5" s="6">
        <v>5</v>
      </c>
      <c r="C5" s="6"/>
      <c r="D5" s="6">
        <v>10</v>
      </c>
      <c r="E5" s="6">
        <v>2</v>
      </c>
      <c r="F5" s="6"/>
      <c r="G5" s="6">
        <v>15</v>
      </c>
      <c r="H5" s="6"/>
      <c r="I5" s="6">
        <v>32</v>
      </c>
      <c r="M5" s="2" t="s">
        <v>5762</v>
      </c>
      <c r="N5" s="6">
        <v>5</v>
      </c>
      <c r="O5" s="6">
        <v>15</v>
      </c>
      <c r="P5" s="6">
        <v>10</v>
      </c>
      <c r="Q5" s="6">
        <v>2</v>
      </c>
      <c r="R5" s="6"/>
      <c r="S5" s="6"/>
    </row>
    <row r="6" spans="1:19" x14ac:dyDescent="0.3">
      <c r="A6" s="2" t="s">
        <v>5748</v>
      </c>
      <c r="B6" s="6">
        <v>7</v>
      </c>
      <c r="C6" s="6"/>
      <c r="D6" s="6">
        <v>5</v>
      </c>
      <c r="E6" s="6">
        <v>4</v>
      </c>
      <c r="F6" s="6">
        <v>2</v>
      </c>
      <c r="G6" s="6">
        <v>19</v>
      </c>
      <c r="H6" s="6"/>
      <c r="I6" s="6">
        <v>37</v>
      </c>
      <c r="M6" s="2" t="s">
        <v>5748</v>
      </c>
      <c r="N6" s="6">
        <v>7</v>
      </c>
      <c r="O6" s="6">
        <v>19</v>
      </c>
      <c r="P6" s="6">
        <v>5</v>
      </c>
      <c r="Q6" s="6">
        <v>4</v>
      </c>
      <c r="R6" s="6">
        <v>2</v>
      </c>
      <c r="S6" s="6"/>
    </row>
    <row r="7" spans="1:19" x14ac:dyDescent="0.3">
      <c r="A7" s="2" t="s">
        <v>5746</v>
      </c>
      <c r="B7" s="6">
        <v>4</v>
      </c>
      <c r="C7" s="6"/>
      <c r="D7" s="6">
        <v>16</v>
      </c>
      <c r="E7" s="6">
        <v>7</v>
      </c>
      <c r="F7" s="6">
        <v>2</v>
      </c>
      <c r="G7" s="6">
        <v>29</v>
      </c>
      <c r="H7" s="6"/>
      <c r="I7" s="6">
        <v>58</v>
      </c>
      <c r="M7" s="2" t="s">
        <v>5746</v>
      </c>
      <c r="N7" s="6">
        <v>4</v>
      </c>
      <c r="O7" s="6">
        <v>29</v>
      </c>
      <c r="P7" s="6">
        <v>16</v>
      </c>
      <c r="Q7" s="6">
        <v>7</v>
      </c>
      <c r="R7" s="6">
        <v>2</v>
      </c>
      <c r="S7" s="6"/>
    </row>
    <row r="8" spans="1:19" x14ac:dyDescent="0.3">
      <c r="A8" s="2" t="s">
        <v>5738</v>
      </c>
      <c r="B8" s="6">
        <v>59</v>
      </c>
      <c r="C8" s="6">
        <v>10</v>
      </c>
      <c r="D8" s="6">
        <v>63</v>
      </c>
      <c r="E8" s="6">
        <v>19</v>
      </c>
      <c r="F8" s="6">
        <v>13</v>
      </c>
      <c r="G8" s="6">
        <v>149</v>
      </c>
      <c r="H8" s="6"/>
      <c r="I8" s="6">
        <v>313</v>
      </c>
      <c r="M8" s="2" t="s">
        <v>5738</v>
      </c>
      <c r="N8" s="6">
        <v>59</v>
      </c>
      <c r="O8" s="6">
        <v>149</v>
      </c>
      <c r="P8" s="6">
        <v>63</v>
      </c>
      <c r="Q8" s="6">
        <v>19</v>
      </c>
      <c r="R8" s="6">
        <v>13</v>
      </c>
      <c r="S8" s="6">
        <v>10</v>
      </c>
    </row>
    <row r="9" spans="1:19" x14ac:dyDescent="0.3">
      <c r="A9" s="2" t="s">
        <v>5743</v>
      </c>
      <c r="B9" s="6">
        <v>14</v>
      </c>
      <c r="C9" s="6">
        <v>1</v>
      </c>
      <c r="D9" s="6">
        <v>11</v>
      </c>
      <c r="E9" s="6">
        <v>1</v>
      </c>
      <c r="F9" s="6"/>
      <c r="G9" s="6">
        <v>35</v>
      </c>
      <c r="H9" s="6"/>
      <c r="I9" s="6">
        <v>62</v>
      </c>
      <c r="M9" s="2" t="s">
        <v>5743</v>
      </c>
      <c r="N9" s="6">
        <v>14</v>
      </c>
      <c r="O9" s="6">
        <v>35</v>
      </c>
      <c r="P9" s="6">
        <v>11</v>
      </c>
      <c r="Q9" s="6">
        <v>1</v>
      </c>
      <c r="R9" s="6"/>
      <c r="S9" s="6">
        <v>1</v>
      </c>
    </row>
    <row r="10" spans="1:19" x14ac:dyDescent="0.3">
      <c r="A10" s="2" t="s">
        <v>5737</v>
      </c>
      <c r="B10" s="6">
        <v>232</v>
      </c>
      <c r="C10" s="6">
        <v>47</v>
      </c>
      <c r="D10" s="6">
        <v>245</v>
      </c>
      <c r="E10" s="6">
        <v>104</v>
      </c>
      <c r="F10" s="6">
        <v>51</v>
      </c>
      <c r="G10" s="6">
        <v>528</v>
      </c>
      <c r="H10" s="6"/>
      <c r="I10" s="6">
        <v>1207</v>
      </c>
      <c r="M10" s="2" t="s">
        <v>5737</v>
      </c>
      <c r="N10" s="6">
        <v>232</v>
      </c>
      <c r="O10" s="6">
        <v>528</v>
      </c>
      <c r="P10" s="6">
        <v>245</v>
      </c>
      <c r="Q10" s="6">
        <v>104</v>
      </c>
      <c r="R10" s="6">
        <v>51</v>
      </c>
      <c r="S10" s="6">
        <v>47</v>
      </c>
    </row>
    <row r="11" spans="1:19" x14ac:dyDescent="0.3">
      <c r="A11" s="2" t="s">
        <v>5744</v>
      </c>
      <c r="B11" s="6">
        <v>30</v>
      </c>
      <c r="C11" s="6">
        <v>3</v>
      </c>
      <c r="D11" s="6">
        <v>34</v>
      </c>
      <c r="E11" s="6">
        <v>9</v>
      </c>
      <c r="F11" s="6">
        <v>5</v>
      </c>
      <c r="G11" s="6">
        <v>74</v>
      </c>
      <c r="H11" s="6"/>
      <c r="I11" s="6">
        <v>155</v>
      </c>
      <c r="M11" s="2" t="s">
        <v>5744</v>
      </c>
      <c r="N11" s="6">
        <v>30</v>
      </c>
      <c r="O11" s="6">
        <v>74</v>
      </c>
      <c r="P11" s="6">
        <v>34</v>
      </c>
      <c r="Q11" s="6">
        <v>9</v>
      </c>
      <c r="R11" s="6">
        <v>5</v>
      </c>
      <c r="S11" s="6">
        <v>3</v>
      </c>
    </row>
    <row r="12" spans="1:19" x14ac:dyDescent="0.3">
      <c r="A12" s="2" t="s">
        <v>5751</v>
      </c>
      <c r="B12" s="6">
        <v>11</v>
      </c>
      <c r="C12" s="6">
        <v>1</v>
      </c>
      <c r="D12" s="6">
        <v>11</v>
      </c>
      <c r="E12" s="6">
        <v>3</v>
      </c>
      <c r="F12" s="6">
        <v>1</v>
      </c>
      <c r="G12" s="6">
        <v>42</v>
      </c>
      <c r="H12" s="6"/>
      <c r="I12" s="6">
        <v>69</v>
      </c>
      <c r="M12" s="2" t="s">
        <v>5751</v>
      </c>
      <c r="N12" s="6">
        <v>11</v>
      </c>
      <c r="O12" s="6">
        <v>42</v>
      </c>
      <c r="P12" s="6">
        <v>11</v>
      </c>
      <c r="Q12" s="6">
        <v>3</v>
      </c>
      <c r="R12" s="6">
        <v>1</v>
      </c>
      <c r="S12" s="6">
        <v>1</v>
      </c>
    </row>
    <row r="13" spans="1:19" x14ac:dyDescent="0.3">
      <c r="A13" s="2" t="s">
        <v>5753</v>
      </c>
      <c r="B13" s="6">
        <v>15</v>
      </c>
      <c r="C13" s="6">
        <v>1</v>
      </c>
      <c r="D13" s="6">
        <v>20</v>
      </c>
      <c r="E13" s="6">
        <v>4</v>
      </c>
      <c r="F13" s="6">
        <v>2</v>
      </c>
      <c r="G13" s="6">
        <v>57</v>
      </c>
      <c r="H13" s="6"/>
      <c r="I13" s="6">
        <v>99</v>
      </c>
      <c r="M13" s="2" t="s">
        <v>5753</v>
      </c>
      <c r="N13" s="6">
        <v>15</v>
      </c>
      <c r="O13" s="6">
        <v>57</v>
      </c>
      <c r="P13" s="6">
        <v>20</v>
      </c>
      <c r="Q13" s="6">
        <v>4</v>
      </c>
      <c r="R13" s="6">
        <v>2</v>
      </c>
      <c r="S13" s="6">
        <v>1</v>
      </c>
    </row>
    <row r="14" spans="1:19" x14ac:dyDescent="0.3">
      <c r="A14" s="2" t="s">
        <v>5754</v>
      </c>
      <c r="B14" s="6">
        <v>7</v>
      </c>
      <c r="C14" s="6"/>
      <c r="D14" s="6">
        <v>5</v>
      </c>
      <c r="E14" s="6">
        <v>2</v>
      </c>
      <c r="F14" s="6">
        <v>1</v>
      </c>
      <c r="G14" s="6">
        <v>26</v>
      </c>
      <c r="H14" s="6"/>
      <c r="I14" s="6">
        <v>41</v>
      </c>
      <c r="M14" s="2" t="s">
        <v>5754</v>
      </c>
      <c r="N14" s="6">
        <v>7</v>
      </c>
      <c r="O14" s="6">
        <v>26</v>
      </c>
      <c r="P14" s="6">
        <v>5</v>
      </c>
      <c r="Q14" s="6">
        <v>2</v>
      </c>
      <c r="R14" s="6">
        <v>1</v>
      </c>
      <c r="S14" s="6"/>
    </row>
    <row r="15" spans="1:19" x14ac:dyDescent="0.3">
      <c r="A15" s="2" t="s">
        <v>5755</v>
      </c>
      <c r="B15" s="6">
        <v>7</v>
      </c>
      <c r="C15" s="6"/>
      <c r="D15" s="6">
        <v>8</v>
      </c>
      <c r="E15" s="6">
        <v>1</v>
      </c>
      <c r="F15" s="6">
        <v>1</v>
      </c>
      <c r="G15" s="6">
        <v>9</v>
      </c>
      <c r="H15" s="6"/>
      <c r="I15" s="6">
        <v>26</v>
      </c>
      <c r="M15" s="2" t="s">
        <v>5755</v>
      </c>
      <c r="N15" s="6">
        <v>7</v>
      </c>
      <c r="O15" s="6">
        <v>9</v>
      </c>
      <c r="P15" s="6">
        <v>8</v>
      </c>
      <c r="Q15" s="6">
        <v>1</v>
      </c>
      <c r="R15" s="6">
        <v>1</v>
      </c>
      <c r="S15" s="6"/>
    </row>
    <row r="16" spans="1:19" x14ac:dyDescent="0.3">
      <c r="A16" s="2" t="s">
        <v>5756</v>
      </c>
      <c r="B16" s="6">
        <v>3</v>
      </c>
      <c r="C16" s="6"/>
      <c r="D16" s="6">
        <v>2</v>
      </c>
      <c r="E16" s="6">
        <v>2</v>
      </c>
      <c r="F16" s="6"/>
      <c r="G16" s="6">
        <v>3</v>
      </c>
      <c r="H16" s="6"/>
      <c r="I16" s="6">
        <v>10</v>
      </c>
      <c r="M16" s="2" t="s">
        <v>5756</v>
      </c>
      <c r="N16" s="6">
        <v>3</v>
      </c>
      <c r="O16" s="6">
        <v>3</v>
      </c>
      <c r="P16" s="6">
        <v>2</v>
      </c>
      <c r="Q16" s="6">
        <v>2</v>
      </c>
      <c r="R16" s="6"/>
      <c r="S16" s="6"/>
    </row>
    <row r="17" spans="1:19" x14ac:dyDescent="0.3">
      <c r="A17" s="2" t="s">
        <v>5742</v>
      </c>
      <c r="B17" s="6">
        <v>28</v>
      </c>
      <c r="C17" s="6">
        <v>2</v>
      </c>
      <c r="D17" s="6">
        <v>20</v>
      </c>
      <c r="E17" s="6">
        <v>8</v>
      </c>
      <c r="F17" s="6">
        <v>5</v>
      </c>
      <c r="G17" s="6">
        <v>50</v>
      </c>
      <c r="H17" s="6"/>
      <c r="I17" s="6">
        <v>113</v>
      </c>
      <c r="M17" s="2" t="s">
        <v>5742</v>
      </c>
      <c r="N17" s="6">
        <v>28</v>
      </c>
      <c r="O17" s="6">
        <v>50</v>
      </c>
      <c r="P17" s="6">
        <v>20</v>
      </c>
      <c r="Q17" s="6">
        <v>8</v>
      </c>
      <c r="R17" s="6">
        <v>5</v>
      </c>
      <c r="S17" s="6">
        <v>2</v>
      </c>
    </row>
    <row r="18" spans="1:19" x14ac:dyDescent="0.3">
      <c r="A18" s="2" t="s">
        <v>5757</v>
      </c>
      <c r="B18" s="6">
        <v>1</v>
      </c>
      <c r="C18" s="6"/>
      <c r="D18" s="6">
        <v>5</v>
      </c>
      <c r="E18" s="6">
        <v>1</v>
      </c>
      <c r="F18" s="6"/>
      <c r="G18" s="6">
        <v>7</v>
      </c>
      <c r="H18" s="6"/>
      <c r="I18" s="6">
        <v>14</v>
      </c>
      <c r="M18" s="2" t="s">
        <v>5757</v>
      </c>
      <c r="N18" s="6">
        <v>1</v>
      </c>
      <c r="O18" s="6">
        <v>7</v>
      </c>
      <c r="P18" s="6">
        <v>5</v>
      </c>
      <c r="Q18" s="6">
        <v>1</v>
      </c>
      <c r="R18" s="6"/>
      <c r="S18" s="6"/>
    </row>
    <row r="19" spans="1:19" x14ac:dyDescent="0.3">
      <c r="A19" s="2" t="s">
        <v>5739</v>
      </c>
      <c r="B19" s="6">
        <v>11</v>
      </c>
      <c r="C19" s="6"/>
      <c r="D19" s="6">
        <v>9</v>
      </c>
      <c r="E19" s="6">
        <v>2</v>
      </c>
      <c r="F19" s="6">
        <v>2</v>
      </c>
      <c r="G19" s="6">
        <v>30</v>
      </c>
      <c r="H19" s="6"/>
      <c r="I19" s="6">
        <v>54</v>
      </c>
      <c r="M19" s="2" t="s">
        <v>5739</v>
      </c>
      <c r="N19" s="6">
        <v>11</v>
      </c>
      <c r="O19" s="6">
        <v>30</v>
      </c>
      <c r="P19" s="6">
        <v>9</v>
      </c>
      <c r="Q19" s="6">
        <v>2</v>
      </c>
      <c r="R19" s="6">
        <v>2</v>
      </c>
      <c r="S19" s="6"/>
    </row>
    <row r="20" spans="1:19" x14ac:dyDescent="0.3">
      <c r="A20" s="2" t="s">
        <v>5741</v>
      </c>
      <c r="B20" s="6">
        <v>15</v>
      </c>
      <c r="C20" s="6">
        <v>1</v>
      </c>
      <c r="D20" s="6">
        <v>10</v>
      </c>
      <c r="E20" s="6">
        <v>4</v>
      </c>
      <c r="F20" s="6"/>
      <c r="G20" s="6">
        <v>23</v>
      </c>
      <c r="H20" s="6"/>
      <c r="I20" s="6">
        <v>53</v>
      </c>
      <c r="M20" s="2" t="s">
        <v>5741</v>
      </c>
      <c r="N20" s="6">
        <v>15</v>
      </c>
      <c r="O20" s="6">
        <v>23</v>
      </c>
      <c r="P20" s="6">
        <v>10</v>
      </c>
      <c r="Q20" s="6">
        <v>4</v>
      </c>
      <c r="R20" s="6"/>
      <c r="S20" s="6">
        <v>1</v>
      </c>
    </row>
    <row r="21" spans="1:19" x14ac:dyDescent="0.3">
      <c r="A21" s="2" t="s">
        <v>5752</v>
      </c>
      <c r="B21" s="6">
        <v>16</v>
      </c>
      <c r="C21" s="6"/>
      <c r="D21" s="6">
        <v>10</v>
      </c>
      <c r="E21" s="6">
        <v>3</v>
      </c>
      <c r="F21" s="6">
        <v>2</v>
      </c>
      <c r="G21" s="6">
        <v>32</v>
      </c>
      <c r="H21" s="6"/>
      <c r="I21" s="6">
        <v>63</v>
      </c>
      <c r="M21" s="2" t="s">
        <v>5752</v>
      </c>
      <c r="N21" s="6">
        <v>16</v>
      </c>
      <c r="O21" s="6">
        <v>32</v>
      </c>
      <c r="P21" s="6">
        <v>10</v>
      </c>
      <c r="Q21" s="6">
        <v>3</v>
      </c>
      <c r="R21" s="6">
        <v>2</v>
      </c>
      <c r="S21" s="6"/>
    </row>
    <row r="22" spans="1:19" x14ac:dyDescent="0.3">
      <c r="A22" s="2" t="s">
        <v>5749</v>
      </c>
      <c r="B22" s="6">
        <v>7</v>
      </c>
      <c r="C22" s="6"/>
      <c r="D22" s="6">
        <v>9</v>
      </c>
      <c r="E22" s="6">
        <v>3</v>
      </c>
      <c r="F22" s="6"/>
      <c r="G22" s="6">
        <v>18</v>
      </c>
      <c r="H22" s="6"/>
      <c r="I22" s="6">
        <v>37</v>
      </c>
      <c r="M22" s="2" t="s">
        <v>5749</v>
      </c>
      <c r="N22" s="6">
        <v>7</v>
      </c>
      <c r="O22" s="6">
        <v>18</v>
      </c>
      <c r="P22" s="6">
        <v>9</v>
      </c>
      <c r="Q22" s="6">
        <v>3</v>
      </c>
      <c r="R22" s="6"/>
      <c r="S22" s="6"/>
    </row>
    <row r="23" spans="1:19" x14ac:dyDescent="0.3">
      <c r="A23" s="2" t="s">
        <v>5758</v>
      </c>
      <c r="B23" s="6">
        <v>8</v>
      </c>
      <c r="C23" s="6"/>
      <c r="D23" s="6">
        <v>7</v>
      </c>
      <c r="E23" s="6">
        <v>4</v>
      </c>
      <c r="F23" s="6"/>
      <c r="G23" s="6">
        <v>17</v>
      </c>
      <c r="H23" s="6"/>
      <c r="I23" s="6">
        <v>36</v>
      </c>
      <c r="M23" s="2" t="s">
        <v>5758</v>
      </c>
      <c r="N23" s="6">
        <v>8</v>
      </c>
      <c r="O23" s="6">
        <v>17</v>
      </c>
      <c r="P23" s="6">
        <v>7</v>
      </c>
      <c r="Q23" s="6">
        <v>4</v>
      </c>
      <c r="R23" s="6"/>
      <c r="S23" s="6"/>
    </row>
    <row r="24" spans="1:19" x14ac:dyDescent="0.3">
      <c r="A24" s="2" t="s">
        <v>5759</v>
      </c>
      <c r="B24" s="6">
        <v>5</v>
      </c>
      <c r="C24" s="6"/>
      <c r="D24" s="6">
        <v>5</v>
      </c>
      <c r="E24" s="6">
        <v>1</v>
      </c>
      <c r="F24" s="6"/>
      <c r="G24" s="6">
        <v>11</v>
      </c>
      <c r="H24" s="6"/>
      <c r="I24" s="6">
        <v>22</v>
      </c>
      <c r="M24" s="2" t="s">
        <v>5759</v>
      </c>
      <c r="N24" s="6">
        <v>5</v>
      </c>
      <c r="O24" s="6">
        <v>11</v>
      </c>
      <c r="P24" s="6">
        <v>5</v>
      </c>
      <c r="Q24" s="6">
        <v>1</v>
      </c>
      <c r="R24" s="6"/>
      <c r="S24" s="6"/>
    </row>
    <row r="25" spans="1:19" x14ac:dyDescent="0.3">
      <c r="A25" s="2" t="s">
        <v>5745</v>
      </c>
      <c r="B25" s="6">
        <v>4</v>
      </c>
      <c r="C25" s="6"/>
      <c r="D25" s="6">
        <v>4</v>
      </c>
      <c r="E25" s="6">
        <v>2</v>
      </c>
      <c r="F25" s="6">
        <v>1</v>
      </c>
      <c r="G25" s="6">
        <v>25</v>
      </c>
      <c r="H25" s="6"/>
      <c r="I25" s="6">
        <v>36</v>
      </c>
      <c r="M25" s="2" t="s">
        <v>5745</v>
      </c>
      <c r="N25" s="6">
        <v>4</v>
      </c>
      <c r="O25" s="6">
        <v>25</v>
      </c>
      <c r="P25" s="6">
        <v>4</v>
      </c>
      <c r="Q25" s="6">
        <v>2</v>
      </c>
      <c r="R25" s="6">
        <v>1</v>
      </c>
      <c r="S25" s="6"/>
    </row>
    <row r="26" spans="1:19" x14ac:dyDescent="0.3">
      <c r="A26" s="2" t="s">
        <v>5750</v>
      </c>
      <c r="B26" s="6">
        <v>19</v>
      </c>
      <c r="C26" s="6">
        <v>1</v>
      </c>
      <c r="D26" s="6">
        <v>5</v>
      </c>
      <c r="E26" s="6">
        <v>4</v>
      </c>
      <c r="F26" s="6"/>
      <c r="G26" s="6">
        <v>33</v>
      </c>
      <c r="H26" s="6"/>
      <c r="I26" s="6">
        <v>62</v>
      </c>
      <c r="M26" s="2" t="s">
        <v>5750</v>
      </c>
      <c r="N26" s="6">
        <v>19</v>
      </c>
      <c r="O26" s="6">
        <v>33</v>
      </c>
      <c r="P26" s="6">
        <v>5</v>
      </c>
      <c r="Q26" s="6">
        <v>4</v>
      </c>
      <c r="R26" s="6"/>
      <c r="S26" s="6">
        <v>1</v>
      </c>
    </row>
    <row r="27" spans="1:19" x14ac:dyDescent="0.3">
      <c r="A27" s="2" t="s">
        <v>5747</v>
      </c>
      <c r="B27" s="6">
        <v>16</v>
      </c>
      <c r="C27" s="6">
        <v>1</v>
      </c>
      <c r="D27" s="6">
        <v>8</v>
      </c>
      <c r="E27" s="6">
        <v>4</v>
      </c>
      <c r="F27" s="6">
        <v>3</v>
      </c>
      <c r="G27" s="6">
        <v>26</v>
      </c>
      <c r="H27" s="6"/>
      <c r="I27" s="6">
        <v>58</v>
      </c>
      <c r="M27" s="2" t="s">
        <v>5747</v>
      </c>
      <c r="N27" s="6">
        <v>16</v>
      </c>
      <c r="O27" s="6">
        <v>26</v>
      </c>
      <c r="P27" s="6">
        <v>8</v>
      </c>
      <c r="Q27" s="6">
        <v>4</v>
      </c>
      <c r="R27" s="6">
        <v>3</v>
      </c>
      <c r="S27" s="6">
        <v>1</v>
      </c>
    </row>
    <row r="28" spans="1:19" x14ac:dyDescent="0.3">
      <c r="A28" s="2" t="s">
        <v>5760</v>
      </c>
      <c r="B28" s="6">
        <v>6</v>
      </c>
      <c r="C28" s="6"/>
      <c r="D28" s="6">
        <v>10</v>
      </c>
      <c r="E28" s="6">
        <v>6</v>
      </c>
      <c r="F28" s="6"/>
      <c r="G28" s="6">
        <v>25</v>
      </c>
      <c r="H28" s="6"/>
      <c r="I28" s="6">
        <v>47</v>
      </c>
      <c r="M28" s="2" t="s">
        <v>5760</v>
      </c>
      <c r="N28" s="6">
        <v>6</v>
      </c>
      <c r="O28" s="6">
        <v>25</v>
      </c>
      <c r="P28" s="6">
        <v>10</v>
      </c>
      <c r="Q28" s="6">
        <v>6</v>
      </c>
      <c r="R28" s="6"/>
      <c r="S28" s="6"/>
    </row>
    <row r="29" spans="1:19" x14ac:dyDescent="0.3">
      <c r="A29" s="2" t="s">
        <v>5740</v>
      </c>
      <c r="B29" s="6">
        <v>20</v>
      </c>
      <c r="C29" s="6"/>
      <c r="D29" s="6">
        <v>13</v>
      </c>
      <c r="E29" s="6">
        <v>7</v>
      </c>
      <c r="F29" s="6">
        <v>1</v>
      </c>
      <c r="G29" s="6">
        <v>38</v>
      </c>
      <c r="H29" s="6"/>
      <c r="I29" s="6">
        <v>79</v>
      </c>
      <c r="M29" s="2" t="s">
        <v>5740</v>
      </c>
      <c r="N29" s="6">
        <v>20</v>
      </c>
      <c r="O29" s="6">
        <v>38</v>
      </c>
      <c r="P29" s="6">
        <v>13</v>
      </c>
      <c r="Q29" s="6">
        <v>7</v>
      </c>
      <c r="R29" s="6">
        <v>1</v>
      </c>
      <c r="S29" s="6"/>
    </row>
    <row r="30" spans="1:19" x14ac:dyDescent="0.3">
      <c r="A30" s="2" t="s">
        <v>5761</v>
      </c>
      <c r="B30" s="6">
        <v>15</v>
      </c>
      <c r="C30" s="6"/>
      <c r="D30" s="6">
        <v>8</v>
      </c>
      <c r="E30" s="6">
        <v>3</v>
      </c>
      <c r="F30" s="6">
        <v>2</v>
      </c>
      <c r="G30" s="6">
        <v>23</v>
      </c>
      <c r="H30" s="6"/>
      <c r="I30" s="6">
        <v>51</v>
      </c>
      <c r="M30" s="2" t="s">
        <v>5761</v>
      </c>
      <c r="N30" s="6">
        <v>15</v>
      </c>
      <c r="O30" s="6">
        <v>23</v>
      </c>
      <c r="P30" s="6">
        <v>8</v>
      </c>
      <c r="Q30" s="6">
        <v>3</v>
      </c>
      <c r="R30" s="6">
        <v>2</v>
      </c>
      <c r="S30" s="6"/>
    </row>
    <row r="31" spans="1:19" x14ac:dyDescent="0.3">
      <c r="A31" s="2" t="s">
        <v>5765</v>
      </c>
      <c r="B31" s="6"/>
      <c r="C31" s="6"/>
      <c r="D31" s="6"/>
      <c r="E31" s="6"/>
      <c r="F31" s="6"/>
      <c r="G31" s="6"/>
      <c r="H31" s="6"/>
      <c r="I31" s="6"/>
    </row>
    <row r="32" spans="1:19" x14ac:dyDescent="0.3">
      <c r="A32" s="2" t="s">
        <v>5766</v>
      </c>
      <c r="B32" s="6">
        <v>565</v>
      </c>
      <c r="C32" s="6">
        <v>68</v>
      </c>
      <c r="D32" s="6">
        <v>553</v>
      </c>
      <c r="E32" s="6">
        <v>210</v>
      </c>
      <c r="F32" s="6">
        <v>94</v>
      </c>
      <c r="G32" s="6">
        <v>1344</v>
      </c>
      <c r="H32" s="6"/>
      <c r="I32" s="6">
        <v>2834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EAF1-1B75-4E04-B83F-B611E6B9BE36}">
  <dimension ref="A1:L2835"/>
  <sheetViews>
    <sheetView workbookViewId="0">
      <selection activeCell="D1" sqref="A1:XFD1048576"/>
    </sheetView>
  </sheetViews>
  <sheetFormatPr defaultRowHeight="14.4" x14ac:dyDescent="0.3"/>
  <cols>
    <col min="1" max="1" width="30.109375" bestFit="1" customWidth="1"/>
    <col min="2" max="2" width="11.109375" bestFit="1" customWidth="1"/>
    <col min="3" max="3" width="18.33203125" customWidth="1"/>
    <col min="4" max="4" width="255.77734375" customWidth="1"/>
    <col min="5" max="5" width="10.21875" bestFit="1" customWidth="1"/>
    <col min="6" max="6" width="11.6640625" bestFit="1" customWidth="1"/>
    <col min="7" max="7" width="128.33203125" customWidth="1"/>
    <col min="8" max="8" width="4.44140625" bestFit="1" customWidth="1"/>
    <col min="9" max="9" width="101.5546875" bestFit="1" customWidth="1"/>
    <col min="10" max="10" width="11.109375" bestFit="1" customWidth="1"/>
    <col min="11" max="11" width="14" customWidth="1"/>
  </cols>
  <sheetData>
    <row r="1" spans="1:12" x14ac:dyDescent="0.3">
      <c r="A1" t="s">
        <v>0</v>
      </c>
      <c r="B1" t="s">
        <v>1</v>
      </c>
      <c r="C1" t="s">
        <v>5775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5736</v>
      </c>
      <c r="K1" t="s">
        <v>5763</v>
      </c>
      <c r="L1" t="s">
        <v>5781</v>
      </c>
    </row>
    <row r="2" spans="1:12" x14ac:dyDescent="0.3">
      <c r="A2" t="s">
        <v>8</v>
      </c>
      <c r="B2" t="s">
        <v>9</v>
      </c>
      <c r="C2" t="s">
        <v>5780</v>
      </c>
      <c r="D2" t="s">
        <v>10</v>
      </c>
      <c r="F2" t="s">
        <v>5770</v>
      </c>
      <c r="J2" t="s">
        <v>5737</v>
      </c>
      <c r="K2">
        <v>50</v>
      </c>
      <c r="L2" t="str" cm="1">
        <f t="array" ref="L2">_xlfn.IFS(
 K2&lt;=50,"≤50",
 AND(K2&gt;=51,K2&lt;=100),"51–100",
 AND(K2&gt;=101,K2&lt;=250),"101–250",
 AND(K2&gt;=251,K2&lt;=500),"251–500",
 AND(K2&gt;=501,K2&lt;=1000),"501–1000",
 K2&gt;=1001,"1001+"
)</f>
        <v>≤50</v>
      </c>
    </row>
    <row r="3" spans="1:12" x14ac:dyDescent="0.3">
      <c r="A3" t="s">
        <v>12</v>
      </c>
      <c r="B3" t="s">
        <v>13</v>
      </c>
      <c r="C3" t="s">
        <v>5777</v>
      </c>
      <c r="D3" t="s">
        <v>14</v>
      </c>
      <c r="E3" t="s">
        <v>15</v>
      </c>
      <c r="F3" t="s">
        <v>16</v>
      </c>
      <c r="G3" t="s">
        <v>17</v>
      </c>
      <c r="J3" t="s">
        <v>5737</v>
      </c>
      <c r="K3">
        <v>50</v>
      </c>
      <c r="L3" t="str" cm="1">
        <f t="array" ref="L3">_xlfn.IFS(
 K3&lt;=50,"≤50",
 AND(K3&gt;=51,K3&lt;=100),"51–100",
 AND(K3&gt;=101,K3&lt;=250),"101–250",
 AND(K3&gt;=251,K3&lt;=500),"251–500",
 AND(K3&gt;=501,K3&lt;=1000),"501–1000",
 K3&gt;=1001,"1001+"
)</f>
        <v>≤50</v>
      </c>
    </row>
    <row r="4" spans="1:12" x14ac:dyDescent="0.3">
      <c r="A4" t="s">
        <v>18</v>
      </c>
      <c r="B4" t="s">
        <v>13</v>
      </c>
      <c r="C4" t="s">
        <v>5777</v>
      </c>
      <c r="D4" t="s">
        <v>19</v>
      </c>
      <c r="F4" t="s">
        <v>20</v>
      </c>
      <c r="G4" t="s">
        <v>21</v>
      </c>
      <c r="J4" t="s">
        <v>5737</v>
      </c>
      <c r="K4">
        <v>50</v>
      </c>
      <c r="L4" t="str" cm="1">
        <f t="array" ref="L4">_xlfn.IFS(
 K4&lt;=50,"≤50",
 AND(K4&gt;=51,K4&lt;=100),"51–100",
 AND(K4&gt;=101,K4&lt;=250),"101–250",
 AND(K4&gt;=251,K4&lt;=500),"251–500",
 AND(K4&gt;=501,K4&lt;=1000),"501–1000",
 K4&gt;=1001,"1001+"
)</f>
        <v>≤50</v>
      </c>
    </row>
    <row r="5" spans="1:12" x14ac:dyDescent="0.3">
      <c r="A5" t="s">
        <v>22</v>
      </c>
      <c r="B5" t="s">
        <v>9</v>
      </c>
      <c r="C5" t="s">
        <v>5780</v>
      </c>
      <c r="D5" t="s">
        <v>23</v>
      </c>
      <c r="E5" t="s">
        <v>15</v>
      </c>
      <c r="F5" t="s">
        <v>16</v>
      </c>
      <c r="G5" t="s">
        <v>24</v>
      </c>
      <c r="J5" t="s">
        <v>5737</v>
      </c>
      <c r="K5">
        <v>50</v>
      </c>
      <c r="L5" t="str" cm="1">
        <f t="array" ref="L5">_xlfn.IFS(
 K5&lt;=50,"≤50",
 AND(K5&gt;=51,K5&lt;=100),"51–100",
 AND(K5&gt;=101,K5&lt;=250),"101–250",
 AND(K5&gt;=251,K5&lt;=500),"251–500",
 AND(K5&gt;=501,K5&lt;=1000),"501–1000",
 K5&gt;=1001,"1001+"
)</f>
        <v>≤50</v>
      </c>
    </row>
    <row r="6" spans="1:12" x14ac:dyDescent="0.3">
      <c r="A6" t="s">
        <v>25</v>
      </c>
      <c r="B6" t="s">
        <v>13</v>
      </c>
      <c r="C6" t="s">
        <v>5777</v>
      </c>
      <c r="D6" t="s">
        <v>26</v>
      </c>
      <c r="E6" t="s">
        <v>15</v>
      </c>
      <c r="F6" t="s">
        <v>20</v>
      </c>
      <c r="G6" t="s">
        <v>21</v>
      </c>
      <c r="J6" t="s">
        <v>5737</v>
      </c>
      <c r="K6">
        <v>50</v>
      </c>
      <c r="L6" t="str" cm="1">
        <f t="array" ref="L6">_xlfn.IFS(
 K6&lt;=50,"≤50",
 AND(K6&gt;=51,K6&lt;=100),"51–100",
 AND(K6&gt;=101,K6&lt;=250),"101–250",
 AND(K6&gt;=251,K6&lt;=500),"251–500",
 AND(K6&gt;=501,K6&lt;=1000),"501–1000",
 K6&gt;=1001,"1001+"
)</f>
        <v>≤50</v>
      </c>
    </row>
    <row r="7" spans="1:12" x14ac:dyDescent="0.3">
      <c r="A7" t="s">
        <v>27</v>
      </c>
      <c r="B7" t="s">
        <v>9</v>
      </c>
      <c r="C7" t="s">
        <v>5780</v>
      </c>
      <c r="D7" t="s">
        <v>28</v>
      </c>
      <c r="F7" t="s">
        <v>5770</v>
      </c>
      <c r="J7" t="s">
        <v>5738</v>
      </c>
      <c r="K7">
        <v>50</v>
      </c>
      <c r="L7" t="str" cm="1">
        <f t="array" ref="L7">_xlfn.IFS(
 K7&lt;=50,"≤50",
 AND(K7&gt;=51,K7&lt;=100),"51–100",
 AND(K7&gt;=101,K7&lt;=250),"101–250",
 AND(K7&gt;=251,K7&lt;=500),"251–500",
 AND(K7&gt;=501,K7&lt;=1000),"501–1000",
 K7&gt;=1001,"1001+"
)</f>
        <v>≤50</v>
      </c>
    </row>
    <row r="8" spans="1:12" x14ac:dyDescent="0.3">
      <c r="A8" t="s">
        <v>29</v>
      </c>
      <c r="B8" t="s">
        <v>9</v>
      </c>
      <c r="C8" t="s">
        <v>5780</v>
      </c>
      <c r="D8" t="s">
        <v>30</v>
      </c>
      <c r="F8" t="s">
        <v>20</v>
      </c>
      <c r="G8" t="s">
        <v>31</v>
      </c>
      <c r="J8" t="s">
        <v>5737</v>
      </c>
      <c r="K8">
        <v>50</v>
      </c>
      <c r="L8" t="str" cm="1">
        <f t="array" ref="L8">_xlfn.IFS(
 K8&lt;=50,"≤50",
 AND(K8&gt;=51,K8&lt;=100),"51–100",
 AND(K8&gt;=101,K8&lt;=250),"101–250",
 AND(K8&gt;=251,K8&lt;=500),"251–500",
 AND(K8&gt;=501,K8&lt;=1000),"501–1000",
 K8&gt;=1001,"1001+"
)</f>
        <v>≤50</v>
      </c>
    </row>
    <row r="9" spans="1:12" x14ac:dyDescent="0.3">
      <c r="A9" t="s">
        <v>32</v>
      </c>
      <c r="B9" t="s">
        <v>9</v>
      </c>
      <c r="C9" t="s">
        <v>5780</v>
      </c>
      <c r="D9" t="s">
        <v>33</v>
      </c>
      <c r="F9" t="s">
        <v>5770</v>
      </c>
      <c r="J9" t="s">
        <v>5737</v>
      </c>
      <c r="K9">
        <v>50</v>
      </c>
      <c r="L9" t="str" cm="1">
        <f t="array" ref="L9">_xlfn.IFS(
 K9&lt;=50,"≤50",
 AND(K9&gt;=51,K9&lt;=100),"51–100",
 AND(K9&gt;=101,K9&lt;=250),"101–250",
 AND(K9&gt;=251,K9&lt;=500),"251–500",
 AND(K9&gt;=501,K9&lt;=1000),"501–1000",
 K9&gt;=1001,"1001+"
)</f>
        <v>≤50</v>
      </c>
    </row>
    <row r="10" spans="1:12" x14ac:dyDescent="0.3">
      <c r="A10" t="s">
        <v>34</v>
      </c>
      <c r="B10" t="s">
        <v>13</v>
      </c>
      <c r="C10" t="s">
        <v>5777</v>
      </c>
      <c r="D10" t="s">
        <v>35</v>
      </c>
      <c r="E10" t="s">
        <v>15</v>
      </c>
      <c r="F10" t="s">
        <v>20</v>
      </c>
      <c r="G10" t="s">
        <v>36</v>
      </c>
      <c r="J10" t="s">
        <v>5739</v>
      </c>
      <c r="K10">
        <v>50</v>
      </c>
      <c r="L10" t="str" cm="1">
        <f t="array" ref="L10">_xlfn.IFS(
 K10&lt;=50,"≤50",
 AND(K10&gt;=51,K10&lt;=100),"51–100",
 AND(K10&gt;=101,K10&lt;=250),"101–250",
 AND(K10&gt;=251,K10&lt;=500),"251–500",
 AND(K10&gt;=501,K10&lt;=1000),"501–1000",
 K10&gt;=1001,"1001+"
)</f>
        <v>≤50</v>
      </c>
    </row>
    <row r="11" spans="1:12" x14ac:dyDescent="0.3">
      <c r="A11" t="s">
        <v>37</v>
      </c>
      <c r="B11" t="s">
        <v>9</v>
      </c>
      <c r="C11" t="s">
        <v>5780</v>
      </c>
      <c r="D11" t="s">
        <v>38</v>
      </c>
      <c r="E11" t="s">
        <v>15</v>
      </c>
      <c r="F11" t="s">
        <v>20</v>
      </c>
      <c r="G11" t="s">
        <v>39</v>
      </c>
      <c r="J11" t="s">
        <v>5740</v>
      </c>
      <c r="K11">
        <v>50</v>
      </c>
      <c r="L11" t="str" cm="1">
        <f t="array" ref="L11">_xlfn.IFS(
 K11&lt;=50,"≤50",
 AND(K11&gt;=51,K11&lt;=100),"51–100",
 AND(K11&gt;=101,K11&lt;=250),"101–250",
 AND(K11&gt;=251,K11&lt;=500),"251–500",
 AND(K11&gt;=501,K11&lt;=1000),"501–1000",
 K11&gt;=1001,"1001+"
)</f>
        <v>≤50</v>
      </c>
    </row>
    <row r="12" spans="1:12" x14ac:dyDescent="0.3">
      <c r="A12" t="s">
        <v>40</v>
      </c>
      <c r="B12" t="s">
        <v>9</v>
      </c>
      <c r="C12" t="s">
        <v>5780</v>
      </c>
      <c r="D12" t="s">
        <v>41</v>
      </c>
      <c r="E12" t="s">
        <v>15</v>
      </c>
      <c r="F12" t="s">
        <v>20</v>
      </c>
      <c r="G12" t="s">
        <v>42</v>
      </c>
      <c r="J12" t="s">
        <v>5738</v>
      </c>
      <c r="K12">
        <v>50</v>
      </c>
      <c r="L12" t="str" cm="1">
        <f t="array" ref="L12">_xlfn.IFS(
 K12&lt;=50,"≤50",
 AND(K12&gt;=51,K12&lt;=100),"51–100",
 AND(K12&gt;=101,K12&lt;=250),"101–250",
 AND(K12&gt;=251,K12&lt;=500),"251–500",
 AND(K12&gt;=501,K12&lt;=1000),"501–1000",
 K12&gt;=1001,"1001+"
)</f>
        <v>≤50</v>
      </c>
    </row>
    <row r="13" spans="1:12" x14ac:dyDescent="0.3">
      <c r="A13" t="s">
        <v>43</v>
      </c>
      <c r="B13" t="s">
        <v>13</v>
      </c>
      <c r="C13" t="s">
        <v>5777</v>
      </c>
      <c r="D13" t="s">
        <v>44</v>
      </c>
      <c r="E13" t="s">
        <v>15</v>
      </c>
      <c r="F13" t="s">
        <v>16</v>
      </c>
      <c r="G13" t="s">
        <v>45</v>
      </c>
      <c r="J13" t="s">
        <v>5737</v>
      </c>
      <c r="K13">
        <v>50</v>
      </c>
      <c r="L13" t="str" cm="1">
        <f t="array" ref="L13">_xlfn.IFS(
 K13&lt;=50,"≤50",
 AND(K13&gt;=51,K13&lt;=100),"51–100",
 AND(K13&gt;=101,K13&lt;=250),"101–250",
 AND(K13&gt;=251,K13&lt;=500),"251–500",
 AND(K13&gt;=501,K13&lt;=1000),"501–1000",
 K13&gt;=1001,"1001+"
)</f>
        <v>≤50</v>
      </c>
    </row>
    <row r="14" spans="1:12" x14ac:dyDescent="0.3">
      <c r="A14" t="s">
        <v>46</v>
      </c>
      <c r="B14" t="s">
        <v>9</v>
      </c>
      <c r="C14" t="s">
        <v>5780</v>
      </c>
      <c r="D14" t="s">
        <v>47</v>
      </c>
      <c r="E14" t="s">
        <v>15</v>
      </c>
      <c r="F14" t="s">
        <v>20</v>
      </c>
      <c r="G14" t="s">
        <v>48</v>
      </c>
      <c r="J14" t="s">
        <v>5737</v>
      </c>
      <c r="K14">
        <v>50</v>
      </c>
      <c r="L14" t="str" cm="1">
        <f t="array" ref="L14">_xlfn.IFS(
 K14&lt;=50,"≤50",
 AND(K14&gt;=51,K14&lt;=100),"51–100",
 AND(K14&gt;=101,K14&lt;=250),"101–250",
 AND(K14&gt;=251,K14&lt;=500),"251–500",
 AND(K14&gt;=501,K14&lt;=1000),"501–1000",
 K14&gt;=1001,"1001+"
)</f>
        <v>≤50</v>
      </c>
    </row>
    <row r="15" spans="1:12" x14ac:dyDescent="0.3">
      <c r="A15" t="s">
        <v>49</v>
      </c>
      <c r="B15" t="s">
        <v>11</v>
      </c>
      <c r="C15" t="s">
        <v>5776</v>
      </c>
      <c r="F15" t="s">
        <v>5770</v>
      </c>
      <c r="J15" t="s">
        <v>5737</v>
      </c>
      <c r="K15">
        <v>50</v>
      </c>
      <c r="L15" t="str" cm="1">
        <f t="array" ref="L15">_xlfn.IFS(
 K15&lt;=50,"≤50",
 AND(K15&gt;=51,K15&lt;=100),"51–100",
 AND(K15&gt;=101,K15&lt;=250),"101–250",
 AND(K15&gt;=251,K15&lt;=500),"251–500",
 AND(K15&gt;=501,K15&lt;=1000),"501–1000",
 K15&gt;=1001,"1001+"
)</f>
        <v>≤50</v>
      </c>
    </row>
    <row r="16" spans="1:12" x14ac:dyDescent="0.3">
      <c r="A16" t="s">
        <v>50</v>
      </c>
      <c r="B16" t="s">
        <v>9</v>
      </c>
      <c r="C16" t="s">
        <v>5780</v>
      </c>
      <c r="D16" t="s">
        <v>51</v>
      </c>
      <c r="F16" t="s">
        <v>5770</v>
      </c>
      <c r="J16" t="s">
        <v>5741</v>
      </c>
      <c r="K16">
        <v>50</v>
      </c>
      <c r="L16" t="str" cm="1">
        <f t="array" ref="L16">_xlfn.IFS(
 K16&lt;=50,"≤50",
 AND(K16&gt;=51,K16&lt;=100),"51–100",
 AND(K16&gt;=101,K16&lt;=250),"101–250",
 AND(K16&gt;=251,K16&lt;=500),"251–500",
 AND(K16&gt;=501,K16&lt;=1000),"501–1000",
 K16&gt;=1001,"1001+"
)</f>
        <v>≤50</v>
      </c>
    </row>
    <row r="17" spans="1:12" x14ac:dyDescent="0.3">
      <c r="A17" t="s">
        <v>52</v>
      </c>
      <c r="B17" t="s">
        <v>9</v>
      </c>
      <c r="C17" t="s">
        <v>5780</v>
      </c>
      <c r="D17" t="s">
        <v>53</v>
      </c>
      <c r="E17" t="s">
        <v>15</v>
      </c>
      <c r="F17" t="s">
        <v>54</v>
      </c>
      <c r="G17" t="s">
        <v>55</v>
      </c>
      <c r="J17" t="s">
        <v>5737</v>
      </c>
      <c r="K17">
        <v>50</v>
      </c>
      <c r="L17" t="str" cm="1">
        <f t="array" ref="L17">_xlfn.IFS(
 K17&lt;=50,"≤50",
 AND(K17&gt;=51,K17&lt;=100),"51–100",
 AND(K17&gt;=101,K17&lt;=250),"101–250",
 AND(K17&gt;=251,K17&lt;=500),"251–500",
 AND(K17&gt;=501,K17&lt;=1000),"501–1000",
 K17&gt;=1001,"1001+"
)</f>
        <v>≤50</v>
      </c>
    </row>
    <row r="18" spans="1:12" x14ac:dyDescent="0.3">
      <c r="A18" t="s">
        <v>56</v>
      </c>
      <c r="B18" t="s">
        <v>13</v>
      </c>
      <c r="C18" t="s">
        <v>5777</v>
      </c>
      <c r="D18" t="s">
        <v>57</v>
      </c>
      <c r="E18" t="s">
        <v>15</v>
      </c>
      <c r="F18" t="s">
        <v>54</v>
      </c>
      <c r="G18" t="s">
        <v>58</v>
      </c>
      <c r="J18" t="s">
        <v>5737</v>
      </c>
      <c r="K18">
        <v>50</v>
      </c>
      <c r="L18" t="str" cm="1">
        <f t="array" ref="L18">_xlfn.IFS(
 K18&lt;=50,"≤50",
 AND(K18&gt;=51,K18&lt;=100),"51–100",
 AND(K18&gt;=101,K18&lt;=250),"101–250",
 AND(K18&gt;=251,K18&lt;=500),"251–500",
 AND(K18&gt;=501,K18&lt;=1000),"501–1000",
 K18&gt;=1001,"1001+"
)</f>
        <v>≤50</v>
      </c>
    </row>
    <row r="19" spans="1:12" x14ac:dyDescent="0.3">
      <c r="A19" t="s">
        <v>59</v>
      </c>
      <c r="B19" t="s">
        <v>9</v>
      </c>
      <c r="C19" t="s">
        <v>5780</v>
      </c>
      <c r="D19" t="s">
        <v>60</v>
      </c>
      <c r="F19" t="s">
        <v>5770</v>
      </c>
      <c r="J19" t="s">
        <v>5737</v>
      </c>
      <c r="K19">
        <v>50</v>
      </c>
      <c r="L19" t="str" cm="1">
        <f t="array" ref="L19">_xlfn.IFS(
 K19&lt;=50,"≤50",
 AND(K19&gt;=51,K19&lt;=100),"51–100",
 AND(K19&gt;=101,K19&lt;=250),"101–250",
 AND(K19&gt;=251,K19&lt;=500),"251–500",
 AND(K19&gt;=501,K19&lt;=1000),"501–1000",
 K19&gt;=1001,"1001+"
)</f>
        <v>≤50</v>
      </c>
    </row>
    <row r="20" spans="1:12" x14ac:dyDescent="0.3">
      <c r="A20" t="s">
        <v>61</v>
      </c>
      <c r="B20" t="s">
        <v>9</v>
      </c>
      <c r="C20" t="s">
        <v>5780</v>
      </c>
      <c r="D20" t="s">
        <v>28</v>
      </c>
      <c r="F20" t="s">
        <v>5770</v>
      </c>
      <c r="J20" t="s">
        <v>5738</v>
      </c>
      <c r="K20">
        <v>50</v>
      </c>
      <c r="L20" t="str" cm="1">
        <f t="array" ref="L20">_xlfn.IFS(
 K20&lt;=50,"≤50",
 AND(K20&gt;=51,K20&lt;=100),"51–100",
 AND(K20&gt;=101,K20&lt;=250),"101–250",
 AND(K20&gt;=251,K20&lt;=500),"251–500",
 AND(K20&gt;=501,K20&lt;=1000),"501–1000",
 K20&gt;=1001,"1001+"
)</f>
        <v>≤50</v>
      </c>
    </row>
    <row r="21" spans="1:12" x14ac:dyDescent="0.3">
      <c r="A21" t="s">
        <v>62</v>
      </c>
      <c r="B21" t="s">
        <v>9</v>
      </c>
      <c r="C21" t="s">
        <v>5780</v>
      </c>
      <c r="D21" t="s">
        <v>28</v>
      </c>
      <c r="E21" t="s">
        <v>15</v>
      </c>
      <c r="F21" t="s">
        <v>5770</v>
      </c>
      <c r="J21" t="s">
        <v>5737</v>
      </c>
      <c r="K21">
        <v>50</v>
      </c>
      <c r="L21" t="str" cm="1">
        <f t="array" ref="L21">_xlfn.IFS(
 K21&lt;=50,"≤50",
 AND(K21&gt;=51,K21&lt;=100),"51–100",
 AND(K21&gt;=101,K21&lt;=250),"101–250",
 AND(K21&gt;=251,K21&lt;=500),"251–500",
 AND(K21&gt;=501,K21&lt;=1000),"501–1000",
 K21&gt;=1001,"1001+"
)</f>
        <v>≤50</v>
      </c>
    </row>
    <row r="22" spans="1:12" x14ac:dyDescent="0.3">
      <c r="A22" t="s">
        <v>63</v>
      </c>
      <c r="B22" t="s">
        <v>9</v>
      </c>
      <c r="C22" t="s">
        <v>5780</v>
      </c>
      <c r="D22" t="s">
        <v>28</v>
      </c>
      <c r="F22" t="s">
        <v>5770</v>
      </c>
      <c r="J22" t="s">
        <v>5737</v>
      </c>
      <c r="K22">
        <v>50</v>
      </c>
      <c r="L22" t="str" cm="1">
        <f t="array" ref="L22">_xlfn.IFS(
 K22&lt;=50,"≤50",
 AND(K22&gt;=51,K22&lt;=100),"51–100",
 AND(K22&gt;=101,K22&lt;=250),"101–250",
 AND(K22&gt;=251,K22&lt;=500),"251–500",
 AND(K22&gt;=501,K22&lt;=1000),"501–1000",
 K22&gt;=1001,"1001+"
)</f>
        <v>≤50</v>
      </c>
    </row>
    <row r="23" spans="1:12" x14ac:dyDescent="0.3">
      <c r="A23" t="s">
        <v>64</v>
      </c>
      <c r="B23" t="s">
        <v>13</v>
      </c>
      <c r="C23" t="s">
        <v>5777</v>
      </c>
      <c r="D23" t="s">
        <v>65</v>
      </c>
      <c r="F23" t="s">
        <v>5770</v>
      </c>
      <c r="J23" t="s">
        <v>5737</v>
      </c>
      <c r="K23">
        <v>50</v>
      </c>
      <c r="L23" t="str" cm="1">
        <f t="array" ref="L23">_xlfn.IFS(
 K23&lt;=50,"≤50",
 AND(K23&gt;=51,K23&lt;=100),"51–100",
 AND(K23&gt;=101,K23&lt;=250),"101–250",
 AND(K23&gt;=251,K23&lt;=500),"251–500",
 AND(K23&gt;=501,K23&lt;=1000),"501–1000",
 K23&gt;=1001,"1001+"
)</f>
        <v>≤50</v>
      </c>
    </row>
    <row r="24" spans="1:12" x14ac:dyDescent="0.3">
      <c r="A24" t="s">
        <v>66</v>
      </c>
      <c r="B24" t="s">
        <v>9</v>
      </c>
      <c r="C24" t="s">
        <v>5780</v>
      </c>
      <c r="D24" t="s">
        <v>67</v>
      </c>
      <c r="F24" t="s">
        <v>5770</v>
      </c>
      <c r="J24" t="s">
        <v>5742</v>
      </c>
      <c r="K24">
        <v>50</v>
      </c>
      <c r="L24" t="str" cm="1">
        <f t="array" ref="L24">_xlfn.IFS(
 K24&lt;=50,"≤50",
 AND(K24&gt;=51,K24&lt;=100),"51–100",
 AND(K24&gt;=101,K24&lt;=250),"101–250",
 AND(K24&gt;=251,K24&lt;=500),"251–500",
 AND(K24&gt;=501,K24&lt;=1000),"501–1000",
 K24&gt;=1001,"1001+"
)</f>
        <v>≤50</v>
      </c>
    </row>
    <row r="25" spans="1:12" x14ac:dyDescent="0.3">
      <c r="A25" t="s">
        <v>68</v>
      </c>
      <c r="B25" t="s">
        <v>11</v>
      </c>
      <c r="C25" t="s">
        <v>5776</v>
      </c>
      <c r="F25" t="s">
        <v>5770</v>
      </c>
      <c r="J25" t="s">
        <v>5739</v>
      </c>
      <c r="K25">
        <v>50</v>
      </c>
      <c r="L25" t="str" cm="1">
        <f t="array" ref="L25">_xlfn.IFS(
 K25&lt;=50,"≤50",
 AND(K25&gt;=51,K25&lt;=100),"51–100",
 AND(K25&gt;=101,K25&lt;=250),"101–250",
 AND(K25&gt;=251,K25&lt;=500),"251–500",
 AND(K25&gt;=501,K25&lt;=1000),"501–1000",
 K25&gt;=1001,"1001+"
)</f>
        <v>≤50</v>
      </c>
    </row>
    <row r="26" spans="1:12" x14ac:dyDescent="0.3">
      <c r="A26" t="s">
        <v>69</v>
      </c>
      <c r="B26" t="s">
        <v>11</v>
      </c>
      <c r="C26" t="s">
        <v>5776</v>
      </c>
      <c r="F26" t="s">
        <v>5770</v>
      </c>
      <c r="J26" t="s">
        <v>5741</v>
      </c>
      <c r="K26">
        <v>50</v>
      </c>
      <c r="L26" t="str" cm="1">
        <f t="array" ref="L26">_xlfn.IFS(
 K26&lt;=50,"≤50",
 AND(K26&gt;=51,K26&lt;=100),"51–100",
 AND(K26&gt;=101,K26&lt;=250),"101–250",
 AND(K26&gt;=251,K26&lt;=500),"251–500",
 AND(K26&gt;=501,K26&lt;=1000),"501–1000",
 K26&gt;=1001,"1001+"
)</f>
        <v>≤50</v>
      </c>
    </row>
    <row r="27" spans="1:12" x14ac:dyDescent="0.3">
      <c r="A27" t="s">
        <v>70</v>
      </c>
      <c r="B27" t="s">
        <v>9</v>
      </c>
      <c r="C27" t="s">
        <v>5780</v>
      </c>
      <c r="D27" t="s">
        <v>71</v>
      </c>
      <c r="F27" t="s">
        <v>54</v>
      </c>
      <c r="G27" t="s">
        <v>72</v>
      </c>
      <c r="J27" t="s">
        <v>5737</v>
      </c>
      <c r="K27">
        <v>50</v>
      </c>
      <c r="L27" t="str" cm="1">
        <f t="array" ref="L27">_xlfn.IFS(
 K27&lt;=50,"≤50",
 AND(K27&gt;=51,K27&lt;=100),"51–100",
 AND(K27&gt;=101,K27&lt;=250),"101–250",
 AND(K27&gt;=251,K27&lt;=500),"251–500",
 AND(K27&gt;=501,K27&lt;=1000),"501–1000",
 K27&gt;=1001,"1001+"
)</f>
        <v>≤50</v>
      </c>
    </row>
    <row r="28" spans="1:12" x14ac:dyDescent="0.3">
      <c r="A28" t="s">
        <v>73</v>
      </c>
      <c r="B28" t="s">
        <v>9</v>
      </c>
      <c r="C28" t="s">
        <v>5780</v>
      </c>
      <c r="D28" t="s">
        <v>74</v>
      </c>
      <c r="E28" t="s">
        <v>15</v>
      </c>
      <c r="F28" t="s">
        <v>54</v>
      </c>
      <c r="G28" t="s">
        <v>75</v>
      </c>
      <c r="J28" t="s">
        <v>5737</v>
      </c>
      <c r="K28">
        <v>50</v>
      </c>
      <c r="L28" t="str" cm="1">
        <f t="array" ref="L28">_xlfn.IFS(
 K28&lt;=50,"≤50",
 AND(K28&gt;=51,K28&lt;=100),"51–100",
 AND(K28&gt;=101,K28&lt;=250),"101–250",
 AND(K28&gt;=251,K28&lt;=500),"251–500",
 AND(K28&gt;=501,K28&lt;=1000),"501–1000",
 K28&gt;=1001,"1001+"
)</f>
        <v>≤50</v>
      </c>
    </row>
    <row r="29" spans="1:12" x14ac:dyDescent="0.3">
      <c r="A29" t="s">
        <v>76</v>
      </c>
      <c r="B29" t="s">
        <v>9</v>
      </c>
      <c r="C29" t="s">
        <v>5780</v>
      </c>
      <c r="D29" t="s">
        <v>77</v>
      </c>
      <c r="E29" t="s">
        <v>15</v>
      </c>
      <c r="F29" t="s">
        <v>54</v>
      </c>
      <c r="G29" t="s">
        <v>78</v>
      </c>
      <c r="J29" t="s">
        <v>5743</v>
      </c>
      <c r="K29">
        <v>50</v>
      </c>
      <c r="L29" t="str" cm="1">
        <f t="array" ref="L29">_xlfn.IFS(
 K29&lt;=50,"≤50",
 AND(K29&gt;=51,K29&lt;=100),"51–100",
 AND(K29&gt;=101,K29&lt;=250),"101–250",
 AND(K29&gt;=251,K29&lt;=500),"251–500",
 AND(K29&gt;=501,K29&lt;=1000),"501–1000",
 K29&gt;=1001,"1001+"
)</f>
        <v>≤50</v>
      </c>
    </row>
    <row r="30" spans="1:12" x14ac:dyDescent="0.3">
      <c r="A30" t="s">
        <v>79</v>
      </c>
      <c r="B30" t="s">
        <v>13</v>
      </c>
      <c r="C30" t="s">
        <v>5777</v>
      </c>
      <c r="D30" t="s">
        <v>80</v>
      </c>
      <c r="E30" t="s">
        <v>15</v>
      </c>
      <c r="F30" t="s">
        <v>54</v>
      </c>
      <c r="G30" t="s">
        <v>81</v>
      </c>
      <c r="J30" t="s">
        <v>5738</v>
      </c>
      <c r="K30">
        <v>50</v>
      </c>
      <c r="L30" t="str" cm="1">
        <f t="array" ref="L30">_xlfn.IFS(
 K30&lt;=50,"≤50",
 AND(K30&gt;=51,K30&lt;=100),"51–100",
 AND(K30&gt;=101,K30&lt;=250),"101–250",
 AND(K30&gt;=251,K30&lt;=500),"251–500",
 AND(K30&gt;=501,K30&lt;=1000),"501–1000",
 K30&gt;=1001,"1001+"
)</f>
        <v>≤50</v>
      </c>
    </row>
    <row r="31" spans="1:12" x14ac:dyDescent="0.3">
      <c r="A31" t="s">
        <v>82</v>
      </c>
      <c r="B31" t="s">
        <v>11</v>
      </c>
      <c r="C31" t="s">
        <v>5776</v>
      </c>
      <c r="F31" t="s">
        <v>5770</v>
      </c>
      <c r="J31" t="s">
        <v>5737</v>
      </c>
      <c r="K31">
        <v>50</v>
      </c>
      <c r="L31" t="str" cm="1">
        <f t="array" ref="L31">_xlfn.IFS(
 K31&lt;=50,"≤50",
 AND(K31&gt;=51,K31&lt;=100),"51–100",
 AND(K31&gt;=101,K31&lt;=250),"101–250",
 AND(K31&gt;=251,K31&lt;=500),"251–500",
 AND(K31&gt;=501,K31&lt;=1000),"501–1000",
 K31&gt;=1001,"1001+"
)</f>
        <v>≤50</v>
      </c>
    </row>
    <row r="32" spans="1:12" x14ac:dyDescent="0.3">
      <c r="A32" t="s">
        <v>83</v>
      </c>
      <c r="B32" t="s">
        <v>9</v>
      </c>
      <c r="C32" t="s">
        <v>5780</v>
      </c>
      <c r="D32" t="s">
        <v>28</v>
      </c>
      <c r="F32" t="s">
        <v>5770</v>
      </c>
      <c r="J32" t="s">
        <v>5737</v>
      </c>
      <c r="K32">
        <v>50</v>
      </c>
      <c r="L32" t="str" cm="1">
        <f t="array" ref="L32">_xlfn.IFS(
 K32&lt;=50,"≤50",
 AND(K32&gt;=51,K32&lt;=100),"51–100",
 AND(K32&gt;=101,K32&lt;=250),"101–250",
 AND(K32&gt;=251,K32&lt;=500),"251–500",
 AND(K32&gt;=501,K32&lt;=1000),"501–1000",
 K32&gt;=1001,"1001+"
)</f>
        <v>≤50</v>
      </c>
    </row>
    <row r="33" spans="1:12" x14ac:dyDescent="0.3">
      <c r="A33" t="s">
        <v>84</v>
      </c>
      <c r="B33" t="s">
        <v>9</v>
      </c>
      <c r="C33" t="s">
        <v>5780</v>
      </c>
      <c r="D33" t="s">
        <v>85</v>
      </c>
      <c r="F33" t="s">
        <v>5770</v>
      </c>
      <c r="J33" t="s">
        <v>5738</v>
      </c>
      <c r="K33">
        <v>50</v>
      </c>
      <c r="L33" t="str" cm="1">
        <f t="array" ref="L33">_xlfn.IFS(
 K33&lt;=50,"≤50",
 AND(K33&gt;=51,K33&lt;=100),"51–100",
 AND(K33&gt;=101,K33&lt;=250),"101–250",
 AND(K33&gt;=251,K33&lt;=500),"251–500",
 AND(K33&gt;=501,K33&lt;=1000),"501–1000",
 K33&gt;=1001,"1001+"
)</f>
        <v>≤50</v>
      </c>
    </row>
    <row r="34" spans="1:12" x14ac:dyDescent="0.3">
      <c r="A34" t="s">
        <v>86</v>
      </c>
      <c r="B34" t="s">
        <v>9</v>
      </c>
      <c r="C34" t="s">
        <v>5780</v>
      </c>
      <c r="D34" t="s">
        <v>87</v>
      </c>
      <c r="E34" t="s">
        <v>15</v>
      </c>
      <c r="F34" t="s">
        <v>16</v>
      </c>
      <c r="G34" t="s">
        <v>88</v>
      </c>
      <c r="J34" t="s">
        <v>5744</v>
      </c>
      <c r="K34">
        <v>50</v>
      </c>
      <c r="L34" t="str" cm="1">
        <f t="array" ref="L34">_xlfn.IFS(
 K34&lt;=50,"≤50",
 AND(K34&gt;=51,K34&lt;=100),"51–100",
 AND(K34&gt;=101,K34&lt;=250),"101–250",
 AND(K34&gt;=251,K34&lt;=500),"251–500",
 AND(K34&gt;=501,K34&lt;=1000),"501–1000",
 K34&gt;=1001,"1001+"
)</f>
        <v>≤50</v>
      </c>
    </row>
    <row r="35" spans="1:12" x14ac:dyDescent="0.3">
      <c r="A35" t="s">
        <v>89</v>
      </c>
      <c r="B35" t="s">
        <v>11</v>
      </c>
      <c r="C35" t="s">
        <v>5776</v>
      </c>
      <c r="F35" t="s">
        <v>5770</v>
      </c>
      <c r="J35" t="s">
        <v>5738</v>
      </c>
      <c r="K35">
        <v>50</v>
      </c>
      <c r="L35" t="str" cm="1">
        <f t="array" ref="L35">_xlfn.IFS(
 K35&lt;=50,"≤50",
 AND(K35&gt;=51,K35&lt;=100),"51–100",
 AND(K35&gt;=101,K35&lt;=250),"101–250",
 AND(K35&gt;=251,K35&lt;=500),"251–500",
 AND(K35&gt;=501,K35&lt;=1000),"501–1000",
 K35&gt;=1001,"1001+"
)</f>
        <v>≤50</v>
      </c>
    </row>
    <row r="36" spans="1:12" x14ac:dyDescent="0.3">
      <c r="A36" t="s">
        <v>90</v>
      </c>
      <c r="B36" t="s">
        <v>9</v>
      </c>
      <c r="C36" t="s">
        <v>5780</v>
      </c>
      <c r="D36" t="s">
        <v>91</v>
      </c>
      <c r="E36" t="s">
        <v>15</v>
      </c>
      <c r="F36" t="s">
        <v>5770</v>
      </c>
      <c r="J36" t="s">
        <v>5738</v>
      </c>
      <c r="K36">
        <v>50</v>
      </c>
      <c r="L36" t="str" cm="1">
        <f t="array" ref="L36">_xlfn.IFS(
 K36&lt;=50,"≤50",
 AND(K36&gt;=51,K36&lt;=100),"51–100",
 AND(K36&gt;=101,K36&lt;=250),"101–250",
 AND(K36&gt;=251,K36&lt;=500),"251–500",
 AND(K36&gt;=501,K36&lt;=1000),"501–1000",
 K36&gt;=1001,"1001+"
)</f>
        <v>≤50</v>
      </c>
    </row>
    <row r="37" spans="1:12" x14ac:dyDescent="0.3">
      <c r="A37" t="s">
        <v>92</v>
      </c>
      <c r="B37" t="s">
        <v>13</v>
      </c>
      <c r="C37" t="s">
        <v>5777</v>
      </c>
      <c r="D37" t="s">
        <v>93</v>
      </c>
      <c r="E37" t="s">
        <v>15</v>
      </c>
      <c r="F37" t="s">
        <v>20</v>
      </c>
      <c r="G37" t="s">
        <v>94</v>
      </c>
      <c r="J37" t="s">
        <v>5738</v>
      </c>
      <c r="K37">
        <v>50</v>
      </c>
      <c r="L37" t="str" cm="1">
        <f t="array" ref="L37">_xlfn.IFS(
 K37&lt;=50,"≤50",
 AND(K37&gt;=51,K37&lt;=100),"51–100",
 AND(K37&gt;=101,K37&lt;=250),"101–250",
 AND(K37&gt;=251,K37&lt;=500),"251–500",
 AND(K37&gt;=501,K37&lt;=1000),"501–1000",
 K37&gt;=1001,"1001+"
)</f>
        <v>≤50</v>
      </c>
    </row>
    <row r="38" spans="1:12" x14ac:dyDescent="0.3">
      <c r="A38" t="s">
        <v>95</v>
      </c>
      <c r="B38" t="s">
        <v>13</v>
      </c>
      <c r="C38" t="s">
        <v>5777</v>
      </c>
      <c r="D38" t="s">
        <v>96</v>
      </c>
      <c r="E38" t="s">
        <v>15</v>
      </c>
      <c r="F38" t="s">
        <v>20</v>
      </c>
      <c r="G38" t="s">
        <v>97</v>
      </c>
      <c r="J38" t="s">
        <v>5737</v>
      </c>
      <c r="K38">
        <v>50</v>
      </c>
      <c r="L38" t="str" cm="1">
        <f t="array" ref="L38">_xlfn.IFS(
 K38&lt;=50,"≤50",
 AND(K38&gt;=51,K38&lt;=100),"51–100",
 AND(K38&gt;=101,K38&lt;=250),"101–250",
 AND(K38&gt;=251,K38&lt;=500),"251–500",
 AND(K38&gt;=501,K38&lt;=1000),"501–1000",
 K38&gt;=1001,"1001+"
)</f>
        <v>≤50</v>
      </c>
    </row>
    <row r="39" spans="1:12" x14ac:dyDescent="0.3">
      <c r="A39" t="s">
        <v>98</v>
      </c>
      <c r="B39" t="s">
        <v>9</v>
      </c>
      <c r="C39" t="s">
        <v>5780</v>
      </c>
      <c r="D39" t="s">
        <v>99</v>
      </c>
      <c r="F39" t="s">
        <v>20</v>
      </c>
      <c r="G39" t="s">
        <v>100</v>
      </c>
      <c r="J39" t="s">
        <v>5737</v>
      </c>
      <c r="K39">
        <v>50</v>
      </c>
      <c r="L39" t="str" cm="1">
        <f t="array" ref="L39">_xlfn.IFS(
 K39&lt;=50,"≤50",
 AND(K39&gt;=51,K39&lt;=100),"51–100",
 AND(K39&gt;=101,K39&lt;=250),"101–250",
 AND(K39&gt;=251,K39&lt;=500),"251–500",
 AND(K39&gt;=501,K39&lt;=1000),"501–1000",
 K39&gt;=1001,"1001+"
)</f>
        <v>≤50</v>
      </c>
    </row>
    <row r="40" spans="1:12" x14ac:dyDescent="0.3">
      <c r="A40" t="s">
        <v>101</v>
      </c>
      <c r="B40" t="s">
        <v>9</v>
      </c>
      <c r="C40" t="s">
        <v>5780</v>
      </c>
      <c r="D40" t="s">
        <v>102</v>
      </c>
      <c r="F40" t="s">
        <v>5770</v>
      </c>
      <c r="J40" t="s">
        <v>5744</v>
      </c>
      <c r="K40">
        <v>50</v>
      </c>
      <c r="L40" t="str" cm="1">
        <f t="array" ref="L40">_xlfn.IFS(
 K40&lt;=50,"≤50",
 AND(K40&gt;=51,K40&lt;=100),"51–100",
 AND(K40&gt;=101,K40&lt;=250),"101–250",
 AND(K40&gt;=251,K40&lt;=500),"251–500",
 AND(K40&gt;=501,K40&lt;=1000),"501–1000",
 K40&gt;=1001,"1001+"
)</f>
        <v>≤50</v>
      </c>
    </row>
    <row r="41" spans="1:12" x14ac:dyDescent="0.3">
      <c r="A41" t="s">
        <v>103</v>
      </c>
      <c r="B41" t="s">
        <v>13</v>
      </c>
      <c r="C41" t="s">
        <v>5777</v>
      </c>
      <c r="D41" t="s">
        <v>104</v>
      </c>
      <c r="E41" t="s">
        <v>15</v>
      </c>
      <c r="F41" t="s">
        <v>20</v>
      </c>
      <c r="G41" t="s">
        <v>105</v>
      </c>
      <c r="J41" t="s">
        <v>5745</v>
      </c>
      <c r="K41">
        <v>50</v>
      </c>
      <c r="L41" t="str" cm="1">
        <f t="array" ref="L41">_xlfn.IFS(
 K41&lt;=50,"≤50",
 AND(K41&gt;=51,K41&lt;=100),"51–100",
 AND(K41&gt;=101,K41&lt;=250),"101–250",
 AND(K41&gt;=251,K41&lt;=500),"251–500",
 AND(K41&gt;=501,K41&lt;=1000),"501–1000",
 K41&gt;=1001,"1001+"
)</f>
        <v>≤50</v>
      </c>
    </row>
    <row r="42" spans="1:12" x14ac:dyDescent="0.3">
      <c r="A42" t="s">
        <v>106</v>
      </c>
      <c r="B42" t="s">
        <v>13</v>
      </c>
      <c r="C42" t="s">
        <v>5777</v>
      </c>
      <c r="D42" t="s">
        <v>107</v>
      </c>
      <c r="E42" t="s">
        <v>15</v>
      </c>
      <c r="F42" t="s">
        <v>5770</v>
      </c>
      <c r="J42" t="s">
        <v>5746</v>
      </c>
      <c r="K42">
        <v>50</v>
      </c>
      <c r="L42" t="str" cm="1">
        <f t="array" ref="L42">_xlfn.IFS(
 K42&lt;=50,"≤50",
 AND(K42&gt;=51,K42&lt;=100),"51–100",
 AND(K42&gt;=101,K42&lt;=250),"101–250",
 AND(K42&gt;=251,K42&lt;=500),"251–500",
 AND(K42&gt;=501,K42&lt;=1000),"501–1000",
 K42&gt;=1001,"1001+"
)</f>
        <v>≤50</v>
      </c>
    </row>
    <row r="43" spans="1:12" x14ac:dyDescent="0.3">
      <c r="A43" t="s">
        <v>108</v>
      </c>
      <c r="B43" t="s">
        <v>13</v>
      </c>
      <c r="C43" t="s">
        <v>5777</v>
      </c>
      <c r="D43" t="s">
        <v>109</v>
      </c>
      <c r="F43" t="s">
        <v>20</v>
      </c>
      <c r="G43" t="s">
        <v>110</v>
      </c>
      <c r="J43" t="s">
        <v>5737</v>
      </c>
      <c r="K43">
        <v>50</v>
      </c>
      <c r="L43" t="str" cm="1">
        <f t="array" ref="L43">_xlfn.IFS(
 K43&lt;=50,"≤50",
 AND(K43&gt;=51,K43&lt;=100),"51–100",
 AND(K43&gt;=101,K43&lt;=250),"101–250",
 AND(K43&gt;=251,K43&lt;=500),"251–500",
 AND(K43&gt;=501,K43&lt;=1000),"501–1000",
 K43&gt;=1001,"1001+"
)</f>
        <v>≤50</v>
      </c>
    </row>
    <row r="44" spans="1:12" x14ac:dyDescent="0.3">
      <c r="A44" t="s">
        <v>111</v>
      </c>
      <c r="B44" t="s">
        <v>13</v>
      </c>
      <c r="C44" t="s">
        <v>5777</v>
      </c>
      <c r="D44" t="s">
        <v>112</v>
      </c>
      <c r="E44" t="s">
        <v>15</v>
      </c>
      <c r="F44" t="s">
        <v>54</v>
      </c>
      <c r="G44" t="s">
        <v>113</v>
      </c>
      <c r="J44" t="s">
        <v>5737</v>
      </c>
      <c r="K44">
        <v>50</v>
      </c>
      <c r="L44" t="str" cm="1">
        <f t="array" ref="L44">_xlfn.IFS(
 K44&lt;=50,"≤50",
 AND(K44&gt;=51,K44&lt;=100),"51–100",
 AND(K44&gt;=101,K44&lt;=250),"101–250",
 AND(K44&gt;=251,K44&lt;=500),"251–500",
 AND(K44&gt;=501,K44&lt;=1000),"501–1000",
 K44&gt;=1001,"1001+"
)</f>
        <v>≤50</v>
      </c>
    </row>
    <row r="45" spans="1:12" x14ac:dyDescent="0.3">
      <c r="A45" t="s">
        <v>114</v>
      </c>
      <c r="B45" t="s">
        <v>9</v>
      </c>
      <c r="C45" t="s">
        <v>5780</v>
      </c>
      <c r="D45" t="s">
        <v>28</v>
      </c>
      <c r="F45" t="s">
        <v>5770</v>
      </c>
      <c r="J45" t="s">
        <v>5744</v>
      </c>
      <c r="K45">
        <v>50</v>
      </c>
      <c r="L45" t="str" cm="1">
        <f t="array" ref="L45">_xlfn.IFS(
 K45&lt;=50,"≤50",
 AND(K45&gt;=51,K45&lt;=100),"51–100",
 AND(K45&gt;=101,K45&lt;=250),"101–250",
 AND(K45&gt;=251,K45&lt;=500),"251–500",
 AND(K45&gt;=501,K45&lt;=1000),"501–1000",
 K45&gt;=1001,"1001+"
)</f>
        <v>≤50</v>
      </c>
    </row>
    <row r="46" spans="1:12" x14ac:dyDescent="0.3">
      <c r="A46" t="s">
        <v>115</v>
      </c>
      <c r="B46" t="s">
        <v>13</v>
      </c>
      <c r="C46" t="s">
        <v>5777</v>
      </c>
      <c r="D46" t="s">
        <v>116</v>
      </c>
      <c r="E46" t="s">
        <v>15</v>
      </c>
      <c r="F46" t="s">
        <v>20</v>
      </c>
      <c r="G46" t="s">
        <v>117</v>
      </c>
      <c r="J46" t="s">
        <v>5737</v>
      </c>
      <c r="K46">
        <v>50</v>
      </c>
      <c r="L46" t="str" cm="1">
        <f t="array" ref="L46">_xlfn.IFS(
 K46&lt;=50,"≤50",
 AND(K46&gt;=51,K46&lt;=100),"51–100",
 AND(K46&gt;=101,K46&lt;=250),"101–250",
 AND(K46&gt;=251,K46&lt;=500),"251–500",
 AND(K46&gt;=501,K46&lt;=1000),"501–1000",
 K46&gt;=1001,"1001+"
)</f>
        <v>≤50</v>
      </c>
    </row>
    <row r="47" spans="1:12" x14ac:dyDescent="0.3">
      <c r="A47" t="s">
        <v>118</v>
      </c>
      <c r="B47" t="s">
        <v>13</v>
      </c>
      <c r="C47" t="s">
        <v>5777</v>
      </c>
      <c r="D47" t="s">
        <v>119</v>
      </c>
      <c r="E47" t="s">
        <v>15</v>
      </c>
      <c r="F47" t="s">
        <v>20</v>
      </c>
      <c r="G47" t="s">
        <v>120</v>
      </c>
      <c r="J47" t="s">
        <v>5737</v>
      </c>
      <c r="K47">
        <v>50</v>
      </c>
      <c r="L47" t="str" cm="1">
        <f t="array" ref="L47">_xlfn.IFS(
 K47&lt;=50,"≤50",
 AND(K47&gt;=51,K47&lt;=100),"51–100",
 AND(K47&gt;=101,K47&lt;=250),"101–250",
 AND(K47&gt;=251,K47&lt;=500),"251–500",
 AND(K47&gt;=501,K47&lt;=1000),"501–1000",
 K47&gt;=1001,"1001+"
)</f>
        <v>≤50</v>
      </c>
    </row>
    <row r="48" spans="1:12" x14ac:dyDescent="0.3">
      <c r="A48" t="s">
        <v>121</v>
      </c>
      <c r="B48" t="s">
        <v>13</v>
      </c>
      <c r="C48" t="s">
        <v>5777</v>
      </c>
      <c r="D48" t="s">
        <v>122</v>
      </c>
      <c r="F48" t="s">
        <v>5770</v>
      </c>
      <c r="J48" t="s">
        <v>5737</v>
      </c>
      <c r="K48">
        <v>50</v>
      </c>
      <c r="L48" t="str" cm="1">
        <f t="array" ref="L48">_xlfn.IFS(
 K48&lt;=50,"≤50",
 AND(K48&gt;=51,K48&lt;=100),"51–100",
 AND(K48&gt;=101,K48&lt;=250),"101–250",
 AND(K48&gt;=251,K48&lt;=500),"251–500",
 AND(K48&gt;=501,K48&lt;=1000),"501–1000",
 K48&gt;=1001,"1001+"
)</f>
        <v>≤50</v>
      </c>
    </row>
    <row r="49" spans="1:12" x14ac:dyDescent="0.3">
      <c r="A49" t="s">
        <v>123</v>
      </c>
      <c r="B49" t="s">
        <v>11</v>
      </c>
      <c r="C49" t="s">
        <v>5776</v>
      </c>
      <c r="F49" t="s">
        <v>5770</v>
      </c>
      <c r="J49" t="s">
        <v>5737</v>
      </c>
      <c r="K49">
        <v>50</v>
      </c>
      <c r="L49" t="str" cm="1">
        <f t="array" ref="L49">_xlfn.IFS(
 K49&lt;=50,"≤50",
 AND(K49&gt;=51,K49&lt;=100),"51–100",
 AND(K49&gt;=101,K49&lt;=250),"101–250",
 AND(K49&gt;=251,K49&lt;=500),"251–500",
 AND(K49&gt;=501,K49&lt;=1000),"501–1000",
 K49&gt;=1001,"1001+"
)</f>
        <v>≤50</v>
      </c>
    </row>
    <row r="50" spans="1:12" x14ac:dyDescent="0.3">
      <c r="A50" t="s">
        <v>124</v>
      </c>
      <c r="B50" t="s">
        <v>13</v>
      </c>
      <c r="C50" t="s">
        <v>5777</v>
      </c>
      <c r="D50" t="s">
        <v>125</v>
      </c>
      <c r="E50" t="s">
        <v>15</v>
      </c>
      <c r="F50" t="s">
        <v>16</v>
      </c>
      <c r="G50" t="s">
        <v>126</v>
      </c>
      <c r="J50" t="s">
        <v>5737</v>
      </c>
      <c r="K50">
        <v>50</v>
      </c>
      <c r="L50" t="str" cm="1">
        <f t="array" ref="L50">_xlfn.IFS(
 K50&lt;=50,"≤50",
 AND(K50&gt;=51,K50&lt;=100),"51–100",
 AND(K50&gt;=101,K50&lt;=250),"101–250",
 AND(K50&gt;=251,K50&lt;=500),"251–500",
 AND(K50&gt;=501,K50&lt;=1000),"501–1000",
 K50&gt;=1001,"1001+"
)</f>
        <v>≤50</v>
      </c>
    </row>
    <row r="51" spans="1:12" x14ac:dyDescent="0.3">
      <c r="A51" t="s">
        <v>127</v>
      </c>
      <c r="B51" t="s">
        <v>11</v>
      </c>
      <c r="C51" t="s">
        <v>5776</v>
      </c>
      <c r="F51" t="s">
        <v>5770</v>
      </c>
      <c r="J51" t="s">
        <v>5740</v>
      </c>
      <c r="K51">
        <v>50</v>
      </c>
      <c r="L51" t="str" cm="1">
        <f t="array" ref="L51">_xlfn.IFS(
 K51&lt;=50,"≤50",
 AND(K51&gt;=51,K51&lt;=100),"51–100",
 AND(K51&gt;=101,K51&lt;=250),"101–250",
 AND(K51&gt;=251,K51&lt;=500),"251–500",
 AND(K51&gt;=501,K51&lt;=1000),"501–1000",
 K51&gt;=1001,"1001+"
)</f>
        <v>≤50</v>
      </c>
    </row>
    <row r="52" spans="1:12" x14ac:dyDescent="0.3">
      <c r="A52" t="s">
        <v>128</v>
      </c>
      <c r="B52" t="s">
        <v>9</v>
      </c>
      <c r="C52" t="s">
        <v>5780</v>
      </c>
      <c r="D52" t="s">
        <v>129</v>
      </c>
      <c r="E52" t="s">
        <v>15</v>
      </c>
      <c r="F52" t="s">
        <v>20</v>
      </c>
      <c r="G52" t="s">
        <v>130</v>
      </c>
      <c r="J52" t="s">
        <v>5747</v>
      </c>
      <c r="K52">
        <v>50</v>
      </c>
      <c r="L52" t="str" cm="1">
        <f t="array" ref="L52">_xlfn.IFS(
 K52&lt;=50,"≤50",
 AND(K52&gt;=51,K52&lt;=100),"51–100",
 AND(K52&gt;=101,K52&lt;=250),"101–250",
 AND(K52&gt;=251,K52&lt;=500),"251–500",
 AND(K52&gt;=501,K52&lt;=1000),"501–1000",
 K52&gt;=1001,"1001+"
)</f>
        <v>≤50</v>
      </c>
    </row>
    <row r="53" spans="1:12" x14ac:dyDescent="0.3">
      <c r="A53" t="s">
        <v>131</v>
      </c>
      <c r="B53" t="s">
        <v>9</v>
      </c>
      <c r="C53" t="s">
        <v>5780</v>
      </c>
      <c r="D53" t="s">
        <v>132</v>
      </c>
      <c r="E53" t="s">
        <v>15</v>
      </c>
      <c r="F53" t="s">
        <v>5770</v>
      </c>
      <c r="J53" t="s">
        <v>5737</v>
      </c>
      <c r="K53">
        <v>50</v>
      </c>
      <c r="L53" t="str" cm="1">
        <f t="array" ref="L53">_xlfn.IFS(
 K53&lt;=50,"≤50",
 AND(K53&gt;=51,K53&lt;=100),"51–100",
 AND(K53&gt;=101,K53&lt;=250),"101–250",
 AND(K53&gt;=251,K53&lt;=500),"251–500",
 AND(K53&gt;=501,K53&lt;=1000),"501–1000",
 K53&gt;=1001,"1001+"
)</f>
        <v>≤50</v>
      </c>
    </row>
    <row r="54" spans="1:12" x14ac:dyDescent="0.3">
      <c r="A54" t="s">
        <v>133</v>
      </c>
      <c r="B54" t="s">
        <v>13</v>
      </c>
      <c r="C54" t="s">
        <v>5777</v>
      </c>
      <c r="D54" t="s">
        <v>134</v>
      </c>
      <c r="F54" t="s">
        <v>20</v>
      </c>
      <c r="G54" t="s">
        <v>135</v>
      </c>
      <c r="J54" t="s">
        <v>5741</v>
      </c>
      <c r="K54">
        <v>50</v>
      </c>
      <c r="L54" t="str" cm="1">
        <f t="array" ref="L54">_xlfn.IFS(
 K54&lt;=50,"≤50",
 AND(K54&gt;=51,K54&lt;=100),"51–100",
 AND(K54&gt;=101,K54&lt;=250),"101–250",
 AND(K54&gt;=251,K54&lt;=500),"251–500",
 AND(K54&gt;=501,K54&lt;=1000),"501–1000",
 K54&gt;=1001,"1001+"
)</f>
        <v>≤50</v>
      </c>
    </row>
    <row r="55" spans="1:12" x14ac:dyDescent="0.3">
      <c r="A55" t="s">
        <v>136</v>
      </c>
      <c r="B55" t="s">
        <v>9</v>
      </c>
      <c r="C55" t="s">
        <v>5780</v>
      </c>
      <c r="D55" t="s">
        <v>137</v>
      </c>
      <c r="E55" t="s">
        <v>15</v>
      </c>
      <c r="F55" t="s">
        <v>16</v>
      </c>
      <c r="G55" t="s">
        <v>138</v>
      </c>
      <c r="J55" t="s">
        <v>5740</v>
      </c>
      <c r="K55">
        <v>50</v>
      </c>
      <c r="L55" t="str" cm="1">
        <f t="array" ref="L55">_xlfn.IFS(
 K55&lt;=50,"≤50",
 AND(K55&gt;=51,K55&lt;=100),"51–100",
 AND(K55&gt;=101,K55&lt;=250),"101–250",
 AND(K55&gt;=251,K55&lt;=500),"251–500",
 AND(K55&gt;=501,K55&lt;=1000),"501–1000",
 K55&gt;=1001,"1001+"
)</f>
        <v>≤50</v>
      </c>
    </row>
    <row r="56" spans="1:12" x14ac:dyDescent="0.3">
      <c r="A56" t="s">
        <v>139</v>
      </c>
      <c r="B56" t="s">
        <v>9</v>
      </c>
      <c r="C56" t="s">
        <v>5780</v>
      </c>
      <c r="D56" t="s">
        <v>140</v>
      </c>
      <c r="E56" t="s">
        <v>15</v>
      </c>
      <c r="F56" t="s">
        <v>16</v>
      </c>
      <c r="G56" t="s">
        <v>141</v>
      </c>
      <c r="J56" t="s">
        <v>5747</v>
      </c>
      <c r="K56">
        <v>50</v>
      </c>
      <c r="L56" t="str" cm="1">
        <f t="array" ref="L56">_xlfn.IFS(
 K56&lt;=50,"≤50",
 AND(K56&gt;=51,K56&lt;=100),"51–100",
 AND(K56&gt;=101,K56&lt;=250),"101–250",
 AND(K56&gt;=251,K56&lt;=500),"251–500",
 AND(K56&gt;=501,K56&lt;=1000),"501–1000",
 K56&gt;=1001,"1001+"
)</f>
        <v>≤50</v>
      </c>
    </row>
    <row r="57" spans="1:12" x14ac:dyDescent="0.3">
      <c r="A57" t="s">
        <v>142</v>
      </c>
      <c r="B57" t="s">
        <v>11</v>
      </c>
      <c r="C57" t="s">
        <v>5776</v>
      </c>
      <c r="F57" t="s">
        <v>5770</v>
      </c>
      <c r="J57" t="s">
        <v>5737</v>
      </c>
      <c r="K57">
        <v>50</v>
      </c>
      <c r="L57" t="str" cm="1">
        <f t="array" ref="L57">_xlfn.IFS(
 K57&lt;=50,"≤50",
 AND(K57&gt;=51,K57&lt;=100),"51–100",
 AND(K57&gt;=101,K57&lt;=250),"101–250",
 AND(K57&gt;=251,K57&lt;=500),"251–500",
 AND(K57&gt;=501,K57&lt;=1000),"501–1000",
 K57&gt;=1001,"1001+"
)</f>
        <v>≤50</v>
      </c>
    </row>
    <row r="58" spans="1:12" x14ac:dyDescent="0.3">
      <c r="A58" t="s">
        <v>143</v>
      </c>
      <c r="B58" t="s">
        <v>9</v>
      </c>
      <c r="C58" t="s">
        <v>5780</v>
      </c>
      <c r="D58" t="s">
        <v>144</v>
      </c>
      <c r="E58" t="s">
        <v>15</v>
      </c>
      <c r="F58" t="s">
        <v>54</v>
      </c>
      <c r="G58" t="s">
        <v>145</v>
      </c>
      <c r="J58" t="s">
        <v>5737</v>
      </c>
      <c r="K58">
        <v>50</v>
      </c>
      <c r="L58" t="str" cm="1">
        <f t="array" ref="L58">_xlfn.IFS(
 K58&lt;=50,"≤50",
 AND(K58&gt;=51,K58&lt;=100),"51–100",
 AND(K58&gt;=101,K58&lt;=250),"101–250",
 AND(K58&gt;=251,K58&lt;=500),"251–500",
 AND(K58&gt;=501,K58&lt;=1000),"501–1000",
 K58&gt;=1001,"1001+"
)</f>
        <v>≤50</v>
      </c>
    </row>
    <row r="59" spans="1:12" x14ac:dyDescent="0.3">
      <c r="A59" t="s">
        <v>146</v>
      </c>
      <c r="B59" t="s">
        <v>13</v>
      </c>
      <c r="C59" t="s">
        <v>5777</v>
      </c>
      <c r="D59" t="s">
        <v>147</v>
      </c>
      <c r="F59" t="s">
        <v>16</v>
      </c>
      <c r="G59" t="s">
        <v>148</v>
      </c>
      <c r="J59" t="s">
        <v>5747</v>
      </c>
      <c r="K59">
        <v>50</v>
      </c>
      <c r="L59" t="str" cm="1">
        <f t="array" ref="L59">_xlfn.IFS(
 K59&lt;=50,"≤50",
 AND(K59&gt;=51,K59&lt;=100),"51–100",
 AND(K59&gt;=101,K59&lt;=250),"101–250",
 AND(K59&gt;=251,K59&lt;=500),"251–500",
 AND(K59&gt;=501,K59&lt;=1000),"501–1000",
 K59&gt;=1001,"1001+"
)</f>
        <v>≤50</v>
      </c>
    </row>
    <row r="60" spans="1:12" x14ac:dyDescent="0.3">
      <c r="A60" t="s">
        <v>149</v>
      </c>
      <c r="B60" t="s">
        <v>9</v>
      </c>
      <c r="C60" t="s">
        <v>5780</v>
      </c>
      <c r="D60" t="s">
        <v>28</v>
      </c>
      <c r="F60" t="s">
        <v>16</v>
      </c>
      <c r="G60" t="s">
        <v>150</v>
      </c>
      <c r="J60" t="s">
        <v>5748</v>
      </c>
      <c r="K60">
        <v>50</v>
      </c>
      <c r="L60" t="str" cm="1">
        <f t="array" ref="L60">_xlfn.IFS(
 K60&lt;=50,"≤50",
 AND(K60&gt;=51,K60&lt;=100),"51–100",
 AND(K60&gt;=101,K60&lt;=250),"101–250",
 AND(K60&gt;=251,K60&lt;=500),"251–500",
 AND(K60&gt;=501,K60&lt;=1000),"501–1000",
 K60&gt;=1001,"1001+"
)</f>
        <v>≤50</v>
      </c>
    </row>
    <row r="61" spans="1:12" x14ac:dyDescent="0.3">
      <c r="A61" t="s">
        <v>151</v>
      </c>
      <c r="B61" t="s">
        <v>11</v>
      </c>
      <c r="C61" t="s">
        <v>5776</v>
      </c>
      <c r="F61" t="s">
        <v>5770</v>
      </c>
      <c r="J61" t="s">
        <v>5738</v>
      </c>
      <c r="K61">
        <v>50</v>
      </c>
      <c r="L61" t="str" cm="1">
        <f t="array" ref="L61">_xlfn.IFS(
 K61&lt;=50,"≤50",
 AND(K61&gt;=51,K61&lt;=100),"51–100",
 AND(K61&gt;=101,K61&lt;=250),"101–250",
 AND(K61&gt;=251,K61&lt;=500),"251–500",
 AND(K61&gt;=501,K61&lt;=1000),"501–1000",
 K61&gt;=1001,"1001+"
)</f>
        <v>≤50</v>
      </c>
    </row>
    <row r="62" spans="1:12" x14ac:dyDescent="0.3">
      <c r="A62" t="s">
        <v>152</v>
      </c>
      <c r="B62" t="s">
        <v>13</v>
      </c>
      <c r="C62" t="s">
        <v>5777</v>
      </c>
      <c r="D62" t="s">
        <v>153</v>
      </c>
      <c r="E62" t="s">
        <v>15</v>
      </c>
      <c r="F62" t="s">
        <v>16</v>
      </c>
      <c r="G62" t="s">
        <v>154</v>
      </c>
      <c r="J62" t="s">
        <v>5738</v>
      </c>
      <c r="K62">
        <v>50</v>
      </c>
      <c r="L62" t="str" cm="1">
        <f t="array" ref="L62">_xlfn.IFS(
 K62&lt;=50,"≤50",
 AND(K62&gt;=51,K62&lt;=100),"51–100",
 AND(K62&gt;=101,K62&lt;=250),"101–250",
 AND(K62&gt;=251,K62&lt;=500),"251–500",
 AND(K62&gt;=501,K62&lt;=1000),"501–1000",
 K62&gt;=1001,"1001+"
)</f>
        <v>≤50</v>
      </c>
    </row>
    <row r="63" spans="1:12" x14ac:dyDescent="0.3">
      <c r="A63" t="s">
        <v>155</v>
      </c>
      <c r="B63" t="s">
        <v>13</v>
      </c>
      <c r="C63" t="s">
        <v>5777</v>
      </c>
      <c r="D63" t="s">
        <v>156</v>
      </c>
      <c r="F63" t="s">
        <v>20</v>
      </c>
      <c r="G63" t="s">
        <v>157</v>
      </c>
      <c r="J63" t="s">
        <v>5737</v>
      </c>
      <c r="K63">
        <v>50</v>
      </c>
      <c r="L63" t="str" cm="1">
        <f t="array" ref="L63">_xlfn.IFS(
 K63&lt;=50,"≤50",
 AND(K63&gt;=51,K63&lt;=100),"51–100",
 AND(K63&gt;=101,K63&lt;=250),"101–250",
 AND(K63&gt;=251,K63&lt;=500),"251–500",
 AND(K63&gt;=501,K63&lt;=1000),"501–1000",
 K63&gt;=1001,"1001+"
)</f>
        <v>≤50</v>
      </c>
    </row>
    <row r="64" spans="1:12" x14ac:dyDescent="0.3">
      <c r="A64" t="s">
        <v>158</v>
      </c>
      <c r="B64" t="s">
        <v>13</v>
      </c>
      <c r="C64" t="s">
        <v>5777</v>
      </c>
      <c r="D64" t="s">
        <v>159</v>
      </c>
      <c r="E64" t="s">
        <v>15</v>
      </c>
      <c r="F64" t="s">
        <v>20</v>
      </c>
      <c r="G64" t="s">
        <v>42</v>
      </c>
      <c r="J64" t="s">
        <v>5737</v>
      </c>
      <c r="K64">
        <v>50</v>
      </c>
      <c r="L64" t="str" cm="1">
        <f t="array" ref="L64">_xlfn.IFS(
 K64&lt;=50,"≤50",
 AND(K64&gt;=51,K64&lt;=100),"51–100",
 AND(K64&gt;=101,K64&lt;=250),"101–250",
 AND(K64&gt;=251,K64&lt;=500),"251–500",
 AND(K64&gt;=501,K64&lt;=1000),"501–1000",
 K64&gt;=1001,"1001+"
)</f>
        <v>≤50</v>
      </c>
    </row>
    <row r="65" spans="1:12" x14ac:dyDescent="0.3">
      <c r="A65" t="s">
        <v>160</v>
      </c>
      <c r="B65" t="s">
        <v>9</v>
      </c>
      <c r="C65" t="s">
        <v>5780</v>
      </c>
      <c r="D65" t="s">
        <v>161</v>
      </c>
      <c r="F65" t="s">
        <v>5770</v>
      </c>
      <c r="J65" t="s">
        <v>5741</v>
      </c>
      <c r="K65">
        <v>50</v>
      </c>
      <c r="L65" t="str" cm="1">
        <f t="array" ref="L65">_xlfn.IFS(
 K65&lt;=50,"≤50",
 AND(K65&gt;=51,K65&lt;=100),"51–100",
 AND(K65&gt;=101,K65&lt;=250),"101–250",
 AND(K65&gt;=251,K65&lt;=500),"251–500",
 AND(K65&gt;=501,K65&lt;=1000),"501–1000",
 K65&gt;=1001,"1001+"
)</f>
        <v>≤50</v>
      </c>
    </row>
    <row r="66" spans="1:12" x14ac:dyDescent="0.3">
      <c r="A66" t="s">
        <v>162</v>
      </c>
      <c r="B66" t="s">
        <v>11</v>
      </c>
      <c r="C66" t="s">
        <v>5776</v>
      </c>
      <c r="F66" t="s">
        <v>5770</v>
      </c>
      <c r="J66" t="s">
        <v>5749</v>
      </c>
      <c r="K66">
        <v>50</v>
      </c>
      <c r="L66" t="str" cm="1">
        <f t="array" ref="L66">_xlfn.IFS(
 K66&lt;=50,"≤50",
 AND(K66&gt;=51,K66&lt;=100),"51–100",
 AND(K66&gt;=101,K66&lt;=250),"101–250",
 AND(K66&gt;=251,K66&lt;=500),"251–500",
 AND(K66&gt;=501,K66&lt;=1000),"501–1000",
 K66&gt;=1001,"1001+"
)</f>
        <v>≤50</v>
      </c>
    </row>
    <row r="67" spans="1:12" x14ac:dyDescent="0.3">
      <c r="A67" t="s">
        <v>163</v>
      </c>
      <c r="B67" t="s">
        <v>9</v>
      </c>
      <c r="C67" t="s">
        <v>5780</v>
      </c>
      <c r="D67" t="s">
        <v>164</v>
      </c>
      <c r="E67" t="s">
        <v>15</v>
      </c>
      <c r="F67" t="s">
        <v>20</v>
      </c>
      <c r="G67" t="s">
        <v>165</v>
      </c>
      <c r="J67" t="s">
        <v>5750</v>
      </c>
      <c r="K67">
        <v>50</v>
      </c>
      <c r="L67" t="str" cm="1">
        <f t="array" ref="L67">_xlfn.IFS(
 K67&lt;=50,"≤50",
 AND(K67&gt;=51,K67&lt;=100),"51–100",
 AND(K67&gt;=101,K67&lt;=250),"101–250",
 AND(K67&gt;=251,K67&lt;=500),"251–500",
 AND(K67&gt;=501,K67&lt;=1000),"501–1000",
 K67&gt;=1001,"1001+"
)</f>
        <v>≤50</v>
      </c>
    </row>
    <row r="68" spans="1:12" x14ac:dyDescent="0.3">
      <c r="A68" t="s">
        <v>166</v>
      </c>
      <c r="B68" t="s">
        <v>9</v>
      </c>
      <c r="C68" t="s">
        <v>5780</v>
      </c>
      <c r="D68" t="s">
        <v>167</v>
      </c>
      <c r="E68" t="s">
        <v>15</v>
      </c>
      <c r="F68" t="s">
        <v>54</v>
      </c>
      <c r="G68" t="s">
        <v>168</v>
      </c>
      <c r="J68" t="s">
        <v>5737</v>
      </c>
      <c r="K68">
        <v>50</v>
      </c>
      <c r="L68" t="str" cm="1">
        <f t="array" ref="L68">_xlfn.IFS(
 K68&lt;=50,"≤50",
 AND(K68&gt;=51,K68&lt;=100),"51–100",
 AND(K68&gt;=101,K68&lt;=250),"101–250",
 AND(K68&gt;=251,K68&lt;=500),"251–500",
 AND(K68&gt;=501,K68&lt;=1000),"501–1000",
 K68&gt;=1001,"1001+"
)</f>
        <v>≤50</v>
      </c>
    </row>
    <row r="69" spans="1:12" x14ac:dyDescent="0.3">
      <c r="A69" t="s">
        <v>169</v>
      </c>
      <c r="B69" t="s">
        <v>11</v>
      </c>
      <c r="C69" t="s">
        <v>5776</v>
      </c>
      <c r="F69" t="s">
        <v>5770</v>
      </c>
      <c r="J69" t="s">
        <v>5737</v>
      </c>
      <c r="K69">
        <v>50</v>
      </c>
      <c r="L69" t="str" cm="1">
        <f t="array" ref="L69">_xlfn.IFS(
 K69&lt;=50,"≤50",
 AND(K69&gt;=51,K69&lt;=100),"51–100",
 AND(K69&gt;=101,K69&lt;=250),"101–250",
 AND(K69&gt;=251,K69&lt;=500),"251–500",
 AND(K69&gt;=501,K69&lt;=1000),"501–1000",
 K69&gt;=1001,"1001+"
)</f>
        <v>≤50</v>
      </c>
    </row>
    <row r="70" spans="1:12" x14ac:dyDescent="0.3">
      <c r="A70" t="s">
        <v>170</v>
      </c>
      <c r="B70" t="s">
        <v>9</v>
      </c>
      <c r="C70" t="s">
        <v>5780</v>
      </c>
      <c r="D70" t="s">
        <v>171</v>
      </c>
      <c r="F70" t="s">
        <v>54</v>
      </c>
      <c r="G70" t="s">
        <v>172</v>
      </c>
      <c r="J70" t="s">
        <v>5737</v>
      </c>
      <c r="K70">
        <v>50</v>
      </c>
      <c r="L70" t="str" cm="1">
        <f t="array" ref="L70">_xlfn.IFS(
 K70&lt;=50,"≤50",
 AND(K70&gt;=51,K70&lt;=100),"51–100",
 AND(K70&gt;=101,K70&lt;=250),"101–250",
 AND(K70&gt;=251,K70&lt;=500),"251–500",
 AND(K70&gt;=501,K70&lt;=1000),"501–1000",
 K70&gt;=1001,"1001+"
)</f>
        <v>≤50</v>
      </c>
    </row>
    <row r="71" spans="1:12" x14ac:dyDescent="0.3">
      <c r="A71" t="s">
        <v>173</v>
      </c>
      <c r="B71" t="s">
        <v>13</v>
      </c>
      <c r="C71" t="s">
        <v>5777</v>
      </c>
      <c r="D71" t="s">
        <v>174</v>
      </c>
      <c r="E71" t="s">
        <v>15</v>
      </c>
      <c r="F71" t="s">
        <v>20</v>
      </c>
      <c r="G71" t="s">
        <v>175</v>
      </c>
      <c r="J71" t="s">
        <v>5737</v>
      </c>
      <c r="K71">
        <v>50</v>
      </c>
      <c r="L71" t="str" cm="1">
        <f t="array" ref="L71">_xlfn.IFS(
 K71&lt;=50,"≤50",
 AND(K71&gt;=51,K71&lt;=100),"51–100",
 AND(K71&gt;=101,K71&lt;=250),"101–250",
 AND(K71&gt;=251,K71&lt;=500),"251–500",
 AND(K71&gt;=501,K71&lt;=1000),"501–1000",
 K71&gt;=1001,"1001+"
)</f>
        <v>≤50</v>
      </c>
    </row>
    <row r="72" spans="1:12" x14ac:dyDescent="0.3">
      <c r="A72" t="s">
        <v>176</v>
      </c>
      <c r="B72" t="s">
        <v>9</v>
      </c>
      <c r="C72" t="s">
        <v>5780</v>
      </c>
      <c r="D72" t="s">
        <v>177</v>
      </c>
      <c r="E72" t="s">
        <v>15</v>
      </c>
      <c r="F72" t="s">
        <v>54</v>
      </c>
      <c r="G72" t="s">
        <v>178</v>
      </c>
      <c r="J72" t="s">
        <v>5737</v>
      </c>
      <c r="K72">
        <v>50</v>
      </c>
      <c r="L72" t="str" cm="1">
        <f t="array" ref="L72">_xlfn.IFS(
 K72&lt;=50,"≤50",
 AND(K72&gt;=51,K72&lt;=100),"51–100",
 AND(K72&gt;=101,K72&lt;=250),"101–250",
 AND(K72&gt;=251,K72&lt;=500),"251–500",
 AND(K72&gt;=501,K72&lt;=1000),"501–1000",
 K72&gt;=1001,"1001+"
)</f>
        <v>≤50</v>
      </c>
    </row>
    <row r="73" spans="1:12" x14ac:dyDescent="0.3">
      <c r="A73" t="s">
        <v>179</v>
      </c>
      <c r="B73" t="s">
        <v>13</v>
      </c>
      <c r="C73" t="s">
        <v>5777</v>
      </c>
      <c r="D73" t="s">
        <v>180</v>
      </c>
      <c r="E73" t="s">
        <v>15</v>
      </c>
      <c r="F73" t="s">
        <v>5770</v>
      </c>
      <c r="J73" t="s">
        <v>5744</v>
      </c>
      <c r="K73">
        <v>50</v>
      </c>
      <c r="L73" t="str" cm="1">
        <f t="array" ref="L73">_xlfn.IFS(
 K73&lt;=50,"≤50",
 AND(K73&gt;=51,K73&lt;=100),"51–100",
 AND(K73&gt;=101,K73&lt;=250),"101–250",
 AND(K73&gt;=251,K73&lt;=500),"251–500",
 AND(K73&gt;=501,K73&lt;=1000),"501–1000",
 K73&gt;=1001,"1001+"
)</f>
        <v>≤50</v>
      </c>
    </row>
    <row r="74" spans="1:12" x14ac:dyDescent="0.3">
      <c r="A74" t="s">
        <v>181</v>
      </c>
      <c r="B74" t="s">
        <v>13</v>
      </c>
      <c r="C74" t="s">
        <v>5777</v>
      </c>
      <c r="D74" t="s">
        <v>182</v>
      </c>
      <c r="E74" t="s">
        <v>15</v>
      </c>
      <c r="F74" t="s">
        <v>20</v>
      </c>
      <c r="G74" t="s">
        <v>117</v>
      </c>
      <c r="J74" t="s">
        <v>5751</v>
      </c>
      <c r="K74">
        <v>50</v>
      </c>
      <c r="L74" t="str" cm="1">
        <f t="array" ref="L74">_xlfn.IFS(
 K74&lt;=50,"≤50",
 AND(K74&gt;=51,K74&lt;=100),"51–100",
 AND(K74&gt;=101,K74&lt;=250),"101–250",
 AND(K74&gt;=251,K74&lt;=500),"251–500",
 AND(K74&gt;=501,K74&lt;=1000),"501–1000",
 K74&gt;=1001,"1001+"
)</f>
        <v>≤50</v>
      </c>
    </row>
    <row r="75" spans="1:12" x14ac:dyDescent="0.3">
      <c r="A75" t="s">
        <v>183</v>
      </c>
      <c r="B75" t="s">
        <v>13</v>
      </c>
      <c r="C75" t="s">
        <v>5777</v>
      </c>
      <c r="D75" t="s">
        <v>184</v>
      </c>
      <c r="F75" t="s">
        <v>20</v>
      </c>
      <c r="G75" t="s">
        <v>185</v>
      </c>
      <c r="J75" t="s">
        <v>5752</v>
      </c>
      <c r="K75">
        <v>50</v>
      </c>
      <c r="L75" t="str" cm="1">
        <f t="array" ref="L75">_xlfn.IFS(
 K75&lt;=50,"≤50",
 AND(K75&gt;=51,K75&lt;=100),"51–100",
 AND(K75&gt;=101,K75&lt;=250),"101–250",
 AND(K75&gt;=251,K75&lt;=500),"251–500",
 AND(K75&gt;=501,K75&lt;=1000),"501–1000",
 K75&gt;=1001,"1001+"
)</f>
        <v>≤50</v>
      </c>
    </row>
    <row r="76" spans="1:12" x14ac:dyDescent="0.3">
      <c r="A76" t="s">
        <v>186</v>
      </c>
      <c r="B76" t="s">
        <v>9</v>
      </c>
      <c r="C76" t="s">
        <v>5780</v>
      </c>
      <c r="D76" t="s">
        <v>187</v>
      </c>
      <c r="E76" t="s">
        <v>15</v>
      </c>
      <c r="F76" t="s">
        <v>5770</v>
      </c>
      <c r="J76" t="s">
        <v>5740</v>
      </c>
      <c r="K76">
        <v>50</v>
      </c>
      <c r="L76" t="str" cm="1">
        <f t="array" ref="L76">_xlfn.IFS(
 K76&lt;=50,"≤50",
 AND(K76&gt;=51,K76&lt;=100),"51–100",
 AND(K76&gt;=101,K76&lt;=250),"101–250",
 AND(K76&gt;=251,K76&lt;=500),"251–500",
 AND(K76&gt;=501,K76&lt;=1000),"501–1000",
 K76&gt;=1001,"1001+"
)</f>
        <v>≤50</v>
      </c>
    </row>
    <row r="77" spans="1:12" x14ac:dyDescent="0.3">
      <c r="A77" t="s">
        <v>188</v>
      </c>
      <c r="B77" t="s">
        <v>13</v>
      </c>
      <c r="C77" t="s">
        <v>5777</v>
      </c>
      <c r="D77" t="s">
        <v>189</v>
      </c>
      <c r="E77" t="s">
        <v>15</v>
      </c>
      <c r="F77" t="s">
        <v>16</v>
      </c>
      <c r="G77" t="s">
        <v>190</v>
      </c>
      <c r="J77" t="s">
        <v>5737</v>
      </c>
      <c r="K77">
        <v>50</v>
      </c>
      <c r="L77" t="str" cm="1">
        <f t="array" ref="L77">_xlfn.IFS(
 K77&lt;=50,"≤50",
 AND(K77&gt;=51,K77&lt;=100),"51–100",
 AND(K77&gt;=101,K77&lt;=250),"101–250",
 AND(K77&gt;=251,K77&lt;=500),"251–500",
 AND(K77&gt;=501,K77&lt;=1000),"501–1000",
 K77&gt;=1001,"1001+"
)</f>
        <v>≤50</v>
      </c>
    </row>
    <row r="78" spans="1:12" x14ac:dyDescent="0.3">
      <c r="A78" t="s">
        <v>191</v>
      </c>
      <c r="B78" t="s">
        <v>9</v>
      </c>
      <c r="C78" t="s">
        <v>5780</v>
      </c>
      <c r="D78" t="s">
        <v>192</v>
      </c>
      <c r="E78" t="s">
        <v>15</v>
      </c>
      <c r="F78" t="s">
        <v>20</v>
      </c>
      <c r="G78" t="s">
        <v>193</v>
      </c>
      <c r="J78" t="s">
        <v>5737</v>
      </c>
      <c r="K78">
        <v>50</v>
      </c>
      <c r="L78" t="str" cm="1">
        <f t="array" ref="L78">_xlfn.IFS(
 K78&lt;=50,"≤50",
 AND(K78&gt;=51,K78&lt;=100),"51–100",
 AND(K78&gt;=101,K78&lt;=250),"101–250",
 AND(K78&gt;=251,K78&lt;=500),"251–500",
 AND(K78&gt;=501,K78&lt;=1000),"501–1000",
 K78&gt;=1001,"1001+"
)</f>
        <v>≤50</v>
      </c>
    </row>
    <row r="79" spans="1:12" x14ac:dyDescent="0.3">
      <c r="A79" t="s">
        <v>194</v>
      </c>
      <c r="B79" t="s">
        <v>11</v>
      </c>
      <c r="C79" t="s">
        <v>5776</v>
      </c>
      <c r="F79" t="s">
        <v>5770</v>
      </c>
      <c r="J79" t="s">
        <v>5737</v>
      </c>
      <c r="K79">
        <v>50</v>
      </c>
      <c r="L79" t="str" cm="1">
        <f t="array" ref="L79">_xlfn.IFS(
 K79&lt;=50,"≤50",
 AND(K79&gt;=51,K79&lt;=100),"51–100",
 AND(K79&gt;=101,K79&lt;=250),"101–250",
 AND(K79&gt;=251,K79&lt;=500),"251–500",
 AND(K79&gt;=501,K79&lt;=1000),"501–1000",
 K79&gt;=1001,"1001+"
)</f>
        <v>≤50</v>
      </c>
    </row>
    <row r="80" spans="1:12" x14ac:dyDescent="0.3">
      <c r="A80" t="s">
        <v>195</v>
      </c>
      <c r="B80" t="s">
        <v>9</v>
      </c>
      <c r="C80" t="s">
        <v>5780</v>
      </c>
      <c r="D80" t="s">
        <v>196</v>
      </c>
      <c r="E80" t="s">
        <v>15</v>
      </c>
      <c r="F80" t="s">
        <v>5769</v>
      </c>
      <c r="G80" t="s">
        <v>198</v>
      </c>
      <c r="J80" t="s">
        <v>5737</v>
      </c>
      <c r="K80">
        <v>50</v>
      </c>
      <c r="L80" t="str" cm="1">
        <f t="array" ref="L80">_xlfn.IFS(
 K80&lt;=50,"≤50",
 AND(K80&gt;=51,K80&lt;=100),"51–100",
 AND(K80&gt;=101,K80&lt;=250),"101–250",
 AND(K80&gt;=251,K80&lt;=500),"251–500",
 AND(K80&gt;=501,K80&lt;=1000),"501–1000",
 K80&gt;=1001,"1001+"
)</f>
        <v>≤50</v>
      </c>
    </row>
    <row r="81" spans="1:12" x14ac:dyDescent="0.3">
      <c r="A81" t="s">
        <v>199</v>
      </c>
      <c r="B81" t="s">
        <v>9</v>
      </c>
      <c r="C81" t="s">
        <v>5780</v>
      </c>
      <c r="D81" t="s">
        <v>200</v>
      </c>
      <c r="E81" t="s">
        <v>15</v>
      </c>
      <c r="F81" t="s">
        <v>20</v>
      </c>
      <c r="G81" t="s">
        <v>201</v>
      </c>
      <c r="J81" t="s">
        <v>5742</v>
      </c>
      <c r="K81">
        <v>50</v>
      </c>
      <c r="L81" t="str" cm="1">
        <f t="array" ref="L81">_xlfn.IFS(
 K81&lt;=50,"≤50",
 AND(K81&gt;=51,K81&lt;=100),"51–100",
 AND(K81&gt;=101,K81&lt;=250),"101–250",
 AND(K81&gt;=251,K81&lt;=500),"251–500",
 AND(K81&gt;=501,K81&lt;=1000),"501–1000",
 K81&gt;=1001,"1001+"
)</f>
        <v>≤50</v>
      </c>
    </row>
    <row r="82" spans="1:12" x14ac:dyDescent="0.3">
      <c r="A82" t="s">
        <v>202</v>
      </c>
      <c r="B82" t="s">
        <v>9</v>
      </c>
      <c r="C82" t="s">
        <v>5780</v>
      </c>
      <c r="D82" t="s">
        <v>203</v>
      </c>
      <c r="F82" t="s">
        <v>20</v>
      </c>
      <c r="G82" t="s">
        <v>185</v>
      </c>
      <c r="J82" t="s">
        <v>5741</v>
      </c>
      <c r="K82">
        <v>50</v>
      </c>
      <c r="L82" t="str" cm="1">
        <f t="array" ref="L82">_xlfn.IFS(
 K82&lt;=50,"≤50",
 AND(K82&gt;=51,K82&lt;=100),"51–100",
 AND(K82&gt;=101,K82&lt;=250),"101–250",
 AND(K82&gt;=251,K82&lt;=500),"251–500",
 AND(K82&gt;=501,K82&lt;=1000),"501–1000",
 K82&gt;=1001,"1001+"
)</f>
        <v>≤50</v>
      </c>
    </row>
    <row r="83" spans="1:12" x14ac:dyDescent="0.3">
      <c r="A83" t="s">
        <v>204</v>
      </c>
      <c r="B83" t="s">
        <v>9</v>
      </c>
      <c r="C83" t="s">
        <v>5780</v>
      </c>
      <c r="D83" t="s">
        <v>28</v>
      </c>
      <c r="F83" t="s">
        <v>5770</v>
      </c>
      <c r="J83" t="s">
        <v>5737</v>
      </c>
      <c r="K83">
        <v>50</v>
      </c>
      <c r="L83" t="str" cm="1">
        <f t="array" ref="L83">_xlfn.IFS(
 K83&lt;=50,"≤50",
 AND(K83&gt;=51,K83&lt;=100),"51–100",
 AND(K83&gt;=101,K83&lt;=250),"101–250",
 AND(K83&gt;=251,K83&lt;=500),"251–500",
 AND(K83&gt;=501,K83&lt;=1000),"501–1000",
 K83&gt;=1001,"1001+"
)</f>
        <v>≤50</v>
      </c>
    </row>
    <row r="84" spans="1:12" x14ac:dyDescent="0.3">
      <c r="A84" t="s">
        <v>205</v>
      </c>
      <c r="B84" t="s">
        <v>13</v>
      </c>
      <c r="C84" t="s">
        <v>5777</v>
      </c>
      <c r="D84" t="s">
        <v>206</v>
      </c>
      <c r="F84" t="s">
        <v>5770</v>
      </c>
      <c r="J84" t="s">
        <v>5738</v>
      </c>
      <c r="K84">
        <v>50</v>
      </c>
      <c r="L84" t="str" cm="1">
        <f t="array" ref="L84">_xlfn.IFS(
 K84&lt;=50,"≤50",
 AND(K84&gt;=51,K84&lt;=100),"51–100",
 AND(K84&gt;=101,K84&lt;=250),"101–250",
 AND(K84&gt;=251,K84&lt;=500),"251–500",
 AND(K84&gt;=501,K84&lt;=1000),"501–1000",
 K84&gt;=1001,"1001+"
)</f>
        <v>≤50</v>
      </c>
    </row>
    <row r="85" spans="1:12" x14ac:dyDescent="0.3">
      <c r="A85" t="s">
        <v>207</v>
      </c>
      <c r="B85" t="s">
        <v>9</v>
      </c>
      <c r="C85" t="s">
        <v>5780</v>
      </c>
      <c r="D85" t="s">
        <v>208</v>
      </c>
      <c r="E85" t="s">
        <v>15</v>
      </c>
      <c r="F85" t="s">
        <v>5770</v>
      </c>
      <c r="J85" t="s">
        <v>5738</v>
      </c>
      <c r="K85">
        <v>50</v>
      </c>
      <c r="L85" t="str" cm="1">
        <f t="array" ref="L85">_xlfn.IFS(
 K85&lt;=50,"≤50",
 AND(K85&gt;=51,K85&lt;=100),"51–100",
 AND(K85&gt;=101,K85&lt;=250),"101–250",
 AND(K85&gt;=251,K85&lt;=500),"251–500",
 AND(K85&gt;=501,K85&lt;=1000),"501–1000",
 K85&gt;=1001,"1001+"
)</f>
        <v>≤50</v>
      </c>
    </row>
    <row r="86" spans="1:12" x14ac:dyDescent="0.3">
      <c r="A86" t="s">
        <v>209</v>
      </c>
      <c r="B86" t="s">
        <v>11</v>
      </c>
      <c r="C86" t="s">
        <v>5776</v>
      </c>
      <c r="F86" t="s">
        <v>5770</v>
      </c>
      <c r="J86" t="s">
        <v>5737</v>
      </c>
      <c r="K86">
        <v>50</v>
      </c>
      <c r="L86" t="str" cm="1">
        <f t="array" ref="L86">_xlfn.IFS(
 K86&lt;=50,"≤50",
 AND(K86&gt;=51,K86&lt;=100),"51–100",
 AND(K86&gt;=101,K86&lt;=250),"101–250",
 AND(K86&gt;=251,K86&lt;=500),"251–500",
 AND(K86&gt;=501,K86&lt;=1000),"501–1000",
 K86&gt;=1001,"1001+"
)</f>
        <v>≤50</v>
      </c>
    </row>
    <row r="87" spans="1:12" x14ac:dyDescent="0.3">
      <c r="A87" t="s">
        <v>210</v>
      </c>
      <c r="B87" t="s">
        <v>13</v>
      </c>
      <c r="C87" t="s">
        <v>5777</v>
      </c>
      <c r="D87" t="s">
        <v>211</v>
      </c>
      <c r="E87" t="s">
        <v>15</v>
      </c>
      <c r="F87" t="s">
        <v>16</v>
      </c>
      <c r="G87" t="s">
        <v>212</v>
      </c>
      <c r="J87" t="s">
        <v>5750</v>
      </c>
      <c r="K87">
        <v>50</v>
      </c>
      <c r="L87" t="str" cm="1">
        <f t="array" ref="L87">_xlfn.IFS(
 K87&lt;=50,"≤50",
 AND(K87&gt;=51,K87&lt;=100),"51–100",
 AND(K87&gt;=101,K87&lt;=250),"101–250",
 AND(K87&gt;=251,K87&lt;=500),"251–500",
 AND(K87&gt;=501,K87&lt;=1000),"501–1000",
 K87&gt;=1001,"1001+"
)</f>
        <v>≤50</v>
      </c>
    </row>
    <row r="88" spans="1:12" x14ac:dyDescent="0.3">
      <c r="A88" t="s">
        <v>213</v>
      </c>
      <c r="B88" t="s">
        <v>11</v>
      </c>
      <c r="C88" t="s">
        <v>5776</v>
      </c>
      <c r="F88" t="s">
        <v>5770</v>
      </c>
      <c r="J88" t="s">
        <v>5747</v>
      </c>
      <c r="K88">
        <v>50</v>
      </c>
      <c r="L88" t="str" cm="1">
        <f t="array" ref="L88">_xlfn.IFS(
 K88&lt;=50,"≤50",
 AND(K88&gt;=51,K88&lt;=100),"51–100",
 AND(K88&gt;=101,K88&lt;=250),"101–250",
 AND(K88&gt;=251,K88&lt;=500),"251–500",
 AND(K88&gt;=501,K88&lt;=1000),"501–1000",
 K88&gt;=1001,"1001+"
)</f>
        <v>≤50</v>
      </c>
    </row>
    <row r="89" spans="1:12" x14ac:dyDescent="0.3">
      <c r="A89" t="s">
        <v>214</v>
      </c>
      <c r="B89" t="s">
        <v>13</v>
      </c>
      <c r="C89" t="s">
        <v>5777</v>
      </c>
      <c r="D89" t="s">
        <v>215</v>
      </c>
      <c r="F89" t="s">
        <v>5770</v>
      </c>
      <c r="J89" t="s">
        <v>5738</v>
      </c>
      <c r="K89">
        <v>50</v>
      </c>
      <c r="L89" t="str" cm="1">
        <f t="array" ref="L89">_xlfn.IFS(
 K89&lt;=50,"≤50",
 AND(K89&gt;=51,K89&lt;=100),"51–100",
 AND(K89&gt;=101,K89&lt;=250),"101–250",
 AND(K89&gt;=251,K89&lt;=500),"251–500",
 AND(K89&gt;=501,K89&lt;=1000),"501–1000",
 K89&gt;=1001,"1001+"
)</f>
        <v>≤50</v>
      </c>
    </row>
    <row r="90" spans="1:12" x14ac:dyDescent="0.3">
      <c r="A90" t="s">
        <v>216</v>
      </c>
      <c r="B90" t="s">
        <v>9</v>
      </c>
      <c r="C90" t="s">
        <v>5780</v>
      </c>
      <c r="D90" t="s">
        <v>28</v>
      </c>
      <c r="F90" t="s">
        <v>5770</v>
      </c>
      <c r="J90" t="s">
        <v>5743</v>
      </c>
      <c r="K90">
        <v>50</v>
      </c>
      <c r="L90" t="str" cm="1">
        <f t="array" ref="L90">_xlfn.IFS(
 K90&lt;=50,"≤50",
 AND(K90&gt;=51,K90&lt;=100),"51–100",
 AND(K90&gt;=101,K90&lt;=250),"101–250",
 AND(K90&gt;=251,K90&lt;=500),"251–500",
 AND(K90&gt;=501,K90&lt;=1000),"501–1000",
 K90&gt;=1001,"1001+"
)</f>
        <v>≤50</v>
      </c>
    </row>
    <row r="91" spans="1:12" x14ac:dyDescent="0.3">
      <c r="A91" t="s">
        <v>217</v>
      </c>
      <c r="B91" t="s">
        <v>9</v>
      </c>
      <c r="C91" t="s">
        <v>5780</v>
      </c>
      <c r="D91" t="s">
        <v>51</v>
      </c>
      <c r="F91" t="s">
        <v>54</v>
      </c>
      <c r="G91" t="s">
        <v>218</v>
      </c>
      <c r="J91" t="s">
        <v>5737</v>
      </c>
      <c r="K91">
        <v>50</v>
      </c>
      <c r="L91" t="str" cm="1">
        <f t="array" ref="L91">_xlfn.IFS(
 K91&lt;=50,"≤50",
 AND(K91&gt;=51,K91&lt;=100),"51–100",
 AND(K91&gt;=101,K91&lt;=250),"101–250",
 AND(K91&gt;=251,K91&lt;=500),"251–500",
 AND(K91&gt;=501,K91&lt;=1000),"501–1000",
 K91&gt;=1001,"1001+"
)</f>
        <v>≤50</v>
      </c>
    </row>
    <row r="92" spans="1:12" x14ac:dyDescent="0.3">
      <c r="A92" t="s">
        <v>219</v>
      </c>
      <c r="B92" t="s">
        <v>13</v>
      </c>
      <c r="C92" t="s">
        <v>5777</v>
      </c>
      <c r="D92" t="s">
        <v>220</v>
      </c>
      <c r="E92" t="s">
        <v>15</v>
      </c>
      <c r="F92" t="s">
        <v>16</v>
      </c>
      <c r="G92" t="s">
        <v>221</v>
      </c>
      <c r="J92" t="s">
        <v>5742</v>
      </c>
      <c r="K92">
        <v>50</v>
      </c>
      <c r="L92" t="str" cm="1">
        <f t="array" ref="L92">_xlfn.IFS(
 K92&lt;=50,"≤50",
 AND(K92&gt;=51,K92&lt;=100),"51–100",
 AND(K92&gt;=101,K92&lt;=250),"101–250",
 AND(K92&gt;=251,K92&lt;=500),"251–500",
 AND(K92&gt;=501,K92&lt;=1000),"501–1000",
 K92&gt;=1001,"1001+"
)</f>
        <v>≤50</v>
      </c>
    </row>
    <row r="93" spans="1:12" x14ac:dyDescent="0.3">
      <c r="A93" t="s">
        <v>222</v>
      </c>
      <c r="B93" t="s">
        <v>9</v>
      </c>
      <c r="C93" t="s">
        <v>5780</v>
      </c>
      <c r="D93" t="s">
        <v>28</v>
      </c>
      <c r="F93" t="s">
        <v>5770</v>
      </c>
      <c r="J93" t="s">
        <v>5741</v>
      </c>
      <c r="K93">
        <v>50</v>
      </c>
      <c r="L93" t="str" cm="1">
        <f t="array" ref="L93">_xlfn.IFS(
 K93&lt;=50,"≤50",
 AND(K93&gt;=51,K93&lt;=100),"51–100",
 AND(K93&gt;=101,K93&lt;=250),"101–250",
 AND(K93&gt;=251,K93&lt;=500),"251–500",
 AND(K93&gt;=501,K93&lt;=1000),"501–1000",
 K93&gt;=1001,"1001+"
)</f>
        <v>≤50</v>
      </c>
    </row>
    <row r="94" spans="1:12" x14ac:dyDescent="0.3">
      <c r="A94" t="s">
        <v>223</v>
      </c>
      <c r="B94" t="s">
        <v>9</v>
      </c>
      <c r="C94" t="s">
        <v>5780</v>
      </c>
      <c r="D94" t="s">
        <v>224</v>
      </c>
      <c r="E94" t="s">
        <v>15</v>
      </c>
      <c r="F94" t="s">
        <v>54</v>
      </c>
      <c r="G94" t="s">
        <v>225</v>
      </c>
      <c r="J94" t="s">
        <v>5748</v>
      </c>
      <c r="K94">
        <v>50</v>
      </c>
      <c r="L94" t="str" cm="1">
        <f t="array" ref="L94">_xlfn.IFS(
 K94&lt;=50,"≤50",
 AND(K94&gt;=51,K94&lt;=100),"51–100",
 AND(K94&gt;=101,K94&lt;=250),"101–250",
 AND(K94&gt;=251,K94&lt;=500),"251–500",
 AND(K94&gt;=501,K94&lt;=1000),"501–1000",
 K94&gt;=1001,"1001+"
)</f>
        <v>≤50</v>
      </c>
    </row>
    <row r="95" spans="1:12" x14ac:dyDescent="0.3">
      <c r="A95" t="s">
        <v>226</v>
      </c>
      <c r="B95" t="s">
        <v>9</v>
      </c>
      <c r="C95" t="s">
        <v>5780</v>
      </c>
      <c r="D95" t="s">
        <v>227</v>
      </c>
      <c r="E95" t="s">
        <v>15</v>
      </c>
      <c r="F95" t="s">
        <v>20</v>
      </c>
      <c r="G95" t="s">
        <v>117</v>
      </c>
      <c r="J95" t="s">
        <v>5748</v>
      </c>
      <c r="K95">
        <v>50</v>
      </c>
      <c r="L95" t="str" cm="1">
        <f t="array" ref="L95">_xlfn.IFS(
 K95&lt;=50,"≤50",
 AND(K95&gt;=51,K95&lt;=100),"51–100",
 AND(K95&gt;=101,K95&lt;=250),"101–250",
 AND(K95&gt;=251,K95&lt;=500),"251–500",
 AND(K95&gt;=501,K95&lt;=1000),"501–1000",
 K95&gt;=1001,"1001+"
)</f>
        <v>≤50</v>
      </c>
    </row>
    <row r="96" spans="1:12" x14ac:dyDescent="0.3">
      <c r="A96" t="s">
        <v>228</v>
      </c>
      <c r="B96" t="s">
        <v>9</v>
      </c>
      <c r="C96" t="s">
        <v>5780</v>
      </c>
      <c r="D96" t="s">
        <v>229</v>
      </c>
      <c r="F96" t="s">
        <v>20</v>
      </c>
      <c r="G96" t="s">
        <v>42</v>
      </c>
      <c r="J96" t="s">
        <v>5738</v>
      </c>
      <c r="K96">
        <v>50</v>
      </c>
      <c r="L96" t="str" cm="1">
        <f t="array" ref="L96">_xlfn.IFS(
 K96&lt;=50,"≤50",
 AND(K96&gt;=51,K96&lt;=100),"51–100",
 AND(K96&gt;=101,K96&lt;=250),"101–250",
 AND(K96&gt;=251,K96&lt;=500),"251–500",
 AND(K96&gt;=501,K96&lt;=1000),"501–1000",
 K96&gt;=1001,"1001+"
)</f>
        <v>≤50</v>
      </c>
    </row>
    <row r="97" spans="1:12" x14ac:dyDescent="0.3">
      <c r="A97" t="s">
        <v>230</v>
      </c>
      <c r="B97" t="s">
        <v>13</v>
      </c>
      <c r="C97" t="s">
        <v>5777</v>
      </c>
      <c r="D97" t="s">
        <v>231</v>
      </c>
      <c r="F97" t="s">
        <v>5770</v>
      </c>
      <c r="J97" t="s">
        <v>5738</v>
      </c>
      <c r="K97">
        <v>50</v>
      </c>
      <c r="L97" t="str" cm="1">
        <f t="array" ref="L97">_xlfn.IFS(
 K97&lt;=50,"≤50",
 AND(K97&gt;=51,K97&lt;=100),"51–100",
 AND(K97&gt;=101,K97&lt;=250),"101–250",
 AND(K97&gt;=251,K97&lt;=500),"251–500",
 AND(K97&gt;=501,K97&lt;=1000),"501–1000",
 K97&gt;=1001,"1001+"
)</f>
        <v>≤50</v>
      </c>
    </row>
    <row r="98" spans="1:12" x14ac:dyDescent="0.3">
      <c r="A98" t="s">
        <v>232</v>
      </c>
      <c r="B98" t="s">
        <v>9</v>
      </c>
      <c r="C98" t="s">
        <v>5780</v>
      </c>
      <c r="D98" t="s">
        <v>28</v>
      </c>
      <c r="F98" t="s">
        <v>5770</v>
      </c>
      <c r="J98" t="s">
        <v>5738</v>
      </c>
      <c r="K98">
        <v>50</v>
      </c>
      <c r="L98" t="str" cm="1">
        <f t="array" ref="L98">_xlfn.IFS(
 K98&lt;=50,"≤50",
 AND(K98&gt;=51,K98&lt;=100),"51–100",
 AND(K98&gt;=101,K98&lt;=250),"101–250",
 AND(K98&gt;=251,K98&lt;=500),"251–500",
 AND(K98&gt;=501,K98&lt;=1000),"501–1000",
 K98&gt;=1001,"1001+"
)</f>
        <v>≤50</v>
      </c>
    </row>
    <row r="99" spans="1:12" x14ac:dyDescent="0.3">
      <c r="A99" t="s">
        <v>233</v>
      </c>
      <c r="B99" t="s">
        <v>11</v>
      </c>
      <c r="C99" t="s">
        <v>5776</v>
      </c>
      <c r="F99" t="s">
        <v>5770</v>
      </c>
      <c r="J99" t="s">
        <v>5738</v>
      </c>
      <c r="K99">
        <v>50</v>
      </c>
      <c r="L99" t="str" cm="1">
        <f t="array" ref="L99">_xlfn.IFS(
 K99&lt;=50,"≤50",
 AND(K99&gt;=51,K99&lt;=100),"51–100",
 AND(K99&gt;=101,K99&lt;=250),"101–250",
 AND(K99&gt;=251,K99&lt;=500),"251–500",
 AND(K99&gt;=501,K99&lt;=1000),"501–1000",
 K99&gt;=1001,"1001+"
)</f>
        <v>≤50</v>
      </c>
    </row>
    <row r="100" spans="1:12" x14ac:dyDescent="0.3">
      <c r="A100" t="s">
        <v>234</v>
      </c>
      <c r="B100" t="s">
        <v>13</v>
      </c>
      <c r="C100" t="s">
        <v>5777</v>
      </c>
      <c r="D100" t="s">
        <v>235</v>
      </c>
      <c r="F100" t="s">
        <v>5770</v>
      </c>
      <c r="J100" t="s">
        <v>5738</v>
      </c>
      <c r="K100">
        <v>50</v>
      </c>
      <c r="L100" t="str" cm="1">
        <f t="array" ref="L100">_xlfn.IFS(
 K100&lt;=50,"≤50",
 AND(K100&gt;=51,K100&lt;=100),"51–100",
 AND(K100&gt;=101,K100&lt;=250),"101–250",
 AND(K100&gt;=251,K100&lt;=500),"251–500",
 AND(K100&gt;=501,K100&lt;=1000),"501–1000",
 K100&gt;=1001,"1001+"
)</f>
        <v>≤50</v>
      </c>
    </row>
    <row r="101" spans="1:12" x14ac:dyDescent="0.3">
      <c r="A101" t="s">
        <v>236</v>
      </c>
      <c r="B101" t="s">
        <v>9</v>
      </c>
      <c r="C101" t="s">
        <v>5780</v>
      </c>
      <c r="D101" t="s">
        <v>28</v>
      </c>
      <c r="F101" t="s">
        <v>5770</v>
      </c>
      <c r="J101" t="s">
        <v>5738</v>
      </c>
      <c r="K101">
        <v>50</v>
      </c>
      <c r="L101" t="str" cm="1">
        <f t="array" ref="L101">_xlfn.IFS(
 K101&lt;=50,"≤50",
 AND(K101&gt;=51,K101&lt;=100),"51–100",
 AND(K101&gt;=101,K101&lt;=250),"101–250",
 AND(K101&gt;=251,K101&lt;=500),"251–500",
 AND(K101&gt;=501,K101&lt;=1000),"501–1000",
 K101&gt;=1001,"1001+"
)</f>
        <v>≤50</v>
      </c>
    </row>
    <row r="102" spans="1:12" x14ac:dyDescent="0.3">
      <c r="A102" t="s">
        <v>237</v>
      </c>
      <c r="B102" t="s">
        <v>11</v>
      </c>
      <c r="C102" t="s">
        <v>5776</v>
      </c>
      <c r="F102" t="s">
        <v>5770</v>
      </c>
      <c r="J102" t="s">
        <v>5738</v>
      </c>
      <c r="K102">
        <v>50</v>
      </c>
      <c r="L102" t="str" cm="1">
        <f t="array" ref="L102">_xlfn.IFS(
 K102&lt;=50,"≤50",
 AND(K102&gt;=51,K102&lt;=100),"51–100",
 AND(K102&gt;=101,K102&lt;=250),"101–250",
 AND(K102&gt;=251,K102&lt;=500),"251–500",
 AND(K102&gt;=501,K102&lt;=1000),"501–1000",
 K102&gt;=1001,"1001+"
)</f>
        <v>≤50</v>
      </c>
    </row>
    <row r="103" spans="1:12" x14ac:dyDescent="0.3">
      <c r="A103" t="s">
        <v>238</v>
      </c>
      <c r="B103" t="s">
        <v>13</v>
      </c>
      <c r="C103" t="s">
        <v>5777</v>
      </c>
      <c r="D103" t="s">
        <v>239</v>
      </c>
      <c r="E103" t="s">
        <v>15</v>
      </c>
      <c r="F103" t="s">
        <v>5770</v>
      </c>
      <c r="J103" t="s">
        <v>5743</v>
      </c>
      <c r="K103">
        <v>50</v>
      </c>
      <c r="L103" t="str" cm="1">
        <f t="array" ref="L103">_xlfn.IFS(
 K103&lt;=50,"≤50",
 AND(K103&gt;=51,K103&lt;=100),"51–100",
 AND(K103&gt;=101,K103&lt;=250),"101–250",
 AND(K103&gt;=251,K103&lt;=500),"251–500",
 AND(K103&gt;=501,K103&lt;=1000),"501–1000",
 K103&gt;=1001,"1001+"
)</f>
        <v>≤50</v>
      </c>
    </row>
    <row r="104" spans="1:12" x14ac:dyDescent="0.3">
      <c r="A104" t="s">
        <v>240</v>
      </c>
      <c r="B104" t="s">
        <v>13</v>
      </c>
      <c r="C104" t="s">
        <v>5777</v>
      </c>
      <c r="D104" t="s">
        <v>65</v>
      </c>
      <c r="F104" t="s">
        <v>5770</v>
      </c>
      <c r="J104" t="s">
        <v>5737</v>
      </c>
      <c r="K104">
        <v>50</v>
      </c>
      <c r="L104" t="str" cm="1">
        <f t="array" ref="L104">_xlfn.IFS(
 K104&lt;=50,"≤50",
 AND(K104&gt;=51,K104&lt;=100),"51–100",
 AND(K104&gt;=101,K104&lt;=250),"101–250",
 AND(K104&gt;=251,K104&lt;=500),"251–500",
 AND(K104&gt;=501,K104&lt;=1000),"501–1000",
 K104&gt;=1001,"1001+"
)</f>
        <v>≤50</v>
      </c>
    </row>
    <row r="105" spans="1:12" x14ac:dyDescent="0.3">
      <c r="A105" t="s">
        <v>241</v>
      </c>
      <c r="B105" t="s">
        <v>11</v>
      </c>
      <c r="C105" t="s">
        <v>5776</v>
      </c>
      <c r="F105" t="s">
        <v>5770</v>
      </c>
      <c r="J105" t="s">
        <v>5737</v>
      </c>
      <c r="K105">
        <v>50</v>
      </c>
      <c r="L105" t="str" cm="1">
        <f t="array" ref="L105">_xlfn.IFS(
 K105&lt;=50,"≤50",
 AND(K105&gt;=51,K105&lt;=100),"51–100",
 AND(K105&gt;=101,K105&lt;=250),"101–250",
 AND(K105&gt;=251,K105&lt;=500),"251–500",
 AND(K105&gt;=501,K105&lt;=1000),"501–1000",
 K105&gt;=1001,"1001+"
)</f>
        <v>≤50</v>
      </c>
    </row>
    <row r="106" spans="1:12" x14ac:dyDescent="0.3">
      <c r="A106" t="s">
        <v>242</v>
      </c>
      <c r="B106" t="s">
        <v>13</v>
      </c>
      <c r="C106" t="s">
        <v>5777</v>
      </c>
      <c r="D106" t="s">
        <v>243</v>
      </c>
      <c r="E106" t="s">
        <v>15</v>
      </c>
      <c r="F106" t="s">
        <v>5770</v>
      </c>
      <c r="J106" t="s">
        <v>5737</v>
      </c>
      <c r="K106">
        <v>50</v>
      </c>
      <c r="L106" t="str" cm="1">
        <f t="array" ref="L106">_xlfn.IFS(
 K106&lt;=50,"≤50",
 AND(K106&gt;=51,K106&lt;=100),"51–100",
 AND(K106&gt;=101,K106&lt;=250),"101–250",
 AND(K106&gt;=251,K106&lt;=500),"251–500",
 AND(K106&gt;=501,K106&lt;=1000),"501–1000",
 K106&gt;=1001,"1001+"
)</f>
        <v>≤50</v>
      </c>
    </row>
    <row r="107" spans="1:12" x14ac:dyDescent="0.3">
      <c r="A107" t="s">
        <v>244</v>
      </c>
      <c r="B107" t="s">
        <v>13</v>
      </c>
      <c r="C107" t="s">
        <v>5777</v>
      </c>
      <c r="D107" t="s">
        <v>245</v>
      </c>
      <c r="F107" t="s">
        <v>5770</v>
      </c>
      <c r="J107" t="s">
        <v>5737</v>
      </c>
      <c r="K107">
        <v>50</v>
      </c>
      <c r="L107" t="str" cm="1">
        <f t="array" ref="L107">_xlfn.IFS(
 K107&lt;=50,"≤50",
 AND(K107&gt;=51,K107&lt;=100),"51–100",
 AND(K107&gt;=101,K107&lt;=250),"101–250",
 AND(K107&gt;=251,K107&lt;=500),"251–500",
 AND(K107&gt;=501,K107&lt;=1000),"501–1000",
 K107&gt;=1001,"1001+"
)</f>
        <v>≤50</v>
      </c>
    </row>
    <row r="108" spans="1:12" x14ac:dyDescent="0.3">
      <c r="A108" t="s">
        <v>246</v>
      </c>
      <c r="B108" t="s">
        <v>9</v>
      </c>
      <c r="C108" t="s">
        <v>5780</v>
      </c>
      <c r="D108" t="s">
        <v>247</v>
      </c>
      <c r="E108" t="s">
        <v>15</v>
      </c>
      <c r="F108" t="s">
        <v>5770</v>
      </c>
      <c r="J108" t="s">
        <v>5737</v>
      </c>
      <c r="K108">
        <v>50</v>
      </c>
      <c r="L108" t="str" cm="1">
        <f t="array" ref="L108">_xlfn.IFS(
 K108&lt;=50,"≤50",
 AND(K108&gt;=51,K108&lt;=100),"51–100",
 AND(K108&gt;=101,K108&lt;=250),"101–250",
 AND(K108&gt;=251,K108&lt;=500),"251–500",
 AND(K108&gt;=501,K108&lt;=1000),"501–1000",
 K108&gt;=1001,"1001+"
)</f>
        <v>≤50</v>
      </c>
    </row>
    <row r="109" spans="1:12" x14ac:dyDescent="0.3">
      <c r="A109" t="s">
        <v>248</v>
      </c>
      <c r="B109" t="s">
        <v>9</v>
      </c>
      <c r="C109" t="s">
        <v>5780</v>
      </c>
      <c r="D109" t="s">
        <v>249</v>
      </c>
      <c r="E109" t="s">
        <v>15</v>
      </c>
      <c r="F109" t="s">
        <v>5770</v>
      </c>
      <c r="J109" t="s">
        <v>5737</v>
      </c>
      <c r="K109">
        <v>50</v>
      </c>
      <c r="L109" t="str" cm="1">
        <f t="array" ref="L109">_xlfn.IFS(
 K109&lt;=50,"≤50",
 AND(K109&gt;=51,K109&lt;=100),"51–100",
 AND(K109&gt;=101,K109&lt;=250),"101–250",
 AND(K109&gt;=251,K109&lt;=500),"251–500",
 AND(K109&gt;=501,K109&lt;=1000),"501–1000",
 K109&gt;=1001,"1001+"
)</f>
        <v>≤50</v>
      </c>
    </row>
    <row r="110" spans="1:12" x14ac:dyDescent="0.3">
      <c r="A110" t="s">
        <v>250</v>
      </c>
      <c r="B110" t="s">
        <v>9</v>
      </c>
      <c r="C110" t="s">
        <v>5780</v>
      </c>
      <c r="D110" t="s">
        <v>28</v>
      </c>
      <c r="F110" t="s">
        <v>5770</v>
      </c>
      <c r="J110" t="s">
        <v>5737</v>
      </c>
      <c r="K110">
        <v>50</v>
      </c>
      <c r="L110" t="str" cm="1">
        <f t="array" ref="L110">_xlfn.IFS(
 K110&lt;=50,"≤50",
 AND(K110&gt;=51,K110&lt;=100),"51–100",
 AND(K110&gt;=101,K110&lt;=250),"101–250",
 AND(K110&gt;=251,K110&lt;=500),"251–500",
 AND(K110&gt;=501,K110&lt;=1000),"501–1000",
 K110&gt;=1001,"1001+"
)</f>
        <v>≤50</v>
      </c>
    </row>
    <row r="111" spans="1:12" x14ac:dyDescent="0.3">
      <c r="A111" t="s">
        <v>251</v>
      </c>
      <c r="B111" t="s">
        <v>197</v>
      </c>
      <c r="C111" t="s">
        <v>5774</v>
      </c>
      <c r="D111" t="s">
        <v>252</v>
      </c>
      <c r="E111" t="s">
        <v>15</v>
      </c>
      <c r="F111" t="s">
        <v>16</v>
      </c>
      <c r="G111" t="s">
        <v>253</v>
      </c>
      <c r="J111" t="s">
        <v>5737</v>
      </c>
      <c r="K111">
        <v>50</v>
      </c>
      <c r="L111" t="str" cm="1">
        <f t="array" ref="L111">_xlfn.IFS(
 K111&lt;=50,"≤50",
 AND(K111&gt;=51,K111&lt;=100),"51–100",
 AND(K111&gt;=101,K111&lt;=250),"101–250",
 AND(K111&gt;=251,K111&lt;=500),"251–500",
 AND(K111&gt;=501,K111&lt;=1000),"501–1000",
 K111&gt;=1001,"1001+"
)</f>
        <v>≤50</v>
      </c>
    </row>
    <row r="112" spans="1:12" x14ac:dyDescent="0.3">
      <c r="A112" t="s">
        <v>254</v>
      </c>
      <c r="B112" t="s">
        <v>13</v>
      </c>
      <c r="C112" t="s">
        <v>5777</v>
      </c>
      <c r="D112" t="s">
        <v>255</v>
      </c>
      <c r="F112" t="s">
        <v>5770</v>
      </c>
      <c r="J112" t="s">
        <v>5737</v>
      </c>
      <c r="K112">
        <v>50</v>
      </c>
      <c r="L112" t="str" cm="1">
        <f t="array" ref="L112">_xlfn.IFS(
 K112&lt;=50,"≤50",
 AND(K112&gt;=51,K112&lt;=100),"51–100",
 AND(K112&gt;=101,K112&lt;=250),"101–250",
 AND(K112&gt;=251,K112&lt;=500),"251–500",
 AND(K112&gt;=501,K112&lt;=1000),"501–1000",
 K112&gt;=1001,"1001+"
)</f>
        <v>≤50</v>
      </c>
    </row>
    <row r="113" spans="1:12" x14ac:dyDescent="0.3">
      <c r="A113" t="s">
        <v>256</v>
      </c>
      <c r="B113" t="s">
        <v>11</v>
      </c>
      <c r="C113" t="s">
        <v>5776</v>
      </c>
      <c r="F113" t="s">
        <v>5770</v>
      </c>
      <c r="J113" t="s">
        <v>5737</v>
      </c>
      <c r="K113">
        <v>50</v>
      </c>
      <c r="L113" t="str" cm="1">
        <f t="array" ref="L113">_xlfn.IFS(
 K113&lt;=50,"≤50",
 AND(K113&gt;=51,K113&lt;=100),"51–100",
 AND(K113&gt;=101,K113&lt;=250),"101–250",
 AND(K113&gt;=251,K113&lt;=500),"251–500",
 AND(K113&gt;=501,K113&lt;=1000),"501–1000",
 K113&gt;=1001,"1001+"
)</f>
        <v>≤50</v>
      </c>
    </row>
    <row r="114" spans="1:12" x14ac:dyDescent="0.3">
      <c r="A114" t="s">
        <v>257</v>
      </c>
      <c r="B114" t="s">
        <v>13</v>
      </c>
      <c r="C114" t="s">
        <v>5777</v>
      </c>
      <c r="D114" t="s">
        <v>258</v>
      </c>
      <c r="E114" t="s">
        <v>15</v>
      </c>
      <c r="F114" t="s">
        <v>20</v>
      </c>
      <c r="G114" t="s">
        <v>130</v>
      </c>
      <c r="J114" t="s">
        <v>5737</v>
      </c>
      <c r="K114">
        <v>50</v>
      </c>
      <c r="L114" t="str" cm="1">
        <f t="array" ref="L114">_xlfn.IFS(
 K114&lt;=50,"≤50",
 AND(K114&gt;=51,K114&lt;=100),"51–100",
 AND(K114&gt;=101,K114&lt;=250),"101–250",
 AND(K114&gt;=251,K114&lt;=500),"251–500",
 AND(K114&gt;=501,K114&lt;=1000),"501–1000",
 K114&gt;=1001,"1001+"
)</f>
        <v>≤50</v>
      </c>
    </row>
    <row r="115" spans="1:12" x14ac:dyDescent="0.3">
      <c r="A115" t="s">
        <v>259</v>
      </c>
      <c r="B115" t="s">
        <v>11</v>
      </c>
      <c r="C115" t="s">
        <v>5776</v>
      </c>
      <c r="F115" t="s">
        <v>5770</v>
      </c>
      <c r="J115" t="s">
        <v>5737</v>
      </c>
      <c r="K115">
        <v>50</v>
      </c>
      <c r="L115" t="str" cm="1">
        <f t="array" ref="L115">_xlfn.IFS(
 K115&lt;=50,"≤50",
 AND(K115&gt;=51,K115&lt;=100),"51–100",
 AND(K115&gt;=101,K115&lt;=250),"101–250",
 AND(K115&gt;=251,K115&lt;=500),"251–500",
 AND(K115&gt;=501,K115&lt;=1000),"501–1000",
 K115&gt;=1001,"1001+"
)</f>
        <v>≤50</v>
      </c>
    </row>
    <row r="116" spans="1:12" x14ac:dyDescent="0.3">
      <c r="A116" t="s">
        <v>260</v>
      </c>
      <c r="B116" t="s">
        <v>13</v>
      </c>
      <c r="C116" t="s">
        <v>5777</v>
      </c>
      <c r="D116" t="s">
        <v>261</v>
      </c>
      <c r="F116" t="s">
        <v>5770</v>
      </c>
      <c r="J116" t="s">
        <v>5737</v>
      </c>
      <c r="K116">
        <v>50</v>
      </c>
      <c r="L116" t="str" cm="1">
        <f t="array" ref="L116">_xlfn.IFS(
 K116&lt;=50,"≤50",
 AND(K116&gt;=51,K116&lt;=100),"51–100",
 AND(K116&gt;=101,K116&lt;=250),"101–250",
 AND(K116&gt;=251,K116&lt;=500),"251–500",
 AND(K116&gt;=501,K116&lt;=1000),"501–1000",
 K116&gt;=1001,"1001+"
)</f>
        <v>≤50</v>
      </c>
    </row>
    <row r="117" spans="1:12" x14ac:dyDescent="0.3">
      <c r="A117" t="s">
        <v>262</v>
      </c>
      <c r="B117" t="s">
        <v>13</v>
      </c>
      <c r="C117" t="s">
        <v>5777</v>
      </c>
      <c r="D117" t="s">
        <v>263</v>
      </c>
      <c r="F117" t="s">
        <v>5770</v>
      </c>
      <c r="J117" t="s">
        <v>5737</v>
      </c>
      <c r="K117">
        <v>50</v>
      </c>
      <c r="L117" t="str" cm="1">
        <f t="array" ref="L117">_xlfn.IFS(
 K117&lt;=50,"≤50",
 AND(K117&gt;=51,K117&lt;=100),"51–100",
 AND(K117&gt;=101,K117&lt;=250),"101–250",
 AND(K117&gt;=251,K117&lt;=500),"251–500",
 AND(K117&gt;=501,K117&lt;=1000),"501–1000",
 K117&gt;=1001,"1001+"
)</f>
        <v>≤50</v>
      </c>
    </row>
    <row r="118" spans="1:12" x14ac:dyDescent="0.3">
      <c r="A118" t="s">
        <v>264</v>
      </c>
      <c r="B118" t="s">
        <v>9</v>
      </c>
      <c r="C118" t="s">
        <v>5780</v>
      </c>
      <c r="D118" t="s">
        <v>265</v>
      </c>
      <c r="E118" t="s">
        <v>15</v>
      </c>
      <c r="F118" t="s">
        <v>5770</v>
      </c>
      <c r="J118" t="s">
        <v>5737</v>
      </c>
      <c r="K118">
        <v>50</v>
      </c>
      <c r="L118" t="str" cm="1">
        <f t="array" ref="L118">_xlfn.IFS(
 K118&lt;=50,"≤50",
 AND(K118&gt;=51,K118&lt;=100),"51–100",
 AND(K118&gt;=101,K118&lt;=250),"101–250",
 AND(K118&gt;=251,K118&lt;=500),"251–500",
 AND(K118&gt;=501,K118&lt;=1000),"501–1000",
 K118&gt;=1001,"1001+"
)</f>
        <v>≤50</v>
      </c>
    </row>
    <row r="119" spans="1:12" x14ac:dyDescent="0.3">
      <c r="A119" t="s">
        <v>266</v>
      </c>
      <c r="B119" t="s">
        <v>9</v>
      </c>
      <c r="C119" t="s">
        <v>5780</v>
      </c>
      <c r="D119" t="s">
        <v>267</v>
      </c>
      <c r="F119" t="s">
        <v>5770</v>
      </c>
      <c r="J119" t="s">
        <v>5737</v>
      </c>
      <c r="K119">
        <v>50</v>
      </c>
      <c r="L119" t="str" cm="1">
        <f t="array" ref="L119">_xlfn.IFS(
 K119&lt;=50,"≤50",
 AND(K119&gt;=51,K119&lt;=100),"51–100",
 AND(K119&gt;=101,K119&lt;=250),"101–250",
 AND(K119&gt;=251,K119&lt;=500),"251–500",
 AND(K119&gt;=501,K119&lt;=1000),"501–1000",
 K119&gt;=1001,"1001+"
)</f>
        <v>≤50</v>
      </c>
    </row>
    <row r="120" spans="1:12" x14ac:dyDescent="0.3">
      <c r="A120" t="s">
        <v>268</v>
      </c>
      <c r="B120" t="s">
        <v>9</v>
      </c>
      <c r="C120" t="s">
        <v>5780</v>
      </c>
      <c r="D120" t="s">
        <v>269</v>
      </c>
      <c r="E120" t="s">
        <v>15</v>
      </c>
      <c r="F120" t="s">
        <v>16</v>
      </c>
      <c r="G120" t="s">
        <v>270</v>
      </c>
      <c r="J120" t="s">
        <v>5737</v>
      </c>
      <c r="K120">
        <v>50</v>
      </c>
      <c r="L120" t="str" cm="1">
        <f t="array" ref="L120">_xlfn.IFS(
 K120&lt;=50,"≤50",
 AND(K120&gt;=51,K120&lt;=100),"51–100",
 AND(K120&gt;=101,K120&lt;=250),"101–250",
 AND(K120&gt;=251,K120&lt;=500),"251–500",
 AND(K120&gt;=501,K120&lt;=1000),"501–1000",
 K120&gt;=1001,"1001+"
)</f>
        <v>≤50</v>
      </c>
    </row>
    <row r="121" spans="1:12" x14ac:dyDescent="0.3">
      <c r="A121" t="s">
        <v>271</v>
      </c>
      <c r="B121" t="s">
        <v>13</v>
      </c>
      <c r="C121" t="s">
        <v>5777</v>
      </c>
      <c r="D121" t="s">
        <v>272</v>
      </c>
      <c r="F121" t="s">
        <v>5770</v>
      </c>
      <c r="J121" t="s">
        <v>5737</v>
      </c>
      <c r="K121">
        <v>50</v>
      </c>
      <c r="L121" t="str" cm="1">
        <f t="array" ref="L121">_xlfn.IFS(
 K121&lt;=50,"≤50",
 AND(K121&gt;=51,K121&lt;=100),"51–100",
 AND(K121&gt;=101,K121&lt;=250),"101–250",
 AND(K121&gt;=251,K121&lt;=500),"251–500",
 AND(K121&gt;=501,K121&lt;=1000),"501–1000",
 K121&gt;=1001,"1001+"
)</f>
        <v>≤50</v>
      </c>
    </row>
    <row r="122" spans="1:12" x14ac:dyDescent="0.3">
      <c r="A122" t="s">
        <v>273</v>
      </c>
      <c r="B122" t="s">
        <v>13</v>
      </c>
      <c r="C122" t="s">
        <v>5777</v>
      </c>
      <c r="D122" t="s">
        <v>274</v>
      </c>
      <c r="F122" t="s">
        <v>5770</v>
      </c>
      <c r="J122" t="s">
        <v>5744</v>
      </c>
      <c r="K122">
        <v>50</v>
      </c>
      <c r="L122" t="str" cm="1">
        <f t="array" ref="L122">_xlfn.IFS(
 K122&lt;=50,"≤50",
 AND(K122&gt;=51,K122&lt;=100),"51–100",
 AND(K122&gt;=101,K122&lt;=250),"101–250",
 AND(K122&gt;=251,K122&lt;=500),"251–500",
 AND(K122&gt;=501,K122&lt;=1000),"501–1000",
 K122&gt;=1001,"1001+"
)</f>
        <v>≤50</v>
      </c>
    </row>
    <row r="123" spans="1:12" x14ac:dyDescent="0.3">
      <c r="A123" t="s">
        <v>275</v>
      </c>
      <c r="B123" t="s">
        <v>11</v>
      </c>
      <c r="C123" t="s">
        <v>5776</v>
      </c>
      <c r="F123" t="s">
        <v>5770</v>
      </c>
      <c r="J123" t="s">
        <v>5744</v>
      </c>
      <c r="K123">
        <v>50</v>
      </c>
      <c r="L123" t="str" cm="1">
        <f t="array" ref="L123">_xlfn.IFS(
 K123&lt;=50,"≤50",
 AND(K123&gt;=51,K123&lt;=100),"51–100",
 AND(K123&gt;=101,K123&lt;=250),"101–250",
 AND(K123&gt;=251,K123&lt;=500),"251–500",
 AND(K123&gt;=501,K123&lt;=1000),"501–1000",
 K123&gt;=1001,"1001+"
)</f>
        <v>≤50</v>
      </c>
    </row>
    <row r="124" spans="1:12" x14ac:dyDescent="0.3">
      <c r="A124" t="s">
        <v>276</v>
      </c>
      <c r="B124" t="s">
        <v>9</v>
      </c>
      <c r="C124" t="s">
        <v>5780</v>
      </c>
      <c r="D124" t="s">
        <v>28</v>
      </c>
      <c r="F124" t="s">
        <v>5770</v>
      </c>
      <c r="J124" t="s">
        <v>5751</v>
      </c>
      <c r="K124">
        <v>50</v>
      </c>
      <c r="L124" t="str" cm="1">
        <f t="array" ref="L124">_xlfn.IFS(
 K124&lt;=50,"≤50",
 AND(K124&gt;=51,K124&lt;=100),"51–100",
 AND(K124&gt;=101,K124&lt;=250),"101–250",
 AND(K124&gt;=251,K124&lt;=500),"251–500",
 AND(K124&gt;=501,K124&lt;=1000),"501–1000",
 K124&gt;=1001,"1001+"
)</f>
        <v>≤50</v>
      </c>
    </row>
    <row r="125" spans="1:12" x14ac:dyDescent="0.3">
      <c r="A125" t="s">
        <v>277</v>
      </c>
      <c r="B125" t="s">
        <v>9</v>
      </c>
      <c r="C125" t="s">
        <v>5780</v>
      </c>
      <c r="D125" t="s">
        <v>278</v>
      </c>
      <c r="E125" t="s">
        <v>15</v>
      </c>
      <c r="F125" t="s">
        <v>20</v>
      </c>
      <c r="G125" t="s">
        <v>117</v>
      </c>
      <c r="J125" t="s">
        <v>5751</v>
      </c>
      <c r="K125">
        <v>50</v>
      </c>
      <c r="L125" t="str" cm="1">
        <f t="array" ref="L125">_xlfn.IFS(
 K125&lt;=50,"≤50",
 AND(K125&gt;=51,K125&lt;=100),"51–100",
 AND(K125&gt;=101,K125&lt;=250),"101–250",
 AND(K125&gt;=251,K125&lt;=500),"251–500",
 AND(K125&gt;=501,K125&lt;=1000),"501–1000",
 K125&gt;=1001,"1001+"
)</f>
        <v>≤50</v>
      </c>
    </row>
    <row r="126" spans="1:12" x14ac:dyDescent="0.3">
      <c r="A126" t="s">
        <v>279</v>
      </c>
      <c r="B126" t="s">
        <v>11</v>
      </c>
      <c r="C126" t="s">
        <v>5776</v>
      </c>
      <c r="F126" t="s">
        <v>5770</v>
      </c>
      <c r="J126" t="s">
        <v>5753</v>
      </c>
      <c r="K126">
        <v>50</v>
      </c>
      <c r="L126" t="str" cm="1">
        <f t="array" ref="L126">_xlfn.IFS(
 K126&lt;=50,"≤50",
 AND(K126&gt;=51,K126&lt;=100),"51–100",
 AND(K126&gt;=101,K126&lt;=250),"101–250",
 AND(K126&gt;=251,K126&lt;=500),"251–500",
 AND(K126&gt;=501,K126&lt;=1000),"501–1000",
 K126&gt;=1001,"1001+"
)</f>
        <v>≤50</v>
      </c>
    </row>
    <row r="127" spans="1:12" x14ac:dyDescent="0.3">
      <c r="A127" t="s">
        <v>280</v>
      </c>
      <c r="B127" t="s">
        <v>11</v>
      </c>
      <c r="C127" t="s">
        <v>5776</v>
      </c>
      <c r="F127" t="s">
        <v>5770</v>
      </c>
      <c r="J127" t="s">
        <v>5753</v>
      </c>
      <c r="K127">
        <v>50</v>
      </c>
      <c r="L127" t="str" cm="1">
        <f t="array" ref="L127">_xlfn.IFS(
 K127&lt;=50,"≤50",
 AND(K127&gt;=51,K127&lt;=100),"51–100",
 AND(K127&gt;=101,K127&lt;=250),"101–250",
 AND(K127&gt;=251,K127&lt;=500),"251–500",
 AND(K127&gt;=501,K127&lt;=1000),"501–1000",
 K127&gt;=1001,"1001+"
)</f>
        <v>≤50</v>
      </c>
    </row>
    <row r="128" spans="1:12" x14ac:dyDescent="0.3">
      <c r="A128" t="s">
        <v>281</v>
      </c>
      <c r="B128" t="s">
        <v>11</v>
      </c>
      <c r="C128" t="s">
        <v>5776</v>
      </c>
      <c r="F128" t="s">
        <v>5770</v>
      </c>
      <c r="J128" t="s">
        <v>5753</v>
      </c>
      <c r="K128">
        <v>50</v>
      </c>
      <c r="L128" t="str" cm="1">
        <f t="array" ref="L128">_xlfn.IFS(
 K128&lt;=50,"≤50",
 AND(K128&gt;=51,K128&lt;=100),"51–100",
 AND(K128&gt;=101,K128&lt;=250),"101–250",
 AND(K128&gt;=251,K128&lt;=500),"251–500",
 AND(K128&gt;=501,K128&lt;=1000),"501–1000",
 K128&gt;=1001,"1001+"
)</f>
        <v>≤50</v>
      </c>
    </row>
    <row r="129" spans="1:12" x14ac:dyDescent="0.3">
      <c r="A129" t="s">
        <v>282</v>
      </c>
      <c r="B129" t="s">
        <v>13</v>
      </c>
      <c r="C129" t="s">
        <v>5777</v>
      </c>
      <c r="D129" t="s">
        <v>283</v>
      </c>
      <c r="F129" t="s">
        <v>5770</v>
      </c>
      <c r="J129" t="s">
        <v>5754</v>
      </c>
      <c r="K129">
        <v>50</v>
      </c>
      <c r="L129" t="str" cm="1">
        <f t="array" ref="L129">_xlfn.IFS(
 K129&lt;=50,"≤50",
 AND(K129&gt;=51,K129&lt;=100),"51–100",
 AND(K129&gt;=101,K129&lt;=250),"101–250",
 AND(K129&gt;=251,K129&lt;=500),"251–500",
 AND(K129&gt;=501,K129&lt;=1000),"501–1000",
 K129&gt;=1001,"1001+"
)</f>
        <v>≤50</v>
      </c>
    </row>
    <row r="130" spans="1:12" x14ac:dyDescent="0.3">
      <c r="A130" t="s">
        <v>284</v>
      </c>
      <c r="B130" t="s">
        <v>9</v>
      </c>
      <c r="C130" t="s">
        <v>5780</v>
      </c>
      <c r="D130" t="s">
        <v>28</v>
      </c>
      <c r="F130" t="s">
        <v>5770</v>
      </c>
      <c r="J130" t="s">
        <v>5755</v>
      </c>
      <c r="K130">
        <v>50</v>
      </c>
      <c r="L130" t="str" cm="1">
        <f t="array" ref="L130">_xlfn.IFS(
 K130&lt;=50,"≤50",
 AND(K130&gt;=51,K130&lt;=100),"51–100",
 AND(K130&gt;=101,K130&lt;=250),"101–250",
 AND(K130&gt;=251,K130&lt;=500),"251–500",
 AND(K130&gt;=501,K130&lt;=1000),"501–1000",
 K130&gt;=1001,"1001+"
)</f>
        <v>≤50</v>
      </c>
    </row>
    <row r="131" spans="1:12" x14ac:dyDescent="0.3">
      <c r="A131" t="s">
        <v>285</v>
      </c>
      <c r="B131" t="s">
        <v>13</v>
      </c>
      <c r="C131" t="s">
        <v>5777</v>
      </c>
      <c r="D131" t="s">
        <v>245</v>
      </c>
      <c r="F131" t="s">
        <v>16</v>
      </c>
      <c r="G131" t="s">
        <v>286</v>
      </c>
      <c r="J131" t="s">
        <v>5755</v>
      </c>
      <c r="K131">
        <v>50</v>
      </c>
      <c r="L131" t="str" cm="1">
        <f t="array" ref="L131">_xlfn.IFS(
 K131&lt;=50,"≤50",
 AND(K131&gt;=51,K131&lt;=100),"51–100",
 AND(K131&gt;=101,K131&lt;=250),"101–250",
 AND(K131&gt;=251,K131&lt;=500),"251–500",
 AND(K131&gt;=501,K131&lt;=1000),"501–1000",
 K131&gt;=1001,"1001+"
)</f>
        <v>≤50</v>
      </c>
    </row>
    <row r="132" spans="1:12" x14ac:dyDescent="0.3">
      <c r="A132" t="s">
        <v>287</v>
      </c>
      <c r="B132" t="s">
        <v>9</v>
      </c>
      <c r="C132" t="s">
        <v>5780</v>
      </c>
      <c r="D132" t="s">
        <v>28</v>
      </c>
      <c r="F132" t="s">
        <v>16</v>
      </c>
      <c r="G132" t="s">
        <v>288</v>
      </c>
      <c r="J132" t="s">
        <v>5756</v>
      </c>
      <c r="K132">
        <v>50</v>
      </c>
      <c r="L132" t="str" cm="1">
        <f t="array" ref="L132">_xlfn.IFS(
 K132&lt;=50,"≤50",
 AND(K132&gt;=51,K132&lt;=100),"51–100",
 AND(K132&gt;=101,K132&lt;=250),"101–250",
 AND(K132&gt;=251,K132&lt;=500),"251–500",
 AND(K132&gt;=501,K132&lt;=1000),"501–1000",
 K132&gt;=1001,"1001+"
)</f>
        <v>≤50</v>
      </c>
    </row>
    <row r="133" spans="1:12" x14ac:dyDescent="0.3">
      <c r="A133" t="s">
        <v>289</v>
      </c>
      <c r="B133" t="s">
        <v>13</v>
      </c>
      <c r="C133" t="s">
        <v>5777</v>
      </c>
      <c r="D133" t="s">
        <v>245</v>
      </c>
      <c r="E133" t="s">
        <v>15</v>
      </c>
      <c r="F133" t="s">
        <v>20</v>
      </c>
      <c r="G133" t="s">
        <v>290</v>
      </c>
      <c r="J133" t="s">
        <v>5742</v>
      </c>
      <c r="K133">
        <v>50</v>
      </c>
      <c r="L133" t="str" cm="1">
        <f t="array" ref="L133">_xlfn.IFS(
 K133&lt;=50,"≤50",
 AND(K133&gt;=51,K133&lt;=100),"51–100",
 AND(K133&gt;=101,K133&lt;=250),"101–250",
 AND(K133&gt;=251,K133&lt;=500),"251–500",
 AND(K133&gt;=501,K133&lt;=1000),"501–1000",
 K133&gt;=1001,"1001+"
)</f>
        <v>≤50</v>
      </c>
    </row>
    <row r="134" spans="1:12" x14ac:dyDescent="0.3">
      <c r="A134" t="s">
        <v>291</v>
      </c>
      <c r="B134" t="s">
        <v>13</v>
      </c>
      <c r="C134" t="s">
        <v>5777</v>
      </c>
      <c r="D134" t="s">
        <v>292</v>
      </c>
      <c r="E134" t="s">
        <v>15</v>
      </c>
      <c r="F134" t="s">
        <v>5770</v>
      </c>
      <c r="J134" t="s">
        <v>5742</v>
      </c>
      <c r="K134">
        <v>50</v>
      </c>
      <c r="L134" t="str" cm="1">
        <f t="array" ref="L134">_xlfn.IFS(
 K134&lt;=50,"≤50",
 AND(K134&gt;=51,K134&lt;=100),"51–100",
 AND(K134&gt;=101,K134&lt;=250),"101–250",
 AND(K134&gt;=251,K134&lt;=500),"251–500",
 AND(K134&gt;=501,K134&lt;=1000),"501–1000",
 K134&gt;=1001,"1001+"
)</f>
        <v>≤50</v>
      </c>
    </row>
    <row r="135" spans="1:12" x14ac:dyDescent="0.3">
      <c r="A135" t="s">
        <v>293</v>
      </c>
      <c r="B135" t="s">
        <v>11</v>
      </c>
      <c r="C135" t="s">
        <v>5776</v>
      </c>
      <c r="F135" t="s">
        <v>5770</v>
      </c>
      <c r="J135" t="s">
        <v>5742</v>
      </c>
      <c r="K135">
        <v>50</v>
      </c>
      <c r="L135" t="str" cm="1">
        <f t="array" ref="L135">_xlfn.IFS(
 K135&lt;=50,"≤50",
 AND(K135&gt;=51,K135&lt;=100),"51–100",
 AND(K135&gt;=101,K135&lt;=250),"101–250",
 AND(K135&gt;=251,K135&lt;=500),"251–500",
 AND(K135&gt;=501,K135&lt;=1000),"501–1000",
 K135&gt;=1001,"1001+"
)</f>
        <v>≤50</v>
      </c>
    </row>
    <row r="136" spans="1:12" x14ac:dyDescent="0.3">
      <c r="A136" t="s">
        <v>294</v>
      </c>
      <c r="B136" t="s">
        <v>9</v>
      </c>
      <c r="C136" t="s">
        <v>5780</v>
      </c>
      <c r="D136" t="s">
        <v>295</v>
      </c>
      <c r="E136" t="s">
        <v>15</v>
      </c>
      <c r="F136" t="s">
        <v>5770</v>
      </c>
      <c r="J136" t="s">
        <v>5757</v>
      </c>
      <c r="K136">
        <v>50</v>
      </c>
      <c r="L136" t="str" cm="1">
        <f t="array" ref="L136">_xlfn.IFS(
 K136&lt;=50,"≤50",
 AND(K136&gt;=51,K136&lt;=100),"51–100",
 AND(K136&gt;=101,K136&lt;=250),"101–250",
 AND(K136&gt;=251,K136&lt;=500),"251–500",
 AND(K136&gt;=501,K136&lt;=1000),"501–1000",
 K136&gt;=1001,"1001+"
)</f>
        <v>≤50</v>
      </c>
    </row>
    <row r="137" spans="1:12" x14ac:dyDescent="0.3">
      <c r="A137" t="s">
        <v>296</v>
      </c>
      <c r="B137" t="s">
        <v>9</v>
      </c>
      <c r="C137" t="s">
        <v>5780</v>
      </c>
      <c r="D137" t="s">
        <v>297</v>
      </c>
      <c r="F137" t="s">
        <v>20</v>
      </c>
      <c r="G137" t="s">
        <v>298</v>
      </c>
      <c r="J137" t="s">
        <v>5739</v>
      </c>
      <c r="K137">
        <v>50</v>
      </c>
      <c r="L137" t="str" cm="1">
        <f t="array" ref="L137">_xlfn.IFS(
 K137&lt;=50,"≤50",
 AND(K137&gt;=51,K137&lt;=100),"51–100",
 AND(K137&gt;=101,K137&lt;=250),"101–250",
 AND(K137&gt;=251,K137&lt;=500),"251–500",
 AND(K137&gt;=501,K137&lt;=1000),"501–1000",
 K137&gt;=1001,"1001+"
)</f>
        <v>≤50</v>
      </c>
    </row>
    <row r="138" spans="1:12" x14ac:dyDescent="0.3">
      <c r="A138" t="s">
        <v>299</v>
      </c>
      <c r="B138" t="s">
        <v>9</v>
      </c>
      <c r="C138" t="s">
        <v>5780</v>
      </c>
      <c r="D138" t="s">
        <v>28</v>
      </c>
      <c r="F138" t="s">
        <v>5770</v>
      </c>
      <c r="J138" t="s">
        <v>5741</v>
      </c>
      <c r="K138">
        <v>50</v>
      </c>
      <c r="L138" t="str" cm="1">
        <f t="array" ref="L138">_xlfn.IFS(
 K138&lt;=50,"≤50",
 AND(K138&gt;=51,K138&lt;=100),"51–100",
 AND(K138&gt;=101,K138&lt;=250),"101–250",
 AND(K138&gt;=251,K138&lt;=500),"251–500",
 AND(K138&gt;=501,K138&lt;=1000),"501–1000",
 K138&gt;=1001,"1001+"
)</f>
        <v>≤50</v>
      </c>
    </row>
    <row r="139" spans="1:12" x14ac:dyDescent="0.3">
      <c r="A139" t="s">
        <v>300</v>
      </c>
      <c r="B139" t="s">
        <v>9</v>
      </c>
      <c r="C139" t="s">
        <v>5780</v>
      </c>
      <c r="D139" t="s">
        <v>301</v>
      </c>
      <c r="F139" t="s">
        <v>54</v>
      </c>
      <c r="G139" t="s">
        <v>302</v>
      </c>
      <c r="J139" t="s">
        <v>5741</v>
      </c>
      <c r="K139">
        <v>50</v>
      </c>
      <c r="L139" t="str" cm="1">
        <f t="array" ref="L139">_xlfn.IFS(
 K139&lt;=50,"≤50",
 AND(K139&gt;=51,K139&lt;=100),"51–100",
 AND(K139&gt;=101,K139&lt;=250),"101–250",
 AND(K139&gt;=251,K139&lt;=500),"251–500",
 AND(K139&gt;=501,K139&lt;=1000),"501–1000",
 K139&gt;=1001,"1001+"
)</f>
        <v>≤50</v>
      </c>
    </row>
    <row r="140" spans="1:12" x14ac:dyDescent="0.3">
      <c r="A140" t="s">
        <v>303</v>
      </c>
      <c r="B140" t="s">
        <v>13</v>
      </c>
      <c r="C140" t="s">
        <v>5777</v>
      </c>
      <c r="D140" t="s">
        <v>304</v>
      </c>
      <c r="E140" t="s">
        <v>15</v>
      </c>
      <c r="F140" t="s">
        <v>5770</v>
      </c>
      <c r="J140" t="s">
        <v>5741</v>
      </c>
      <c r="K140">
        <v>50</v>
      </c>
      <c r="L140" t="str" cm="1">
        <f t="array" ref="L140">_xlfn.IFS(
 K140&lt;=50,"≤50",
 AND(K140&gt;=51,K140&lt;=100),"51–100",
 AND(K140&gt;=101,K140&lt;=250),"101–250",
 AND(K140&gt;=251,K140&lt;=500),"251–500",
 AND(K140&gt;=501,K140&lt;=1000),"501–1000",
 K140&gt;=1001,"1001+"
)</f>
        <v>≤50</v>
      </c>
    </row>
    <row r="141" spans="1:12" x14ac:dyDescent="0.3">
      <c r="A141" t="s">
        <v>305</v>
      </c>
      <c r="B141" t="s">
        <v>11</v>
      </c>
      <c r="C141" t="s">
        <v>5776</v>
      </c>
      <c r="F141" t="s">
        <v>5770</v>
      </c>
      <c r="J141" t="s">
        <v>5752</v>
      </c>
      <c r="K141">
        <v>50</v>
      </c>
      <c r="L141" t="str" cm="1">
        <f t="array" ref="L141">_xlfn.IFS(
 K141&lt;=50,"≤50",
 AND(K141&gt;=51,K141&lt;=100),"51–100",
 AND(K141&gt;=101,K141&lt;=250),"101–250",
 AND(K141&gt;=251,K141&lt;=500),"251–500",
 AND(K141&gt;=501,K141&lt;=1000),"501–1000",
 K141&gt;=1001,"1001+"
)</f>
        <v>≤50</v>
      </c>
    </row>
    <row r="142" spans="1:12" x14ac:dyDescent="0.3">
      <c r="A142" t="s">
        <v>306</v>
      </c>
      <c r="B142" t="s">
        <v>13</v>
      </c>
      <c r="C142" t="s">
        <v>5777</v>
      </c>
      <c r="D142" t="s">
        <v>245</v>
      </c>
      <c r="E142" t="s">
        <v>15</v>
      </c>
      <c r="F142" t="s">
        <v>5770</v>
      </c>
      <c r="J142" t="s">
        <v>5752</v>
      </c>
      <c r="K142">
        <v>50</v>
      </c>
      <c r="L142" t="str" cm="1">
        <f t="array" ref="L142">_xlfn.IFS(
 K142&lt;=50,"≤50",
 AND(K142&gt;=51,K142&lt;=100),"51–100",
 AND(K142&gt;=101,K142&lt;=250),"101–250",
 AND(K142&gt;=251,K142&lt;=500),"251–500",
 AND(K142&gt;=501,K142&lt;=1000),"501–1000",
 K142&gt;=1001,"1001+"
)</f>
        <v>≤50</v>
      </c>
    </row>
    <row r="143" spans="1:12" x14ac:dyDescent="0.3">
      <c r="A143" t="s">
        <v>307</v>
      </c>
      <c r="B143" t="s">
        <v>9</v>
      </c>
      <c r="C143" t="s">
        <v>5780</v>
      </c>
      <c r="D143" t="s">
        <v>224</v>
      </c>
      <c r="E143" t="s">
        <v>15</v>
      </c>
      <c r="F143" t="s">
        <v>54</v>
      </c>
      <c r="G143" t="s">
        <v>308</v>
      </c>
      <c r="J143" t="s">
        <v>5749</v>
      </c>
      <c r="K143">
        <v>50</v>
      </c>
      <c r="L143" t="str" cm="1">
        <f t="array" ref="L143">_xlfn.IFS(
 K143&lt;=50,"≤50",
 AND(K143&gt;=51,K143&lt;=100),"51–100",
 AND(K143&gt;=101,K143&lt;=250),"101–250",
 AND(K143&gt;=251,K143&lt;=500),"251–500",
 AND(K143&gt;=501,K143&lt;=1000),"501–1000",
 K143&gt;=1001,"1001+"
)</f>
        <v>≤50</v>
      </c>
    </row>
    <row r="144" spans="1:12" x14ac:dyDescent="0.3">
      <c r="A144" t="s">
        <v>309</v>
      </c>
      <c r="B144" t="s">
        <v>9</v>
      </c>
      <c r="C144" t="s">
        <v>5780</v>
      </c>
      <c r="D144" t="s">
        <v>28</v>
      </c>
      <c r="E144" t="s">
        <v>15</v>
      </c>
      <c r="F144" t="s">
        <v>16</v>
      </c>
      <c r="G144" t="s">
        <v>286</v>
      </c>
      <c r="J144" t="s">
        <v>5758</v>
      </c>
      <c r="K144">
        <v>50</v>
      </c>
      <c r="L144" t="str" cm="1">
        <f t="array" ref="L144">_xlfn.IFS(
 K144&lt;=50,"≤50",
 AND(K144&gt;=51,K144&lt;=100),"51–100",
 AND(K144&gt;=101,K144&lt;=250),"101–250",
 AND(K144&gt;=251,K144&lt;=500),"251–500",
 AND(K144&gt;=501,K144&lt;=1000),"501–1000",
 K144&gt;=1001,"1001+"
)</f>
        <v>≤50</v>
      </c>
    </row>
    <row r="145" spans="1:12" x14ac:dyDescent="0.3">
      <c r="A145" t="s">
        <v>310</v>
      </c>
      <c r="B145" t="s">
        <v>9</v>
      </c>
      <c r="C145" t="s">
        <v>5780</v>
      </c>
      <c r="D145" t="s">
        <v>28</v>
      </c>
      <c r="F145" t="s">
        <v>5770</v>
      </c>
      <c r="J145" t="s">
        <v>5758</v>
      </c>
      <c r="K145">
        <v>50</v>
      </c>
      <c r="L145" t="str" cm="1">
        <f t="array" ref="L145">_xlfn.IFS(
 K145&lt;=50,"≤50",
 AND(K145&gt;=51,K145&lt;=100),"51–100",
 AND(K145&gt;=101,K145&lt;=250),"101–250",
 AND(K145&gt;=251,K145&lt;=500),"251–500",
 AND(K145&gt;=501,K145&lt;=1000),"501–1000",
 K145&gt;=1001,"1001+"
)</f>
        <v>≤50</v>
      </c>
    </row>
    <row r="146" spans="1:12" x14ac:dyDescent="0.3">
      <c r="A146" t="s">
        <v>311</v>
      </c>
      <c r="B146" t="s">
        <v>11</v>
      </c>
      <c r="C146" t="s">
        <v>5776</v>
      </c>
      <c r="F146" t="s">
        <v>5770</v>
      </c>
      <c r="J146" t="s">
        <v>5758</v>
      </c>
      <c r="K146">
        <v>50</v>
      </c>
      <c r="L146" t="str" cm="1">
        <f t="array" ref="L146">_xlfn.IFS(
 K146&lt;=50,"≤50",
 AND(K146&gt;=51,K146&lt;=100),"51–100",
 AND(K146&gt;=101,K146&lt;=250),"101–250",
 AND(K146&gt;=251,K146&lt;=500),"251–500",
 AND(K146&gt;=501,K146&lt;=1000),"501–1000",
 K146&gt;=1001,"1001+"
)</f>
        <v>≤50</v>
      </c>
    </row>
    <row r="147" spans="1:12" x14ac:dyDescent="0.3">
      <c r="A147" t="s">
        <v>312</v>
      </c>
      <c r="B147" t="s">
        <v>13</v>
      </c>
      <c r="C147" t="s">
        <v>5777</v>
      </c>
      <c r="D147" t="s">
        <v>245</v>
      </c>
      <c r="F147" t="s">
        <v>20</v>
      </c>
      <c r="G147" t="s">
        <v>21</v>
      </c>
      <c r="J147" t="s">
        <v>5759</v>
      </c>
      <c r="K147">
        <v>50</v>
      </c>
      <c r="L147" t="str" cm="1">
        <f t="array" ref="L147">_xlfn.IFS(
 K147&lt;=50,"≤50",
 AND(K147&gt;=51,K147&lt;=100),"51–100",
 AND(K147&gt;=101,K147&lt;=250),"101–250",
 AND(K147&gt;=251,K147&lt;=500),"251–500",
 AND(K147&gt;=501,K147&lt;=1000),"501–1000",
 K147&gt;=1001,"1001+"
)</f>
        <v>≤50</v>
      </c>
    </row>
    <row r="148" spans="1:12" x14ac:dyDescent="0.3">
      <c r="A148" t="s">
        <v>313</v>
      </c>
      <c r="B148" t="s">
        <v>13</v>
      </c>
      <c r="C148" t="s">
        <v>5777</v>
      </c>
      <c r="D148" t="s">
        <v>314</v>
      </c>
      <c r="F148" t="s">
        <v>5770</v>
      </c>
      <c r="J148" t="s">
        <v>5759</v>
      </c>
      <c r="K148">
        <v>50</v>
      </c>
      <c r="L148" t="str" cm="1">
        <f t="array" ref="L148">_xlfn.IFS(
 K148&lt;=50,"≤50",
 AND(K148&gt;=51,K148&lt;=100),"51–100",
 AND(K148&gt;=101,K148&lt;=250),"101–250",
 AND(K148&gt;=251,K148&lt;=500),"251–500",
 AND(K148&gt;=501,K148&lt;=1000),"501–1000",
 K148&gt;=1001,"1001+"
)</f>
        <v>≤50</v>
      </c>
    </row>
    <row r="149" spans="1:12" x14ac:dyDescent="0.3">
      <c r="A149" t="s">
        <v>315</v>
      </c>
      <c r="B149" t="s">
        <v>11</v>
      </c>
      <c r="C149" t="s">
        <v>5776</v>
      </c>
      <c r="F149" t="s">
        <v>5770</v>
      </c>
      <c r="J149" t="s">
        <v>5750</v>
      </c>
      <c r="K149">
        <v>50</v>
      </c>
      <c r="L149" t="str" cm="1">
        <f t="array" ref="L149">_xlfn.IFS(
 K149&lt;=50,"≤50",
 AND(K149&gt;=51,K149&lt;=100),"51–100",
 AND(K149&gt;=101,K149&lt;=250),"101–250",
 AND(K149&gt;=251,K149&lt;=500),"251–500",
 AND(K149&gt;=501,K149&lt;=1000),"501–1000",
 K149&gt;=1001,"1001+"
)</f>
        <v>≤50</v>
      </c>
    </row>
    <row r="150" spans="1:12" x14ac:dyDescent="0.3">
      <c r="A150" t="s">
        <v>316</v>
      </c>
      <c r="B150" t="s">
        <v>9</v>
      </c>
      <c r="C150" t="s">
        <v>5780</v>
      </c>
      <c r="D150" t="s">
        <v>317</v>
      </c>
      <c r="F150" t="s">
        <v>5770</v>
      </c>
      <c r="J150" t="s">
        <v>5750</v>
      </c>
      <c r="K150">
        <v>50</v>
      </c>
      <c r="L150" t="str" cm="1">
        <f t="array" ref="L150">_xlfn.IFS(
 K150&lt;=50,"≤50",
 AND(K150&gt;=51,K150&lt;=100),"51–100",
 AND(K150&gt;=101,K150&lt;=250),"101–250",
 AND(K150&gt;=251,K150&lt;=500),"251–500",
 AND(K150&gt;=501,K150&lt;=1000),"501–1000",
 K150&gt;=1001,"1001+"
)</f>
        <v>≤50</v>
      </c>
    </row>
    <row r="151" spans="1:12" x14ac:dyDescent="0.3">
      <c r="A151" t="s">
        <v>318</v>
      </c>
      <c r="B151" t="s">
        <v>9</v>
      </c>
      <c r="C151" t="s">
        <v>5780</v>
      </c>
      <c r="D151" t="s">
        <v>319</v>
      </c>
      <c r="E151" t="s">
        <v>15</v>
      </c>
      <c r="F151" t="s">
        <v>5770</v>
      </c>
      <c r="J151" t="s">
        <v>5750</v>
      </c>
      <c r="K151">
        <v>50</v>
      </c>
      <c r="L151" t="str" cm="1">
        <f t="array" ref="L151">_xlfn.IFS(
 K151&lt;=50,"≤50",
 AND(K151&gt;=51,K151&lt;=100),"51–100",
 AND(K151&gt;=101,K151&lt;=250),"101–250",
 AND(K151&gt;=251,K151&lt;=500),"251–500",
 AND(K151&gt;=501,K151&lt;=1000),"501–1000",
 K151&gt;=1001,"1001+"
)</f>
        <v>≤50</v>
      </c>
    </row>
    <row r="152" spans="1:12" x14ac:dyDescent="0.3">
      <c r="A152" t="s">
        <v>320</v>
      </c>
      <c r="B152" t="s">
        <v>11</v>
      </c>
      <c r="C152" t="s">
        <v>5776</v>
      </c>
      <c r="F152" t="s">
        <v>5770</v>
      </c>
      <c r="J152" t="s">
        <v>5747</v>
      </c>
      <c r="K152">
        <v>50</v>
      </c>
      <c r="L152" t="str" cm="1">
        <f t="array" ref="L152">_xlfn.IFS(
 K152&lt;=50,"≤50",
 AND(K152&gt;=51,K152&lt;=100),"51–100",
 AND(K152&gt;=101,K152&lt;=250),"101–250",
 AND(K152&gt;=251,K152&lt;=500),"251–500",
 AND(K152&gt;=501,K152&lt;=1000),"501–1000",
 K152&gt;=1001,"1001+"
)</f>
        <v>≤50</v>
      </c>
    </row>
    <row r="153" spans="1:12" x14ac:dyDescent="0.3">
      <c r="A153" t="s">
        <v>321</v>
      </c>
      <c r="B153" t="s">
        <v>11</v>
      </c>
      <c r="C153" t="s">
        <v>5776</v>
      </c>
      <c r="F153" t="s">
        <v>5770</v>
      </c>
      <c r="J153" t="s">
        <v>5760</v>
      </c>
      <c r="K153">
        <v>50</v>
      </c>
      <c r="L153" t="str" cm="1">
        <f t="array" ref="L153">_xlfn.IFS(
 K153&lt;=50,"≤50",
 AND(K153&gt;=51,K153&lt;=100),"51–100",
 AND(K153&gt;=101,K153&lt;=250),"101–250",
 AND(K153&gt;=251,K153&lt;=500),"251–500",
 AND(K153&gt;=501,K153&lt;=1000),"501–1000",
 K153&gt;=1001,"1001+"
)</f>
        <v>≤50</v>
      </c>
    </row>
    <row r="154" spans="1:12" x14ac:dyDescent="0.3">
      <c r="A154" t="s">
        <v>322</v>
      </c>
      <c r="B154" t="s">
        <v>11</v>
      </c>
      <c r="C154" t="s">
        <v>5776</v>
      </c>
      <c r="F154" t="s">
        <v>5770</v>
      </c>
      <c r="J154" t="s">
        <v>5740</v>
      </c>
      <c r="K154">
        <v>50</v>
      </c>
      <c r="L154" t="str" cm="1">
        <f t="array" ref="L154">_xlfn.IFS(
 K154&lt;=50,"≤50",
 AND(K154&gt;=51,K154&lt;=100),"51–100",
 AND(K154&gt;=101,K154&lt;=250),"101–250",
 AND(K154&gt;=251,K154&lt;=500),"251–500",
 AND(K154&gt;=501,K154&lt;=1000),"501–1000",
 K154&gt;=1001,"1001+"
)</f>
        <v>≤50</v>
      </c>
    </row>
    <row r="155" spans="1:12" x14ac:dyDescent="0.3">
      <c r="A155" t="s">
        <v>323</v>
      </c>
      <c r="B155" t="s">
        <v>13</v>
      </c>
      <c r="C155" t="s">
        <v>5777</v>
      </c>
      <c r="D155" t="s">
        <v>65</v>
      </c>
      <c r="F155" t="s">
        <v>5770</v>
      </c>
      <c r="J155" t="s">
        <v>5761</v>
      </c>
      <c r="K155">
        <v>50</v>
      </c>
      <c r="L155" t="str" cm="1">
        <f t="array" ref="L155">_xlfn.IFS(
 K155&lt;=50,"≤50",
 AND(K155&gt;=51,K155&lt;=100),"51–100",
 AND(K155&gt;=101,K155&lt;=250),"101–250",
 AND(K155&gt;=251,K155&lt;=500),"251–500",
 AND(K155&gt;=501,K155&lt;=1000),"501–1000",
 K155&gt;=1001,"1001+"
)</f>
        <v>≤50</v>
      </c>
    </row>
    <row r="156" spans="1:12" x14ac:dyDescent="0.3">
      <c r="A156" t="s">
        <v>324</v>
      </c>
      <c r="B156" t="s">
        <v>11</v>
      </c>
      <c r="C156" t="s">
        <v>5776</v>
      </c>
      <c r="F156" t="s">
        <v>5770</v>
      </c>
      <c r="J156" t="s">
        <v>5761</v>
      </c>
      <c r="K156">
        <v>50</v>
      </c>
      <c r="L156" t="str" cm="1">
        <f t="array" ref="L156">_xlfn.IFS(
 K156&lt;=50,"≤50",
 AND(K156&gt;=51,K156&lt;=100),"51–100",
 AND(K156&gt;=101,K156&lt;=250),"101–250",
 AND(K156&gt;=251,K156&lt;=500),"251–500",
 AND(K156&gt;=501,K156&lt;=1000),"501–1000",
 K156&gt;=1001,"1001+"
)</f>
        <v>≤50</v>
      </c>
    </row>
    <row r="157" spans="1:12" x14ac:dyDescent="0.3">
      <c r="A157" t="s">
        <v>325</v>
      </c>
      <c r="B157" t="s">
        <v>11</v>
      </c>
      <c r="C157" t="s">
        <v>5776</v>
      </c>
      <c r="F157" t="s">
        <v>5770</v>
      </c>
      <c r="J157" t="s">
        <v>5761</v>
      </c>
      <c r="K157">
        <v>50</v>
      </c>
      <c r="L157" t="str" cm="1">
        <f t="array" ref="L157">_xlfn.IFS(
 K157&lt;=50,"≤50",
 AND(K157&gt;=51,K157&lt;=100),"51–100",
 AND(K157&gt;=101,K157&lt;=250),"101–250",
 AND(K157&gt;=251,K157&lt;=500),"251–500",
 AND(K157&gt;=501,K157&lt;=1000),"501–1000",
 K157&gt;=1001,"1001+"
)</f>
        <v>≤50</v>
      </c>
    </row>
    <row r="158" spans="1:12" x14ac:dyDescent="0.3">
      <c r="A158" t="s">
        <v>326</v>
      </c>
      <c r="B158" t="s">
        <v>13</v>
      </c>
      <c r="C158" t="s">
        <v>5777</v>
      </c>
      <c r="D158" t="s">
        <v>327</v>
      </c>
      <c r="E158" t="s">
        <v>15</v>
      </c>
      <c r="F158" t="s">
        <v>5770</v>
      </c>
      <c r="J158" t="s">
        <v>5742</v>
      </c>
      <c r="K158">
        <v>50</v>
      </c>
      <c r="L158" t="str" cm="1">
        <f t="array" ref="L158">_xlfn.IFS(
 K158&lt;=50,"≤50",
 AND(K158&gt;=51,K158&lt;=100),"51–100",
 AND(K158&gt;=101,K158&lt;=250),"101–250",
 AND(K158&gt;=251,K158&lt;=500),"251–500",
 AND(K158&gt;=501,K158&lt;=1000),"501–1000",
 K158&gt;=1001,"1001+"
)</f>
        <v>≤50</v>
      </c>
    </row>
    <row r="159" spans="1:12" x14ac:dyDescent="0.3">
      <c r="A159" t="s">
        <v>328</v>
      </c>
      <c r="B159" t="s">
        <v>13</v>
      </c>
      <c r="C159" t="s">
        <v>5777</v>
      </c>
      <c r="D159" t="s">
        <v>329</v>
      </c>
      <c r="E159" t="s">
        <v>15</v>
      </c>
      <c r="F159" t="s">
        <v>20</v>
      </c>
      <c r="G159" t="s">
        <v>330</v>
      </c>
      <c r="J159" t="s">
        <v>5761</v>
      </c>
      <c r="K159">
        <v>50</v>
      </c>
      <c r="L159" t="str" cm="1">
        <f t="array" ref="L159">_xlfn.IFS(
 K159&lt;=50,"≤50",
 AND(K159&gt;=51,K159&lt;=100),"51–100",
 AND(K159&gt;=101,K159&lt;=250),"101–250",
 AND(K159&gt;=251,K159&lt;=500),"251–500",
 AND(K159&gt;=501,K159&lt;=1000),"501–1000",
 K159&gt;=1001,"1001+"
)</f>
        <v>≤50</v>
      </c>
    </row>
    <row r="160" spans="1:12" x14ac:dyDescent="0.3">
      <c r="A160" t="s">
        <v>331</v>
      </c>
      <c r="B160" t="s">
        <v>11</v>
      </c>
      <c r="C160" t="s">
        <v>5776</v>
      </c>
      <c r="F160" t="s">
        <v>5770</v>
      </c>
      <c r="J160" t="s">
        <v>5737</v>
      </c>
      <c r="K160">
        <v>50</v>
      </c>
      <c r="L160" t="str" cm="1">
        <f t="array" ref="L160">_xlfn.IFS(
 K160&lt;=50,"≤50",
 AND(K160&gt;=51,K160&lt;=100),"51–100",
 AND(K160&gt;=101,K160&lt;=250),"101–250",
 AND(K160&gt;=251,K160&lt;=500),"251–500",
 AND(K160&gt;=501,K160&lt;=1000),"501–1000",
 K160&gt;=1001,"1001+"
)</f>
        <v>≤50</v>
      </c>
    </row>
    <row r="161" spans="1:12" x14ac:dyDescent="0.3">
      <c r="A161" t="s">
        <v>332</v>
      </c>
      <c r="B161" t="s">
        <v>9</v>
      </c>
      <c r="C161" t="s">
        <v>5780</v>
      </c>
      <c r="D161" t="s">
        <v>28</v>
      </c>
      <c r="F161" t="s">
        <v>5770</v>
      </c>
      <c r="J161" t="s">
        <v>5748</v>
      </c>
      <c r="K161">
        <v>50</v>
      </c>
      <c r="L161" t="str" cm="1">
        <f t="array" ref="L161">_xlfn.IFS(
 K161&lt;=50,"≤50",
 AND(K161&gt;=51,K161&lt;=100),"51–100",
 AND(K161&gt;=101,K161&lt;=250),"101–250",
 AND(K161&gt;=251,K161&lt;=500),"251–500",
 AND(K161&gt;=501,K161&lt;=1000),"501–1000",
 K161&gt;=1001,"1001+"
)</f>
        <v>≤50</v>
      </c>
    </row>
    <row r="162" spans="1:12" x14ac:dyDescent="0.3">
      <c r="A162" t="s">
        <v>333</v>
      </c>
      <c r="B162" t="s">
        <v>9</v>
      </c>
      <c r="C162" t="s">
        <v>5780</v>
      </c>
      <c r="D162" t="s">
        <v>334</v>
      </c>
      <c r="F162" t="s">
        <v>5770</v>
      </c>
      <c r="J162" t="s">
        <v>5738</v>
      </c>
      <c r="K162">
        <v>50</v>
      </c>
      <c r="L162" t="str" cm="1">
        <f t="array" ref="L162">_xlfn.IFS(
 K162&lt;=50,"≤50",
 AND(K162&gt;=51,K162&lt;=100),"51–100",
 AND(K162&gt;=101,K162&lt;=250),"101–250",
 AND(K162&gt;=251,K162&lt;=500),"251–500",
 AND(K162&gt;=501,K162&lt;=1000),"501–1000",
 K162&gt;=1001,"1001+"
)</f>
        <v>≤50</v>
      </c>
    </row>
    <row r="163" spans="1:12" x14ac:dyDescent="0.3">
      <c r="A163" t="s">
        <v>335</v>
      </c>
      <c r="B163" t="s">
        <v>13</v>
      </c>
      <c r="C163" t="s">
        <v>5777</v>
      </c>
      <c r="D163" t="s">
        <v>336</v>
      </c>
      <c r="E163" t="s">
        <v>15</v>
      </c>
      <c r="F163" t="s">
        <v>20</v>
      </c>
      <c r="G163" t="s">
        <v>337</v>
      </c>
      <c r="J163" t="s">
        <v>5738</v>
      </c>
      <c r="K163">
        <v>50</v>
      </c>
      <c r="L163" t="str" cm="1">
        <f t="array" ref="L163">_xlfn.IFS(
 K163&lt;=50,"≤50",
 AND(K163&gt;=51,K163&lt;=100),"51–100",
 AND(K163&gt;=101,K163&lt;=250),"101–250",
 AND(K163&gt;=251,K163&lt;=500),"251–500",
 AND(K163&gt;=501,K163&lt;=1000),"501–1000",
 K163&gt;=1001,"1001+"
)</f>
        <v>≤50</v>
      </c>
    </row>
    <row r="164" spans="1:12" x14ac:dyDescent="0.3">
      <c r="A164" t="s">
        <v>338</v>
      </c>
      <c r="B164" t="s">
        <v>9</v>
      </c>
      <c r="C164" t="s">
        <v>5780</v>
      </c>
      <c r="D164" t="s">
        <v>339</v>
      </c>
      <c r="F164" t="s">
        <v>5770</v>
      </c>
      <c r="J164" t="s">
        <v>5738</v>
      </c>
      <c r="K164">
        <v>50</v>
      </c>
      <c r="L164" t="str" cm="1">
        <f t="array" ref="L164">_xlfn.IFS(
 K164&lt;=50,"≤50",
 AND(K164&gt;=51,K164&lt;=100),"51–100",
 AND(K164&gt;=101,K164&lt;=250),"101–250",
 AND(K164&gt;=251,K164&lt;=500),"251–500",
 AND(K164&gt;=501,K164&lt;=1000),"501–1000",
 K164&gt;=1001,"1001+"
)</f>
        <v>≤50</v>
      </c>
    </row>
    <row r="165" spans="1:12" x14ac:dyDescent="0.3">
      <c r="A165" t="s">
        <v>340</v>
      </c>
      <c r="B165" t="s">
        <v>9</v>
      </c>
      <c r="C165" t="s">
        <v>5780</v>
      </c>
      <c r="D165" t="s">
        <v>341</v>
      </c>
      <c r="E165" t="s">
        <v>15</v>
      </c>
      <c r="F165" t="s">
        <v>5770</v>
      </c>
      <c r="J165" t="s">
        <v>5738</v>
      </c>
      <c r="K165">
        <v>50</v>
      </c>
      <c r="L165" t="str" cm="1">
        <f t="array" ref="L165">_xlfn.IFS(
 K165&lt;=50,"≤50",
 AND(K165&gt;=51,K165&lt;=100),"51–100",
 AND(K165&gt;=101,K165&lt;=250),"101–250",
 AND(K165&gt;=251,K165&lt;=500),"251–500",
 AND(K165&gt;=501,K165&lt;=1000),"501–1000",
 K165&gt;=1001,"1001+"
)</f>
        <v>≤50</v>
      </c>
    </row>
    <row r="166" spans="1:12" x14ac:dyDescent="0.3">
      <c r="A166" t="s">
        <v>342</v>
      </c>
      <c r="B166" t="s">
        <v>9</v>
      </c>
      <c r="C166" t="s">
        <v>5780</v>
      </c>
      <c r="D166" t="s">
        <v>343</v>
      </c>
      <c r="F166" t="s">
        <v>5770</v>
      </c>
      <c r="J166" t="s">
        <v>5738</v>
      </c>
      <c r="K166">
        <v>50</v>
      </c>
      <c r="L166" t="str" cm="1">
        <f t="array" ref="L166">_xlfn.IFS(
 K166&lt;=50,"≤50",
 AND(K166&gt;=51,K166&lt;=100),"51–100",
 AND(K166&gt;=101,K166&lt;=250),"101–250",
 AND(K166&gt;=251,K166&lt;=500),"251–500",
 AND(K166&gt;=501,K166&lt;=1000),"501–1000",
 K166&gt;=1001,"1001+"
)</f>
        <v>≤50</v>
      </c>
    </row>
    <row r="167" spans="1:12" x14ac:dyDescent="0.3">
      <c r="A167" t="s">
        <v>344</v>
      </c>
      <c r="B167" t="s">
        <v>9</v>
      </c>
      <c r="C167" t="s">
        <v>5780</v>
      </c>
      <c r="D167" t="s">
        <v>28</v>
      </c>
      <c r="F167" t="s">
        <v>5770</v>
      </c>
      <c r="J167" t="s">
        <v>5743</v>
      </c>
      <c r="K167">
        <v>50</v>
      </c>
      <c r="L167" t="str" cm="1">
        <f t="array" ref="L167">_xlfn.IFS(
 K167&lt;=50,"≤50",
 AND(K167&gt;=51,K167&lt;=100),"51–100",
 AND(K167&gt;=101,K167&lt;=250),"101–250",
 AND(K167&gt;=251,K167&lt;=500),"251–500",
 AND(K167&gt;=501,K167&lt;=1000),"501–1000",
 K167&gt;=1001,"1001+"
)</f>
        <v>≤50</v>
      </c>
    </row>
    <row r="168" spans="1:12" x14ac:dyDescent="0.3">
      <c r="A168" t="s">
        <v>345</v>
      </c>
      <c r="B168" t="s">
        <v>13</v>
      </c>
      <c r="C168" t="s">
        <v>5777</v>
      </c>
      <c r="D168" t="s">
        <v>346</v>
      </c>
      <c r="F168" t="s">
        <v>20</v>
      </c>
      <c r="G168" t="s">
        <v>330</v>
      </c>
      <c r="J168" t="s">
        <v>5743</v>
      </c>
      <c r="K168">
        <v>50</v>
      </c>
      <c r="L168" t="str" cm="1">
        <f t="array" ref="L168">_xlfn.IFS(
 K168&lt;=50,"≤50",
 AND(K168&gt;=51,K168&lt;=100),"51–100",
 AND(K168&gt;=101,K168&lt;=250),"101–250",
 AND(K168&gt;=251,K168&lt;=500),"251–500",
 AND(K168&gt;=501,K168&lt;=1000),"501–1000",
 K168&gt;=1001,"1001+"
)</f>
        <v>≤50</v>
      </c>
    </row>
    <row r="169" spans="1:12" x14ac:dyDescent="0.3">
      <c r="A169" t="s">
        <v>347</v>
      </c>
      <c r="B169" t="s">
        <v>9</v>
      </c>
      <c r="C169" t="s">
        <v>5780</v>
      </c>
      <c r="D169" t="s">
        <v>28</v>
      </c>
      <c r="F169" t="s">
        <v>5770</v>
      </c>
      <c r="J169" t="s">
        <v>5743</v>
      </c>
      <c r="K169">
        <v>50</v>
      </c>
      <c r="L169" t="str" cm="1">
        <f t="array" ref="L169">_xlfn.IFS(
 K169&lt;=50,"≤50",
 AND(K169&gt;=51,K169&lt;=100),"51–100",
 AND(K169&gt;=101,K169&lt;=250),"101–250",
 AND(K169&gt;=251,K169&lt;=500),"251–500",
 AND(K169&gt;=501,K169&lt;=1000),"501–1000",
 K169&gt;=1001,"1001+"
)</f>
        <v>≤50</v>
      </c>
    </row>
    <row r="170" spans="1:12" x14ac:dyDescent="0.3">
      <c r="A170" t="s">
        <v>348</v>
      </c>
      <c r="B170" t="s">
        <v>9</v>
      </c>
      <c r="C170" t="s">
        <v>5780</v>
      </c>
      <c r="D170" t="s">
        <v>339</v>
      </c>
      <c r="F170" t="s">
        <v>5770</v>
      </c>
      <c r="J170" t="s">
        <v>5743</v>
      </c>
      <c r="K170">
        <v>50</v>
      </c>
      <c r="L170" t="str" cm="1">
        <f t="array" ref="L170">_xlfn.IFS(
 K170&lt;=50,"≤50",
 AND(K170&gt;=51,K170&lt;=100),"51–100",
 AND(K170&gt;=101,K170&lt;=250),"101–250",
 AND(K170&gt;=251,K170&lt;=500),"251–500",
 AND(K170&gt;=501,K170&lt;=1000),"501–1000",
 K170&gt;=1001,"1001+"
)</f>
        <v>≤50</v>
      </c>
    </row>
    <row r="171" spans="1:12" x14ac:dyDescent="0.3">
      <c r="A171" t="s">
        <v>349</v>
      </c>
      <c r="B171" t="s">
        <v>11</v>
      </c>
      <c r="C171" t="s">
        <v>5776</v>
      </c>
      <c r="F171" t="s">
        <v>5770</v>
      </c>
      <c r="J171" t="s">
        <v>5737</v>
      </c>
      <c r="K171">
        <v>50</v>
      </c>
      <c r="L171" t="str" cm="1">
        <f t="array" ref="L171">_xlfn.IFS(
 K171&lt;=50,"≤50",
 AND(K171&gt;=51,K171&lt;=100),"51–100",
 AND(K171&gt;=101,K171&lt;=250),"101–250",
 AND(K171&gt;=251,K171&lt;=500),"251–500",
 AND(K171&gt;=501,K171&lt;=1000),"501–1000",
 K171&gt;=1001,"1001+"
)</f>
        <v>≤50</v>
      </c>
    </row>
    <row r="172" spans="1:12" x14ac:dyDescent="0.3">
      <c r="A172" t="s">
        <v>350</v>
      </c>
      <c r="B172" t="s">
        <v>11</v>
      </c>
      <c r="C172" t="s">
        <v>5776</v>
      </c>
      <c r="F172" t="s">
        <v>5770</v>
      </c>
      <c r="J172" t="s">
        <v>5737</v>
      </c>
      <c r="K172">
        <v>50</v>
      </c>
      <c r="L172" t="str" cm="1">
        <f t="array" ref="L172">_xlfn.IFS(
 K172&lt;=50,"≤50",
 AND(K172&gt;=51,K172&lt;=100),"51–100",
 AND(K172&gt;=101,K172&lt;=250),"101–250",
 AND(K172&gt;=251,K172&lt;=500),"251–500",
 AND(K172&gt;=501,K172&lt;=1000),"501–1000",
 K172&gt;=1001,"1001+"
)</f>
        <v>≤50</v>
      </c>
    </row>
    <row r="173" spans="1:12" x14ac:dyDescent="0.3">
      <c r="A173" t="s">
        <v>351</v>
      </c>
      <c r="B173" t="s">
        <v>11</v>
      </c>
      <c r="C173" t="s">
        <v>5776</v>
      </c>
      <c r="F173" t="s">
        <v>5770</v>
      </c>
      <c r="J173" t="s">
        <v>5737</v>
      </c>
      <c r="K173">
        <v>50</v>
      </c>
      <c r="L173" t="str" cm="1">
        <f t="array" ref="L173">_xlfn.IFS(
 K173&lt;=50,"≤50",
 AND(K173&gt;=51,K173&lt;=100),"51–100",
 AND(K173&gt;=101,K173&lt;=250),"101–250",
 AND(K173&gt;=251,K173&lt;=500),"251–500",
 AND(K173&gt;=501,K173&lt;=1000),"501–1000",
 K173&gt;=1001,"1001+"
)</f>
        <v>≤50</v>
      </c>
    </row>
    <row r="174" spans="1:12" x14ac:dyDescent="0.3">
      <c r="A174" t="s">
        <v>352</v>
      </c>
      <c r="B174" t="s">
        <v>9</v>
      </c>
      <c r="C174" t="s">
        <v>5780</v>
      </c>
      <c r="D174" t="s">
        <v>28</v>
      </c>
      <c r="F174" t="s">
        <v>5770</v>
      </c>
      <c r="J174" t="s">
        <v>5737</v>
      </c>
      <c r="K174">
        <v>50</v>
      </c>
      <c r="L174" t="str" cm="1">
        <f t="array" ref="L174">_xlfn.IFS(
 K174&lt;=50,"≤50",
 AND(K174&gt;=51,K174&lt;=100),"51–100",
 AND(K174&gt;=101,K174&lt;=250),"101–250",
 AND(K174&gt;=251,K174&lt;=500),"251–500",
 AND(K174&gt;=501,K174&lt;=1000),"501–1000",
 K174&gt;=1001,"1001+"
)</f>
        <v>≤50</v>
      </c>
    </row>
    <row r="175" spans="1:12" x14ac:dyDescent="0.3">
      <c r="A175" t="s">
        <v>353</v>
      </c>
      <c r="B175" t="s">
        <v>9</v>
      </c>
      <c r="C175" t="s">
        <v>5780</v>
      </c>
      <c r="D175" t="s">
        <v>354</v>
      </c>
      <c r="F175" t="s">
        <v>20</v>
      </c>
      <c r="G175" t="s">
        <v>330</v>
      </c>
      <c r="J175" t="s">
        <v>5737</v>
      </c>
      <c r="K175">
        <v>50</v>
      </c>
      <c r="L175" t="str" cm="1">
        <f t="array" ref="L175">_xlfn.IFS(
 K175&lt;=50,"≤50",
 AND(K175&gt;=51,K175&lt;=100),"51–100",
 AND(K175&gt;=101,K175&lt;=250),"101–250",
 AND(K175&gt;=251,K175&lt;=500),"251–500",
 AND(K175&gt;=501,K175&lt;=1000),"501–1000",
 K175&gt;=1001,"1001+"
)</f>
        <v>≤50</v>
      </c>
    </row>
    <row r="176" spans="1:12" x14ac:dyDescent="0.3">
      <c r="A176" t="s">
        <v>355</v>
      </c>
      <c r="B176" t="s">
        <v>9</v>
      </c>
      <c r="C176" t="s">
        <v>5780</v>
      </c>
      <c r="D176" t="s">
        <v>356</v>
      </c>
      <c r="E176" t="s">
        <v>15</v>
      </c>
      <c r="F176" t="s">
        <v>54</v>
      </c>
      <c r="G176" t="s">
        <v>357</v>
      </c>
      <c r="J176" t="s">
        <v>5737</v>
      </c>
      <c r="K176">
        <v>50</v>
      </c>
      <c r="L176" t="str" cm="1">
        <f t="array" ref="L176">_xlfn.IFS(
 K176&lt;=50,"≤50",
 AND(K176&gt;=51,K176&lt;=100),"51–100",
 AND(K176&gt;=101,K176&lt;=250),"101–250",
 AND(K176&gt;=251,K176&lt;=500),"251–500",
 AND(K176&gt;=501,K176&lt;=1000),"501–1000",
 K176&gt;=1001,"1001+"
)</f>
        <v>≤50</v>
      </c>
    </row>
    <row r="177" spans="1:12" x14ac:dyDescent="0.3">
      <c r="A177" t="s">
        <v>358</v>
      </c>
      <c r="B177" t="s">
        <v>13</v>
      </c>
      <c r="C177" t="s">
        <v>5777</v>
      </c>
      <c r="D177" t="s">
        <v>359</v>
      </c>
      <c r="E177" t="s">
        <v>15</v>
      </c>
      <c r="F177" t="s">
        <v>16</v>
      </c>
      <c r="G177" t="s">
        <v>360</v>
      </c>
      <c r="J177" t="s">
        <v>5737</v>
      </c>
      <c r="K177">
        <v>50</v>
      </c>
      <c r="L177" t="str" cm="1">
        <f t="array" ref="L177">_xlfn.IFS(
 K177&lt;=50,"≤50",
 AND(K177&gt;=51,K177&lt;=100),"51–100",
 AND(K177&gt;=101,K177&lt;=250),"101–250",
 AND(K177&gt;=251,K177&lt;=500),"251–500",
 AND(K177&gt;=501,K177&lt;=1000),"501–1000",
 K177&gt;=1001,"1001+"
)</f>
        <v>≤50</v>
      </c>
    </row>
    <row r="178" spans="1:12" x14ac:dyDescent="0.3">
      <c r="A178" t="s">
        <v>361</v>
      </c>
      <c r="B178" t="s">
        <v>9</v>
      </c>
      <c r="C178" t="s">
        <v>5780</v>
      </c>
      <c r="D178" t="s">
        <v>362</v>
      </c>
      <c r="E178" t="s">
        <v>15</v>
      </c>
      <c r="F178" t="s">
        <v>54</v>
      </c>
      <c r="G178" t="s">
        <v>363</v>
      </c>
      <c r="J178" t="s">
        <v>5737</v>
      </c>
      <c r="K178">
        <v>50</v>
      </c>
      <c r="L178" t="str" cm="1">
        <f t="array" ref="L178">_xlfn.IFS(
 K178&lt;=50,"≤50",
 AND(K178&gt;=51,K178&lt;=100),"51–100",
 AND(K178&gt;=101,K178&lt;=250),"101–250",
 AND(K178&gt;=251,K178&lt;=500),"251–500",
 AND(K178&gt;=501,K178&lt;=1000),"501–1000",
 K178&gt;=1001,"1001+"
)</f>
        <v>≤50</v>
      </c>
    </row>
    <row r="179" spans="1:12" x14ac:dyDescent="0.3">
      <c r="A179" t="s">
        <v>364</v>
      </c>
      <c r="B179" t="s">
        <v>13</v>
      </c>
      <c r="C179" t="s">
        <v>5777</v>
      </c>
      <c r="D179" t="s">
        <v>365</v>
      </c>
      <c r="F179" t="s">
        <v>5770</v>
      </c>
      <c r="J179" t="s">
        <v>5737</v>
      </c>
      <c r="K179">
        <v>50</v>
      </c>
      <c r="L179" t="str" cm="1">
        <f t="array" ref="L179">_xlfn.IFS(
 K179&lt;=50,"≤50",
 AND(K179&gt;=51,K179&lt;=100),"51–100",
 AND(K179&gt;=101,K179&lt;=250),"101–250",
 AND(K179&gt;=251,K179&lt;=500),"251–500",
 AND(K179&gt;=501,K179&lt;=1000),"501–1000",
 K179&gt;=1001,"1001+"
)</f>
        <v>≤50</v>
      </c>
    </row>
    <row r="180" spans="1:12" x14ac:dyDescent="0.3">
      <c r="A180" t="s">
        <v>366</v>
      </c>
      <c r="B180" t="s">
        <v>9</v>
      </c>
      <c r="C180" t="s">
        <v>5780</v>
      </c>
      <c r="D180" t="s">
        <v>367</v>
      </c>
      <c r="F180" t="s">
        <v>20</v>
      </c>
      <c r="G180" t="s">
        <v>21</v>
      </c>
      <c r="J180" t="s">
        <v>5744</v>
      </c>
      <c r="K180">
        <v>50</v>
      </c>
      <c r="L180" t="str" cm="1">
        <f t="array" ref="L180">_xlfn.IFS(
 K180&lt;=50,"≤50",
 AND(K180&gt;=51,K180&lt;=100),"51–100",
 AND(K180&gt;=101,K180&lt;=250),"101–250",
 AND(K180&gt;=251,K180&lt;=500),"251–500",
 AND(K180&gt;=501,K180&lt;=1000),"501–1000",
 K180&gt;=1001,"1001+"
)</f>
        <v>≤50</v>
      </c>
    </row>
    <row r="181" spans="1:12" x14ac:dyDescent="0.3">
      <c r="A181" t="s">
        <v>368</v>
      </c>
      <c r="B181" t="s">
        <v>13</v>
      </c>
      <c r="C181" t="s">
        <v>5777</v>
      </c>
      <c r="D181" t="s">
        <v>369</v>
      </c>
      <c r="E181" t="s">
        <v>15</v>
      </c>
      <c r="F181" t="s">
        <v>20</v>
      </c>
      <c r="G181" t="s">
        <v>21</v>
      </c>
      <c r="J181" t="s">
        <v>5744</v>
      </c>
      <c r="K181">
        <v>50</v>
      </c>
      <c r="L181" t="str" cm="1">
        <f t="array" ref="L181">_xlfn.IFS(
 K181&lt;=50,"≤50",
 AND(K181&gt;=51,K181&lt;=100),"51–100",
 AND(K181&gt;=101,K181&lt;=250),"101–250",
 AND(K181&gt;=251,K181&lt;=500),"251–500",
 AND(K181&gt;=501,K181&lt;=1000),"501–1000",
 K181&gt;=1001,"1001+"
)</f>
        <v>≤50</v>
      </c>
    </row>
    <row r="182" spans="1:12" x14ac:dyDescent="0.3">
      <c r="A182" t="s">
        <v>370</v>
      </c>
      <c r="B182" t="s">
        <v>9</v>
      </c>
      <c r="C182" t="s">
        <v>5780</v>
      </c>
      <c r="D182" t="s">
        <v>371</v>
      </c>
      <c r="F182" t="s">
        <v>20</v>
      </c>
      <c r="G182" t="s">
        <v>21</v>
      </c>
      <c r="J182" t="s">
        <v>5744</v>
      </c>
      <c r="K182">
        <v>50</v>
      </c>
      <c r="L182" t="str" cm="1">
        <f t="array" ref="L182">_xlfn.IFS(
 K182&lt;=50,"≤50",
 AND(K182&gt;=51,K182&lt;=100),"51–100",
 AND(K182&gt;=101,K182&lt;=250),"101–250",
 AND(K182&gt;=251,K182&lt;=500),"251–500",
 AND(K182&gt;=501,K182&lt;=1000),"501–1000",
 K182&gt;=1001,"1001+"
)</f>
        <v>≤50</v>
      </c>
    </row>
    <row r="183" spans="1:12" x14ac:dyDescent="0.3">
      <c r="A183" t="s">
        <v>372</v>
      </c>
      <c r="B183" t="s">
        <v>11</v>
      </c>
      <c r="C183" t="s">
        <v>5776</v>
      </c>
      <c r="F183" t="s">
        <v>5770</v>
      </c>
      <c r="J183" t="s">
        <v>5744</v>
      </c>
      <c r="K183">
        <v>50</v>
      </c>
      <c r="L183" t="str" cm="1">
        <f t="array" ref="L183">_xlfn.IFS(
 K183&lt;=50,"≤50",
 AND(K183&gt;=51,K183&lt;=100),"51–100",
 AND(K183&gt;=101,K183&lt;=250),"101–250",
 AND(K183&gt;=251,K183&lt;=500),"251–500",
 AND(K183&gt;=501,K183&lt;=1000),"501–1000",
 K183&gt;=1001,"1001+"
)</f>
        <v>≤50</v>
      </c>
    </row>
    <row r="184" spans="1:12" x14ac:dyDescent="0.3">
      <c r="A184" t="s">
        <v>373</v>
      </c>
      <c r="B184" t="s">
        <v>9</v>
      </c>
      <c r="C184" t="s">
        <v>5780</v>
      </c>
      <c r="D184" t="s">
        <v>374</v>
      </c>
      <c r="F184" t="s">
        <v>5770</v>
      </c>
      <c r="J184" t="s">
        <v>5744</v>
      </c>
      <c r="K184">
        <v>50</v>
      </c>
      <c r="L184" t="str" cm="1">
        <f t="array" ref="L184">_xlfn.IFS(
 K184&lt;=50,"≤50",
 AND(K184&gt;=51,K184&lt;=100),"51–100",
 AND(K184&gt;=101,K184&lt;=250),"101–250",
 AND(K184&gt;=251,K184&lt;=500),"251–500",
 AND(K184&gt;=501,K184&lt;=1000),"501–1000",
 K184&gt;=1001,"1001+"
)</f>
        <v>≤50</v>
      </c>
    </row>
    <row r="185" spans="1:12" x14ac:dyDescent="0.3">
      <c r="A185" t="s">
        <v>375</v>
      </c>
      <c r="B185" t="s">
        <v>11</v>
      </c>
      <c r="C185" t="s">
        <v>5776</v>
      </c>
      <c r="F185" t="s">
        <v>5770</v>
      </c>
      <c r="J185" t="s">
        <v>5744</v>
      </c>
      <c r="K185">
        <v>50</v>
      </c>
      <c r="L185" t="str" cm="1">
        <f t="array" ref="L185">_xlfn.IFS(
 K185&lt;=50,"≤50",
 AND(K185&gt;=51,K185&lt;=100),"51–100",
 AND(K185&gt;=101,K185&lt;=250),"101–250",
 AND(K185&gt;=251,K185&lt;=500),"251–500",
 AND(K185&gt;=501,K185&lt;=1000),"501–1000",
 K185&gt;=1001,"1001+"
)</f>
        <v>≤50</v>
      </c>
    </row>
    <row r="186" spans="1:12" x14ac:dyDescent="0.3">
      <c r="A186" t="s">
        <v>376</v>
      </c>
      <c r="B186" t="s">
        <v>13</v>
      </c>
      <c r="C186" t="s">
        <v>5777</v>
      </c>
      <c r="D186" t="s">
        <v>377</v>
      </c>
      <c r="F186" t="s">
        <v>5770</v>
      </c>
      <c r="J186" t="s">
        <v>5744</v>
      </c>
      <c r="K186">
        <v>50</v>
      </c>
      <c r="L186" t="str" cm="1">
        <f t="array" ref="L186">_xlfn.IFS(
 K186&lt;=50,"≤50",
 AND(K186&gt;=51,K186&lt;=100),"51–100",
 AND(K186&gt;=101,K186&lt;=250),"101–250",
 AND(K186&gt;=251,K186&lt;=500),"251–500",
 AND(K186&gt;=501,K186&lt;=1000),"501–1000",
 K186&gt;=1001,"1001+"
)</f>
        <v>≤50</v>
      </c>
    </row>
    <row r="187" spans="1:12" x14ac:dyDescent="0.3">
      <c r="A187" t="s">
        <v>378</v>
      </c>
      <c r="B187" t="s">
        <v>9</v>
      </c>
      <c r="C187" t="s">
        <v>5780</v>
      </c>
      <c r="D187" t="s">
        <v>379</v>
      </c>
      <c r="E187" t="s">
        <v>15</v>
      </c>
      <c r="F187" t="s">
        <v>5770</v>
      </c>
      <c r="J187" t="s">
        <v>5744</v>
      </c>
      <c r="K187">
        <v>50</v>
      </c>
      <c r="L187" t="str" cm="1">
        <f t="array" ref="L187">_xlfn.IFS(
 K187&lt;=50,"≤50",
 AND(K187&gt;=51,K187&lt;=100),"51–100",
 AND(K187&gt;=101,K187&lt;=250),"101–250",
 AND(K187&gt;=251,K187&lt;=500),"251–500",
 AND(K187&gt;=501,K187&lt;=1000),"501–1000",
 K187&gt;=1001,"1001+"
)</f>
        <v>≤50</v>
      </c>
    </row>
    <row r="188" spans="1:12" x14ac:dyDescent="0.3">
      <c r="A188" t="s">
        <v>380</v>
      </c>
      <c r="B188" t="s">
        <v>9</v>
      </c>
      <c r="C188" t="s">
        <v>5780</v>
      </c>
      <c r="D188" t="s">
        <v>28</v>
      </c>
      <c r="F188" t="s">
        <v>5770</v>
      </c>
      <c r="J188" t="s">
        <v>5744</v>
      </c>
      <c r="K188">
        <v>50</v>
      </c>
      <c r="L188" t="str" cm="1">
        <f t="array" ref="L188">_xlfn.IFS(
 K188&lt;=50,"≤50",
 AND(K188&gt;=51,K188&lt;=100),"51–100",
 AND(K188&gt;=101,K188&lt;=250),"101–250",
 AND(K188&gt;=251,K188&lt;=500),"251–500",
 AND(K188&gt;=501,K188&lt;=1000),"501–1000",
 K188&gt;=1001,"1001+"
)</f>
        <v>≤50</v>
      </c>
    </row>
    <row r="189" spans="1:12" x14ac:dyDescent="0.3">
      <c r="A189" t="s">
        <v>381</v>
      </c>
      <c r="B189" t="s">
        <v>11</v>
      </c>
      <c r="C189" t="s">
        <v>5776</v>
      </c>
      <c r="F189" t="s">
        <v>5770</v>
      </c>
      <c r="J189" t="s">
        <v>5744</v>
      </c>
      <c r="K189">
        <v>50</v>
      </c>
      <c r="L189" t="str" cm="1">
        <f t="array" ref="L189">_xlfn.IFS(
 K189&lt;=50,"≤50",
 AND(K189&gt;=51,K189&lt;=100),"51–100",
 AND(K189&gt;=101,K189&lt;=250),"101–250",
 AND(K189&gt;=251,K189&lt;=500),"251–500",
 AND(K189&gt;=501,K189&lt;=1000),"501–1000",
 K189&gt;=1001,"1001+"
)</f>
        <v>≤50</v>
      </c>
    </row>
    <row r="190" spans="1:12" x14ac:dyDescent="0.3">
      <c r="A190" t="s">
        <v>382</v>
      </c>
      <c r="B190" t="s">
        <v>9</v>
      </c>
      <c r="C190" t="s">
        <v>5780</v>
      </c>
      <c r="D190" t="s">
        <v>28</v>
      </c>
      <c r="E190" t="s">
        <v>15</v>
      </c>
      <c r="F190" t="s">
        <v>20</v>
      </c>
      <c r="G190" t="s">
        <v>383</v>
      </c>
      <c r="J190" t="s">
        <v>5751</v>
      </c>
      <c r="K190">
        <v>50</v>
      </c>
      <c r="L190" t="str" cm="1">
        <f t="array" ref="L190">_xlfn.IFS(
 K190&lt;=50,"≤50",
 AND(K190&gt;=51,K190&lt;=100),"51–100",
 AND(K190&gt;=101,K190&lt;=250),"101–250",
 AND(K190&gt;=251,K190&lt;=500),"251–500",
 AND(K190&gt;=501,K190&lt;=1000),"501–1000",
 K190&gt;=1001,"1001+"
)</f>
        <v>≤50</v>
      </c>
    </row>
    <row r="191" spans="1:12" x14ac:dyDescent="0.3">
      <c r="A191" t="s">
        <v>384</v>
      </c>
      <c r="B191" t="s">
        <v>9</v>
      </c>
      <c r="C191" t="s">
        <v>5780</v>
      </c>
      <c r="D191" t="s">
        <v>385</v>
      </c>
      <c r="E191" t="s">
        <v>15</v>
      </c>
      <c r="F191" t="s">
        <v>20</v>
      </c>
      <c r="G191" t="s">
        <v>386</v>
      </c>
      <c r="J191" t="s">
        <v>5751</v>
      </c>
      <c r="K191">
        <v>50</v>
      </c>
      <c r="L191" t="str" cm="1">
        <f t="array" ref="L191">_xlfn.IFS(
 K191&lt;=50,"≤50",
 AND(K191&gt;=51,K191&lt;=100),"51–100",
 AND(K191&gt;=101,K191&lt;=250),"101–250",
 AND(K191&gt;=251,K191&lt;=500),"251–500",
 AND(K191&gt;=501,K191&lt;=1000),"501–1000",
 K191&gt;=1001,"1001+"
)</f>
        <v>≤50</v>
      </c>
    </row>
    <row r="192" spans="1:12" x14ac:dyDescent="0.3">
      <c r="A192" t="s">
        <v>387</v>
      </c>
      <c r="B192" t="s">
        <v>9</v>
      </c>
      <c r="C192" t="s">
        <v>5780</v>
      </c>
      <c r="D192" t="s">
        <v>28</v>
      </c>
      <c r="E192" t="s">
        <v>15</v>
      </c>
      <c r="F192" t="s">
        <v>20</v>
      </c>
      <c r="G192" t="s">
        <v>21</v>
      </c>
      <c r="J192" t="s">
        <v>5751</v>
      </c>
      <c r="K192">
        <v>50</v>
      </c>
      <c r="L192" t="str" cm="1">
        <f t="array" ref="L192">_xlfn.IFS(
 K192&lt;=50,"≤50",
 AND(K192&gt;=51,K192&lt;=100),"51–100",
 AND(K192&gt;=101,K192&lt;=250),"101–250",
 AND(K192&gt;=251,K192&lt;=500),"251–500",
 AND(K192&gt;=501,K192&lt;=1000),"501–1000",
 K192&gt;=1001,"1001+"
)</f>
        <v>≤50</v>
      </c>
    </row>
    <row r="193" spans="1:12" x14ac:dyDescent="0.3">
      <c r="A193" t="s">
        <v>388</v>
      </c>
      <c r="B193" t="s">
        <v>11</v>
      </c>
      <c r="C193" t="s">
        <v>5776</v>
      </c>
      <c r="E193" t="s">
        <v>15</v>
      </c>
      <c r="F193" t="s">
        <v>20</v>
      </c>
      <c r="G193" t="s">
        <v>36</v>
      </c>
      <c r="J193" t="s">
        <v>5753</v>
      </c>
      <c r="K193">
        <v>50</v>
      </c>
      <c r="L193" t="str" cm="1">
        <f t="array" ref="L193">_xlfn.IFS(
 K193&lt;=50,"≤50",
 AND(K193&gt;=51,K193&lt;=100),"51–100",
 AND(K193&gt;=101,K193&lt;=250),"101–250",
 AND(K193&gt;=251,K193&lt;=500),"251–500",
 AND(K193&gt;=501,K193&lt;=1000),"501–1000",
 K193&gt;=1001,"1001+"
)</f>
        <v>≤50</v>
      </c>
    </row>
    <row r="194" spans="1:12" x14ac:dyDescent="0.3">
      <c r="A194" t="s">
        <v>389</v>
      </c>
      <c r="B194" t="s">
        <v>13</v>
      </c>
      <c r="C194" t="s">
        <v>5777</v>
      </c>
      <c r="D194" t="s">
        <v>390</v>
      </c>
      <c r="F194" t="s">
        <v>16</v>
      </c>
      <c r="G194" t="s">
        <v>360</v>
      </c>
      <c r="J194" t="s">
        <v>5754</v>
      </c>
      <c r="K194">
        <v>50</v>
      </c>
      <c r="L194" t="str" cm="1">
        <f t="array" ref="L194">_xlfn.IFS(
 K194&lt;=50,"≤50",
 AND(K194&gt;=51,K194&lt;=100),"51–100",
 AND(K194&gt;=101,K194&lt;=250),"101–250",
 AND(K194&gt;=251,K194&lt;=500),"251–500",
 AND(K194&gt;=501,K194&lt;=1000),"501–1000",
 K194&gt;=1001,"1001+"
)</f>
        <v>≤50</v>
      </c>
    </row>
    <row r="195" spans="1:12" x14ac:dyDescent="0.3">
      <c r="A195" t="s">
        <v>391</v>
      </c>
      <c r="B195" t="s">
        <v>9</v>
      </c>
      <c r="C195" t="s">
        <v>5780</v>
      </c>
      <c r="D195" t="s">
        <v>392</v>
      </c>
      <c r="E195" t="s">
        <v>15</v>
      </c>
      <c r="F195" t="s">
        <v>20</v>
      </c>
      <c r="G195" t="s">
        <v>21</v>
      </c>
      <c r="J195" t="s">
        <v>5754</v>
      </c>
      <c r="K195">
        <v>50</v>
      </c>
      <c r="L195" t="str" cm="1">
        <f t="array" ref="L195">_xlfn.IFS(
 K195&lt;=50,"≤50",
 AND(K195&gt;=51,K195&lt;=100),"51–100",
 AND(K195&gt;=101,K195&lt;=250),"101–250",
 AND(K195&gt;=251,K195&lt;=500),"251–500",
 AND(K195&gt;=501,K195&lt;=1000),"501–1000",
 K195&gt;=1001,"1001+"
)</f>
        <v>≤50</v>
      </c>
    </row>
    <row r="196" spans="1:12" x14ac:dyDescent="0.3">
      <c r="A196" t="s">
        <v>393</v>
      </c>
      <c r="B196" t="s">
        <v>9</v>
      </c>
      <c r="C196" t="s">
        <v>5780</v>
      </c>
      <c r="D196" t="s">
        <v>394</v>
      </c>
      <c r="F196" t="s">
        <v>5770</v>
      </c>
      <c r="J196" t="s">
        <v>5756</v>
      </c>
      <c r="K196">
        <v>50</v>
      </c>
      <c r="L196" t="str" cm="1">
        <f t="array" ref="L196">_xlfn.IFS(
 K196&lt;=50,"≤50",
 AND(K196&gt;=51,K196&lt;=100),"51–100",
 AND(K196&gt;=101,K196&lt;=250),"101–250",
 AND(K196&gt;=251,K196&lt;=500),"251–500",
 AND(K196&gt;=501,K196&lt;=1000),"501–1000",
 K196&gt;=1001,"1001+"
)</f>
        <v>≤50</v>
      </c>
    </row>
    <row r="197" spans="1:12" x14ac:dyDescent="0.3">
      <c r="A197" t="s">
        <v>395</v>
      </c>
      <c r="B197" t="s">
        <v>9</v>
      </c>
      <c r="C197" t="s">
        <v>5780</v>
      </c>
      <c r="D197" t="s">
        <v>396</v>
      </c>
      <c r="F197" t="s">
        <v>5770</v>
      </c>
      <c r="J197" t="s">
        <v>5742</v>
      </c>
      <c r="K197">
        <v>50</v>
      </c>
      <c r="L197" t="str" cm="1">
        <f t="array" ref="L197">_xlfn.IFS(
 K197&lt;=50,"≤50",
 AND(K197&gt;=51,K197&lt;=100),"51–100",
 AND(K197&gt;=101,K197&lt;=250),"101–250",
 AND(K197&gt;=251,K197&lt;=500),"251–500",
 AND(K197&gt;=501,K197&lt;=1000),"501–1000",
 K197&gt;=1001,"1001+"
)</f>
        <v>≤50</v>
      </c>
    </row>
    <row r="198" spans="1:12" x14ac:dyDescent="0.3">
      <c r="A198" t="s">
        <v>397</v>
      </c>
      <c r="B198" t="s">
        <v>9</v>
      </c>
      <c r="C198" t="s">
        <v>5780</v>
      </c>
      <c r="D198" t="s">
        <v>398</v>
      </c>
      <c r="F198" t="s">
        <v>5770</v>
      </c>
      <c r="J198" t="s">
        <v>5742</v>
      </c>
      <c r="K198">
        <v>50</v>
      </c>
      <c r="L198" t="str" cm="1">
        <f t="array" ref="L198">_xlfn.IFS(
 K198&lt;=50,"≤50",
 AND(K198&gt;=51,K198&lt;=100),"51–100",
 AND(K198&gt;=101,K198&lt;=250),"101–250",
 AND(K198&gt;=251,K198&lt;=500),"251–500",
 AND(K198&gt;=501,K198&lt;=1000),"501–1000",
 K198&gt;=1001,"1001+"
)</f>
        <v>≤50</v>
      </c>
    </row>
    <row r="199" spans="1:12" x14ac:dyDescent="0.3">
      <c r="A199" t="s">
        <v>399</v>
      </c>
      <c r="B199" t="s">
        <v>13</v>
      </c>
      <c r="C199" t="s">
        <v>5777</v>
      </c>
      <c r="D199" t="s">
        <v>400</v>
      </c>
      <c r="F199" t="s">
        <v>5770</v>
      </c>
      <c r="J199" t="s">
        <v>5742</v>
      </c>
      <c r="K199">
        <v>50</v>
      </c>
      <c r="L199" t="str" cm="1">
        <f t="array" ref="L199">_xlfn.IFS(
 K199&lt;=50,"≤50",
 AND(K199&gt;=51,K199&lt;=100),"51–100",
 AND(K199&gt;=101,K199&lt;=250),"101–250",
 AND(K199&gt;=251,K199&lt;=500),"251–500",
 AND(K199&gt;=501,K199&lt;=1000),"501–1000",
 K199&gt;=1001,"1001+"
)</f>
        <v>≤50</v>
      </c>
    </row>
    <row r="200" spans="1:12" x14ac:dyDescent="0.3">
      <c r="A200" t="s">
        <v>401</v>
      </c>
      <c r="B200" t="s">
        <v>9</v>
      </c>
      <c r="C200" t="s">
        <v>5780</v>
      </c>
      <c r="D200" t="s">
        <v>28</v>
      </c>
      <c r="F200" t="s">
        <v>5770</v>
      </c>
      <c r="J200" t="s">
        <v>5742</v>
      </c>
      <c r="K200">
        <v>50</v>
      </c>
      <c r="L200" t="str" cm="1">
        <f t="array" ref="L200">_xlfn.IFS(
 K200&lt;=50,"≤50",
 AND(K200&gt;=51,K200&lt;=100),"51–100",
 AND(K200&gt;=101,K200&lt;=250),"101–250",
 AND(K200&gt;=251,K200&lt;=500),"251–500",
 AND(K200&gt;=501,K200&lt;=1000),"501–1000",
 K200&gt;=1001,"1001+"
)</f>
        <v>≤50</v>
      </c>
    </row>
    <row r="201" spans="1:12" x14ac:dyDescent="0.3">
      <c r="A201" t="s">
        <v>402</v>
      </c>
      <c r="B201" t="s">
        <v>9</v>
      </c>
      <c r="C201" t="s">
        <v>5780</v>
      </c>
      <c r="D201" t="s">
        <v>403</v>
      </c>
      <c r="E201" t="s">
        <v>15</v>
      </c>
      <c r="F201" t="s">
        <v>16</v>
      </c>
      <c r="G201" t="s">
        <v>404</v>
      </c>
      <c r="J201" t="s">
        <v>5742</v>
      </c>
      <c r="K201">
        <v>50</v>
      </c>
      <c r="L201" t="str" cm="1">
        <f t="array" ref="L201">_xlfn.IFS(
 K201&lt;=50,"≤50",
 AND(K201&gt;=51,K201&lt;=100),"51–100",
 AND(K201&gt;=101,K201&lt;=250),"101–250",
 AND(K201&gt;=251,K201&lt;=500),"251–500",
 AND(K201&gt;=501,K201&lt;=1000),"501–1000",
 K201&gt;=1001,"1001+"
)</f>
        <v>≤50</v>
      </c>
    </row>
    <row r="202" spans="1:12" x14ac:dyDescent="0.3">
      <c r="A202" t="s">
        <v>405</v>
      </c>
      <c r="B202" t="s">
        <v>9</v>
      </c>
      <c r="C202" t="s">
        <v>5780</v>
      </c>
      <c r="D202" t="s">
        <v>406</v>
      </c>
      <c r="F202" t="s">
        <v>5770</v>
      </c>
      <c r="J202" t="s">
        <v>5739</v>
      </c>
      <c r="K202">
        <v>50</v>
      </c>
      <c r="L202" t="str" cm="1">
        <f t="array" ref="L202">_xlfn.IFS(
 K202&lt;=50,"≤50",
 AND(K202&gt;=51,K202&lt;=100),"51–100",
 AND(K202&gt;=101,K202&lt;=250),"101–250",
 AND(K202&gt;=251,K202&lt;=500),"251–500",
 AND(K202&gt;=501,K202&lt;=1000),"501–1000",
 K202&gt;=1001,"1001+"
)</f>
        <v>≤50</v>
      </c>
    </row>
    <row r="203" spans="1:12" x14ac:dyDescent="0.3">
      <c r="A203" t="s">
        <v>407</v>
      </c>
      <c r="B203" t="s">
        <v>13</v>
      </c>
      <c r="C203" t="s">
        <v>5777</v>
      </c>
      <c r="D203" t="s">
        <v>408</v>
      </c>
      <c r="E203" t="s">
        <v>15</v>
      </c>
      <c r="F203" t="s">
        <v>16</v>
      </c>
      <c r="G203" t="s">
        <v>409</v>
      </c>
      <c r="J203" t="s">
        <v>5741</v>
      </c>
      <c r="K203">
        <v>50</v>
      </c>
      <c r="L203" t="str" cm="1">
        <f t="array" ref="L203">_xlfn.IFS(
 K203&lt;=50,"≤50",
 AND(K203&gt;=51,K203&lt;=100),"51–100",
 AND(K203&gt;=101,K203&lt;=250),"101–250",
 AND(K203&gt;=251,K203&lt;=500),"251–500",
 AND(K203&gt;=501,K203&lt;=1000),"501–1000",
 K203&gt;=1001,"1001+"
)</f>
        <v>≤50</v>
      </c>
    </row>
    <row r="204" spans="1:12" x14ac:dyDescent="0.3">
      <c r="A204" t="s">
        <v>410</v>
      </c>
      <c r="B204" t="s">
        <v>13</v>
      </c>
      <c r="C204" t="s">
        <v>5777</v>
      </c>
      <c r="D204" t="s">
        <v>411</v>
      </c>
      <c r="F204" t="s">
        <v>20</v>
      </c>
      <c r="G204" t="s">
        <v>21</v>
      </c>
      <c r="J204" t="s">
        <v>5741</v>
      </c>
      <c r="K204">
        <v>50</v>
      </c>
      <c r="L204" t="str" cm="1">
        <f t="array" ref="L204">_xlfn.IFS(
 K204&lt;=50,"≤50",
 AND(K204&gt;=51,K204&lt;=100),"51–100",
 AND(K204&gt;=101,K204&lt;=250),"101–250",
 AND(K204&gt;=251,K204&lt;=500),"251–500",
 AND(K204&gt;=501,K204&lt;=1000),"501–1000",
 K204&gt;=1001,"1001+"
)</f>
        <v>≤50</v>
      </c>
    </row>
    <row r="205" spans="1:12" x14ac:dyDescent="0.3">
      <c r="A205" t="s">
        <v>412</v>
      </c>
      <c r="B205" t="s">
        <v>9</v>
      </c>
      <c r="C205" t="s">
        <v>5780</v>
      </c>
      <c r="D205" t="s">
        <v>413</v>
      </c>
      <c r="E205" t="s">
        <v>15</v>
      </c>
      <c r="F205" t="s">
        <v>20</v>
      </c>
      <c r="G205" t="s">
        <v>21</v>
      </c>
      <c r="J205" t="s">
        <v>5741</v>
      </c>
      <c r="K205">
        <v>50</v>
      </c>
      <c r="L205" t="str" cm="1">
        <f t="array" ref="L205">_xlfn.IFS(
 K205&lt;=50,"≤50",
 AND(K205&gt;=51,K205&lt;=100),"51–100",
 AND(K205&gt;=101,K205&lt;=250),"101–250",
 AND(K205&gt;=251,K205&lt;=500),"251–500",
 AND(K205&gt;=501,K205&lt;=1000),"501–1000",
 K205&gt;=1001,"1001+"
)</f>
        <v>≤50</v>
      </c>
    </row>
    <row r="206" spans="1:12" x14ac:dyDescent="0.3">
      <c r="A206" t="s">
        <v>414</v>
      </c>
      <c r="B206" t="s">
        <v>9</v>
      </c>
      <c r="C206" t="s">
        <v>5780</v>
      </c>
      <c r="D206" t="s">
        <v>28</v>
      </c>
      <c r="F206" t="s">
        <v>5770</v>
      </c>
      <c r="J206" t="s">
        <v>5749</v>
      </c>
      <c r="K206">
        <v>50</v>
      </c>
      <c r="L206" t="str" cm="1">
        <f t="array" ref="L206">_xlfn.IFS(
 K206&lt;=50,"≤50",
 AND(K206&gt;=51,K206&lt;=100),"51–100",
 AND(K206&gt;=101,K206&lt;=250),"101–250",
 AND(K206&gt;=251,K206&lt;=500),"251–500",
 AND(K206&gt;=501,K206&lt;=1000),"501–1000",
 K206&gt;=1001,"1001+"
)</f>
        <v>≤50</v>
      </c>
    </row>
    <row r="207" spans="1:12" x14ac:dyDescent="0.3">
      <c r="A207" t="s">
        <v>415</v>
      </c>
      <c r="B207" t="s">
        <v>13</v>
      </c>
      <c r="C207" t="s">
        <v>5777</v>
      </c>
      <c r="D207" t="s">
        <v>65</v>
      </c>
      <c r="F207" t="s">
        <v>5770</v>
      </c>
      <c r="J207" t="s">
        <v>5745</v>
      </c>
      <c r="K207">
        <v>50</v>
      </c>
      <c r="L207" t="str" cm="1">
        <f t="array" ref="L207">_xlfn.IFS(
 K207&lt;=50,"≤50",
 AND(K207&gt;=51,K207&lt;=100),"51–100",
 AND(K207&gt;=101,K207&lt;=250),"101–250",
 AND(K207&gt;=251,K207&lt;=500),"251–500",
 AND(K207&gt;=501,K207&lt;=1000),"501–1000",
 K207&gt;=1001,"1001+"
)</f>
        <v>≤50</v>
      </c>
    </row>
    <row r="208" spans="1:12" x14ac:dyDescent="0.3">
      <c r="A208" t="s">
        <v>416</v>
      </c>
      <c r="B208" t="s">
        <v>417</v>
      </c>
      <c r="C208" t="s">
        <v>5778</v>
      </c>
      <c r="D208" t="s">
        <v>418</v>
      </c>
      <c r="F208" t="s">
        <v>5770</v>
      </c>
      <c r="J208" t="s">
        <v>5745</v>
      </c>
      <c r="K208">
        <v>50</v>
      </c>
      <c r="L208" t="str" cm="1">
        <f t="array" ref="L208">_xlfn.IFS(
 K208&lt;=50,"≤50",
 AND(K208&gt;=51,K208&lt;=100),"51–100",
 AND(K208&gt;=101,K208&lt;=250),"101–250",
 AND(K208&gt;=251,K208&lt;=500),"251–500",
 AND(K208&gt;=501,K208&lt;=1000),"501–1000",
 K208&gt;=1001,"1001+"
)</f>
        <v>≤50</v>
      </c>
    </row>
    <row r="209" spans="1:12" x14ac:dyDescent="0.3">
      <c r="A209" t="s">
        <v>419</v>
      </c>
      <c r="B209" t="s">
        <v>9</v>
      </c>
      <c r="C209" t="s">
        <v>5780</v>
      </c>
      <c r="D209" t="s">
        <v>406</v>
      </c>
      <c r="F209" t="s">
        <v>5770</v>
      </c>
      <c r="J209" t="s">
        <v>5750</v>
      </c>
      <c r="K209">
        <v>50</v>
      </c>
      <c r="L209" t="str" cm="1">
        <f t="array" ref="L209">_xlfn.IFS(
 K209&lt;=50,"≤50",
 AND(K209&gt;=51,K209&lt;=100),"51–100",
 AND(K209&gt;=101,K209&lt;=250),"101–250",
 AND(K209&gt;=251,K209&lt;=500),"251–500",
 AND(K209&gt;=501,K209&lt;=1000),"501–1000",
 K209&gt;=1001,"1001+"
)</f>
        <v>≤50</v>
      </c>
    </row>
    <row r="210" spans="1:12" x14ac:dyDescent="0.3">
      <c r="A210" t="s">
        <v>420</v>
      </c>
      <c r="B210" t="s">
        <v>9</v>
      </c>
      <c r="C210" t="s">
        <v>5780</v>
      </c>
      <c r="D210" t="s">
        <v>28</v>
      </c>
      <c r="E210" t="s">
        <v>15</v>
      </c>
      <c r="F210" t="s">
        <v>20</v>
      </c>
      <c r="G210" t="s">
        <v>421</v>
      </c>
      <c r="J210" t="s">
        <v>5750</v>
      </c>
      <c r="K210">
        <v>50</v>
      </c>
      <c r="L210" t="str" cm="1">
        <f t="array" ref="L210">_xlfn.IFS(
 K210&lt;=50,"≤50",
 AND(K210&gt;=51,K210&lt;=100),"51–100",
 AND(K210&gt;=101,K210&lt;=250),"101–250",
 AND(K210&gt;=251,K210&lt;=500),"251–500",
 AND(K210&gt;=501,K210&lt;=1000),"501–1000",
 K210&gt;=1001,"1001+"
)</f>
        <v>≤50</v>
      </c>
    </row>
    <row r="211" spans="1:12" x14ac:dyDescent="0.3">
      <c r="A211" t="s">
        <v>422</v>
      </c>
      <c r="B211" t="s">
        <v>9</v>
      </c>
      <c r="C211" t="s">
        <v>5780</v>
      </c>
      <c r="D211" t="s">
        <v>339</v>
      </c>
      <c r="F211" t="s">
        <v>20</v>
      </c>
      <c r="G211" t="s">
        <v>135</v>
      </c>
      <c r="J211" t="s">
        <v>5747</v>
      </c>
      <c r="K211">
        <v>50</v>
      </c>
      <c r="L211" t="str" cm="1">
        <f t="array" ref="L211">_xlfn.IFS(
 K211&lt;=50,"≤50",
 AND(K211&gt;=51,K211&lt;=100),"51–100",
 AND(K211&gt;=101,K211&lt;=250),"101–250",
 AND(K211&gt;=251,K211&lt;=500),"251–500",
 AND(K211&gt;=501,K211&lt;=1000),"501–1000",
 K211&gt;=1001,"1001+"
)</f>
        <v>≤50</v>
      </c>
    </row>
    <row r="212" spans="1:12" x14ac:dyDescent="0.3">
      <c r="A212" t="s">
        <v>423</v>
      </c>
      <c r="B212" t="s">
        <v>13</v>
      </c>
      <c r="C212" t="s">
        <v>5777</v>
      </c>
      <c r="D212" t="s">
        <v>424</v>
      </c>
      <c r="E212" t="s">
        <v>15</v>
      </c>
      <c r="F212" t="s">
        <v>20</v>
      </c>
      <c r="G212" t="s">
        <v>425</v>
      </c>
      <c r="J212" t="s">
        <v>5747</v>
      </c>
      <c r="K212">
        <v>50</v>
      </c>
      <c r="L212" t="str" cm="1">
        <f t="array" ref="L212">_xlfn.IFS(
 K212&lt;=50,"≤50",
 AND(K212&gt;=51,K212&lt;=100),"51–100",
 AND(K212&gt;=101,K212&lt;=250),"101–250",
 AND(K212&gt;=251,K212&lt;=500),"251–500",
 AND(K212&gt;=501,K212&lt;=1000),"501–1000",
 K212&gt;=1001,"1001+"
)</f>
        <v>≤50</v>
      </c>
    </row>
    <row r="213" spans="1:12" x14ac:dyDescent="0.3">
      <c r="A213" t="s">
        <v>426</v>
      </c>
      <c r="B213" t="s">
        <v>9</v>
      </c>
      <c r="C213" t="s">
        <v>5780</v>
      </c>
      <c r="D213" t="s">
        <v>427</v>
      </c>
      <c r="F213" t="s">
        <v>5770</v>
      </c>
      <c r="J213" t="s">
        <v>5747</v>
      </c>
      <c r="K213">
        <v>50</v>
      </c>
      <c r="L213" t="str" cm="1">
        <f t="array" ref="L213">_xlfn.IFS(
 K213&lt;=50,"≤50",
 AND(K213&gt;=51,K213&lt;=100),"51–100",
 AND(K213&gt;=101,K213&lt;=250),"101–250",
 AND(K213&gt;=251,K213&lt;=500),"251–500",
 AND(K213&gt;=501,K213&lt;=1000),"501–1000",
 K213&gt;=1001,"1001+"
)</f>
        <v>≤50</v>
      </c>
    </row>
    <row r="214" spans="1:12" x14ac:dyDescent="0.3">
      <c r="A214" t="s">
        <v>428</v>
      </c>
      <c r="B214" t="s">
        <v>9</v>
      </c>
      <c r="C214" t="s">
        <v>5780</v>
      </c>
      <c r="D214" t="s">
        <v>429</v>
      </c>
      <c r="F214" t="s">
        <v>5769</v>
      </c>
      <c r="G214" t="s">
        <v>430</v>
      </c>
      <c r="J214" t="s">
        <v>5747</v>
      </c>
      <c r="K214">
        <v>50</v>
      </c>
      <c r="L214" t="str" cm="1">
        <f t="array" ref="L214">_xlfn.IFS(
 K214&lt;=50,"≤50",
 AND(K214&gt;=51,K214&lt;=100),"51–100",
 AND(K214&gt;=101,K214&lt;=250),"101–250",
 AND(K214&gt;=251,K214&lt;=500),"251–500",
 AND(K214&gt;=501,K214&lt;=1000),"501–1000",
 K214&gt;=1001,"1001+"
)</f>
        <v>≤50</v>
      </c>
    </row>
    <row r="215" spans="1:12" x14ac:dyDescent="0.3">
      <c r="A215" t="s">
        <v>431</v>
      </c>
      <c r="B215" t="s">
        <v>13</v>
      </c>
      <c r="C215" t="s">
        <v>5777</v>
      </c>
      <c r="D215" t="s">
        <v>432</v>
      </c>
      <c r="F215" t="s">
        <v>20</v>
      </c>
      <c r="G215" t="s">
        <v>135</v>
      </c>
      <c r="J215" t="s">
        <v>5747</v>
      </c>
      <c r="K215">
        <v>50</v>
      </c>
      <c r="L215" t="str" cm="1">
        <f t="array" ref="L215">_xlfn.IFS(
 K215&lt;=50,"≤50",
 AND(K215&gt;=51,K215&lt;=100),"51–100",
 AND(K215&gt;=101,K215&lt;=250),"101–250",
 AND(K215&gt;=251,K215&lt;=500),"251–500",
 AND(K215&gt;=501,K215&lt;=1000),"501–1000",
 K215&gt;=1001,"1001+"
)</f>
        <v>≤50</v>
      </c>
    </row>
    <row r="216" spans="1:12" x14ac:dyDescent="0.3">
      <c r="A216" t="s">
        <v>433</v>
      </c>
      <c r="B216" t="s">
        <v>9</v>
      </c>
      <c r="C216" t="s">
        <v>5780</v>
      </c>
      <c r="D216" t="s">
        <v>434</v>
      </c>
      <c r="E216" t="s">
        <v>15</v>
      </c>
      <c r="F216" t="s">
        <v>5770</v>
      </c>
      <c r="J216" t="s">
        <v>5760</v>
      </c>
      <c r="K216">
        <v>50</v>
      </c>
      <c r="L216" t="str" cm="1">
        <f t="array" ref="L216">_xlfn.IFS(
 K216&lt;=50,"≤50",
 AND(K216&gt;=51,K216&lt;=100),"51–100",
 AND(K216&gt;=101,K216&lt;=250),"101–250",
 AND(K216&gt;=251,K216&lt;=500),"251–500",
 AND(K216&gt;=501,K216&lt;=1000),"501–1000",
 K216&gt;=1001,"1001+"
)</f>
        <v>≤50</v>
      </c>
    </row>
    <row r="217" spans="1:12" x14ac:dyDescent="0.3">
      <c r="A217" t="s">
        <v>435</v>
      </c>
      <c r="B217" t="s">
        <v>13</v>
      </c>
      <c r="C217" t="s">
        <v>5777</v>
      </c>
      <c r="D217" t="s">
        <v>436</v>
      </c>
      <c r="E217" t="s">
        <v>15</v>
      </c>
      <c r="F217" t="s">
        <v>20</v>
      </c>
      <c r="G217" t="s">
        <v>36</v>
      </c>
      <c r="J217" t="s">
        <v>5740</v>
      </c>
      <c r="K217">
        <v>50</v>
      </c>
      <c r="L217" t="str" cm="1">
        <f t="array" ref="L217">_xlfn.IFS(
 K217&lt;=50,"≤50",
 AND(K217&gt;=51,K217&lt;=100),"51–100",
 AND(K217&gt;=101,K217&lt;=250),"101–250",
 AND(K217&gt;=251,K217&lt;=500),"251–500",
 AND(K217&gt;=501,K217&lt;=1000),"501–1000",
 K217&gt;=1001,"1001+"
)</f>
        <v>≤50</v>
      </c>
    </row>
    <row r="218" spans="1:12" x14ac:dyDescent="0.3">
      <c r="A218" t="s">
        <v>437</v>
      </c>
      <c r="B218" t="s">
        <v>13</v>
      </c>
      <c r="C218" t="s">
        <v>5777</v>
      </c>
      <c r="D218" t="s">
        <v>438</v>
      </c>
      <c r="E218" t="s">
        <v>15</v>
      </c>
      <c r="F218" t="s">
        <v>20</v>
      </c>
      <c r="G218" t="s">
        <v>21</v>
      </c>
      <c r="J218" t="s">
        <v>5740</v>
      </c>
      <c r="K218">
        <v>50</v>
      </c>
      <c r="L218" t="str" cm="1">
        <f t="array" ref="L218">_xlfn.IFS(
 K218&lt;=50,"≤50",
 AND(K218&gt;=51,K218&lt;=100),"51–100",
 AND(K218&gt;=101,K218&lt;=250),"101–250",
 AND(K218&gt;=251,K218&lt;=500),"251–500",
 AND(K218&gt;=501,K218&lt;=1000),"501–1000",
 K218&gt;=1001,"1001+"
)</f>
        <v>≤50</v>
      </c>
    </row>
    <row r="219" spans="1:12" x14ac:dyDescent="0.3">
      <c r="A219" t="s">
        <v>439</v>
      </c>
      <c r="B219" t="s">
        <v>9</v>
      </c>
      <c r="C219" t="s">
        <v>5780</v>
      </c>
      <c r="D219" t="s">
        <v>28</v>
      </c>
      <c r="F219" t="s">
        <v>5770</v>
      </c>
      <c r="J219" t="s">
        <v>5761</v>
      </c>
      <c r="K219">
        <v>50</v>
      </c>
      <c r="L219" t="str" cm="1">
        <f t="array" ref="L219">_xlfn.IFS(
 K219&lt;=50,"≤50",
 AND(K219&gt;=51,K219&lt;=100),"51–100",
 AND(K219&gt;=101,K219&lt;=250),"101–250",
 AND(K219&gt;=251,K219&lt;=500),"251–500",
 AND(K219&gt;=501,K219&lt;=1000),"501–1000",
 K219&gt;=1001,"1001+"
)</f>
        <v>≤50</v>
      </c>
    </row>
    <row r="220" spans="1:12" x14ac:dyDescent="0.3">
      <c r="A220" t="s">
        <v>440</v>
      </c>
      <c r="B220" t="s">
        <v>9</v>
      </c>
      <c r="C220" t="s">
        <v>5780</v>
      </c>
      <c r="D220" t="s">
        <v>317</v>
      </c>
      <c r="F220" t="s">
        <v>5770</v>
      </c>
      <c r="J220" t="s">
        <v>5761</v>
      </c>
      <c r="K220">
        <v>50</v>
      </c>
      <c r="L220" t="str" cm="1">
        <f t="array" ref="L220">_xlfn.IFS(
 K220&lt;=50,"≤50",
 AND(K220&gt;=51,K220&lt;=100),"51–100",
 AND(K220&gt;=101,K220&lt;=250),"101–250",
 AND(K220&gt;=251,K220&lt;=500),"251–500",
 AND(K220&gt;=501,K220&lt;=1000),"501–1000",
 K220&gt;=1001,"1001+"
)</f>
        <v>≤50</v>
      </c>
    </row>
    <row r="221" spans="1:12" x14ac:dyDescent="0.3">
      <c r="A221" t="s">
        <v>441</v>
      </c>
      <c r="B221" t="s">
        <v>9</v>
      </c>
      <c r="C221" t="s">
        <v>5780</v>
      </c>
      <c r="D221" t="s">
        <v>442</v>
      </c>
      <c r="E221" t="s">
        <v>15</v>
      </c>
      <c r="F221" t="s">
        <v>20</v>
      </c>
      <c r="G221" t="s">
        <v>36</v>
      </c>
      <c r="J221" t="s">
        <v>5753</v>
      </c>
      <c r="K221">
        <v>50</v>
      </c>
      <c r="L221" t="str" cm="1">
        <f t="array" ref="L221">_xlfn.IFS(
 K221&lt;=50,"≤50",
 AND(K221&gt;=51,K221&lt;=100),"51–100",
 AND(K221&gt;=101,K221&lt;=250),"101–250",
 AND(K221&gt;=251,K221&lt;=500),"251–500",
 AND(K221&gt;=501,K221&lt;=1000),"501–1000",
 K221&gt;=1001,"1001+"
)</f>
        <v>≤50</v>
      </c>
    </row>
    <row r="222" spans="1:12" x14ac:dyDescent="0.3">
      <c r="A222" t="s">
        <v>443</v>
      </c>
      <c r="B222" t="s">
        <v>9</v>
      </c>
      <c r="C222" t="s">
        <v>5780</v>
      </c>
      <c r="D222" t="s">
        <v>444</v>
      </c>
      <c r="E222" t="s">
        <v>15</v>
      </c>
      <c r="F222" t="s">
        <v>16</v>
      </c>
      <c r="G222" t="s">
        <v>45</v>
      </c>
      <c r="J222" t="s">
        <v>5738</v>
      </c>
      <c r="K222">
        <v>50</v>
      </c>
      <c r="L222" t="str" cm="1">
        <f t="array" ref="L222">_xlfn.IFS(
 K222&lt;=50,"≤50",
 AND(K222&gt;=51,K222&lt;=100),"51–100",
 AND(K222&gt;=101,K222&lt;=250),"101–250",
 AND(K222&gt;=251,K222&lt;=500),"251–500",
 AND(K222&gt;=501,K222&lt;=1000),"501–1000",
 K222&gt;=1001,"1001+"
)</f>
        <v>≤50</v>
      </c>
    </row>
    <row r="223" spans="1:12" x14ac:dyDescent="0.3">
      <c r="A223" t="s">
        <v>445</v>
      </c>
      <c r="B223" t="s">
        <v>9</v>
      </c>
      <c r="C223" t="s">
        <v>5780</v>
      </c>
      <c r="D223" t="s">
        <v>446</v>
      </c>
      <c r="F223" t="s">
        <v>54</v>
      </c>
      <c r="G223" t="s">
        <v>447</v>
      </c>
      <c r="J223" t="s">
        <v>5737</v>
      </c>
      <c r="K223">
        <v>50</v>
      </c>
      <c r="L223" t="str" cm="1">
        <f t="array" ref="L223">_xlfn.IFS(
 K223&lt;=50,"≤50",
 AND(K223&gt;=51,K223&lt;=100),"51–100",
 AND(K223&gt;=101,K223&lt;=250),"101–250",
 AND(K223&gt;=251,K223&lt;=500),"251–500",
 AND(K223&gt;=501,K223&lt;=1000),"501–1000",
 K223&gt;=1001,"1001+"
)</f>
        <v>≤50</v>
      </c>
    </row>
    <row r="224" spans="1:12" x14ac:dyDescent="0.3">
      <c r="A224" t="s">
        <v>448</v>
      </c>
      <c r="B224" t="s">
        <v>11</v>
      </c>
      <c r="C224" t="s">
        <v>5776</v>
      </c>
      <c r="F224" t="s">
        <v>5770</v>
      </c>
      <c r="J224" t="s">
        <v>5750</v>
      </c>
      <c r="K224">
        <v>50</v>
      </c>
      <c r="L224" t="str" cm="1">
        <f t="array" ref="L224">_xlfn.IFS(
 K224&lt;=50,"≤50",
 AND(K224&gt;=51,K224&lt;=100),"51–100",
 AND(K224&gt;=101,K224&lt;=250),"101–250",
 AND(K224&gt;=251,K224&lt;=500),"251–500",
 AND(K224&gt;=501,K224&lt;=1000),"501–1000",
 K224&gt;=1001,"1001+"
)</f>
        <v>≤50</v>
      </c>
    </row>
    <row r="225" spans="1:12" x14ac:dyDescent="0.3">
      <c r="A225" t="s">
        <v>449</v>
      </c>
      <c r="B225" t="s">
        <v>13</v>
      </c>
      <c r="C225" t="s">
        <v>5777</v>
      </c>
      <c r="D225" t="s">
        <v>112</v>
      </c>
      <c r="F225" t="s">
        <v>54</v>
      </c>
      <c r="G225" t="s">
        <v>450</v>
      </c>
      <c r="J225" t="s">
        <v>5737</v>
      </c>
      <c r="K225">
        <v>50</v>
      </c>
      <c r="L225" t="str" cm="1">
        <f t="array" ref="L225">_xlfn.IFS(
 K225&lt;=50,"≤50",
 AND(K225&gt;=51,K225&lt;=100),"51–100",
 AND(K225&gt;=101,K225&lt;=250),"101–250",
 AND(K225&gt;=251,K225&lt;=500),"251–500",
 AND(K225&gt;=501,K225&lt;=1000),"501–1000",
 K225&gt;=1001,"1001+"
)</f>
        <v>≤50</v>
      </c>
    </row>
    <row r="226" spans="1:12" x14ac:dyDescent="0.3">
      <c r="A226" t="s">
        <v>451</v>
      </c>
      <c r="B226" t="s">
        <v>9</v>
      </c>
      <c r="C226" t="s">
        <v>5780</v>
      </c>
      <c r="D226" t="s">
        <v>452</v>
      </c>
      <c r="E226" t="s">
        <v>15</v>
      </c>
      <c r="F226" t="s">
        <v>16</v>
      </c>
      <c r="G226" t="s">
        <v>453</v>
      </c>
      <c r="J226" t="s">
        <v>5737</v>
      </c>
      <c r="K226">
        <v>50</v>
      </c>
      <c r="L226" t="str" cm="1">
        <f t="array" ref="L226">_xlfn.IFS(
 K226&lt;=50,"≤50",
 AND(K226&gt;=51,K226&lt;=100),"51–100",
 AND(K226&gt;=101,K226&lt;=250),"101–250",
 AND(K226&gt;=251,K226&lt;=500),"251–500",
 AND(K226&gt;=501,K226&lt;=1000),"501–1000",
 K226&gt;=1001,"1001+"
)</f>
        <v>≤50</v>
      </c>
    </row>
    <row r="227" spans="1:12" x14ac:dyDescent="0.3">
      <c r="A227" t="s">
        <v>454</v>
      </c>
      <c r="B227" t="s">
        <v>9</v>
      </c>
      <c r="C227" t="s">
        <v>5780</v>
      </c>
      <c r="D227" t="s">
        <v>455</v>
      </c>
      <c r="E227" t="s">
        <v>15</v>
      </c>
      <c r="F227" t="s">
        <v>20</v>
      </c>
      <c r="G227" t="s">
        <v>117</v>
      </c>
      <c r="J227" t="s">
        <v>5738</v>
      </c>
      <c r="K227">
        <v>50</v>
      </c>
      <c r="L227" t="str" cm="1">
        <f t="array" ref="L227">_xlfn.IFS(
 K227&lt;=50,"≤50",
 AND(K227&gt;=51,K227&lt;=100),"51–100",
 AND(K227&gt;=101,K227&lt;=250),"101–250",
 AND(K227&gt;=251,K227&lt;=500),"251–500",
 AND(K227&gt;=501,K227&lt;=1000),"501–1000",
 K227&gt;=1001,"1001+"
)</f>
        <v>≤50</v>
      </c>
    </row>
    <row r="228" spans="1:12" x14ac:dyDescent="0.3">
      <c r="A228" t="s">
        <v>456</v>
      </c>
      <c r="B228" t="s">
        <v>13</v>
      </c>
      <c r="C228" t="s">
        <v>5777</v>
      </c>
      <c r="D228" t="s">
        <v>231</v>
      </c>
      <c r="F228" t="s">
        <v>5770</v>
      </c>
      <c r="J228" t="s">
        <v>5737</v>
      </c>
      <c r="K228">
        <v>50</v>
      </c>
      <c r="L228" t="str" cm="1">
        <f t="array" ref="L228">_xlfn.IFS(
 K228&lt;=50,"≤50",
 AND(K228&gt;=51,K228&lt;=100),"51–100",
 AND(K228&gt;=101,K228&lt;=250),"101–250",
 AND(K228&gt;=251,K228&lt;=500),"251–500",
 AND(K228&gt;=501,K228&lt;=1000),"501–1000",
 K228&gt;=1001,"1001+"
)</f>
        <v>≤50</v>
      </c>
    </row>
    <row r="229" spans="1:12" x14ac:dyDescent="0.3">
      <c r="A229" t="s">
        <v>457</v>
      </c>
      <c r="B229" t="s">
        <v>197</v>
      </c>
      <c r="C229" t="s">
        <v>5774</v>
      </c>
      <c r="D229" t="s">
        <v>458</v>
      </c>
      <c r="E229" t="s">
        <v>15</v>
      </c>
      <c r="F229" t="s">
        <v>20</v>
      </c>
      <c r="G229" t="s">
        <v>459</v>
      </c>
      <c r="J229" t="s">
        <v>5737</v>
      </c>
      <c r="K229">
        <v>50</v>
      </c>
      <c r="L229" t="str" cm="1">
        <f t="array" ref="L229">_xlfn.IFS(
 K229&lt;=50,"≤50",
 AND(K229&gt;=51,K229&lt;=100),"51–100",
 AND(K229&gt;=101,K229&lt;=250),"101–250",
 AND(K229&gt;=251,K229&lt;=500),"251–500",
 AND(K229&gt;=501,K229&lt;=1000),"501–1000",
 K229&gt;=1001,"1001+"
)</f>
        <v>≤50</v>
      </c>
    </row>
    <row r="230" spans="1:12" x14ac:dyDescent="0.3">
      <c r="A230" t="s">
        <v>460</v>
      </c>
      <c r="B230" t="s">
        <v>9</v>
      </c>
      <c r="C230" t="s">
        <v>5780</v>
      </c>
      <c r="D230" t="s">
        <v>461</v>
      </c>
      <c r="E230" t="s">
        <v>15</v>
      </c>
      <c r="F230" t="s">
        <v>16</v>
      </c>
      <c r="G230" t="s">
        <v>462</v>
      </c>
      <c r="J230" t="s">
        <v>5737</v>
      </c>
      <c r="K230">
        <v>50</v>
      </c>
      <c r="L230" t="str" cm="1">
        <f t="array" ref="L230">_xlfn.IFS(
 K230&lt;=50,"≤50",
 AND(K230&gt;=51,K230&lt;=100),"51–100",
 AND(K230&gt;=101,K230&lt;=250),"101–250",
 AND(K230&gt;=251,K230&lt;=500),"251–500",
 AND(K230&gt;=501,K230&lt;=1000),"501–1000",
 K230&gt;=1001,"1001+"
)</f>
        <v>≤50</v>
      </c>
    </row>
    <row r="231" spans="1:12" x14ac:dyDescent="0.3">
      <c r="A231" t="s">
        <v>463</v>
      </c>
      <c r="B231" t="s">
        <v>11</v>
      </c>
      <c r="C231" t="s">
        <v>5776</v>
      </c>
      <c r="F231" t="s">
        <v>5770</v>
      </c>
      <c r="J231" t="s">
        <v>5737</v>
      </c>
      <c r="K231">
        <v>50</v>
      </c>
      <c r="L231" t="str" cm="1">
        <f t="array" ref="L231">_xlfn.IFS(
 K231&lt;=50,"≤50",
 AND(K231&gt;=51,K231&lt;=100),"51–100",
 AND(K231&gt;=101,K231&lt;=250),"101–250",
 AND(K231&gt;=251,K231&lt;=500),"251–500",
 AND(K231&gt;=501,K231&lt;=1000),"501–1000",
 K231&gt;=1001,"1001+"
)</f>
        <v>≤50</v>
      </c>
    </row>
    <row r="232" spans="1:12" x14ac:dyDescent="0.3">
      <c r="A232" t="s">
        <v>464</v>
      </c>
      <c r="B232" t="s">
        <v>9</v>
      </c>
      <c r="C232" t="s">
        <v>5780</v>
      </c>
      <c r="D232" t="s">
        <v>28</v>
      </c>
      <c r="F232" t="s">
        <v>5770</v>
      </c>
      <c r="J232" t="s">
        <v>5752</v>
      </c>
      <c r="K232">
        <v>50</v>
      </c>
      <c r="L232" t="str" cm="1">
        <f t="array" ref="L232">_xlfn.IFS(
 K232&lt;=50,"≤50",
 AND(K232&gt;=51,K232&lt;=100),"51–100",
 AND(K232&gt;=101,K232&lt;=250),"101–250",
 AND(K232&gt;=251,K232&lt;=500),"251–500",
 AND(K232&gt;=501,K232&lt;=1000),"501–1000",
 K232&gt;=1001,"1001+"
)</f>
        <v>≤50</v>
      </c>
    </row>
    <row r="233" spans="1:12" x14ac:dyDescent="0.3">
      <c r="A233" t="s">
        <v>465</v>
      </c>
      <c r="B233" t="s">
        <v>9</v>
      </c>
      <c r="C233" t="s">
        <v>5780</v>
      </c>
      <c r="D233" t="s">
        <v>466</v>
      </c>
      <c r="E233" t="s">
        <v>15</v>
      </c>
      <c r="F233" t="s">
        <v>16</v>
      </c>
      <c r="G233" t="s">
        <v>467</v>
      </c>
      <c r="J233" t="s">
        <v>5762</v>
      </c>
      <c r="K233">
        <v>50</v>
      </c>
      <c r="L233" t="str" cm="1">
        <f t="array" ref="L233">_xlfn.IFS(
 K233&lt;=50,"≤50",
 AND(K233&gt;=51,K233&lt;=100),"51–100",
 AND(K233&gt;=101,K233&lt;=250),"101–250",
 AND(K233&gt;=251,K233&lt;=500),"251–500",
 AND(K233&gt;=501,K233&lt;=1000),"501–1000",
 K233&gt;=1001,"1001+"
)</f>
        <v>≤50</v>
      </c>
    </row>
    <row r="234" spans="1:12" x14ac:dyDescent="0.3">
      <c r="A234" t="s">
        <v>468</v>
      </c>
      <c r="B234" t="s">
        <v>13</v>
      </c>
      <c r="C234" t="s">
        <v>5777</v>
      </c>
      <c r="D234" t="s">
        <v>469</v>
      </c>
      <c r="E234" t="s">
        <v>15</v>
      </c>
      <c r="F234" t="s">
        <v>5770</v>
      </c>
      <c r="J234" t="s">
        <v>5749</v>
      </c>
      <c r="K234">
        <v>50</v>
      </c>
      <c r="L234" t="str" cm="1">
        <f t="array" ref="L234">_xlfn.IFS(
 K234&lt;=50,"≤50",
 AND(K234&gt;=51,K234&lt;=100),"51–100",
 AND(K234&gt;=101,K234&lt;=250),"101–250",
 AND(K234&gt;=251,K234&lt;=500),"251–500",
 AND(K234&gt;=501,K234&lt;=1000),"501–1000",
 K234&gt;=1001,"1001+"
)</f>
        <v>≤50</v>
      </c>
    </row>
    <row r="235" spans="1:12" x14ac:dyDescent="0.3">
      <c r="A235" t="s">
        <v>470</v>
      </c>
      <c r="B235" t="s">
        <v>9</v>
      </c>
      <c r="C235" t="s">
        <v>5780</v>
      </c>
      <c r="D235" t="s">
        <v>471</v>
      </c>
      <c r="F235" t="s">
        <v>5770</v>
      </c>
      <c r="J235" t="s">
        <v>5747</v>
      </c>
      <c r="K235">
        <v>50</v>
      </c>
      <c r="L235" t="str" cm="1">
        <f t="array" ref="L235">_xlfn.IFS(
 K235&lt;=50,"≤50",
 AND(K235&gt;=51,K235&lt;=100),"51–100",
 AND(K235&gt;=101,K235&lt;=250),"101–250",
 AND(K235&gt;=251,K235&lt;=500),"251–500",
 AND(K235&gt;=501,K235&lt;=1000),"501–1000",
 K235&gt;=1001,"1001+"
)</f>
        <v>≤50</v>
      </c>
    </row>
    <row r="236" spans="1:12" x14ac:dyDescent="0.3">
      <c r="A236" t="s">
        <v>472</v>
      </c>
      <c r="B236" t="s">
        <v>9</v>
      </c>
      <c r="C236" t="s">
        <v>5780</v>
      </c>
      <c r="D236" t="s">
        <v>28</v>
      </c>
      <c r="F236" t="s">
        <v>5770</v>
      </c>
      <c r="J236" t="s">
        <v>5738</v>
      </c>
      <c r="K236">
        <v>50</v>
      </c>
      <c r="L236" t="str" cm="1">
        <f t="array" ref="L236">_xlfn.IFS(
 K236&lt;=50,"≤50",
 AND(K236&gt;=51,K236&lt;=100),"51–100",
 AND(K236&gt;=101,K236&lt;=250),"101–250",
 AND(K236&gt;=251,K236&lt;=500),"251–500",
 AND(K236&gt;=501,K236&lt;=1000),"501–1000",
 K236&gt;=1001,"1001+"
)</f>
        <v>≤50</v>
      </c>
    </row>
    <row r="237" spans="1:12" x14ac:dyDescent="0.3">
      <c r="A237" t="s">
        <v>473</v>
      </c>
      <c r="B237" t="s">
        <v>9</v>
      </c>
      <c r="C237" t="s">
        <v>5780</v>
      </c>
      <c r="D237" t="s">
        <v>28</v>
      </c>
      <c r="F237" t="s">
        <v>5770</v>
      </c>
      <c r="J237" t="s">
        <v>5737</v>
      </c>
      <c r="K237">
        <v>50</v>
      </c>
      <c r="L237" t="str" cm="1">
        <f t="array" ref="L237">_xlfn.IFS(
 K237&lt;=50,"≤50",
 AND(K237&gt;=51,K237&lt;=100),"51–100",
 AND(K237&gt;=101,K237&lt;=250),"101–250",
 AND(K237&gt;=251,K237&lt;=500),"251–500",
 AND(K237&gt;=501,K237&lt;=1000),"501–1000",
 K237&gt;=1001,"1001+"
)</f>
        <v>≤50</v>
      </c>
    </row>
    <row r="238" spans="1:12" x14ac:dyDescent="0.3">
      <c r="A238" t="s">
        <v>474</v>
      </c>
      <c r="B238" t="s">
        <v>11</v>
      </c>
      <c r="C238" t="s">
        <v>5776</v>
      </c>
      <c r="F238" t="s">
        <v>5770</v>
      </c>
      <c r="J238" t="s">
        <v>5737</v>
      </c>
      <c r="K238">
        <v>50</v>
      </c>
      <c r="L238" t="str" cm="1">
        <f t="array" ref="L238">_xlfn.IFS(
 K238&lt;=50,"≤50",
 AND(K238&gt;=51,K238&lt;=100),"51–100",
 AND(K238&gt;=101,K238&lt;=250),"101–250",
 AND(K238&gt;=251,K238&lt;=500),"251–500",
 AND(K238&gt;=501,K238&lt;=1000),"501–1000",
 K238&gt;=1001,"1001+"
)</f>
        <v>≤50</v>
      </c>
    </row>
    <row r="239" spans="1:12" x14ac:dyDescent="0.3">
      <c r="A239" t="s">
        <v>475</v>
      </c>
      <c r="B239" t="s">
        <v>9</v>
      </c>
      <c r="C239" t="s">
        <v>5780</v>
      </c>
      <c r="D239" t="s">
        <v>476</v>
      </c>
      <c r="F239" t="s">
        <v>5770</v>
      </c>
      <c r="J239" t="s">
        <v>5737</v>
      </c>
      <c r="K239">
        <v>50</v>
      </c>
      <c r="L239" t="str" cm="1">
        <f t="array" ref="L239">_xlfn.IFS(
 K239&lt;=50,"≤50",
 AND(K239&gt;=51,K239&lt;=100),"51–100",
 AND(K239&gt;=101,K239&lt;=250),"101–250",
 AND(K239&gt;=251,K239&lt;=500),"251–500",
 AND(K239&gt;=501,K239&lt;=1000),"501–1000",
 K239&gt;=1001,"1001+"
)</f>
        <v>≤50</v>
      </c>
    </row>
    <row r="240" spans="1:12" x14ac:dyDescent="0.3">
      <c r="A240" t="s">
        <v>477</v>
      </c>
      <c r="B240" t="s">
        <v>9</v>
      </c>
      <c r="C240" t="s">
        <v>5780</v>
      </c>
      <c r="D240" t="s">
        <v>478</v>
      </c>
      <c r="E240" t="s">
        <v>15</v>
      </c>
      <c r="F240" t="s">
        <v>54</v>
      </c>
      <c r="G240" t="s">
        <v>479</v>
      </c>
      <c r="J240" t="s">
        <v>5737</v>
      </c>
      <c r="K240">
        <v>50</v>
      </c>
      <c r="L240" t="str" cm="1">
        <f t="array" ref="L240">_xlfn.IFS(
 K240&lt;=50,"≤50",
 AND(K240&gt;=51,K240&lt;=100),"51–100",
 AND(K240&gt;=101,K240&lt;=250),"101–250",
 AND(K240&gt;=251,K240&lt;=500),"251–500",
 AND(K240&gt;=501,K240&lt;=1000),"501–1000",
 K240&gt;=1001,"1001+"
)</f>
        <v>≤50</v>
      </c>
    </row>
    <row r="241" spans="1:12" x14ac:dyDescent="0.3">
      <c r="A241" t="s">
        <v>480</v>
      </c>
      <c r="B241" t="s">
        <v>9</v>
      </c>
      <c r="C241" t="s">
        <v>5780</v>
      </c>
      <c r="D241" t="s">
        <v>51</v>
      </c>
      <c r="E241" t="s">
        <v>15</v>
      </c>
      <c r="F241" t="s">
        <v>54</v>
      </c>
      <c r="G241" t="s">
        <v>481</v>
      </c>
      <c r="J241" t="s">
        <v>5739</v>
      </c>
      <c r="K241">
        <v>50</v>
      </c>
      <c r="L241" t="str" cm="1">
        <f t="array" ref="L241">_xlfn.IFS(
 K241&lt;=50,"≤50",
 AND(K241&gt;=51,K241&lt;=100),"51–100",
 AND(K241&gt;=101,K241&lt;=250),"101–250",
 AND(K241&gt;=251,K241&lt;=500),"251–500",
 AND(K241&gt;=501,K241&lt;=1000),"501–1000",
 K241&gt;=1001,"1001+"
)</f>
        <v>≤50</v>
      </c>
    </row>
    <row r="242" spans="1:12" x14ac:dyDescent="0.3">
      <c r="A242" t="s">
        <v>482</v>
      </c>
      <c r="B242" t="s">
        <v>13</v>
      </c>
      <c r="C242" t="s">
        <v>5777</v>
      </c>
      <c r="D242" t="s">
        <v>483</v>
      </c>
      <c r="E242" t="s">
        <v>15</v>
      </c>
      <c r="F242" t="s">
        <v>20</v>
      </c>
      <c r="G242" t="s">
        <v>117</v>
      </c>
      <c r="J242" t="s">
        <v>5740</v>
      </c>
      <c r="K242">
        <v>50</v>
      </c>
      <c r="L242" t="str" cm="1">
        <f t="array" ref="L242">_xlfn.IFS(
 K242&lt;=50,"≤50",
 AND(K242&gt;=51,K242&lt;=100),"51–100",
 AND(K242&gt;=101,K242&lt;=250),"101–250",
 AND(K242&gt;=251,K242&lt;=500),"251–500",
 AND(K242&gt;=501,K242&lt;=1000),"501–1000",
 K242&gt;=1001,"1001+"
)</f>
        <v>≤50</v>
      </c>
    </row>
    <row r="243" spans="1:12" x14ac:dyDescent="0.3">
      <c r="A243" t="s">
        <v>484</v>
      </c>
      <c r="B243" t="s">
        <v>11</v>
      </c>
      <c r="C243" t="s">
        <v>5776</v>
      </c>
      <c r="F243" t="s">
        <v>5770</v>
      </c>
      <c r="J243" t="s">
        <v>5761</v>
      </c>
      <c r="K243">
        <v>50</v>
      </c>
      <c r="L243" t="str" cm="1">
        <f t="array" ref="L243">_xlfn.IFS(
 K243&lt;=50,"≤50",
 AND(K243&gt;=51,K243&lt;=100),"51–100",
 AND(K243&gt;=101,K243&lt;=250),"101–250",
 AND(K243&gt;=251,K243&lt;=500),"251–500",
 AND(K243&gt;=501,K243&lt;=1000),"501–1000",
 K243&gt;=1001,"1001+"
)</f>
        <v>≤50</v>
      </c>
    </row>
    <row r="244" spans="1:12" x14ac:dyDescent="0.3">
      <c r="A244" t="s">
        <v>485</v>
      </c>
      <c r="B244" t="s">
        <v>9</v>
      </c>
      <c r="C244" t="s">
        <v>5780</v>
      </c>
      <c r="D244" t="s">
        <v>486</v>
      </c>
      <c r="E244" t="s">
        <v>15</v>
      </c>
      <c r="F244" t="s">
        <v>5770</v>
      </c>
      <c r="J244" t="s">
        <v>5738</v>
      </c>
      <c r="K244">
        <v>50</v>
      </c>
      <c r="L244" t="str" cm="1">
        <f t="array" ref="L244">_xlfn.IFS(
 K244&lt;=50,"≤50",
 AND(K244&gt;=51,K244&lt;=100),"51–100",
 AND(K244&gt;=101,K244&lt;=250),"101–250",
 AND(K244&gt;=251,K244&lt;=500),"251–500",
 AND(K244&gt;=501,K244&lt;=1000),"501–1000",
 K244&gt;=1001,"1001+"
)</f>
        <v>≤50</v>
      </c>
    </row>
    <row r="245" spans="1:12" x14ac:dyDescent="0.3">
      <c r="A245" t="s">
        <v>487</v>
      </c>
      <c r="B245" t="s">
        <v>9</v>
      </c>
      <c r="C245" t="s">
        <v>5780</v>
      </c>
      <c r="D245" t="s">
        <v>488</v>
      </c>
      <c r="F245" t="s">
        <v>5770</v>
      </c>
      <c r="J245" t="s">
        <v>5737</v>
      </c>
      <c r="K245">
        <v>50</v>
      </c>
      <c r="L245" t="str" cm="1">
        <f t="array" ref="L245">_xlfn.IFS(
 K245&lt;=50,"≤50",
 AND(K245&gt;=51,K245&lt;=100),"51–100",
 AND(K245&gt;=101,K245&lt;=250),"101–250",
 AND(K245&gt;=251,K245&lt;=500),"251–500",
 AND(K245&gt;=501,K245&lt;=1000),"501–1000",
 K245&gt;=1001,"1001+"
)</f>
        <v>≤50</v>
      </c>
    </row>
    <row r="246" spans="1:12" x14ac:dyDescent="0.3">
      <c r="A246" t="s">
        <v>489</v>
      </c>
      <c r="B246" t="s">
        <v>9</v>
      </c>
      <c r="C246" t="s">
        <v>5780</v>
      </c>
      <c r="D246" t="s">
        <v>490</v>
      </c>
      <c r="E246" t="s">
        <v>15</v>
      </c>
      <c r="F246" t="s">
        <v>54</v>
      </c>
      <c r="G246" t="s">
        <v>491</v>
      </c>
      <c r="J246" t="s">
        <v>5746</v>
      </c>
      <c r="K246">
        <v>50</v>
      </c>
      <c r="L246" t="str" cm="1">
        <f t="array" ref="L246">_xlfn.IFS(
 K246&lt;=50,"≤50",
 AND(K246&gt;=51,K246&lt;=100),"51–100",
 AND(K246&gt;=101,K246&lt;=250),"101–250",
 AND(K246&gt;=251,K246&lt;=500),"251–500",
 AND(K246&gt;=501,K246&lt;=1000),"501–1000",
 K246&gt;=1001,"1001+"
)</f>
        <v>≤50</v>
      </c>
    </row>
    <row r="247" spans="1:12" x14ac:dyDescent="0.3">
      <c r="A247" t="s">
        <v>492</v>
      </c>
      <c r="B247" t="s">
        <v>9</v>
      </c>
      <c r="C247" t="s">
        <v>5780</v>
      </c>
      <c r="D247" t="s">
        <v>493</v>
      </c>
      <c r="E247" t="s">
        <v>15</v>
      </c>
      <c r="F247" t="s">
        <v>5770</v>
      </c>
      <c r="J247" t="s">
        <v>5738</v>
      </c>
      <c r="K247">
        <v>50</v>
      </c>
      <c r="L247" t="str" cm="1">
        <f t="array" ref="L247">_xlfn.IFS(
 K247&lt;=50,"≤50",
 AND(K247&gt;=51,K247&lt;=100),"51–100",
 AND(K247&gt;=101,K247&lt;=250),"101–250",
 AND(K247&gt;=251,K247&lt;=500),"251–500",
 AND(K247&gt;=501,K247&lt;=1000),"501–1000",
 K247&gt;=1001,"1001+"
)</f>
        <v>≤50</v>
      </c>
    </row>
    <row r="248" spans="1:12" x14ac:dyDescent="0.3">
      <c r="A248" t="s">
        <v>494</v>
      </c>
      <c r="B248" t="s">
        <v>13</v>
      </c>
      <c r="C248" t="s">
        <v>5777</v>
      </c>
      <c r="D248" t="s">
        <v>495</v>
      </c>
      <c r="E248" t="s">
        <v>15</v>
      </c>
      <c r="F248" t="s">
        <v>20</v>
      </c>
      <c r="G248" t="s">
        <v>496</v>
      </c>
      <c r="J248" t="s">
        <v>5738</v>
      </c>
      <c r="K248">
        <v>50</v>
      </c>
      <c r="L248" t="str" cm="1">
        <f t="array" ref="L248">_xlfn.IFS(
 K248&lt;=50,"≤50",
 AND(K248&gt;=51,K248&lt;=100),"51–100",
 AND(K248&gt;=101,K248&lt;=250),"101–250",
 AND(K248&gt;=251,K248&lt;=500),"251–500",
 AND(K248&gt;=501,K248&lt;=1000),"501–1000",
 K248&gt;=1001,"1001+"
)</f>
        <v>≤50</v>
      </c>
    </row>
    <row r="249" spans="1:12" x14ac:dyDescent="0.3">
      <c r="A249" t="s">
        <v>497</v>
      </c>
      <c r="B249" t="s">
        <v>197</v>
      </c>
      <c r="C249" t="s">
        <v>5774</v>
      </c>
      <c r="D249" t="s">
        <v>498</v>
      </c>
      <c r="E249" t="s">
        <v>15</v>
      </c>
      <c r="F249" t="s">
        <v>54</v>
      </c>
      <c r="G249" t="s">
        <v>499</v>
      </c>
      <c r="J249" t="s">
        <v>5744</v>
      </c>
      <c r="K249">
        <v>50</v>
      </c>
      <c r="L249" t="str" cm="1">
        <f t="array" ref="L249">_xlfn.IFS(
 K249&lt;=50,"≤50",
 AND(K249&gt;=51,K249&lt;=100),"51–100",
 AND(K249&gt;=101,K249&lt;=250),"101–250",
 AND(K249&gt;=251,K249&lt;=500),"251–500",
 AND(K249&gt;=501,K249&lt;=1000),"501–1000",
 K249&gt;=1001,"1001+"
)</f>
        <v>≤50</v>
      </c>
    </row>
    <row r="250" spans="1:12" x14ac:dyDescent="0.3">
      <c r="A250" t="s">
        <v>500</v>
      </c>
      <c r="B250" t="s">
        <v>9</v>
      </c>
      <c r="C250" t="s">
        <v>5780</v>
      </c>
      <c r="D250" t="s">
        <v>28</v>
      </c>
      <c r="F250" t="s">
        <v>20</v>
      </c>
      <c r="G250" t="s">
        <v>21</v>
      </c>
      <c r="J250" t="s">
        <v>5750</v>
      </c>
      <c r="K250">
        <v>50</v>
      </c>
      <c r="L250" t="str" cm="1">
        <f t="array" ref="L250">_xlfn.IFS(
 K250&lt;=50,"≤50",
 AND(K250&gt;=51,K250&lt;=100),"51–100",
 AND(K250&gt;=101,K250&lt;=250),"101–250",
 AND(K250&gt;=251,K250&lt;=500),"251–500",
 AND(K250&gt;=501,K250&lt;=1000),"501–1000",
 K250&gt;=1001,"1001+"
)</f>
        <v>≤50</v>
      </c>
    </row>
    <row r="251" spans="1:12" x14ac:dyDescent="0.3">
      <c r="A251" t="s">
        <v>501</v>
      </c>
      <c r="B251" t="s">
        <v>9</v>
      </c>
      <c r="C251" t="s">
        <v>5780</v>
      </c>
      <c r="D251" t="s">
        <v>502</v>
      </c>
      <c r="F251" t="s">
        <v>5770</v>
      </c>
      <c r="J251" t="s">
        <v>5750</v>
      </c>
      <c r="K251">
        <v>50</v>
      </c>
      <c r="L251" t="str" cm="1">
        <f t="array" ref="L251">_xlfn.IFS(
 K251&lt;=50,"≤50",
 AND(K251&gt;=51,K251&lt;=100),"51–100",
 AND(K251&gt;=101,K251&lt;=250),"101–250",
 AND(K251&gt;=251,K251&lt;=500),"251–500",
 AND(K251&gt;=501,K251&lt;=1000),"501–1000",
 K251&gt;=1001,"1001+"
)</f>
        <v>≤50</v>
      </c>
    </row>
    <row r="252" spans="1:12" x14ac:dyDescent="0.3">
      <c r="A252" t="s">
        <v>503</v>
      </c>
      <c r="B252" t="s">
        <v>9</v>
      </c>
      <c r="C252" t="s">
        <v>5780</v>
      </c>
      <c r="D252" t="s">
        <v>504</v>
      </c>
      <c r="E252" t="s">
        <v>15</v>
      </c>
      <c r="F252" t="s">
        <v>54</v>
      </c>
      <c r="G252" t="s">
        <v>505</v>
      </c>
      <c r="J252" t="s">
        <v>5744</v>
      </c>
      <c r="K252">
        <v>50</v>
      </c>
      <c r="L252" t="str" cm="1">
        <f t="array" ref="L252">_xlfn.IFS(
 K252&lt;=50,"≤50",
 AND(K252&gt;=51,K252&lt;=100),"51–100",
 AND(K252&gt;=101,K252&lt;=250),"101–250",
 AND(K252&gt;=251,K252&lt;=500),"251–500",
 AND(K252&gt;=501,K252&lt;=1000),"501–1000",
 K252&gt;=1001,"1001+"
)</f>
        <v>≤50</v>
      </c>
    </row>
    <row r="253" spans="1:12" x14ac:dyDescent="0.3">
      <c r="A253" t="s">
        <v>506</v>
      </c>
      <c r="B253" t="s">
        <v>9</v>
      </c>
      <c r="C253" t="s">
        <v>5780</v>
      </c>
      <c r="D253" t="s">
        <v>507</v>
      </c>
      <c r="F253" t="s">
        <v>5770</v>
      </c>
      <c r="J253" t="s">
        <v>5740</v>
      </c>
      <c r="K253">
        <v>50</v>
      </c>
      <c r="L253" t="str" cm="1">
        <f t="array" ref="L253">_xlfn.IFS(
 K253&lt;=50,"≤50",
 AND(K253&gt;=51,K253&lt;=100),"51–100",
 AND(K253&gt;=101,K253&lt;=250),"101–250",
 AND(K253&gt;=251,K253&lt;=500),"251–500",
 AND(K253&gt;=501,K253&lt;=1000),"501–1000",
 K253&gt;=1001,"1001+"
)</f>
        <v>≤50</v>
      </c>
    </row>
    <row r="254" spans="1:12" x14ac:dyDescent="0.3">
      <c r="A254" t="s">
        <v>508</v>
      </c>
      <c r="B254" t="s">
        <v>13</v>
      </c>
      <c r="C254" t="s">
        <v>5777</v>
      </c>
      <c r="D254" t="s">
        <v>509</v>
      </c>
      <c r="F254" t="s">
        <v>20</v>
      </c>
      <c r="G254" t="s">
        <v>510</v>
      </c>
      <c r="J254" t="s">
        <v>5737</v>
      </c>
      <c r="K254">
        <v>50</v>
      </c>
      <c r="L254" t="str" cm="1">
        <f t="array" ref="L254">_xlfn.IFS(
 K254&lt;=50,"≤50",
 AND(K254&gt;=51,K254&lt;=100),"51–100",
 AND(K254&gt;=101,K254&lt;=250),"101–250",
 AND(K254&gt;=251,K254&lt;=500),"251–500",
 AND(K254&gt;=501,K254&lt;=1000),"501–1000",
 K254&gt;=1001,"1001+"
)</f>
        <v>≤50</v>
      </c>
    </row>
    <row r="255" spans="1:12" x14ac:dyDescent="0.3">
      <c r="A255" t="s">
        <v>511</v>
      </c>
      <c r="B255" t="s">
        <v>13</v>
      </c>
      <c r="C255" t="s">
        <v>5777</v>
      </c>
      <c r="D255" t="s">
        <v>512</v>
      </c>
      <c r="E255" t="s">
        <v>15</v>
      </c>
      <c r="F255" t="s">
        <v>20</v>
      </c>
      <c r="G255" t="s">
        <v>21</v>
      </c>
      <c r="J255" t="s">
        <v>5761</v>
      </c>
      <c r="K255">
        <v>50</v>
      </c>
      <c r="L255" t="str" cm="1">
        <f t="array" ref="L255">_xlfn.IFS(
 K255&lt;=50,"≤50",
 AND(K255&gt;=51,K255&lt;=100),"51–100",
 AND(K255&gt;=101,K255&lt;=250),"101–250",
 AND(K255&gt;=251,K255&lt;=500),"251–500",
 AND(K255&gt;=501,K255&lt;=1000),"501–1000",
 K255&gt;=1001,"1001+"
)</f>
        <v>≤50</v>
      </c>
    </row>
    <row r="256" spans="1:12" x14ac:dyDescent="0.3">
      <c r="A256" t="s">
        <v>513</v>
      </c>
      <c r="B256" t="s">
        <v>11</v>
      </c>
      <c r="C256" t="s">
        <v>5776</v>
      </c>
      <c r="F256" t="s">
        <v>5770</v>
      </c>
      <c r="J256" t="s">
        <v>5737</v>
      </c>
      <c r="K256">
        <v>50</v>
      </c>
      <c r="L256" t="str" cm="1">
        <f t="array" ref="L256">_xlfn.IFS(
 K256&lt;=50,"≤50",
 AND(K256&gt;=51,K256&lt;=100),"51–100",
 AND(K256&gt;=101,K256&lt;=250),"101–250",
 AND(K256&gt;=251,K256&lt;=500),"251–500",
 AND(K256&gt;=501,K256&lt;=1000),"501–1000",
 K256&gt;=1001,"1001+"
)</f>
        <v>≤50</v>
      </c>
    </row>
    <row r="257" spans="1:12" x14ac:dyDescent="0.3">
      <c r="A257" t="s">
        <v>514</v>
      </c>
      <c r="B257" t="s">
        <v>9</v>
      </c>
      <c r="C257" t="s">
        <v>5780</v>
      </c>
      <c r="D257" t="s">
        <v>515</v>
      </c>
      <c r="E257" t="s">
        <v>15</v>
      </c>
      <c r="F257" t="s">
        <v>54</v>
      </c>
      <c r="G257" t="s">
        <v>516</v>
      </c>
      <c r="J257" t="s">
        <v>5737</v>
      </c>
      <c r="K257">
        <v>50</v>
      </c>
      <c r="L257" t="str" cm="1">
        <f t="array" ref="L257">_xlfn.IFS(
 K257&lt;=50,"≤50",
 AND(K257&gt;=51,K257&lt;=100),"51–100",
 AND(K257&gt;=101,K257&lt;=250),"101–250",
 AND(K257&gt;=251,K257&lt;=500),"251–500",
 AND(K257&gt;=501,K257&lt;=1000),"501–1000",
 K257&gt;=1001,"1001+"
)</f>
        <v>≤50</v>
      </c>
    </row>
    <row r="258" spans="1:12" x14ac:dyDescent="0.3">
      <c r="A258" t="s">
        <v>517</v>
      </c>
      <c r="B258" t="s">
        <v>9</v>
      </c>
      <c r="C258" t="s">
        <v>5780</v>
      </c>
      <c r="D258" t="s">
        <v>518</v>
      </c>
      <c r="F258" t="s">
        <v>5770</v>
      </c>
      <c r="J258" t="s">
        <v>5753</v>
      </c>
      <c r="K258">
        <v>50</v>
      </c>
      <c r="L258" t="str" cm="1">
        <f t="array" ref="L258">_xlfn.IFS(
 K258&lt;=50,"≤50",
 AND(K258&gt;=51,K258&lt;=100),"51–100",
 AND(K258&gt;=101,K258&lt;=250),"101–250",
 AND(K258&gt;=251,K258&lt;=500),"251–500",
 AND(K258&gt;=501,K258&lt;=1000),"501–1000",
 K258&gt;=1001,"1001+"
)</f>
        <v>≤50</v>
      </c>
    </row>
    <row r="259" spans="1:12" x14ac:dyDescent="0.3">
      <c r="A259" t="s">
        <v>519</v>
      </c>
      <c r="B259" t="s">
        <v>9</v>
      </c>
      <c r="C259" t="s">
        <v>5780</v>
      </c>
      <c r="D259" t="s">
        <v>520</v>
      </c>
      <c r="F259" t="s">
        <v>5770</v>
      </c>
      <c r="J259" t="s">
        <v>5737</v>
      </c>
      <c r="K259">
        <v>50</v>
      </c>
      <c r="L259" t="str" cm="1">
        <f t="array" ref="L259">_xlfn.IFS(
 K259&lt;=50,"≤50",
 AND(K259&gt;=51,K259&lt;=100),"51–100",
 AND(K259&gt;=101,K259&lt;=250),"101–250",
 AND(K259&gt;=251,K259&lt;=500),"251–500",
 AND(K259&gt;=501,K259&lt;=1000),"501–1000",
 K259&gt;=1001,"1001+"
)</f>
        <v>≤50</v>
      </c>
    </row>
    <row r="260" spans="1:12" x14ac:dyDescent="0.3">
      <c r="A260" t="s">
        <v>521</v>
      </c>
      <c r="B260" t="s">
        <v>9</v>
      </c>
      <c r="C260" t="s">
        <v>5780</v>
      </c>
      <c r="D260" t="s">
        <v>522</v>
      </c>
      <c r="E260" t="s">
        <v>15</v>
      </c>
      <c r="F260" t="s">
        <v>54</v>
      </c>
      <c r="G260" t="s">
        <v>523</v>
      </c>
      <c r="J260" t="s">
        <v>5754</v>
      </c>
      <c r="K260">
        <v>50</v>
      </c>
      <c r="L260" t="str" cm="1">
        <f t="array" ref="L260">_xlfn.IFS(
 K260&lt;=50,"≤50",
 AND(K260&gt;=51,K260&lt;=100),"51–100",
 AND(K260&gt;=101,K260&lt;=250),"101–250",
 AND(K260&gt;=251,K260&lt;=500),"251–500",
 AND(K260&gt;=501,K260&lt;=1000),"501–1000",
 K260&gt;=1001,"1001+"
)</f>
        <v>≤50</v>
      </c>
    </row>
    <row r="261" spans="1:12" x14ac:dyDescent="0.3">
      <c r="A261" t="s">
        <v>524</v>
      </c>
      <c r="B261" t="s">
        <v>9</v>
      </c>
      <c r="C261" t="s">
        <v>5780</v>
      </c>
      <c r="D261" t="s">
        <v>525</v>
      </c>
      <c r="E261" t="s">
        <v>15</v>
      </c>
      <c r="F261" t="s">
        <v>54</v>
      </c>
      <c r="G261" t="s">
        <v>526</v>
      </c>
      <c r="J261" t="s">
        <v>5737</v>
      </c>
      <c r="K261">
        <v>50</v>
      </c>
      <c r="L261" t="str" cm="1">
        <f t="array" ref="L261">_xlfn.IFS(
 K261&lt;=50,"≤50",
 AND(K261&gt;=51,K261&lt;=100),"51–100",
 AND(K261&gt;=101,K261&lt;=250),"101–250",
 AND(K261&gt;=251,K261&lt;=500),"251–500",
 AND(K261&gt;=501,K261&lt;=1000),"501–1000",
 K261&gt;=1001,"1001+"
)</f>
        <v>≤50</v>
      </c>
    </row>
    <row r="262" spans="1:12" x14ac:dyDescent="0.3">
      <c r="A262" t="s">
        <v>527</v>
      </c>
      <c r="B262" t="s">
        <v>9</v>
      </c>
      <c r="C262" t="s">
        <v>5780</v>
      </c>
      <c r="D262" t="s">
        <v>28</v>
      </c>
      <c r="E262" t="s">
        <v>15</v>
      </c>
      <c r="F262" t="s">
        <v>16</v>
      </c>
      <c r="G262" t="s">
        <v>528</v>
      </c>
      <c r="J262" t="s">
        <v>5754</v>
      </c>
      <c r="K262">
        <v>50</v>
      </c>
      <c r="L262" t="str" cm="1">
        <f t="array" ref="L262">_xlfn.IFS(
 K262&lt;=50,"≤50",
 AND(K262&gt;=51,K262&lt;=100),"51–100",
 AND(K262&gt;=101,K262&lt;=250),"101–250",
 AND(K262&gt;=251,K262&lt;=500),"251–500",
 AND(K262&gt;=501,K262&lt;=1000),"501–1000",
 K262&gt;=1001,"1001+"
)</f>
        <v>≤50</v>
      </c>
    </row>
    <row r="263" spans="1:12" x14ac:dyDescent="0.3">
      <c r="A263" t="s">
        <v>529</v>
      </c>
      <c r="B263" t="s">
        <v>9</v>
      </c>
      <c r="C263" t="s">
        <v>5780</v>
      </c>
      <c r="D263" t="s">
        <v>28</v>
      </c>
      <c r="F263" t="s">
        <v>20</v>
      </c>
      <c r="G263" t="s">
        <v>42</v>
      </c>
      <c r="J263" t="s">
        <v>5761</v>
      </c>
      <c r="K263">
        <v>50</v>
      </c>
      <c r="L263" t="str" cm="1">
        <f t="array" ref="L263">_xlfn.IFS(
 K263&lt;=50,"≤50",
 AND(K263&gt;=51,K263&lt;=100),"51–100",
 AND(K263&gt;=101,K263&lt;=250),"101–250",
 AND(K263&gt;=251,K263&lt;=500),"251–500",
 AND(K263&gt;=501,K263&lt;=1000),"501–1000",
 K263&gt;=1001,"1001+"
)</f>
        <v>≤50</v>
      </c>
    </row>
    <row r="264" spans="1:12" x14ac:dyDescent="0.3">
      <c r="A264" t="s">
        <v>530</v>
      </c>
      <c r="B264" t="s">
        <v>9</v>
      </c>
      <c r="C264" t="s">
        <v>5780</v>
      </c>
      <c r="D264" t="s">
        <v>531</v>
      </c>
      <c r="F264" t="s">
        <v>5770</v>
      </c>
      <c r="J264" t="s">
        <v>5740</v>
      </c>
      <c r="K264">
        <v>50</v>
      </c>
      <c r="L264" t="str" cm="1">
        <f t="array" ref="L264">_xlfn.IFS(
 K264&lt;=50,"≤50",
 AND(K264&gt;=51,K264&lt;=100),"51–100",
 AND(K264&gt;=101,K264&lt;=250),"101–250",
 AND(K264&gt;=251,K264&lt;=500),"251–500",
 AND(K264&gt;=501,K264&lt;=1000),"501–1000",
 K264&gt;=1001,"1001+"
)</f>
        <v>≤50</v>
      </c>
    </row>
    <row r="265" spans="1:12" x14ac:dyDescent="0.3">
      <c r="A265" t="s">
        <v>532</v>
      </c>
      <c r="B265" t="s">
        <v>9</v>
      </c>
      <c r="C265" t="s">
        <v>5780</v>
      </c>
      <c r="D265" t="s">
        <v>533</v>
      </c>
      <c r="E265" t="s">
        <v>15</v>
      </c>
      <c r="F265" t="s">
        <v>16</v>
      </c>
      <c r="G265" t="s">
        <v>534</v>
      </c>
      <c r="J265" t="s">
        <v>5738</v>
      </c>
      <c r="K265">
        <v>50</v>
      </c>
      <c r="L265" t="str" cm="1">
        <f t="array" ref="L265">_xlfn.IFS(
 K265&lt;=50,"≤50",
 AND(K265&gt;=51,K265&lt;=100),"51–100",
 AND(K265&gt;=101,K265&lt;=250),"101–250",
 AND(K265&gt;=251,K265&lt;=500),"251–500",
 AND(K265&gt;=501,K265&lt;=1000),"501–1000",
 K265&gt;=1001,"1001+"
)</f>
        <v>≤50</v>
      </c>
    </row>
    <row r="266" spans="1:12" x14ac:dyDescent="0.3">
      <c r="A266" t="s">
        <v>535</v>
      </c>
      <c r="B266" t="s">
        <v>9</v>
      </c>
      <c r="C266" t="s">
        <v>5780</v>
      </c>
      <c r="D266" t="s">
        <v>442</v>
      </c>
      <c r="E266" t="s">
        <v>15</v>
      </c>
      <c r="F266" t="s">
        <v>20</v>
      </c>
      <c r="G266" t="s">
        <v>536</v>
      </c>
      <c r="J266" t="s">
        <v>5738</v>
      </c>
      <c r="K266">
        <v>50</v>
      </c>
      <c r="L266" t="str" cm="1">
        <f t="array" ref="L266">_xlfn.IFS(
 K266&lt;=50,"≤50",
 AND(K266&gt;=51,K266&lt;=100),"51–100",
 AND(K266&gt;=101,K266&lt;=250),"101–250",
 AND(K266&gt;=251,K266&lt;=500),"251–500",
 AND(K266&gt;=501,K266&lt;=1000),"501–1000",
 K266&gt;=1001,"1001+"
)</f>
        <v>≤50</v>
      </c>
    </row>
    <row r="267" spans="1:12" x14ac:dyDescent="0.3">
      <c r="A267" t="s">
        <v>537</v>
      </c>
      <c r="B267" t="s">
        <v>9</v>
      </c>
      <c r="C267" t="s">
        <v>5780</v>
      </c>
      <c r="D267" t="s">
        <v>538</v>
      </c>
      <c r="E267" t="s">
        <v>15</v>
      </c>
      <c r="F267" t="s">
        <v>16</v>
      </c>
      <c r="G267" t="s">
        <v>539</v>
      </c>
      <c r="J267" t="s">
        <v>5744</v>
      </c>
      <c r="K267">
        <v>50</v>
      </c>
      <c r="L267" t="str" cm="1">
        <f t="array" ref="L267">_xlfn.IFS(
 K267&lt;=50,"≤50",
 AND(K267&gt;=51,K267&lt;=100),"51–100",
 AND(K267&gt;=101,K267&lt;=250),"101–250",
 AND(K267&gt;=251,K267&lt;=500),"251–500",
 AND(K267&gt;=501,K267&lt;=1000),"501–1000",
 K267&gt;=1001,"1001+"
)</f>
        <v>≤50</v>
      </c>
    </row>
    <row r="268" spans="1:12" x14ac:dyDescent="0.3">
      <c r="A268" t="s">
        <v>540</v>
      </c>
      <c r="B268" t="s">
        <v>9</v>
      </c>
      <c r="C268" t="s">
        <v>5780</v>
      </c>
      <c r="D268" t="s">
        <v>28</v>
      </c>
      <c r="F268" t="s">
        <v>5770</v>
      </c>
      <c r="J268" t="s">
        <v>5738</v>
      </c>
      <c r="K268">
        <v>50</v>
      </c>
      <c r="L268" t="str" cm="1">
        <f t="array" ref="L268">_xlfn.IFS(
 K268&lt;=50,"≤50",
 AND(K268&gt;=51,K268&lt;=100),"51–100",
 AND(K268&gt;=101,K268&lt;=250),"101–250",
 AND(K268&gt;=251,K268&lt;=500),"251–500",
 AND(K268&gt;=501,K268&lt;=1000),"501–1000",
 K268&gt;=1001,"1001+"
)</f>
        <v>≤50</v>
      </c>
    </row>
    <row r="269" spans="1:12" x14ac:dyDescent="0.3">
      <c r="A269" t="s">
        <v>541</v>
      </c>
      <c r="B269" t="s">
        <v>197</v>
      </c>
      <c r="C269" t="s">
        <v>5774</v>
      </c>
      <c r="D269" t="s">
        <v>542</v>
      </c>
      <c r="E269" t="s">
        <v>15</v>
      </c>
      <c r="F269" t="s">
        <v>16</v>
      </c>
      <c r="G269" t="s">
        <v>543</v>
      </c>
      <c r="J269" t="s">
        <v>5737</v>
      </c>
      <c r="K269">
        <v>50</v>
      </c>
      <c r="L269" t="str" cm="1">
        <f t="array" ref="L269">_xlfn.IFS(
 K269&lt;=50,"≤50",
 AND(K269&gt;=51,K269&lt;=100),"51–100",
 AND(K269&gt;=101,K269&lt;=250),"101–250",
 AND(K269&gt;=251,K269&lt;=500),"251–500",
 AND(K269&gt;=501,K269&lt;=1000),"501–1000",
 K269&gt;=1001,"1001+"
)</f>
        <v>≤50</v>
      </c>
    </row>
    <row r="270" spans="1:12" x14ac:dyDescent="0.3">
      <c r="A270" t="s">
        <v>544</v>
      </c>
      <c r="B270" t="s">
        <v>9</v>
      </c>
      <c r="C270" t="s">
        <v>5780</v>
      </c>
      <c r="D270" t="s">
        <v>545</v>
      </c>
      <c r="F270" t="s">
        <v>5770</v>
      </c>
      <c r="J270" t="s">
        <v>5737</v>
      </c>
      <c r="K270">
        <v>50</v>
      </c>
      <c r="L270" t="str" cm="1">
        <f t="array" ref="L270">_xlfn.IFS(
 K270&lt;=50,"≤50",
 AND(K270&gt;=51,K270&lt;=100),"51–100",
 AND(K270&gt;=101,K270&lt;=250),"101–250",
 AND(K270&gt;=251,K270&lt;=500),"251–500",
 AND(K270&gt;=501,K270&lt;=1000),"501–1000",
 K270&gt;=1001,"1001+"
)</f>
        <v>≤50</v>
      </c>
    </row>
    <row r="271" spans="1:12" x14ac:dyDescent="0.3">
      <c r="A271" t="s">
        <v>546</v>
      </c>
      <c r="B271" t="s">
        <v>9</v>
      </c>
      <c r="C271" t="s">
        <v>5780</v>
      </c>
      <c r="D271" t="s">
        <v>28</v>
      </c>
      <c r="F271" t="s">
        <v>20</v>
      </c>
      <c r="G271" t="s">
        <v>42</v>
      </c>
      <c r="J271" t="s">
        <v>5750</v>
      </c>
      <c r="K271">
        <v>50</v>
      </c>
      <c r="L271" t="str" cm="1">
        <f t="array" ref="L271">_xlfn.IFS(
 K271&lt;=50,"≤50",
 AND(K271&gt;=51,K271&lt;=100),"51–100",
 AND(K271&gt;=101,K271&lt;=250),"101–250",
 AND(K271&gt;=251,K271&lt;=500),"251–500",
 AND(K271&gt;=501,K271&lt;=1000),"501–1000",
 K271&gt;=1001,"1001+"
)</f>
        <v>≤50</v>
      </c>
    </row>
    <row r="272" spans="1:12" x14ac:dyDescent="0.3">
      <c r="A272" t="s">
        <v>547</v>
      </c>
      <c r="B272" t="s">
        <v>9</v>
      </c>
      <c r="C272" t="s">
        <v>5780</v>
      </c>
      <c r="D272" t="s">
        <v>548</v>
      </c>
      <c r="E272" t="s">
        <v>15</v>
      </c>
      <c r="F272" t="s">
        <v>20</v>
      </c>
      <c r="G272" t="s">
        <v>549</v>
      </c>
      <c r="J272" t="s">
        <v>5737</v>
      </c>
      <c r="K272">
        <v>50</v>
      </c>
      <c r="L272" t="str" cm="1">
        <f t="array" ref="L272">_xlfn.IFS(
 K272&lt;=50,"≤50",
 AND(K272&gt;=51,K272&lt;=100),"51–100",
 AND(K272&gt;=101,K272&lt;=250),"101–250",
 AND(K272&gt;=251,K272&lt;=500),"251–500",
 AND(K272&gt;=501,K272&lt;=1000),"501–1000",
 K272&gt;=1001,"1001+"
)</f>
        <v>≤50</v>
      </c>
    </row>
    <row r="273" spans="1:12" x14ac:dyDescent="0.3">
      <c r="A273" t="s">
        <v>550</v>
      </c>
      <c r="B273" t="s">
        <v>9</v>
      </c>
      <c r="C273" t="s">
        <v>5780</v>
      </c>
      <c r="D273" t="s">
        <v>551</v>
      </c>
      <c r="E273" t="s">
        <v>15</v>
      </c>
      <c r="F273" t="s">
        <v>20</v>
      </c>
      <c r="G273" t="s">
        <v>117</v>
      </c>
      <c r="J273" t="s">
        <v>5749</v>
      </c>
      <c r="K273">
        <v>50</v>
      </c>
      <c r="L273" t="str" cm="1">
        <f t="array" ref="L273">_xlfn.IFS(
 K273&lt;=50,"≤50",
 AND(K273&gt;=51,K273&lt;=100),"51–100",
 AND(K273&gt;=101,K273&lt;=250),"101–250",
 AND(K273&gt;=251,K273&lt;=500),"251–500",
 AND(K273&gt;=501,K273&lt;=1000),"501–1000",
 K273&gt;=1001,"1001+"
)</f>
        <v>≤50</v>
      </c>
    </row>
    <row r="274" spans="1:12" x14ac:dyDescent="0.3">
      <c r="A274" t="s">
        <v>552</v>
      </c>
      <c r="B274" t="s">
        <v>9</v>
      </c>
      <c r="C274" t="s">
        <v>5780</v>
      </c>
      <c r="D274" t="s">
        <v>51</v>
      </c>
      <c r="F274" t="s">
        <v>54</v>
      </c>
      <c r="G274" t="s">
        <v>553</v>
      </c>
      <c r="J274" t="s">
        <v>5740</v>
      </c>
      <c r="K274">
        <v>50</v>
      </c>
      <c r="L274" t="str" cm="1">
        <f t="array" ref="L274">_xlfn.IFS(
 K274&lt;=50,"≤50",
 AND(K274&gt;=51,K274&lt;=100),"51–100",
 AND(K274&gt;=101,K274&lt;=250),"101–250",
 AND(K274&gt;=251,K274&lt;=500),"251–500",
 AND(K274&gt;=501,K274&lt;=1000),"501–1000",
 K274&gt;=1001,"1001+"
)</f>
        <v>≤50</v>
      </c>
    </row>
    <row r="275" spans="1:12" x14ac:dyDescent="0.3">
      <c r="A275" t="s">
        <v>554</v>
      </c>
      <c r="B275" t="s">
        <v>9</v>
      </c>
      <c r="C275" t="s">
        <v>5780</v>
      </c>
      <c r="D275" t="s">
        <v>555</v>
      </c>
      <c r="E275" t="s">
        <v>15</v>
      </c>
      <c r="F275" t="s">
        <v>16</v>
      </c>
      <c r="G275" t="s">
        <v>556</v>
      </c>
      <c r="J275" t="s">
        <v>5740</v>
      </c>
      <c r="K275">
        <v>50</v>
      </c>
      <c r="L275" t="str" cm="1">
        <f t="array" ref="L275">_xlfn.IFS(
 K275&lt;=50,"≤50",
 AND(K275&gt;=51,K275&lt;=100),"51–100",
 AND(K275&gt;=101,K275&lt;=250),"101–250",
 AND(K275&gt;=251,K275&lt;=500),"251–500",
 AND(K275&gt;=501,K275&lt;=1000),"501–1000",
 K275&gt;=1001,"1001+"
)</f>
        <v>≤50</v>
      </c>
    </row>
    <row r="276" spans="1:12" x14ac:dyDescent="0.3">
      <c r="A276" t="s">
        <v>557</v>
      </c>
      <c r="B276" t="s">
        <v>13</v>
      </c>
      <c r="C276" t="s">
        <v>5777</v>
      </c>
      <c r="D276" t="s">
        <v>558</v>
      </c>
      <c r="E276" t="s">
        <v>15</v>
      </c>
      <c r="F276" t="s">
        <v>20</v>
      </c>
      <c r="G276" t="s">
        <v>559</v>
      </c>
      <c r="J276" t="s">
        <v>5737</v>
      </c>
      <c r="K276">
        <v>50</v>
      </c>
      <c r="L276" t="str" cm="1">
        <f t="array" ref="L276">_xlfn.IFS(
 K276&lt;=50,"≤50",
 AND(K276&gt;=51,K276&lt;=100),"51–100",
 AND(K276&gt;=101,K276&lt;=250),"101–250",
 AND(K276&gt;=251,K276&lt;=500),"251–500",
 AND(K276&gt;=501,K276&lt;=1000),"501–1000",
 K276&gt;=1001,"1001+"
)</f>
        <v>≤50</v>
      </c>
    </row>
    <row r="277" spans="1:12" x14ac:dyDescent="0.3">
      <c r="A277" t="s">
        <v>560</v>
      </c>
      <c r="B277" t="s">
        <v>9</v>
      </c>
      <c r="C277" t="s">
        <v>5780</v>
      </c>
      <c r="D277" t="s">
        <v>561</v>
      </c>
      <c r="E277" t="s">
        <v>15</v>
      </c>
      <c r="F277" t="s">
        <v>54</v>
      </c>
      <c r="G277" t="s">
        <v>562</v>
      </c>
      <c r="J277" t="s">
        <v>5737</v>
      </c>
      <c r="K277">
        <v>50</v>
      </c>
      <c r="L277" t="str" cm="1">
        <f t="array" ref="L277">_xlfn.IFS(
 K277&lt;=50,"≤50",
 AND(K277&gt;=51,K277&lt;=100),"51–100",
 AND(K277&gt;=101,K277&lt;=250),"101–250",
 AND(K277&gt;=251,K277&lt;=500),"251–500",
 AND(K277&gt;=501,K277&lt;=1000),"501–1000",
 K277&gt;=1001,"1001+"
)</f>
        <v>≤50</v>
      </c>
    </row>
    <row r="278" spans="1:12" x14ac:dyDescent="0.3">
      <c r="A278" t="s">
        <v>563</v>
      </c>
      <c r="B278" t="s">
        <v>9</v>
      </c>
      <c r="C278" t="s">
        <v>5780</v>
      </c>
      <c r="D278" t="s">
        <v>564</v>
      </c>
      <c r="E278" t="s">
        <v>15</v>
      </c>
      <c r="F278" t="s">
        <v>20</v>
      </c>
      <c r="G278" t="s">
        <v>565</v>
      </c>
      <c r="J278" t="s">
        <v>5739</v>
      </c>
      <c r="K278">
        <v>50</v>
      </c>
      <c r="L278" t="str" cm="1">
        <f t="array" ref="L278">_xlfn.IFS(
 K278&lt;=50,"≤50",
 AND(K278&gt;=51,K278&lt;=100),"51–100",
 AND(K278&gt;=101,K278&lt;=250),"101–250",
 AND(K278&gt;=251,K278&lt;=500),"251–500",
 AND(K278&gt;=501,K278&lt;=1000),"501–1000",
 K278&gt;=1001,"1001+"
)</f>
        <v>≤50</v>
      </c>
    </row>
    <row r="279" spans="1:12" x14ac:dyDescent="0.3">
      <c r="A279" t="s">
        <v>566</v>
      </c>
      <c r="B279" t="s">
        <v>13</v>
      </c>
      <c r="C279" t="s">
        <v>5777</v>
      </c>
      <c r="D279" t="s">
        <v>567</v>
      </c>
      <c r="F279" t="s">
        <v>20</v>
      </c>
      <c r="G279" t="s">
        <v>42</v>
      </c>
      <c r="J279" t="s">
        <v>5737</v>
      </c>
      <c r="K279">
        <v>50</v>
      </c>
      <c r="L279" t="str" cm="1">
        <f t="array" ref="L279">_xlfn.IFS(
 K279&lt;=50,"≤50",
 AND(K279&gt;=51,K279&lt;=100),"51–100",
 AND(K279&gt;=101,K279&lt;=250),"101–250",
 AND(K279&gt;=251,K279&lt;=500),"251–500",
 AND(K279&gt;=501,K279&lt;=1000),"501–1000",
 K279&gt;=1001,"1001+"
)</f>
        <v>≤50</v>
      </c>
    </row>
    <row r="280" spans="1:12" x14ac:dyDescent="0.3">
      <c r="A280" t="s">
        <v>568</v>
      </c>
      <c r="B280" t="s">
        <v>11</v>
      </c>
      <c r="C280" t="s">
        <v>5776</v>
      </c>
      <c r="F280" t="s">
        <v>5770</v>
      </c>
      <c r="J280" t="s">
        <v>5737</v>
      </c>
      <c r="K280">
        <v>50</v>
      </c>
      <c r="L280" t="str" cm="1">
        <f t="array" ref="L280">_xlfn.IFS(
 K280&lt;=50,"≤50",
 AND(K280&gt;=51,K280&lt;=100),"51–100",
 AND(K280&gt;=101,K280&lt;=250),"101–250",
 AND(K280&gt;=251,K280&lt;=500),"251–500",
 AND(K280&gt;=501,K280&lt;=1000),"501–1000",
 K280&gt;=1001,"1001+"
)</f>
        <v>≤50</v>
      </c>
    </row>
    <row r="281" spans="1:12" x14ac:dyDescent="0.3">
      <c r="A281" t="s">
        <v>569</v>
      </c>
      <c r="B281" t="s">
        <v>417</v>
      </c>
      <c r="C281" t="s">
        <v>5778</v>
      </c>
      <c r="D281" t="s">
        <v>570</v>
      </c>
      <c r="E281" t="s">
        <v>15</v>
      </c>
      <c r="F281" t="s">
        <v>5770</v>
      </c>
      <c r="J281" t="s">
        <v>5750</v>
      </c>
      <c r="K281">
        <v>50</v>
      </c>
      <c r="L281" t="str" cm="1">
        <f t="array" ref="L281">_xlfn.IFS(
 K281&lt;=50,"≤50",
 AND(K281&gt;=51,K281&lt;=100),"51–100",
 AND(K281&gt;=101,K281&lt;=250),"101–250",
 AND(K281&gt;=251,K281&lt;=500),"251–500",
 AND(K281&gt;=501,K281&lt;=1000),"501–1000",
 K281&gt;=1001,"1001+"
)</f>
        <v>≤50</v>
      </c>
    </row>
    <row r="282" spans="1:12" x14ac:dyDescent="0.3">
      <c r="A282" t="s">
        <v>571</v>
      </c>
      <c r="B282" t="s">
        <v>9</v>
      </c>
      <c r="C282" t="s">
        <v>5780</v>
      </c>
      <c r="D282" t="s">
        <v>28</v>
      </c>
      <c r="E282" t="s">
        <v>15</v>
      </c>
      <c r="F282" t="s">
        <v>20</v>
      </c>
      <c r="G282" t="s">
        <v>21</v>
      </c>
      <c r="J282" t="s">
        <v>5737</v>
      </c>
      <c r="K282">
        <v>50</v>
      </c>
      <c r="L282" t="str" cm="1">
        <f t="array" ref="L282">_xlfn.IFS(
 K282&lt;=50,"≤50",
 AND(K282&gt;=51,K282&lt;=100),"51–100",
 AND(K282&gt;=101,K282&lt;=250),"101–250",
 AND(K282&gt;=251,K282&lt;=500),"251–500",
 AND(K282&gt;=501,K282&lt;=1000),"501–1000",
 K282&gt;=1001,"1001+"
)</f>
        <v>≤50</v>
      </c>
    </row>
    <row r="283" spans="1:12" x14ac:dyDescent="0.3">
      <c r="A283" t="s">
        <v>572</v>
      </c>
      <c r="B283" t="s">
        <v>13</v>
      </c>
      <c r="C283" t="s">
        <v>5777</v>
      </c>
      <c r="D283" t="s">
        <v>573</v>
      </c>
      <c r="E283" t="s">
        <v>15</v>
      </c>
      <c r="F283" t="s">
        <v>20</v>
      </c>
      <c r="G283" t="s">
        <v>574</v>
      </c>
      <c r="J283" t="s">
        <v>5753</v>
      </c>
      <c r="K283">
        <v>50</v>
      </c>
      <c r="L283" t="str" cm="1">
        <f t="array" ref="L283">_xlfn.IFS(
 K283&lt;=50,"≤50",
 AND(K283&gt;=51,K283&lt;=100),"51–100",
 AND(K283&gt;=101,K283&lt;=250),"101–250",
 AND(K283&gt;=251,K283&lt;=500),"251–500",
 AND(K283&gt;=501,K283&lt;=1000),"501–1000",
 K283&gt;=1001,"1001+"
)</f>
        <v>≤50</v>
      </c>
    </row>
    <row r="284" spans="1:12" x14ac:dyDescent="0.3">
      <c r="A284" t="s">
        <v>575</v>
      </c>
      <c r="B284" t="s">
        <v>13</v>
      </c>
      <c r="C284" t="s">
        <v>5777</v>
      </c>
      <c r="D284" t="s">
        <v>576</v>
      </c>
      <c r="E284" t="s">
        <v>15</v>
      </c>
      <c r="F284" t="s">
        <v>54</v>
      </c>
      <c r="G284" t="s">
        <v>577</v>
      </c>
      <c r="J284" t="s">
        <v>5737</v>
      </c>
      <c r="K284">
        <v>50</v>
      </c>
      <c r="L284" t="str" cm="1">
        <f t="array" ref="L284">_xlfn.IFS(
 K284&lt;=50,"≤50",
 AND(K284&gt;=51,K284&lt;=100),"51–100",
 AND(K284&gt;=101,K284&lt;=250),"101–250",
 AND(K284&gt;=251,K284&lt;=500),"251–500",
 AND(K284&gt;=501,K284&lt;=1000),"501–1000",
 K284&gt;=1001,"1001+"
)</f>
        <v>≤50</v>
      </c>
    </row>
    <row r="285" spans="1:12" x14ac:dyDescent="0.3">
      <c r="A285" t="s">
        <v>578</v>
      </c>
      <c r="B285" t="s">
        <v>11</v>
      </c>
      <c r="C285" t="s">
        <v>5776</v>
      </c>
      <c r="F285" t="s">
        <v>5770</v>
      </c>
      <c r="J285" t="s">
        <v>5748</v>
      </c>
      <c r="K285">
        <v>50</v>
      </c>
      <c r="L285" t="str" cm="1">
        <f t="array" ref="L285">_xlfn.IFS(
 K285&lt;=50,"≤50",
 AND(K285&gt;=51,K285&lt;=100),"51–100",
 AND(K285&gt;=101,K285&lt;=250),"101–250",
 AND(K285&gt;=251,K285&lt;=500),"251–500",
 AND(K285&gt;=501,K285&lt;=1000),"501–1000",
 K285&gt;=1001,"1001+"
)</f>
        <v>≤50</v>
      </c>
    </row>
    <row r="286" spans="1:12" x14ac:dyDescent="0.3">
      <c r="A286" t="s">
        <v>579</v>
      </c>
      <c r="B286" t="s">
        <v>13</v>
      </c>
      <c r="C286" t="s">
        <v>5777</v>
      </c>
      <c r="D286" t="s">
        <v>580</v>
      </c>
      <c r="E286" t="s">
        <v>15</v>
      </c>
      <c r="F286" t="s">
        <v>54</v>
      </c>
      <c r="G286" t="s">
        <v>581</v>
      </c>
      <c r="J286" t="s">
        <v>5743</v>
      </c>
      <c r="K286">
        <v>50</v>
      </c>
      <c r="L286" t="str" cm="1">
        <f t="array" ref="L286">_xlfn.IFS(
 K286&lt;=50,"≤50",
 AND(K286&gt;=51,K286&lt;=100),"51–100",
 AND(K286&gt;=101,K286&lt;=250),"101–250",
 AND(K286&gt;=251,K286&lt;=500),"251–500",
 AND(K286&gt;=501,K286&lt;=1000),"501–1000",
 K286&gt;=1001,"1001+"
)</f>
        <v>≤50</v>
      </c>
    </row>
    <row r="287" spans="1:12" x14ac:dyDescent="0.3">
      <c r="A287" t="s">
        <v>582</v>
      </c>
      <c r="B287" t="s">
        <v>9</v>
      </c>
      <c r="C287" t="s">
        <v>5780</v>
      </c>
      <c r="D287" t="s">
        <v>583</v>
      </c>
      <c r="E287" t="s">
        <v>15</v>
      </c>
      <c r="F287" t="s">
        <v>54</v>
      </c>
      <c r="G287" t="s">
        <v>584</v>
      </c>
      <c r="J287" t="s">
        <v>5737</v>
      </c>
      <c r="K287">
        <v>50</v>
      </c>
      <c r="L287" t="str" cm="1">
        <f t="array" ref="L287">_xlfn.IFS(
 K287&lt;=50,"≤50",
 AND(K287&gt;=51,K287&lt;=100),"51–100",
 AND(K287&gt;=101,K287&lt;=250),"101–250",
 AND(K287&gt;=251,K287&lt;=500),"251–500",
 AND(K287&gt;=501,K287&lt;=1000),"501–1000",
 K287&gt;=1001,"1001+"
)</f>
        <v>≤50</v>
      </c>
    </row>
    <row r="288" spans="1:12" x14ac:dyDescent="0.3">
      <c r="A288" t="s">
        <v>585</v>
      </c>
      <c r="B288" t="s">
        <v>9</v>
      </c>
      <c r="C288" t="s">
        <v>5780</v>
      </c>
      <c r="D288" t="s">
        <v>586</v>
      </c>
      <c r="F288" t="s">
        <v>20</v>
      </c>
      <c r="G288" t="s">
        <v>21</v>
      </c>
      <c r="J288" t="s">
        <v>5760</v>
      </c>
      <c r="K288">
        <v>50</v>
      </c>
      <c r="L288" t="str" cm="1">
        <f t="array" ref="L288">_xlfn.IFS(
 K288&lt;=50,"≤50",
 AND(K288&gt;=51,K288&lt;=100),"51–100",
 AND(K288&gt;=101,K288&lt;=250),"101–250",
 AND(K288&gt;=251,K288&lt;=500),"251–500",
 AND(K288&gt;=501,K288&lt;=1000),"501–1000",
 K288&gt;=1001,"1001+"
)</f>
        <v>≤50</v>
      </c>
    </row>
    <row r="289" spans="1:12" x14ac:dyDescent="0.3">
      <c r="A289" t="s">
        <v>587</v>
      </c>
      <c r="B289" t="s">
        <v>13</v>
      </c>
      <c r="C289" t="s">
        <v>5777</v>
      </c>
      <c r="D289" t="s">
        <v>112</v>
      </c>
      <c r="E289" t="s">
        <v>15</v>
      </c>
      <c r="F289" t="s">
        <v>54</v>
      </c>
      <c r="G289" t="s">
        <v>588</v>
      </c>
      <c r="J289" t="s">
        <v>5737</v>
      </c>
      <c r="K289">
        <v>50</v>
      </c>
      <c r="L289" t="str" cm="1">
        <f t="array" ref="L289">_xlfn.IFS(
 K289&lt;=50,"≤50",
 AND(K289&gt;=51,K289&lt;=100),"51–100",
 AND(K289&gt;=101,K289&lt;=250),"101–250",
 AND(K289&gt;=251,K289&lt;=500),"251–500",
 AND(K289&gt;=501,K289&lt;=1000),"501–1000",
 K289&gt;=1001,"1001+"
)</f>
        <v>≤50</v>
      </c>
    </row>
    <row r="290" spans="1:12" x14ac:dyDescent="0.3">
      <c r="A290" t="s">
        <v>589</v>
      </c>
      <c r="B290" t="s">
        <v>9</v>
      </c>
      <c r="C290" t="s">
        <v>5780</v>
      </c>
      <c r="D290" t="s">
        <v>590</v>
      </c>
      <c r="F290" t="s">
        <v>5770</v>
      </c>
      <c r="J290" t="s">
        <v>5737</v>
      </c>
      <c r="K290">
        <v>50</v>
      </c>
      <c r="L290" t="str" cm="1">
        <f t="array" ref="L290">_xlfn.IFS(
 K290&lt;=50,"≤50",
 AND(K290&gt;=51,K290&lt;=100),"51–100",
 AND(K290&gt;=101,K290&lt;=250),"101–250",
 AND(K290&gt;=251,K290&lt;=500),"251–500",
 AND(K290&gt;=501,K290&lt;=1000),"501–1000",
 K290&gt;=1001,"1001+"
)</f>
        <v>≤50</v>
      </c>
    </row>
    <row r="291" spans="1:12" x14ac:dyDescent="0.3">
      <c r="A291" t="s">
        <v>591</v>
      </c>
      <c r="B291" t="s">
        <v>9</v>
      </c>
      <c r="C291" t="s">
        <v>5780</v>
      </c>
      <c r="D291" t="s">
        <v>102</v>
      </c>
      <c r="F291" t="s">
        <v>5770</v>
      </c>
      <c r="J291" t="s">
        <v>5753</v>
      </c>
      <c r="K291">
        <v>50</v>
      </c>
      <c r="L291" t="str" cm="1">
        <f t="array" ref="L291">_xlfn.IFS(
 K291&lt;=50,"≤50",
 AND(K291&gt;=51,K291&lt;=100),"51–100",
 AND(K291&gt;=101,K291&lt;=250),"101–250",
 AND(K291&gt;=251,K291&lt;=500),"251–500",
 AND(K291&gt;=501,K291&lt;=1000),"501–1000",
 K291&gt;=1001,"1001+"
)</f>
        <v>≤50</v>
      </c>
    </row>
    <row r="292" spans="1:12" x14ac:dyDescent="0.3">
      <c r="A292" t="s">
        <v>592</v>
      </c>
      <c r="B292" t="s">
        <v>417</v>
      </c>
      <c r="C292" t="s">
        <v>5778</v>
      </c>
      <c r="D292" t="s">
        <v>593</v>
      </c>
      <c r="F292" t="s">
        <v>5770</v>
      </c>
      <c r="J292" t="s">
        <v>5761</v>
      </c>
      <c r="K292">
        <v>50</v>
      </c>
      <c r="L292" t="str" cm="1">
        <f t="array" ref="L292">_xlfn.IFS(
 K292&lt;=50,"≤50",
 AND(K292&gt;=51,K292&lt;=100),"51–100",
 AND(K292&gt;=101,K292&lt;=250),"101–250",
 AND(K292&gt;=251,K292&lt;=500),"251–500",
 AND(K292&gt;=501,K292&lt;=1000),"501–1000",
 K292&gt;=1001,"1001+"
)</f>
        <v>≤50</v>
      </c>
    </row>
    <row r="293" spans="1:12" x14ac:dyDescent="0.3">
      <c r="A293" t="s">
        <v>594</v>
      </c>
      <c r="B293" t="s">
        <v>9</v>
      </c>
      <c r="C293" t="s">
        <v>5780</v>
      </c>
      <c r="D293" t="s">
        <v>595</v>
      </c>
      <c r="E293" t="s">
        <v>15</v>
      </c>
      <c r="F293" t="s">
        <v>20</v>
      </c>
      <c r="G293" t="s">
        <v>596</v>
      </c>
      <c r="J293" t="s">
        <v>5761</v>
      </c>
      <c r="K293">
        <v>50</v>
      </c>
      <c r="L293" t="str" cm="1">
        <f t="array" ref="L293">_xlfn.IFS(
 K293&lt;=50,"≤50",
 AND(K293&gt;=51,K293&lt;=100),"51–100",
 AND(K293&gt;=101,K293&lt;=250),"101–250",
 AND(K293&gt;=251,K293&lt;=500),"251–500",
 AND(K293&gt;=501,K293&lt;=1000),"501–1000",
 K293&gt;=1001,"1001+"
)</f>
        <v>≤50</v>
      </c>
    </row>
    <row r="294" spans="1:12" x14ac:dyDescent="0.3">
      <c r="A294" t="s">
        <v>597</v>
      </c>
      <c r="B294" t="s">
        <v>13</v>
      </c>
      <c r="C294" t="s">
        <v>5777</v>
      </c>
      <c r="D294" t="s">
        <v>598</v>
      </c>
      <c r="F294" t="s">
        <v>5770</v>
      </c>
      <c r="J294" t="s">
        <v>5737</v>
      </c>
      <c r="K294">
        <v>50</v>
      </c>
      <c r="L294" t="str" cm="1">
        <f t="array" ref="L294">_xlfn.IFS(
 K294&lt;=50,"≤50",
 AND(K294&gt;=51,K294&lt;=100),"51–100",
 AND(K294&gt;=101,K294&lt;=250),"101–250",
 AND(K294&gt;=251,K294&lt;=500),"251–500",
 AND(K294&gt;=501,K294&lt;=1000),"501–1000",
 K294&gt;=1001,"1001+"
)</f>
        <v>≤50</v>
      </c>
    </row>
    <row r="295" spans="1:12" x14ac:dyDescent="0.3">
      <c r="A295" t="s">
        <v>599</v>
      </c>
      <c r="B295" t="s">
        <v>11</v>
      </c>
      <c r="C295" t="s">
        <v>5776</v>
      </c>
      <c r="F295" t="s">
        <v>5770</v>
      </c>
      <c r="J295" t="s">
        <v>5737</v>
      </c>
      <c r="K295">
        <v>50</v>
      </c>
      <c r="L295" t="str" cm="1">
        <f t="array" ref="L295">_xlfn.IFS(
 K295&lt;=50,"≤50",
 AND(K295&gt;=51,K295&lt;=100),"51–100",
 AND(K295&gt;=101,K295&lt;=250),"101–250",
 AND(K295&gt;=251,K295&lt;=500),"251–500",
 AND(K295&gt;=501,K295&lt;=1000),"501–1000",
 K295&gt;=1001,"1001+"
)</f>
        <v>≤50</v>
      </c>
    </row>
    <row r="296" spans="1:12" x14ac:dyDescent="0.3">
      <c r="A296" t="s">
        <v>600</v>
      </c>
      <c r="B296" t="s">
        <v>9</v>
      </c>
      <c r="C296" t="s">
        <v>5780</v>
      </c>
      <c r="D296" t="s">
        <v>28</v>
      </c>
      <c r="E296" t="s">
        <v>15</v>
      </c>
      <c r="F296" t="s">
        <v>20</v>
      </c>
      <c r="G296" t="s">
        <v>21</v>
      </c>
      <c r="J296" t="s">
        <v>5737</v>
      </c>
      <c r="K296">
        <v>50</v>
      </c>
      <c r="L296" t="str" cm="1">
        <f t="array" ref="L296">_xlfn.IFS(
 K296&lt;=50,"≤50",
 AND(K296&gt;=51,K296&lt;=100),"51–100",
 AND(K296&gt;=101,K296&lt;=250),"101–250",
 AND(K296&gt;=251,K296&lt;=500),"251–500",
 AND(K296&gt;=501,K296&lt;=1000),"501–1000",
 K296&gt;=1001,"1001+"
)</f>
        <v>≤50</v>
      </c>
    </row>
    <row r="297" spans="1:12" x14ac:dyDescent="0.3">
      <c r="A297" t="s">
        <v>601</v>
      </c>
      <c r="B297" t="s">
        <v>11</v>
      </c>
      <c r="C297" t="s">
        <v>5776</v>
      </c>
      <c r="F297" t="s">
        <v>5770</v>
      </c>
      <c r="J297" t="s">
        <v>5755</v>
      </c>
      <c r="K297">
        <v>50</v>
      </c>
      <c r="L297" t="str" cm="1">
        <f t="array" ref="L297">_xlfn.IFS(
 K297&lt;=50,"≤50",
 AND(K297&gt;=51,K297&lt;=100),"51–100",
 AND(K297&gt;=101,K297&lt;=250),"101–250",
 AND(K297&gt;=251,K297&lt;=500),"251–500",
 AND(K297&gt;=501,K297&lt;=1000),"501–1000",
 K297&gt;=1001,"1001+"
)</f>
        <v>≤50</v>
      </c>
    </row>
    <row r="298" spans="1:12" x14ac:dyDescent="0.3">
      <c r="A298" t="s">
        <v>602</v>
      </c>
      <c r="B298" t="s">
        <v>9</v>
      </c>
      <c r="C298" t="s">
        <v>5780</v>
      </c>
      <c r="D298" t="s">
        <v>603</v>
      </c>
      <c r="F298" t="s">
        <v>5770</v>
      </c>
      <c r="J298" t="s">
        <v>5749</v>
      </c>
      <c r="K298">
        <v>50</v>
      </c>
      <c r="L298" t="str" cm="1">
        <f t="array" ref="L298">_xlfn.IFS(
 K298&lt;=50,"≤50",
 AND(K298&gt;=51,K298&lt;=100),"51–100",
 AND(K298&gt;=101,K298&lt;=250),"101–250",
 AND(K298&gt;=251,K298&lt;=500),"251–500",
 AND(K298&gt;=501,K298&lt;=1000),"501–1000",
 K298&gt;=1001,"1001+"
)</f>
        <v>≤50</v>
      </c>
    </row>
    <row r="299" spans="1:12" x14ac:dyDescent="0.3">
      <c r="A299" t="s">
        <v>604</v>
      </c>
      <c r="B299" t="s">
        <v>13</v>
      </c>
      <c r="C299" t="s">
        <v>5777</v>
      </c>
      <c r="D299" t="s">
        <v>605</v>
      </c>
      <c r="F299" t="s">
        <v>5770</v>
      </c>
      <c r="J299" t="s">
        <v>5760</v>
      </c>
      <c r="K299">
        <v>50</v>
      </c>
      <c r="L299" t="str" cm="1">
        <f t="array" ref="L299">_xlfn.IFS(
 K299&lt;=50,"≤50",
 AND(K299&gt;=51,K299&lt;=100),"51–100",
 AND(K299&gt;=101,K299&lt;=250),"101–250",
 AND(K299&gt;=251,K299&lt;=500),"251–500",
 AND(K299&gt;=501,K299&lt;=1000),"501–1000",
 K299&gt;=1001,"1001+"
)</f>
        <v>≤50</v>
      </c>
    </row>
    <row r="300" spans="1:12" x14ac:dyDescent="0.3">
      <c r="A300" t="s">
        <v>606</v>
      </c>
      <c r="B300" t="s">
        <v>9</v>
      </c>
      <c r="C300" t="s">
        <v>5780</v>
      </c>
      <c r="D300" t="s">
        <v>607</v>
      </c>
      <c r="E300" t="s">
        <v>15</v>
      </c>
      <c r="F300" t="s">
        <v>5770</v>
      </c>
      <c r="J300" t="s">
        <v>5744</v>
      </c>
      <c r="K300">
        <v>50</v>
      </c>
      <c r="L300" t="str" cm="1">
        <f t="array" ref="L300">_xlfn.IFS(
 K300&lt;=50,"≤50",
 AND(K300&gt;=51,K300&lt;=100),"51–100",
 AND(K300&gt;=101,K300&lt;=250),"101–250",
 AND(K300&gt;=251,K300&lt;=500),"251–500",
 AND(K300&gt;=501,K300&lt;=1000),"501–1000",
 K300&gt;=1001,"1001+"
)</f>
        <v>≤50</v>
      </c>
    </row>
    <row r="301" spans="1:12" x14ac:dyDescent="0.3">
      <c r="A301" t="s">
        <v>608</v>
      </c>
      <c r="B301" t="s">
        <v>9</v>
      </c>
      <c r="C301" t="s">
        <v>5780</v>
      </c>
      <c r="D301" t="s">
        <v>609</v>
      </c>
      <c r="E301" t="s">
        <v>15</v>
      </c>
      <c r="F301" t="s">
        <v>16</v>
      </c>
      <c r="G301" t="s">
        <v>610</v>
      </c>
      <c r="J301" t="s">
        <v>5742</v>
      </c>
      <c r="K301">
        <v>50</v>
      </c>
      <c r="L301" t="str" cm="1">
        <f t="array" ref="L301">_xlfn.IFS(
 K301&lt;=50,"≤50",
 AND(K301&gt;=51,K301&lt;=100),"51–100",
 AND(K301&gt;=101,K301&lt;=250),"101–250",
 AND(K301&gt;=251,K301&lt;=500),"251–500",
 AND(K301&gt;=501,K301&lt;=1000),"501–1000",
 K301&gt;=1001,"1001+"
)</f>
        <v>≤50</v>
      </c>
    </row>
    <row r="302" spans="1:12" x14ac:dyDescent="0.3">
      <c r="A302" t="s">
        <v>611</v>
      </c>
      <c r="B302" t="s">
        <v>13</v>
      </c>
      <c r="C302" t="s">
        <v>5777</v>
      </c>
      <c r="D302" t="s">
        <v>65</v>
      </c>
      <c r="F302" t="s">
        <v>20</v>
      </c>
      <c r="G302" t="s">
        <v>135</v>
      </c>
      <c r="J302" t="s">
        <v>5742</v>
      </c>
      <c r="K302">
        <v>50</v>
      </c>
      <c r="L302" t="str" cm="1">
        <f t="array" ref="L302">_xlfn.IFS(
 K302&lt;=50,"≤50",
 AND(K302&gt;=51,K302&lt;=100),"51–100",
 AND(K302&gt;=101,K302&lt;=250),"101–250",
 AND(K302&gt;=251,K302&lt;=500),"251–500",
 AND(K302&gt;=501,K302&lt;=1000),"501–1000",
 K302&gt;=1001,"1001+"
)</f>
        <v>≤50</v>
      </c>
    </row>
    <row r="303" spans="1:12" x14ac:dyDescent="0.3">
      <c r="A303" t="s">
        <v>612</v>
      </c>
      <c r="B303" t="s">
        <v>9</v>
      </c>
      <c r="C303" t="s">
        <v>5780</v>
      </c>
      <c r="D303" t="s">
        <v>28</v>
      </c>
      <c r="F303" t="s">
        <v>5770</v>
      </c>
      <c r="J303" t="s">
        <v>5743</v>
      </c>
      <c r="K303">
        <v>50</v>
      </c>
      <c r="L303" t="str" cm="1">
        <f t="array" ref="L303">_xlfn.IFS(
 K303&lt;=50,"≤50",
 AND(K303&gt;=51,K303&lt;=100),"51–100",
 AND(K303&gt;=101,K303&lt;=250),"101–250",
 AND(K303&gt;=251,K303&lt;=500),"251–500",
 AND(K303&gt;=501,K303&lt;=1000),"501–1000",
 K303&gt;=1001,"1001+"
)</f>
        <v>≤50</v>
      </c>
    </row>
    <row r="304" spans="1:12" x14ac:dyDescent="0.3">
      <c r="A304" t="s">
        <v>613</v>
      </c>
      <c r="B304" t="s">
        <v>9</v>
      </c>
      <c r="C304" t="s">
        <v>5780</v>
      </c>
      <c r="D304" t="s">
        <v>614</v>
      </c>
      <c r="F304" t="s">
        <v>20</v>
      </c>
      <c r="G304" t="s">
        <v>185</v>
      </c>
      <c r="J304" t="s">
        <v>5759</v>
      </c>
      <c r="K304">
        <v>50</v>
      </c>
      <c r="L304" t="str" cm="1">
        <f t="array" ref="L304">_xlfn.IFS(
 K304&lt;=50,"≤50",
 AND(K304&gt;=51,K304&lt;=100),"51–100",
 AND(K304&gt;=101,K304&lt;=250),"101–250",
 AND(K304&gt;=251,K304&lt;=500),"251–500",
 AND(K304&gt;=501,K304&lt;=1000),"501–1000",
 K304&gt;=1001,"1001+"
)</f>
        <v>≤50</v>
      </c>
    </row>
    <row r="305" spans="1:12" x14ac:dyDescent="0.3">
      <c r="A305" t="s">
        <v>615</v>
      </c>
      <c r="B305" t="s">
        <v>13</v>
      </c>
      <c r="C305" t="s">
        <v>5777</v>
      </c>
      <c r="D305" t="s">
        <v>314</v>
      </c>
      <c r="F305" t="s">
        <v>5770</v>
      </c>
      <c r="J305" t="s">
        <v>5737</v>
      </c>
      <c r="K305">
        <v>50</v>
      </c>
      <c r="L305" t="str" cm="1">
        <f t="array" ref="L305">_xlfn.IFS(
 K305&lt;=50,"≤50",
 AND(K305&gt;=51,K305&lt;=100),"51–100",
 AND(K305&gt;=101,K305&lt;=250),"101–250",
 AND(K305&gt;=251,K305&lt;=500),"251–500",
 AND(K305&gt;=501,K305&lt;=1000),"501–1000",
 K305&gt;=1001,"1001+"
)</f>
        <v>≤50</v>
      </c>
    </row>
    <row r="306" spans="1:12" x14ac:dyDescent="0.3">
      <c r="A306" t="s">
        <v>616</v>
      </c>
      <c r="B306" t="s">
        <v>9</v>
      </c>
      <c r="C306" t="s">
        <v>5780</v>
      </c>
      <c r="D306" t="s">
        <v>617</v>
      </c>
      <c r="F306" t="s">
        <v>20</v>
      </c>
      <c r="G306" t="s">
        <v>21</v>
      </c>
      <c r="J306" t="s">
        <v>5746</v>
      </c>
      <c r="K306">
        <v>50</v>
      </c>
      <c r="L306" t="str" cm="1">
        <f t="array" ref="L306">_xlfn.IFS(
 K306&lt;=50,"≤50",
 AND(K306&gt;=51,K306&lt;=100),"51–100",
 AND(K306&gt;=101,K306&lt;=250),"101–250",
 AND(K306&gt;=251,K306&lt;=500),"251–500",
 AND(K306&gt;=501,K306&lt;=1000),"501–1000",
 K306&gt;=1001,"1001+"
)</f>
        <v>≤50</v>
      </c>
    </row>
    <row r="307" spans="1:12" x14ac:dyDescent="0.3">
      <c r="A307" t="s">
        <v>618</v>
      </c>
      <c r="B307" t="s">
        <v>9</v>
      </c>
      <c r="C307" t="s">
        <v>5780</v>
      </c>
      <c r="D307" t="s">
        <v>28</v>
      </c>
      <c r="E307" t="s">
        <v>15</v>
      </c>
      <c r="F307" t="s">
        <v>5770</v>
      </c>
      <c r="J307" t="s">
        <v>5738</v>
      </c>
      <c r="K307">
        <v>50</v>
      </c>
      <c r="L307" t="str" cm="1">
        <f t="array" ref="L307">_xlfn.IFS(
 K307&lt;=50,"≤50",
 AND(K307&gt;=51,K307&lt;=100),"51–100",
 AND(K307&gt;=101,K307&lt;=250),"101–250",
 AND(K307&gt;=251,K307&lt;=500),"251–500",
 AND(K307&gt;=501,K307&lt;=1000),"501–1000",
 K307&gt;=1001,"1001+"
)</f>
        <v>≤50</v>
      </c>
    </row>
    <row r="308" spans="1:12" x14ac:dyDescent="0.3">
      <c r="A308" t="s">
        <v>619</v>
      </c>
      <c r="B308" t="s">
        <v>13</v>
      </c>
      <c r="C308" t="s">
        <v>5777</v>
      </c>
      <c r="D308" t="s">
        <v>620</v>
      </c>
      <c r="F308" t="s">
        <v>54</v>
      </c>
      <c r="G308" t="s">
        <v>588</v>
      </c>
      <c r="J308" t="s">
        <v>5737</v>
      </c>
      <c r="K308">
        <v>50</v>
      </c>
      <c r="L308" t="str" cm="1">
        <f t="array" ref="L308">_xlfn.IFS(
 K308&lt;=50,"≤50",
 AND(K308&gt;=51,K308&lt;=100),"51–100",
 AND(K308&gt;=101,K308&lt;=250),"101–250",
 AND(K308&gt;=251,K308&lt;=500),"251–500",
 AND(K308&gt;=501,K308&lt;=1000),"501–1000",
 K308&gt;=1001,"1001+"
)</f>
        <v>≤50</v>
      </c>
    </row>
    <row r="309" spans="1:12" x14ac:dyDescent="0.3">
      <c r="A309" t="s">
        <v>621</v>
      </c>
      <c r="B309" t="s">
        <v>9</v>
      </c>
      <c r="C309" t="s">
        <v>5780</v>
      </c>
      <c r="D309" t="s">
        <v>622</v>
      </c>
      <c r="E309" t="s">
        <v>15</v>
      </c>
      <c r="F309" t="s">
        <v>54</v>
      </c>
      <c r="G309" t="s">
        <v>623</v>
      </c>
      <c r="J309" t="s">
        <v>5737</v>
      </c>
      <c r="K309">
        <v>50</v>
      </c>
      <c r="L309" t="str" cm="1">
        <f t="array" ref="L309">_xlfn.IFS(
 K309&lt;=50,"≤50",
 AND(K309&gt;=51,K309&lt;=100),"51–100",
 AND(K309&gt;=101,K309&lt;=250),"101–250",
 AND(K309&gt;=251,K309&lt;=500),"251–500",
 AND(K309&gt;=501,K309&lt;=1000),"501–1000",
 K309&gt;=1001,"1001+"
)</f>
        <v>≤50</v>
      </c>
    </row>
    <row r="310" spans="1:12" x14ac:dyDescent="0.3">
      <c r="A310" t="s">
        <v>624</v>
      </c>
      <c r="B310" t="s">
        <v>9</v>
      </c>
      <c r="C310" t="s">
        <v>5780</v>
      </c>
      <c r="D310" t="s">
        <v>625</v>
      </c>
      <c r="F310" t="s">
        <v>54</v>
      </c>
      <c r="G310" t="s">
        <v>626</v>
      </c>
      <c r="J310" t="s">
        <v>5737</v>
      </c>
      <c r="K310">
        <v>50</v>
      </c>
      <c r="L310" t="str" cm="1">
        <f t="array" ref="L310">_xlfn.IFS(
 K310&lt;=50,"≤50",
 AND(K310&gt;=51,K310&lt;=100),"51–100",
 AND(K310&gt;=101,K310&lt;=250),"101–250",
 AND(K310&gt;=251,K310&lt;=500),"251–500",
 AND(K310&gt;=501,K310&lt;=1000),"501–1000",
 K310&gt;=1001,"1001+"
)</f>
        <v>≤50</v>
      </c>
    </row>
    <row r="311" spans="1:12" x14ac:dyDescent="0.3">
      <c r="A311" t="s">
        <v>627</v>
      </c>
      <c r="B311" t="s">
        <v>11</v>
      </c>
      <c r="C311" t="s">
        <v>5776</v>
      </c>
      <c r="F311" t="s">
        <v>5770</v>
      </c>
      <c r="J311" t="s">
        <v>5737</v>
      </c>
      <c r="K311">
        <v>50</v>
      </c>
      <c r="L311" t="str" cm="1">
        <f t="array" ref="L311">_xlfn.IFS(
 K311&lt;=50,"≤50",
 AND(K311&gt;=51,K311&lt;=100),"51–100",
 AND(K311&gt;=101,K311&lt;=250),"101–250",
 AND(K311&gt;=251,K311&lt;=500),"251–500",
 AND(K311&gt;=501,K311&lt;=1000),"501–1000",
 K311&gt;=1001,"1001+"
)</f>
        <v>≤50</v>
      </c>
    </row>
    <row r="312" spans="1:12" x14ac:dyDescent="0.3">
      <c r="A312" t="s">
        <v>628</v>
      </c>
      <c r="B312" t="s">
        <v>9</v>
      </c>
      <c r="C312" t="s">
        <v>5780</v>
      </c>
      <c r="D312" t="s">
        <v>28</v>
      </c>
      <c r="E312" t="s">
        <v>15</v>
      </c>
      <c r="F312" t="s">
        <v>5770</v>
      </c>
      <c r="J312" t="s">
        <v>5737</v>
      </c>
      <c r="K312">
        <v>50</v>
      </c>
      <c r="L312" t="str" cm="1">
        <f t="array" ref="L312">_xlfn.IFS(
 K312&lt;=50,"≤50",
 AND(K312&gt;=51,K312&lt;=100),"51–100",
 AND(K312&gt;=101,K312&lt;=250),"101–250",
 AND(K312&gt;=251,K312&lt;=500),"251–500",
 AND(K312&gt;=501,K312&lt;=1000),"501–1000",
 K312&gt;=1001,"1001+"
)</f>
        <v>≤50</v>
      </c>
    </row>
    <row r="313" spans="1:12" x14ac:dyDescent="0.3">
      <c r="A313" t="s">
        <v>629</v>
      </c>
      <c r="B313" t="s">
        <v>13</v>
      </c>
      <c r="C313" t="s">
        <v>5777</v>
      </c>
      <c r="D313" t="s">
        <v>630</v>
      </c>
      <c r="E313" t="s">
        <v>15</v>
      </c>
      <c r="F313" t="s">
        <v>20</v>
      </c>
      <c r="G313" t="s">
        <v>21</v>
      </c>
      <c r="J313" t="s">
        <v>5758</v>
      </c>
      <c r="K313">
        <v>50</v>
      </c>
      <c r="L313" t="str" cm="1">
        <f t="array" ref="L313">_xlfn.IFS(
 K313&lt;=50,"≤50",
 AND(K313&gt;=51,K313&lt;=100),"51–100",
 AND(K313&gt;=101,K313&lt;=250),"101–250",
 AND(K313&gt;=251,K313&lt;=500),"251–500",
 AND(K313&gt;=501,K313&lt;=1000),"501–1000",
 K313&gt;=1001,"1001+"
)</f>
        <v>≤50</v>
      </c>
    </row>
    <row r="314" spans="1:12" x14ac:dyDescent="0.3">
      <c r="A314" t="s">
        <v>631</v>
      </c>
      <c r="B314" t="s">
        <v>9</v>
      </c>
      <c r="C314" t="s">
        <v>5780</v>
      </c>
      <c r="D314" t="s">
        <v>632</v>
      </c>
      <c r="F314" t="s">
        <v>5770</v>
      </c>
      <c r="J314" t="s">
        <v>5740</v>
      </c>
      <c r="K314">
        <v>50</v>
      </c>
      <c r="L314" t="str" cm="1">
        <f t="array" ref="L314">_xlfn.IFS(
 K314&lt;=50,"≤50",
 AND(K314&gt;=51,K314&lt;=100),"51–100",
 AND(K314&gt;=101,K314&lt;=250),"101–250",
 AND(K314&gt;=251,K314&lt;=500),"251–500",
 AND(K314&gt;=501,K314&lt;=1000),"501–1000",
 K314&gt;=1001,"1001+"
)</f>
        <v>≤50</v>
      </c>
    </row>
    <row r="315" spans="1:12" x14ac:dyDescent="0.3">
      <c r="A315" t="s">
        <v>633</v>
      </c>
      <c r="B315" t="s">
        <v>13</v>
      </c>
      <c r="C315" t="s">
        <v>5777</v>
      </c>
      <c r="D315" t="s">
        <v>634</v>
      </c>
      <c r="E315" t="s">
        <v>15</v>
      </c>
      <c r="F315" t="s">
        <v>16</v>
      </c>
      <c r="G315" t="s">
        <v>635</v>
      </c>
      <c r="J315" t="s">
        <v>5738</v>
      </c>
      <c r="K315">
        <v>50</v>
      </c>
      <c r="L315" t="str" cm="1">
        <f t="array" ref="L315">_xlfn.IFS(
 K315&lt;=50,"≤50",
 AND(K315&gt;=51,K315&lt;=100),"51–100",
 AND(K315&gt;=101,K315&lt;=250),"101–250",
 AND(K315&gt;=251,K315&lt;=500),"251–500",
 AND(K315&gt;=501,K315&lt;=1000),"501–1000",
 K315&gt;=1001,"1001+"
)</f>
        <v>≤50</v>
      </c>
    </row>
    <row r="316" spans="1:12" x14ac:dyDescent="0.3">
      <c r="A316" t="s">
        <v>636</v>
      </c>
      <c r="B316" t="s">
        <v>13</v>
      </c>
      <c r="C316" t="s">
        <v>5777</v>
      </c>
      <c r="D316" t="s">
        <v>637</v>
      </c>
      <c r="E316" t="s">
        <v>15</v>
      </c>
      <c r="F316" t="s">
        <v>20</v>
      </c>
      <c r="G316" t="s">
        <v>21</v>
      </c>
      <c r="J316" t="s">
        <v>5743</v>
      </c>
      <c r="K316">
        <v>50</v>
      </c>
      <c r="L316" t="str" cm="1">
        <f t="array" ref="L316">_xlfn.IFS(
 K316&lt;=50,"≤50",
 AND(K316&gt;=51,K316&lt;=100),"51–100",
 AND(K316&gt;=101,K316&lt;=250),"101–250",
 AND(K316&gt;=251,K316&lt;=500),"251–500",
 AND(K316&gt;=501,K316&lt;=1000),"501–1000",
 K316&gt;=1001,"1001+"
)</f>
        <v>≤50</v>
      </c>
    </row>
    <row r="317" spans="1:12" x14ac:dyDescent="0.3">
      <c r="A317" t="s">
        <v>638</v>
      </c>
      <c r="B317" t="s">
        <v>11</v>
      </c>
      <c r="C317" t="s">
        <v>5776</v>
      </c>
      <c r="F317" t="s">
        <v>5770</v>
      </c>
      <c r="J317" t="s">
        <v>5737</v>
      </c>
      <c r="K317">
        <v>50</v>
      </c>
      <c r="L317" t="str" cm="1">
        <f t="array" ref="L317">_xlfn.IFS(
 K317&lt;=50,"≤50",
 AND(K317&gt;=51,K317&lt;=100),"51–100",
 AND(K317&gt;=101,K317&lt;=250),"101–250",
 AND(K317&gt;=251,K317&lt;=500),"251–500",
 AND(K317&gt;=501,K317&lt;=1000),"501–1000",
 K317&gt;=1001,"1001+"
)</f>
        <v>≤50</v>
      </c>
    </row>
    <row r="318" spans="1:12" x14ac:dyDescent="0.3">
      <c r="A318" t="s">
        <v>639</v>
      </c>
      <c r="B318" t="s">
        <v>9</v>
      </c>
      <c r="C318" t="s">
        <v>5780</v>
      </c>
      <c r="D318" t="s">
        <v>640</v>
      </c>
      <c r="F318" t="s">
        <v>5770</v>
      </c>
      <c r="J318" t="s">
        <v>5753</v>
      </c>
      <c r="K318">
        <v>50</v>
      </c>
      <c r="L318" t="str" cm="1">
        <f t="array" ref="L318">_xlfn.IFS(
 K318&lt;=50,"≤50",
 AND(K318&gt;=51,K318&lt;=100),"51–100",
 AND(K318&gt;=101,K318&lt;=250),"101–250",
 AND(K318&gt;=251,K318&lt;=500),"251–500",
 AND(K318&gt;=501,K318&lt;=1000),"501–1000",
 K318&gt;=1001,"1001+"
)</f>
        <v>≤50</v>
      </c>
    </row>
    <row r="319" spans="1:12" x14ac:dyDescent="0.3">
      <c r="A319" t="s">
        <v>641</v>
      </c>
      <c r="B319" t="s">
        <v>13</v>
      </c>
      <c r="C319" t="s">
        <v>5777</v>
      </c>
      <c r="D319" t="s">
        <v>642</v>
      </c>
      <c r="E319" t="s">
        <v>15</v>
      </c>
      <c r="F319" t="s">
        <v>5770</v>
      </c>
      <c r="J319" t="s">
        <v>5754</v>
      </c>
      <c r="K319">
        <v>50</v>
      </c>
      <c r="L319" t="str" cm="1">
        <f t="array" ref="L319">_xlfn.IFS(
 K319&lt;=50,"≤50",
 AND(K319&gt;=51,K319&lt;=100),"51–100",
 AND(K319&gt;=101,K319&lt;=250),"101–250",
 AND(K319&gt;=251,K319&lt;=500),"251–500",
 AND(K319&gt;=501,K319&lt;=1000),"501–1000",
 K319&gt;=1001,"1001+"
)</f>
        <v>≤50</v>
      </c>
    </row>
    <row r="320" spans="1:12" x14ac:dyDescent="0.3">
      <c r="A320" t="s">
        <v>643</v>
      </c>
      <c r="B320" t="s">
        <v>9</v>
      </c>
      <c r="C320" t="s">
        <v>5780</v>
      </c>
      <c r="D320" t="s">
        <v>339</v>
      </c>
      <c r="F320" t="s">
        <v>5770</v>
      </c>
      <c r="J320" t="s">
        <v>5738</v>
      </c>
      <c r="K320">
        <v>50</v>
      </c>
      <c r="L320" t="str" cm="1">
        <f t="array" ref="L320">_xlfn.IFS(
 K320&lt;=50,"≤50",
 AND(K320&gt;=51,K320&lt;=100),"51–100",
 AND(K320&gt;=101,K320&lt;=250),"101–250",
 AND(K320&gt;=251,K320&lt;=500),"251–500",
 AND(K320&gt;=501,K320&lt;=1000),"501–1000",
 K320&gt;=1001,"1001+"
)</f>
        <v>≤50</v>
      </c>
    </row>
    <row r="321" spans="1:12" x14ac:dyDescent="0.3">
      <c r="A321" t="s">
        <v>644</v>
      </c>
      <c r="B321" t="s">
        <v>9</v>
      </c>
      <c r="C321" t="s">
        <v>5780</v>
      </c>
      <c r="D321" t="s">
        <v>28</v>
      </c>
      <c r="F321" t="s">
        <v>5770</v>
      </c>
      <c r="J321" t="s">
        <v>5743</v>
      </c>
      <c r="K321">
        <v>50</v>
      </c>
      <c r="L321" t="str" cm="1">
        <f t="array" ref="L321">_xlfn.IFS(
 K321&lt;=50,"≤50",
 AND(K321&gt;=51,K321&lt;=100),"51–100",
 AND(K321&gt;=101,K321&lt;=250),"101–250",
 AND(K321&gt;=251,K321&lt;=500),"251–500",
 AND(K321&gt;=501,K321&lt;=1000),"501–1000",
 K321&gt;=1001,"1001+"
)</f>
        <v>≤50</v>
      </c>
    </row>
    <row r="322" spans="1:12" x14ac:dyDescent="0.3">
      <c r="A322" t="s">
        <v>645</v>
      </c>
      <c r="B322" t="s">
        <v>9</v>
      </c>
      <c r="C322" t="s">
        <v>5780</v>
      </c>
      <c r="D322" t="s">
        <v>646</v>
      </c>
      <c r="E322" t="s">
        <v>15</v>
      </c>
      <c r="F322" t="s">
        <v>20</v>
      </c>
      <c r="G322" t="s">
        <v>21</v>
      </c>
      <c r="J322" t="s">
        <v>5737</v>
      </c>
      <c r="K322">
        <v>50</v>
      </c>
      <c r="L322" t="str" cm="1">
        <f t="array" ref="L322">_xlfn.IFS(
 K322&lt;=50,"≤50",
 AND(K322&gt;=51,K322&lt;=100),"51–100",
 AND(K322&gt;=101,K322&lt;=250),"101–250",
 AND(K322&gt;=251,K322&lt;=500),"251–500",
 AND(K322&gt;=501,K322&lt;=1000),"501–1000",
 K322&gt;=1001,"1001+"
)</f>
        <v>≤50</v>
      </c>
    </row>
    <row r="323" spans="1:12" x14ac:dyDescent="0.3">
      <c r="A323" t="s">
        <v>647</v>
      </c>
      <c r="B323" t="s">
        <v>9</v>
      </c>
      <c r="C323" t="s">
        <v>5780</v>
      </c>
      <c r="D323" t="s">
        <v>648</v>
      </c>
      <c r="F323" t="s">
        <v>5770</v>
      </c>
      <c r="J323" t="s">
        <v>5742</v>
      </c>
      <c r="K323">
        <v>50</v>
      </c>
      <c r="L323" t="str" cm="1">
        <f t="array" ref="L323">_xlfn.IFS(
 K323&lt;=50,"≤50",
 AND(K323&gt;=51,K323&lt;=100),"51–100",
 AND(K323&gt;=101,K323&lt;=250),"101–250",
 AND(K323&gt;=251,K323&lt;=500),"251–500",
 AND(K323&gt;=501,K323&lt;=1000),"501–1000",
 K323&gt;=1001,"1001+"
)</f>
        <v>≤50</v>
      </c>
    </row>
    <row r="324" spans="1:12" x14ac:dyDescent="0.3">
      <c r="A324" t="s">
        <v>649</v>
      </c>
      <c r="B324" t="s">
        <v>11</v>
      </c>
      <c r="C324" t="s">
        <v>5776</v>
      </c>
      <c r="F324" t="s">
        <v>5770</v>
      </c>
      <c r="J324" t="s">
        <v>5740</v>
      </c>
      <c r="K324">
        <v>50</v>
      </c>
      <c r="L324" t="str" cm="1">
        <f t="array" ref="L324">_xlfn.IFS(
 K324&lt;=50,"≤50",
 AND(K324&gt;=51,K324&lt;=100),"51–100",
 AND(K324&gt;=101,K324&lt;=250),"101–250",
 AND(K324&gt;=251,K324&lt;=500),"251–500",
 AND(K324&gt;=501,K324&lt;=1000),"501–1000",
 K324&gt;=1001,"1001+"
)</f>
        <v>≤50</v>
      </c>
    </row>
    <row r="325" spans="1:12" x14ac:dyDescent="0.3">
      <c r="A325" t="s">
        <v>650</v>
      </c>
      <c r="B325" t="s">
        <v>13</v>
      </c>
      <c r="C325" t="s">
        <v>5777</v>
      </c>
      <c r="D325" t="s">
        <v>651</v>
      </c>
      <c r="E325" t="s">
        <v>15</v>
      </c>
      <c r="F325" t="s">
        <v>20</v>
      </c>
      <c r="G325" t="s">
        <v>652</v>
      </c>
      <c r="J325" t="s">
        <v>5737</v>
      </c>
      <c r="K325">
        <v>50</v>
      </c>
      <c r="L325" t="str" cm="1">
        <f t="array" ref="L325">_xlfn.IFS(
 K325&lt;=50,"≤50",
 AND(K325&gt;=51,K325&lt;=100),"51–100",
 AND(K325&gt;=101,K325&lt;=250),"101–250",
 AND(K325&gt;=251,K325&lt;=500),"251–500",
 AND(K325&gt;=501,K325&lt;=1000),"501–1000",
 K325&gt;=1001,"1001+"
)</f>
        <v>≤50</v>
      </c>
    </row>
    <row r="326" spans="1:12" x14ac:dyDescent="0.3">
      <c r="A326" t="s">
        <v>653</v>
      </c>
      <c r="B326" t="s">
        <v>11</v>
      </c>
      <c r="C326" t="s">
        <v>5776</v>
      </c>
      <c r="E326" t="s">
        <v>15</v>
      </c>
      <c r="F326" t="s">
        <v>20</v>
      </c>
      <c r="G326" t="s">
        <v>654</v>
      </c>
      <c r="J326" t="s">
        <v>5737</v>
      </c>
      <c r="K326">
        <v>50</v>
      </c>
      <c r="L326" t="str" cm="1">
        <f t="array" ref="L326">_xlfn.IFS(
 K326&lt;=50,"≤50",
 AND(K326&gt;=51,K326&lt;=100),"51–100",
 AND(K326&gt;=101,K326&lt;=250),"101–250",
 AND(K326&gt;=251,K326&lt;=500),"251–500",
 AND(K326&gt;=501,K326&lt;=1000),"501–1000",
 K326&gt;=1001,"1001+"
)</f>
        <v>≤50</v>
      </c>
    </row>
    <row r="327" spans="1:12" x14ac:dyDescent="0.3">
      <c r="A327" t="s">
        <v>655</v>
      </c>
      <c r="B327" t="s">
        <v>13</v>
      </c>
      <c r="C327" t="s">
        <v>5777</v>
      </c>
      <c r="D327" t="s">
        <v>656</v>
      </c>
      <c r="E327" t="s">
        <v>15</v>
      </c>
      <c r="F327" t="s">
        <v>54</v>
      </c>
      <c r="G327" t="s">
        <v>657</v>
      </c>
      <c r="J327" t="s">
        <v>5737</v>
      </c>
      <c r="K327">
        <v>50</v>
      </c>
      <c r="L327" t="str" cm="1">
        <f t="array" ref="L327">_xlfn.IFS(
 K327&lt;=50,"≤50",
 AND(K327&gt;=51,K327&lt;=100),"51–100",
 AND(K327&gt;=101,K327&lt;=250),"101–250",
 AND(K327&gt;=251,K327&lt;=500),"251–500",
 AND(K327&gt;=501,K327&lt;=1000),"501–1000",
 K327&gt;=1001,"1001+"
)</f>
        <v>≤50</v>
      </c>
    </row>
    <row r="328" spans="1:12" x14ac:dyDescent="0.3">
      <c r="A328" t="s">
        <v>658</v>
      </c>
      <c r="B328" t="s">
        <v>11</v>
      </c>
      <c r="C328" t="s">
        <v>5776</v>
      </c>
      <c r="F328" t="s">
        <v>5770</v>
      </c>
      <c r="J328" t="s">
        <v>5737</v>
      </c>
      <c r="K328">
        <v>50</v>
      </c>
      <c r="L328" t="str" cm="1">
        <f t="array" ref="L328">_xlfn.IFS(
 K328&lt;=50,"≤50",
 AND(K328&gt;=51,K328&lt;=100),"51–100",
 AND(K328&gt;=101,K328&lt;=250),"101–250",
 AND(K328&gt;=251,K328&lt;=500),"251–500",
 AND(K328&gt;=501,K328&lt;=1000),"501–1000",
 K328&gt;=1001,"1001+"
)</f>
        <v>≤50</v>
      </c>
    </row>
    <row r="329" spans="1:12" x14ac:dyDescent="0.3">
      <c r="A329" t="s">
        <v>659</v>
      </c>
      <c r="B329" t="s">
        <v>9</v>
      </c>
      <c r="C329" t="s">
        <v>5780</v>
      </c>
      <c r="D329" t="s">
        <v>660</v>
      </c>
      <c r="E329" t="s">
        <v>15</v>
      </c>
      <c r="F329" t="s">
        <v>16</v>
      </c>
      <c r="G329" t="s">
        <v>661</v>
      </c>
      <c r="J329" t="s">
        <v>5737</v>
      </c>
      <c r="K329">
        <v>50</v>
      </c>
      <c r="L329" t="str" cm="1">
        <f t="array" ref="L329">_xlfn.IFS(
 K329&lt;=50,"≤50",
 AND(K329&gt;=51,K329&lt;=100),"51–100",
 AND(K329&gt;=101,K329&lt;=250),"101–250",
 AND(K329&gt;=251,K329&lt;=500),"251–500",
 AND(K329&gt;=501,K329&lt;=1000),"501–1000",
 K329&gt;=1001,"1001+"
)</f>
        <v>≤50</v>
      </c>
    </row>
    <row r="330" spans="1:12" x14ac:dyDescent="0.3">
      <c r="A330" t="s">
        <v>662</v>
      </c>
      <c r="B330" t="s">
        <v>9</v>
      </c>
      <c r="C330" t="s">
        <v>5780</v>
      </c>
      <c r="D330" t="s">
        <v>663</v>
      </c>
      <c r="E330" t="s">
        <v>15</v>
      </c>
      <c r="F330" t="s">
        <v>20</v>
      </c>
      <c r="G330" t="s">
        <v>664</v>
      </c>
      <c r="J330" t="s">
        <v>5738</v>
      </c>
      <c r="K330">
        <v>50</v>
      </c>
      <c r="L330" t="str" cm="1">
        <f t="array" ref="L330">_xlfn.IFS(
 K330&lt;=50,"≤50",
 AND(K330&gt;=51,K330&lt;=100),"51–100",
 AND(K330&gt;=101,K330&lt;=250),"101–250",
 AND(K330&gt;=251,K330&lt;=500),"251–500",
 AND(K330&gt;=501,K330&lt;=1000),"501–1000",
 K330&gt;=1001,"1001+"
)</f>
        <v>≤50</v>
      </c>
    </row>
    <row r="331" spans="1:12" x14ac:dyDescent="0.3">
      <c r="A331" t="s">
        <v>665</v>
      </c>
      <c r="B331" t="s">
        <v>9</v>
      </c>
      <c r="C331" t="s">
        <v>5780</v>
      </c>
      <c r="D331" t="s">
        <v>666</v>
      </c>
      <c r="E331" t="s">
        <v>15</v>
      </c>
      <c r="F331" t="s">
        <v>20</v>
      </c>
      <c r="G331" t="s">
        <v>667</v>
      </c>
      <c r="J331" t="s">
        <v>5752</v>
      </c>
      <c r="K331">
        <v>50</v>
      </c>
      <c r="L331" t="str" cm="1">
        <f t="array" ref="L331">_xlfn.IFS(
 K331&lt;=50,"≤50",
 AND(K331&gt;=51,K331&lt;=100),"51–100",
 AND(K331&gt;=101,K331&lt;=250),"101–250",
 AND(K331&gt;=251,K331&lt;=500),"251–500",
 AND(K331&gt;=501,K331&lt;=1000),"501–1000",
 K331&gt;=1001,"1001+"
)</f>
        <v>≤50</v>
      </c>
    </row>
    <row r="332" spans="1:12" x14ac:dyDescent="0.3">
      <c r="A332" t="s">
        <v>668</v>
      </c>
      <c r="B332" t="s">
        <v>9</v>
      </c>
      <c r="C332" t="s">
        <v>5780</v>
      </c>
      <c r="D332" t="s">
        <v>669</v>
      </c>
      <c r="E332" t="s">
        <v>15</v>
      </c>
      <c r="F332" t="s">
        <v>20</v>
      </c>
      <c r="G332" t="s">
        <v>670</v>
      </c>
      <c r="J332" t="s">
        <v>5740</v>
      </c>
      <c r="K332">
        <v>50</v>
      </c>
      <c r="L332" t="str" cm="1">
        <f t="array" ref="L332">_xlfn.IFS(
 K332&lt;=50,"≤50",
 AND(K332&gt;=51,K332&lt;=100),"51–100",
 AND(K332&gt;=101,K332&lt;=250),"101–250",
 AND(K332&gt;=251,K332&lt;=500),"251–500",
 AND(K332&gt;=501,K332&lt;=1000),"501–1000",
 K332&gt;=1001,"1001+"
)</f>
        <v>≤50</v>
      </c>
    </row>
    <row r="333" spans="1:12" x14ac:dyDescent="0.3">
      <c r="A333" t="s">
        <v>671</v>
      </c>
      <c r="B333" t="s">
        <v>9</v>
      </c>
      <c r="C333" t="s">
        <v>5780</v>
      </c>
      <c r="D333" t="s">
        <v>672</v>
      </c>
      <c r="F333" t="s">
        <v>20</v>
      </c>
      <c r="G333" t="s">
        <v>673</v>
      </c>
      <c r="J333" t="s">
        <v>5740</v>
      </c>
      <c r="K333">
        <v>50</v>
      </c>
      <c r="L333" t="str" cm="1">
        <f t="array" ref="L333">_xlfn.IFS(
 K333&lt;=50,"≤50",
 AND(K333&gt;=51,K333&lt;=100),"51–100",
 AND(K333&gt;=101,K333&lt;=250),"101–250",
 AND(K333&gt;=251,K333&lt;=500),"251–500",
 AND(K333&gt;=501,K333&lt;=1000),"501–1000",
 K333&gt;=1001,"1001+"
)</f>
        <v>≤50</v>
      </c>
    </row>
    <row r="334" spans="1:12" x14ac:dyDescent="0.3">
      <c r="A334" t="s">
        <v>674</v>
      </c>
      <c r="B334" t="s">
        <v>11</v>
      </c>
      <c r="C334" t="s">
        <v>5776</v>
      </c>
      <c r="F334" t="s">
        <v>5770</v>
      </c>
      <c r="J334" t="s">
        <v>5737</v>
      </c>
      <c r="K334">
        <v>50</v>
      </c>
      <c r="L334" t="str" cm="1">
        <f t="array" ref="L334">_xlfn.IFS(
 K334&lt;=50,"≤50",
 AND(K334&gt;=51,K334&lt;=100),"51–100",
 AND(K334&gt;=101,K334&lt;=250),"101–250",
 AND(K334&gt;=251,K334&lt;=500),"251–500",
 AND(K334&gt;=501,K334&lt;=1000),"501–1000",
 K334&gt;=1001,"1001+"
)</f>
        <v>≤50</v>
      </c>
    </row>
    <row r="335" spans="1:12" x14ac:dyDescent="0.3">
      <c r="A335" t="s">
        <v>675</v>
      </c>
      <c r="B335" t="s">
        <v>9</v>
      </c>
      <c r="C335" t="s">
        <v>5780</v>
      </c>
      <c r="D335" t="s">
        <v>28</v>
      </c>
      <c r="F335" t="s">
        <v>5770</v>
      </c>
      <c r="J335" t="s">
        <v>5737</v>
      </c>
      <c r="K335">
        <v>50</v>
      </c>
      <c r="L335" t="str" cm="1">
        <f t="array" ref="L335">_xlfn.IFS(
 K335&lt;=50,"≤50",
 AND(K335&gt;=51,K335&lt;=100),"51–100",
 AND(K335&gt;=101,K335&lt;=250),"101–250",
 AND(K335&gt;=251,K335&lt;=500),"251–500",
 AND(K335&gt;=501,K335&lt;=1000),"501–1000",
 K335&gt;=1001,"1001+"
)</f>
        <v>≤50</v>
      </c>
    </row>
    <row r="336" spans="1:12" x14ac:dyDescent="0.3">
      <c r="A336" t="s">
        <v>676</v>
      </c>
      <c r="B336" t="s">
        <v>11</v>
      </c>
      <c r="C336" t="s">
        <v>5776</v>
      </c>
      <c r="F336" t="s">
        <v>5770</v>
      </c>
      <c r="J336" t="s">
        <v>5737</v>
      </c>
      <c r="K336">
        <v>50</v>
      </c>
      <c r="L336" t="str" cm="1">
        <f t="array" ref="L336">_xlfn.IFS(
 K336&lt;=50,"≤50",
 AND(K336&gt;=51,K336&lt;=100),"51–100",
 AND(K336&gt;=101,K336&lt;=250),"101–250",
 AND(K336&gt;=251,K336&lt;=500),"251–500",
 AND(K336&gt;=501,K336&lt;=1000),"501–1000",
 K336&gt;=1001,"1001+"
)</f>
        <v>≤50</v>
      </c>
    </row>
    <row r="337" spans="1:12" x14ac:dyDescent="0.3">
      <c r="A337" t="s">
        <v>677</v>
      </c>
      <c r="B337" t="s">
        <v>9</v>
      </c>
      <c r="C337" t="s">
        <v>5780</v>
      </c>
      <c r="D337" t="s">
        <v>28</v>
      </c>
      <c r="E337" t="s">
        <v>15</v>
      </c>
      <c r="F337" t="s">
        <v>54</v>
      </c>
      <c r="G337" t="s">
        <v>588</v>
      </c>
      <c r="J337" t="s">
        <v>5737</v>
      </c>
      <c r="K337">
        <v>50</v>
      </c>
      <c r="L337" t="str" cm="1">
        <f t="array" ref="L337">_xlfn.IFS(
 K337&lt;=50,"≤50",
 AND(K337&gt;=51,K337&lt;=100),"51–100",
 AND(K337&gt;=101,K337&lt;=250),"101–250",
 AND(K337&gt;=251,K337&lt;=500),"251–500",
 AND(K337&gt;=501,K337&lt;=1000),"501–1000",
 K337&gt;=1001,"1001+"
)</f>
        <v>≤50</v>
      </c>
    </row>
    <row r="338" spans="1:12" x14ac:dyDescent="0.3">
      <c r="A338" t="s">
        <v>678</v>
      </c>
      <c r="B338" t="s">
        <v>9</v>
      </c>
      <c r="C338" t="s">
        <v>5780</v>
      </c>
      <c r="D338" t="s">
        <v>679</v>
      </c>
      <c r="E338" t="s">
        <v>15</v>
      </c>
      <c r="F338" t="s">
        <v>16</v>
      </c>
      <c r="G338" t="s">
        <v>680</v>
      </c>
      <c r="J338" t="s">
        <v>5737</v>
      </c>
      <c r="K338">
        <v>50</v>
      </c>
      <c r="L338" t="str" cm="1">
        <f t="array" ref="L338">_xlfn.IFS(
 K338&lt;=50,"≤50",
 AND(K338&gt;=51,K338&lt;=100),"51–100",
 AND(K338&gt;=101,K338&lt;=250),"101–250",
 AND(K338&gt;=251,K338&lt;=500),"251–500",
 AND(K338&gt;=501,K338&lt;=1000),"501–1000",
 K338&gt;=1001,"1001+"
)</f>
        <v>≤50</v>
      </c>
    </row>
    <row r="339" spans="1:12" x14ac:dyDescent="0.3">
      <c r="A339" t="s">
        <v>681</v>
      </c>
      <c r="B339" t="s">
        <v>13</v>
      </c>
      <c r="C339" t="s">
        <v>5777</v>
      </c>
      <c r="D339" t="s">
        <v>682</v>
      </c>
      <c r="E339" t="s">
        <v>15</v>
      </c>
      <c r="F339" t="s">
        <v>16</v>
      </c>
      <c r="G339" t="s">
        <v>683</v>
      </c>
      <c r="J339" t="s">
        <v>5737</v>
      </c>
      <c r="K339">
        <v>50</v>
      </c>
      <c r="L339" t="str" cm="1">
        <f t="array" ref="L339">_xlfn.IFS(
 K339&lt;=50,"≤50",
 AND(K339&gt;=51,K339&lt;=100),"51–100",
 AND(K339&gt;=101,K339&lt;=250),"101–250",
 AND(K339&gt;=251,K339&lt;=500),"251–500",
 AND(K339&gt;=501,K339&lt;=1000),"501–1000",
 K339&gt;=1001,"1001+"
)</f>
        <v>≤50</v>
      </c>
    </row>
    <row r="340" spans="1:12" x14ac:dyDescent="0.3">
      <c r="A340" t="s">
        <v>684</v>
      </c>
      <c r="B340" t="s">
        <v>13</v>
      </c>
      <c r="C340" t="s">
        <v>5777</v>
      </c>
      <c r="D340" t="s">
        <v>573</v>
      </c>
      <c r="E340" t="s">
        <v>15</v>
      </c>
      <c r="F340" t="s">
        <v>5770</v>
      </c>
      <c r="J340" t="s">
        <v>5760</v>
      </c>
      <c r="K340">
        <v>50</v>
      </c>
      <c r="L340" t="str" cm="1">
        <f t="array" ref="L340">_xlfn.IFS(
 K340&lt;=50,"≤50",
 AND(K340&gt;=51,K340&lt;=100),"51–100",
 AND(K340&gt;=101,K340&lt;=250),"101–250",
 AND(K340&gt;=251,K340&lt;=500),"251–500",
 AND(K340&gt;=501,K340&lt;=1000),"501–1000",
 K340&gt;=1001,"1001+"
)</f>
        <v>≤50</v>
      </c>
    </row>
    <row r="341" spans="1:12" x14ac:dyDescent="0.3">
      <c r="A341" t="s">
        <v>685</v>
      </c>
      <c r="B341" t="s">
        <v>9</v>
      </c>
      <c r="C341" t="s">
        <v>5780</v>
      </c>
      <c r="D341" t="s">
        <v>28</v>
      </c>
      <c r="F341" t="s">
        <v>5770</v>
      </c>
      <c r="J341" t="s">
        <v>5760</v>
      </c>
      <c r="K341">
        <v>50</v>
      </c>
      <c r="L341" t="str" cm="1">
        <f t="array" ref="L341">_xlfn.IFS(
 K341&lt;=50,"≤50",
 AND(K341&gt;=51,K341&lt;=100),"51–100",
 AND(K341&gt;=101,K341&lt;=250),"101–250",
 AND(K341&gt;=251,K341&lt;=500),"251–500",
 AND(K341&gt;=501,K341&lt;=1000),"501–1000",
 K341&gt;=1001,"1001+"
)</f>
        <v>≤50</v>
      </c>
    </row>
    <row r="342" spans="1:12" x14ac:dyDescent="0.3">
      <c r="A342" t="s">
        <v>686</v>
      </c>
      <c r="B342" t="s">
        <v>13</v>
      </c>
      <c r="C342" t="s">
        <v>5777</v>
      </c>
      <c r="D342" t="s">
        <v>687</v>
      </c>
      <c r="E342" t="s">
        <v>15</v>
      </c>
      <c r="F342" t="s">
        <v>20</v>
      </c>
      <c r="G342" t="s">
        <v>688</v>
      </c>
      <c r="J342" t="s">
        <v>5761</v>
      </c>
      <c r="K342">
        <v>50</v>
      </c>
      <c r="L342" t="str" cm="1">
        <f t="array" ref="L342">_xlfn.IFS(
 K342&lt;=50,"≤50",
 AND(K342&gt;=51,K342&lt;=100),"51–100",
 AND(K342&gt;=101,K342&lt;=250),"101–250",
 AND(K342&gt;=251,K342&lt;=500),"251–500",
 AND(K342&gt;=501,K342&lt;=1000),"501–1000",
 K342&gt;=1001,"1001+"
)</f>
        <v>≤50</v>
      </c>
    </row>
    <row r="343" spans="1:12" x14ac:dyDescent="0.3">
      <c r="A343" t="s">
        <v>689</v>
      </c>
      <c r="B343" t="s">
        <v>9</v>
      </c>
      <c r="C343" t="s">
        <v>5780</v>
      </c>
      <c r="D343" t="s">
        <v>28</v>
      </c>
      <c r="E343" t="s">
        <v>15</v>
      </c>
      <c r="F343" t="s">
        <v>20</v>
      </c>
      <c r="G343" t="s">
        <v>117</v>
      </c>
      <c r="J343" t="s">
        <v>5761</v>
      </c>
      <c r="K343">
        <v>50</v>
      </c>
      <c r="L343" t="str" cm="1">
        <f t="array" ref="L343">_xlfn.IFS(
 K343&lt;=50,"≤50",
 AND(K343&gt;=51,K343&lt;=100),"51–100",
 AND(K343&gt;=101,K343&lt;=250),"101–250",
 AND(K343&gt;=251,K343&lt;=500),"251–500",
 AND(K343&gt;=501,K343&lt;=1000),"501–1000",
 K343&gt;=1001,"1001+"
)</f>
        <v>≤50</v>
      </c>
    </row>
    <row r="344" spans="1:12" x14ac:dyDescent="0.3">
      <c r="A344" t="s">
        <v>690</v>
      </c>
      <c r="B344" t="s">
        <v>9</v>
      </c>
      <c r="C344" t="s">
        <v>5780</v>
      </c>
      <c r="D344" t="s">
        <v>691</v>
      </c>
      <c r="E344" t="s">
        <v>15</v>
      </c>
      <c r="F344" t="s">
        <v>16</v>
      </c>
      <c r="G344" t="s">
        <v>692</v>
      </c>
      <c r="J344" t="s">
        <v>5737</v>
      </c>
      <c r="K344">
        <v>50</v>
      </c>
      <c r="L344" t="str" cm="1">
        <f t="array" ref="L344">_xlfn.IFS(
 K344&lt;=50,"≤50",
 AND(K344&gt;=51,K344&lt;=100),"51–100",
 AND(K344&gt;=101,K344&lt;=250),"101–250",
 AND(K344&gt;=251,K344&lt;=500),"251–500",
 AND(K344&gt;=501,K344&lt;=1000),"501–1000",
 K344&gt;=1001,"1001+"
)</f>
        <v>≤50</v>
      </c>
    </row>
    <row r="345" spans="1:12" x14ac:dyDescent="0.3">
      <c r="A345" t="s">
        <v>693</v>
      </c>
      <c r="B345" t="s">
        <v>9</v>
      </c>
      <c r="C345" t="s">
        <v>5780</v>
      </c>
      <c r="D345" t="s">
        <v>28</v>
      </c>
      <c r="F345" t="s">
        <v>5770</v>
      </c>
      <c r="J345" t="s">
        <v>5737</v>
      </c>
      <c r="K345">
        <v>50</v>
      </c>
      <c r="L345" t="str" cm="1">
        <f t="array" ref="L345">_xlfn.IFS(
 K345&lt;=50,"≤50",
 AND(K345&gt;=51,K345&lt;=100),"51–100",
 AND(K345&gt;=101,K345&lt;=250),"101–250",
 AND(K345&gt;=251,K345&lt;=500),"251–500",
 AND(K345&gt;=501,K345&lt;=1000),"501–1000",
 K345&gt;=1001,"1001+"
)</f>
        <v>≤50</v>
      </c>
    </row>
    <row r="346" spans="1:12" x14ac:dyDescent="0.3">
      <c r="A346" t="s">
        <v>694</v>
      </c>
      <c r="B346" t="s">
        <v>13</v>
      </c>
      <c r="C346" t="s">
        <v>5777</v>
      </c>
      <c r="D346" t="s">
        <v>695</v>
      </c>
      <c r="F346" t="s">
        <v>20</v>
      </c>
      <c r="G346" t="s">
        <v>21</v>
      </c>
      <c r="J346" t="s">
        <v>5737</v>
      </c>
      <c r="K346">
        <v>50</v>
      </c>
      <c r="L346" t="str" cm="1">
        <f t="array" ref="L346">_xlfn.IFS(
 K346&lt;=50,"≤50",
 AND(K346&gt;=51,K346&lt;=100),"51–100",
 AND(K346&gt;=101,K346&lt;=250),"101–250",
 AND(K346&gt;=251,K346&lt;=500),"251–500",
 AND(K346&gt;=501,K346&lt;=1000),"501–1000",
 K346&gt;=1001,"1001+"
)</f>
        <v>≤50</v>
      </c>
    </row>
    <row r="347" spans="1:12" x14ac:dyDescent="0.3">
      <c r="A347" t="s">
        <v>696</v>
      </c>
      <c r="B347" t="s">
        <v>11</v>
      </c>
      <c r="C347" t="s">
        <v>5776</v>
      </c>
      <c r="F347" t="s">
        <v>5770</v>
      </c>
      <c r="J347" t="s">
        <v>5737</v>
      </c>
      <c r="K347">
        <v>50</v>
      </c>
      <c r="L347" t="str" cm="1">
        <f t="array" ref="L347">_xlfn.IFS(
 K347&lt;=50,"≤50",
 AND(K347&gt;=51,K347&lt;=100),"51–100",
 AND(K347&gt;=101,K347&lt;=250),"101–250",
 AND(K347&gt;=251,K347&lt;=500),"251–500",
 AND(K347&gt;=501,K347&lt;=1000),"501–1000",
 K347&gt;=1001,"1001+"
)</f>
        <v>≤50</v>
      </c>
    </row>
    <row r="348" spans="1:12" x14ac:dyDescent="0.3">
      <c r="A348" t="s">
        <v>697</v>
      </c>
      <c r="B348" t="s">
        <v>9</v>
      </c>
      <c r="C348" t="s">
        <v>5780</v>
      </c>
      <c r="D348" t="s">
        <v>698</v>
      </c>
      <c r="F348" t="s">
        <v>54</v>
      </c>
      <c r="G348" t="s">
        <v>699</v>
      </c>
      <c r="J348" t="s">
        <v>5737</v>
      </c>
      <c r="K348">
        <v>50</v>
      </c>
      <c r="L348" t="str" cm="1">
        <f t="array" ref="L348">_xlfn.IFS(
 K348&lt;=50,"≤50",
 AND(K348&gt;=51,K348&lt;=100),"51–100",
 AND(K348&gt;=101,K348&lt;=250),"101–250",
 AND(K348&gt;=251,K348&lt;=500),"251–500",
 AND(K348&gt;=501,K348&lt;=1000),"501–1000",
 K348&gt;=1001,"1001+"
)</f>
        <v>≤50</v>
      </c>
    </row>
    <row r="349" spans="1:12" x14ac:dyDescent="0.3">
      <c r="A349" t="s">
        <v>700</v>
      </c>
      <c r="B349" t="s">
        <v>13</v>
      </c>
      <c r="C349" t="s">
        <v>5777</v>
      </c>
      <c r="D349" t="s">
        <v>314</v>
      </c>
      <c r="F349" t="s">
        <v>5770</v>
      </c>
      <c r="J349" t="s">
        <v>5755</v>
      </c>
      <c r="K349">
        <v>50</v>
      </c>
      <c r="L349" t="str" cm="1">
        <f t="array" ref="L349">_xlfn.IFS(
 K349&lt;=50,"≤50",
 AND(K349&gt;=51,K349&lt;=100),"51–100",
 AND(K349&gt;=101,K349&lt;=250),"101–250",
 AND(K349&gt;=251,K349&lt;=500),"251–500",
 AND(K349&gt;=501,K349&lt;=1000),"501–1000",
 K349&gt;=1001,"1001+"
)</f>
        <v>≤50</v>
      </c>
    </row>
    <row r="350" spans="1:12" x14ac:dyDescent="0.3">
      <c r="A350" t="s">
        <v>701</v>
      </c>
      <c r="B350" t="s">
        <v>13</v>
      </c>
      <c r="C350" t="s">
        <v>5777</v>
      </c>
      <c r="D350" t="s">
        <v>702</v>
      </c>
      <c r="F350" t="s">
        <v>5770</v>
      </c>
      <c r="J350" t="s">
        <v>5738</v>
      </c>
      <c r="K350">
        <v>50</v>
      </c>
      <c r="L350" t="str" cm="1">
        <f t="array" ref="L350">_xlfn.IFS(
 K350&lt;=50,"≤50",
 AND(K350&gt;=51,K350&lt;=100),"51–100",
 AND(K350&gt;=101,K350&lt;=250),"101–250",
 AND(K350&gt;=251,K350&lt;=500),"251–500",
 AND(K350&gt;=501,K350&lt;=1000),"501–1000",
 K350&gt;=1001,"1001+"
)</f>
        <v>≤50</v>
      </c>
    </row>
    <row r="351" spans="1:12" x14ac:dyDescent="0.3">
      <c r="A351" t="s">
        <v>703</v>
      </c>
      <c r="B351" t="s">
        <v>11</v>
      </c>
      <c r="C351" t="s">
        <v>5776</v>
      </c>
      <c r="F351" t="s">
        <v>5770</v>
      </c>
      <c r="J351" t="s">
        <v>5737</v>
      </c>
      <c r="K351">
        <v>50</v>
      </c>
      <c r="L351" t="str" cm="1">
        <f t="array" ref="L351">_xlfn.IFS(
 K351&lt;=50,"≤50",
 AND(K351&gt;=51,K351&lt;=100),"51–100",
 AND(K351&gt;=101,K351&lt;=250),"101–250",
 AND(K351&gt;=251,K351&lt;=500),"251–500",
 AND(K351&gt;=501,K351&lt;=1000),"501–1000",
 K351&gt;=1001,"1001+"
)</f>
        <v>≤50</v>
      </c>
    </row>
    <row r="352" spans="1:12" x14ac:dyDescent="0.3">
      <c r="A352" t="s">
        <v>704</v>
      </c>
      <c r="B352" t="s">
        <v>11</v>
      </c>
      <c r="C352" t="s">
        <v>5776</v>
      </c>
      <c r="F352" t="s">
        <v>5770</v>
      </c>
      <c r="J352" t="s">
        <v>5737</v>
      </c>
      <c r="K352">
        <v>50</v>
      </c>
      <c r="L352" t="str" cm="1">
        <f t="array" ref="L352">_xlfn.IFS(
 K352&lt;=50,"≤50",
 AND(K352&gt;=51,K352&lt;=100),"51–100",
 AND(K352&gt;=101,K352&lt;=250),"101–250",
 AND(K352&gt;=251,K352&lt;=500),"251–500",
 AND(K352&gt;=501,K352&lt;=1000),"501–1000",
 K352&gt;=1001,"1001+"
)</f>
        <v>≤50</v>
      </c>
    </row>
    <row r="353" spans="1:12" x14ac:dyDescent="0.3">
      <c r="A353" t="s">
        <v>705</v>
      </c>
      <c r="B353" t="s">
        <v>9</v>
      </c>
      <c r="C353" t="s">
        <v>5780</v>
      </c>
      <c r="D353" t="s">
        <v>28</v>
      </c>
      <c r="E353" t="s">
        <v>15</v>
      </c>
      <c r="F353" t="s">
        <v>20</v>
      </c>
      <c r="G353" t="s">
        <v>36</v>
      </c>
      <c r="J353" t="s">
        <v>5737</v>
      </c>
      <c r="K353">
        <v>50</v>
      </c>
      <c r="L353" t="str" cm="1">
        <f t="array" ref="L353">_xlfn.IFS(
 K353&lt;=50,"≤50",
 AND(K353&gt;=51,K353&lt;=100),"51–100",
 AND(K353&gt;=101,K353&lt;=250),"101–250",
 AND(K353&gt;=251,K353&lt;=500),"251–500",
 AND(K353&gt;=501,K353&lt;=1000),"501–1000",
 K353&gt;=1001,"1001+"
)</f>
        <v>≤50</v>
      </c>
    </row>
    <row r="354" spans="1:12" x14ac:dyDescent="0.3">
      <c r="A354" t="s">
        <v>706</v>
      </c>
      <c r="B354" t="s">
        <v>197</v>
      </c>
      <c r="C354" t="s">
        <v>5774</v>
      </c>
      <c r="D354" t="s">
        <v>707</v>
      </c>
      <c r="F354" t="s">
        <v>5770</v>
      </c>
      <c r="J354" t="s">
        <v>5737</v>
      </c>
      <c r="K354">
        <v>50</v>
      </c>
      <c r="L354" t="str" cm="1">
        <f t="array" ref="L354">_xlfn.IFS(
 K354&lt;=50,"≤50",
 AND(K354&gt;=51,K354&lt;=100),"51–100",
 AND(K354&gt;=101,K354&lt;=250),"101–250",
 AND(K354&gt;=251,K354&lt;=500),"251–500",
 AND(K354&gt;=501,K354&lt;=1000),"501–1000",
 K354&gt;=1001,"1001+"
)</f>
        <v>≤50</v>
      </c>
    </row>
    <row r="355" spans="1:12" x14ac:dyDescent="0.3">
      <c r="A355" t="s">
        <v>708</v>
      </c>
      <c r="B355" t="s">
        <v>197</v>
      </c>
      <c r="C355" t="s">
        <v>5774</v>
      </c>
      <c r="D355" t="s">
        <v>709</v>
      </c>
      <c r="E355" t="s">
        <v>15</v>
      </c>
      <c r="F355" t="s">
        <v>20</v>
      </c>
      <c r="G355" t="s">
        <v>42</v>
      </c>
      <c r="J355" t="s">
        <v>5737</v>
      </c>
      <c r="K355">
        <v>50</v>
      </c>
      <c r="L355" t="str" cm="1">
        <f t="array" ref="L355">_xlfn.IFS(
 K355&lt;=50,"≤50",
 AND(K355&gt;=51,K355&lt;=100),"51–100",
 AND(K355&gt;=101,K355&lt;=250),"101–250",
 AND(K355&gt;=251,K355&lt;=500),"251–500",
 AND(K355&gt;=501,K355&lt;=1000),"501–1000",
 K355&gt;=1001,"1001+"
)</f>
        <v>≤50</v>
      </c>
    </row>
    <row r="356" spans="1:12" x14ac:dyDescent="0.3">
      <c r="A356" t="s">
        <v>710</v>
      </c>
      <c r="B356" t="s">
        <v>9</v>
      </c>
      <c r="C356" t="s">
        <v>5780</v>
      </c>
      <c r="D356" t="s">
        <v>711</v>
      </c>
      <c r="E356" t="s">
        <v>15</v>
      </c>
      <c r="F356" t="s">
        <v>5770</v>
      </c>
      <c r="J356" t="s">
        <v>5737</v>
      </c>
      <c r="K356">
        <v>50</v>
      </c>
      <c r="L356" t="str" cm="1">
        <f t="array" ref="L356">_xlfn.IFS(
 K356&lt;=50,"≤50",
 AND(K356&gt;=51,K356&lt;=100),"51–100",
 AND(K356&gt;=101,K356&lt;=250),"101–250",
 AND(K356&gt;=251,K356&lt;=500),"251–500",
 AND(K356&gt;=501,K356&lt;=1000),"501–1000",
 K356&gt;=1001,"1001+"
)</f>
        <v>≤50</v>
      </c>
    </row>
    <row r="357" spans="1:12" x14ac:dyDescent="0.3">
      <c r="A357" t="s">
        <v>712</v>
      </c>
      <c r="B357" t="s">
        <v>9</v>
      </c>
      <c r="C357" t="s">
        <v>5780</v>
      </c>
      <c r="D357" t="s">
        <v>28</v>
      </c>
      <c r="F357" t="s">
        <v>5770</v>
      </c>
      <c r="J357" t="s">
        <v>5752</v>
      </c>
      <c r="K357">
        <v>50</v>
      </c>
      <c r="L357" t="str" cm="1">
        <f t="array" ref="L357">_xlfn.IFS(
 K357&lt;=50,"≤50",
 AND(K357&gt;=51,K357&lt;=100),"51–100",
 AND(K357&gt;=101,K357&lt;=250),"101–250",
 AND(K357&gt;=251,K357&lt;=500),"251–500",
 AND(K357&gt;=501,K357&lt;=1000),"501–1000",
 K357&gt;=1001,"1001+"
)</f>
        <v>≤50</v>
      </c>
    </row>
    <row r="358" spans="1:12" x14ac:dyDescent="0.3">
      <c r="A358" t="s">
        <v>713</v>
      </c>
      <c r="B358" t="s">
        <v>13</v>
      </c>
      <c r="C358" t="s">
        <v>5777</v>
      </c>
      <c r="D358" t="s">
        <v>714</v>
      </c>
      <c r="E358" t="s">
        <v>15</v>
      </c>
      <c r="F358" t="s">
        <v>54</v>
      </c>
      <c r="G358" t="s">
        <v>715</v>
      </c>
      <c r="J358" t="s">
        <v>5737</v>
      </c>
      <c r="K358">
        <v>50</v>
      </c>
      <c r="L358" t="str" cm="1">
        <f t="array" ref="L358">_xlfn.IFS(
 K358&lt;=50,"≤50",
 AND(K358&gt;=51,K358&lt;=100),"51–100",
 AND(K358&gt;=101,K358&lt;=250),"101–250",
 AND(K358&gt;=251,K358&lt;=500),"251–500",
 AND(K358&gt;=501,K358&lt;=1000),"501–1000",
 K358&gt;=1001,"1001+"
)</f>
        <v>≤50</v>
      </c>
    </row>
    <row r="359" spans="1:12" x14ac:dyDescent="0.3">
      <c r="A359" t="s">
        <v>716</v>
      </c>
      <c r="B359" t="s">
        <v>197</v>
      </c>
      <c r="C359" t="s">
        <v>5774</v>
      </c>
      <c r="D359" t="s">
        <v>717</v>
      </c>
      <c r="E359" t="s">
        <v>15</v>
      </c>
      <c r="F359" t="s">
        <v>54</v>
      </c>
      <c r="G359" t="s">
        <v>718</v>
      </c>
      <c r="J359" t="s">
        <v>5737</v>
      </c>
      <c r="K359">
        <v>50</v>
      </c>
      <c r="L359" t="str" cm="1">
        <f t="array" ref="L359">_xlfn.IFS(
 K359&lt;=50,"≤50",
 AND(K359&gt;=51,K359&lt;=100),"51–100",
 AND(K359&gt;=101,K359&lt;=250),"101–250",
 AND(K359&gt;=251,K359&lt;=500),"251–500",
 AND(K359&gt;=501,K359&lt;=1000),"501–1000",
 K359&gt;=1001,"1001+"
)</f>
        <v>≤50</v>
      </c>
    </row>
    <row r="360" spans="1:12" x14ac:dyDescent="0.3">
      <c r="A360" t="s">
        <v>719</v>
      </c>
      <c r="B360" t="s">
        <v>9</v>
      </c>
      <c r="C360" t="s">
        <v>5780</v>
      </c>
      <c r="D360" t="s">
        <v>720</v>
      </c>
      <c r="E360" t="s">
        <v>15</v>
      </c>
      <c r="F360" t="s">
        <v>16</v>
      </c>
      <c r="G360" t="s">
        <v>721</v>
      </c>
      <c r="J360" t="s">
        <v>5737</v>
      </c>
      <c r="K360">
        <v>50</v>
      </c>
      <c r="L360" t="str" cm="1">
        <f t="array" ref="L360">_xlfn.IFS(
 K360&lt;=50,"≤50",
 AND(K360&gt;=51,K360&lt;=100),"51–100",
 AND(K360&gt;=101,K360&lt;=250),"101–250",
 AND(K360&gt;=251,K360&lt;=500),"251–500",
 AND(K360&gt;=501,K360&lt;=1000),"501–1000",
 K360&gt;=1001,"1001+"
)</f>
        <v>≤50</v>
      </c>
    </row>
    <row r="361" spans="1:12" x14ac:dyDescent="0.3">
      <c r="A361" t="s">
        <v>722</v>
      </c>
      <c r="B361" t="s">
        <v>13</v>
      </c>
      <c r="C361" t="s">
        <v>5777</v>
      </c>
      <c r="D361" t="s">
        <v>723</v>
      </c>
      <c r="E361" t="s">
        <v>15</v>
      </c>
      <c r="F361" t="s">
        <v>54</v>
      </c>
      <c r="G361" t="s">
        <v>724</v>
      </c>
      <c r="J361" t="s">
        <v>5744</v>
      </c>
      <c r="K361">
        <v>50</v>
      </c>
      <c r="L361" t="str" cm="1">
        <f t="array" ref="L361">_xlfn.IFS(
 K361&lt;=50,"≤50",
 AND(K361&gt;=51,K361&lt;=100),"51–100",
 AND(K361&gt;=101,K361&lt;=250),"101–250",
 AND(K361&gt;=251,K361&lt;=500),"251–500",
 AND(K361&gt;=501,K361&lt;=1000),"501–1000",
 K361&gt;=1001,"1001+"
)</f>
        <v>≤50</v>
      </c>
    </row>
    <row r="362" spans="1:12" x14ac:dyDescent="0.3">
      <c r="A362" t="s">
        <v>725</v>
      </c>
      <c r="B362" t="s">
        <v>9</v>
      </c>
      <c r="C362" t="s">
        <v>5780</v>
      </c>
      <c r="D362" t="s">
        <v>726</v>
      </c>
      <c r="E362" t="s">
        <v>15</v>
      </c>
      <c r="F362" t="s">
        <v>16</v>
      </c>
      <c r="G362" t="s">
        <v>727</v>
      </c>
      <c r="J362" t="s">
        <v>5747</v>
      </c>
      <c r="K362">
        <v>50</v>
      </c>
      <c r="L362" t="str" cm="1">
        <f t="array" ref="L362">_xlfn.IFS(
 K362&lt;=50,"≤50",
 AND(K362&gt;=51,K362&lt;=100),"51–100",
 AND(K362&gt;=101,K362&lt;=250),"101–250",
 AND(K362&gt;=251,K362&lt;=500),"251–500",
 AND(K362&gt;=501,K362&lt;=1000),"501–1000",
 K362&gt;=1001,"1001+"
)</f>
        <v>≤50</v>
      </c>
    </row>
    <row r="363" spans="1:12" x14ac:dyDescent="0.3">
      <c r="A363" t="s">
        <v>728</v>
      </c>
      <c r="B363" t="s">
        <v>11</v>
      </c>
      <c r="C363" t="s">
        <v>5776</v>
      </c>
      <c r="F363" t="s">
        <v>5770</v>
      </c>
      <c r="J363" t="s">
        <v>5762</v>
      </c>
      <c r="K363">
        <v>50</v>
      </c>
      <c r="L363" t="str" cm="1">
        <f t="array" ref="L363">_xlfn.IFS(
 K363&lt;=50,"≤50",
 AND(K363&gt;=51,K363&lt;=100),"51–100",
 AND(K363&gt;=101,K363&lt;=250),"101–250",
 AND(K363&gt;=251,K363&lt;=500),"251–500",
 AND(K363&gt;=501,K363&lt;=1000),"501–1000",
 K363&gt;=1001,"1001+"
)</f>
        <v>≤50</v>
      </c>
    </row>
    <row r="364" spans="1:12" x14ac:dyDescent="0.3">
      <c r="A364" t="s">
        <v>729</v>
      </c>
      <c r="B364" t="s">
        <v>11</v>
      </c>
      <c r="C364" t="s">
        <v>5776</v>
      </c>
      <c r="F364" t="s">
        <v>5770</v>
      </c>
      <c r="J364" t="s">
        <v>5762</v>
      </c>
      <c r="K364">
        <v>50</v>
      </c>
      <c r="L364" t="str" cm="1">
        <f t="array" ref="L364">_xlfn.IFS(
 K364&lt;=50,"≤50",
 AND(K364&gt;=51,K364&lt;=100),"51–100",
 AND(K364&gt;=101,K364&lt;=250),"101–250",
 AND(K364&gt;=251,K364&lt;=500),"251–500",
 AND(K364&gt;=501,K364&lt;=1000),"501–1000",
 K364&gt;=1001,"1001+"
)</f>
        <v>≤50</v>
      </c>
    </row>
    <row r="365" spans="1:12" x14ac:dyDescent="0.3">
      <c r="A365" t="s">
        <v>730</v>
      </c>
      <c r="B365" t="s">
        <v>9</v>
      </c>
      <c r="C365" t="s">
        <v>5780</v>
      </c>
      <c r="D365" t="s">
        <v>28</v>
      </c>
      <c r="F365" t="s">
        <v>5770</v>
      </c>
      <c r="J365" t="s">
        <v>5737</v>
      </c>
      <c r="K365">
        <v>50</v>
      </c>
      <c r="L365" t="str" cm="1">
        <f t="array" ref="L365">_xlfn.IFS(
 K365&lt;=50,"≤50",
 AND(K365&gt;=51,K365&lt;=100),"51–100",
 AND(K365&gt;=101,K365&lt;=250),"101–250",
 AND(K365&gt;=251,K365&lt;=500),"251–500",
 AND(K365&gt;=501,K365&lt;=1000),"501–1000",
 K365&gt;=1001,"1001+"
)</f>
        <v>≤50</v>
      </c>
    </row>
    <row r="366" spans="1:12" x14ac:dyDescent="0.3">
      <c r="A366" t="s">
        <v>731</v>
      </c>
      <c r="B366" t="s">
        <v>197</v>
      </c>
      <c r="C366" t="s">
        <v>5774</v>
      </c>
      <c r="D366" t="s">
        <v>732</v>
      </c>
      <c r="E366" t="s">
        <v>15</v>
      </c>
      <c r="F366" t="s">
        <v>5770</v>
      </c>
      <c r="J366" t="s">
        <v>5740</v>
      </c>
      <c r="K366">
        <v>50</v>
      </c>
      <c r="L366" t="str" cm="1">
        <f t="array" ref="L366">_xlfn.IFS(
 K366&lt;=50,"≤50",
 AND(K366&gt;=51,K366&lt;=100),"51–100",
 AND(K366&gt;=101,K366&lt;=250),"101–250",
 AND(K366&gt;=251,K366&lt;=500),"251–500",
 AND(K366&gt;=501,K366&lt;=1000),"501–1000",
 K366&gt;=1001,"1001+"
)</f>
        <v>≤50</v>
      </c>
    </row>
    <row r="367" spans="1:12" x14ac:dyDescent="0.3">
      <c r="A367" t="s">
        <v>733</v>
      </c>
      <c r="B367" t="s">
        <v>13</v>
      </c>
      <c r="C367" t="s">
        <v>5777</v>
      </c>
      <c r="D367" t="s">
        <v>734</v>
      </c>
      <c r="E367" t="s">
        <v>15</v>
      </c>
      <c r="F367" t="s">
        <v>5770</v>
      </c>
      <c r="J367" t="s">
        <v>5740</v>
      </c>
      <c r="K367">
        <v>50</v>
      </c>
      <c r="L367" t="str" cm="1">
        <f t="array" ref="L367">_xlfn.IFS(
 K367&lt;=50,"≤50",
 AND(K367&gt;=51,K367&lt;=100),"51–100",
 AND(K367&gt;=101,K367&lt;=250),"101–250",
 AND(K367&gt;=251,K367&lt;=500),"251–500",
 AND(K367&gt;=501,K367&lt;=1000),"501–1000",
 K367&gt;=1001,"1001+"
)</f>
        <v>≤50</v>
      </c>
    </row>
    <row r="368" spans="1:12" x14ac:dyDescent="0.3">
      <c r="A368" t="s">
        <v>735</v>
      </c>
      <c r="B368" t="s">
        <v>13</v>
      </c>
      <c r="C368" t="s">
        <v>5777</v>
      </c>
      <c r="D368" t="s">
        <v>736</v>
      </c>
      <c r="F368" t="s">
        <v>5770</v>
      </c>
      <c r="J368" t="s">
        <v>5737</v>
      </c>
      <c r="K368">
        <v>50</v>
      </c>
      <c r="L368" t="str" cm="1">
        <f t="array" ref="L368">_xlfn.IFS(
 K368&lt;=50,"≤50",
 AND(K368&gt;=51,K368&lt;=100),"51–100",
 AND(K368&gt;=101,K368&lt;=250),"101–250",
 AND(K368&gt;=251,K368&lt;=500),"251–500",
 AND(K368&gt;=501,K368&lt;=1000),"501–1000",
 K368&gt;=1001,"1001+"
)</f>
        <v>≤50</v>
      </c>
    </row>
    <row r="369" spans="1:12" x14ac:dyDescent="0.3">
      <c r="A369" t="s">
        <v>737</v>
      </c>
      <c r="B369" t="s">
        <v>13</v>
      </c>
      <c r="C369" t="s">
        <v>5777</v>
      </c>
      <c r="D369" t="s">
        <v>738</v>
      </c>
      <c r="E369" t="s">
        <v>15</v>
      </c>
      <c r="F369" t="s">
        <v>5770</v>
      </c>
      <c r="J369" t="s">
        <v>5744</v>
      </c>
      <c r="K369">
        <v>50</v>
      </c>
      <c r="L369" t="str" cm="1">
        <f t="array" ref="L369">_xlfn.IFS(
 K369&lt;=50,"≤50",
 AND(K369&gt;=51,K369&lt;=100),"51–100",
 AND(K369&gt;=101,K369&lt;=250),"101–250",
 AND(K369&gt;=251,K369&lt;=500),"251–500",
 AND(K369&gt;=501,K369&lt;=1000),"501–1000",
 K369&gt;=1001,"1001+"
)</f>
        <v>≤50</v>
      </c>
    </row>
    <row r="370" spans="1:12" x14ac:dyDescent="0.3">
      <c r="A370" t="s">
        <v>739</v>
      </c>
      <c r="B370" t="s">
        <v>9</v>
      </c>
      <c r="C370" t="s">
        <v>5780</v>
      </c>
      <c r="D370" t="s">
        <v>740</v>
      </c>
      <c r="E370" t="s">
        <v>15</v>
      </c>
      <c r="F370" t="s">
        <v>16</v>
      </c>
      <c r="G370" t="s">
        <v>741</v>
      </c>
      <c r="J370" t="s">
        <v>5737</v>
      </c>
      <c r="K370">
        <v>50</v>
      </c>
      <c r="L370" t="str" cm="1">
        <f t="array" ref="L370">_xlfn.IFS(
 K370&lt;=50,"≤50",
 AND(K370&gt;=51,K370&lt;=100),"51–100",
 AND(K370&gt;=101,K370&lt;=250),"101–250",
 AND(K370&gt;=251,K370&lt;=500),"251–500",
 AND(K370&gt;=501,K370&lt;=1000),"501–1000",
 K370&gt;=1001,"1001+"
)</f>
        <v>≤50</v>
      </c>
    </row>
    <row r="371" spans="1:12" x14ac:dyDescent="0.3">
      <c r="A371" t="s">
        <v>742</v>
      </c>
      <c r="B371" t="s">
        <v>9</v>
      </c>
      <c r="C371" t="s">
        <v>5780</v>
      </c>
      <c r="D371" t="s">
        <v>28</v>
      </c>
      <c r="F371" t="s">
        <v>5770</v>
      </c>
      <c r="J371" t="s">
        <v>5737</v>
      </c>
      <c r="K371">
        <v>50</v>
      </c>
      <c r="L371" t="str" cm="1">
        <f t="array" ref="L371">_xlfn.IFS(
 K371&lt;=50,"≤50",
 AND(K371&gt;=51,K371&lt;=100),"51–100",
 AND(K371&gt;=101,K371&lt;=250),"101–250",
 AND(K371&gt;=251,K371&lt;=500),"251–500",
 AND(K371&gt;=501,K371&lt;=1000),"501–1000",
 K371&gt;=1001,"1001+"
)</f>
        <v>≤50</v>
      </c>
    </row>
    <row r="372" spans="1:12" x14ac:dyDescent="0.3">
      <c r="A372" t="s">
        <v>743</v>
      </c>
      <c r="B372" t="s">
        <v>9</v>
      </c>
      <c r="C372" t="s">
        <v>5780</v>
      </c>
      <c r="D372" t="s">
        <v>744</v>
      </c>
      <c r="E372" t="s">
        <v>15</v>
      </c>
      <c r="F372" t="s">
        <v>20</v>
      </c>
      <c r="G372" t="s">
        <v>745</v>
      </c>
      <c r="J372" t="s">
        <v>5744</v>
      </c>
      <c r="K372">
        <v>50</v>
      </c>
      <c r="L372" t="str" cm="1">
        <f t="array" ref="L372">_xlfn.IFS(
 K372&lt;=50,"≤50",
 AND(K372&gt;=51,K372&lt;=100),"51–100",
 AND(K372&gt;=101,K372&lt;=250),"101–250",
 AND(K372&gt;=251,K372&lt;=500),"251–500",
 AND(K372&gt;=501,K372&lt;=1000),"501–1000",
 K372&gt;=1001,"1001+"
)</f>
        <v>≤50</v>
      </c>
    </row>
    <row r="373" spans="1:12" x14ac:dyDescent="0.3">
      <c r="A373" t="s">
        <v>746</v>
      </c>
      <c r="B373" t="s">
        <v>9</v>
      </c>
      <c r="C373" t="s">
        <v>5780</v>
      </c>
      <c r="D373" t="s">
        <v>747</v>
      </c>
      <c r="E373" t="s">
        <v>15</v>
      </c>
      <c r="F373" t="s">
        <v>20</v>
      </c>
      <c r="G373" t="s">
        <v>21</v>
      </c>
      <c r="J373" t="s">
        <v>5737</v>
      </c>
      <c r="K373">
        <v>50</v>
      </c>
      <c r="L373" t="str" cm="1">
        <f t="array" ref="L373">_xlfn.IFS(
 K373&lt;=50,"≤50",
 AND(K373&gt;=51,K373&lt;=100),"51–100",
 AND(K373&gt;=101,K373&lt;=250),"101–250",
 AND(K373&gt;=251,K373&lt;=500),"251–500",
 AND(K373&gt;=501,K373&lt;=1000),"501–1000",
 K373&gt;=1001,"1001+"
)</f>
        <v>≤50</v>
      </c>
    </row>
    <row r="374" spans="1:12" x14ac:dyDescent="0.3">
      <c r="A374" t="s">
        <v>748</v>
      </c>
      <c r="B374" t="s">
        <v>13</v>
      </c>
      <c r="C374" t="s">
        <v>5777</v>
      </c>
      <c r="D374" t="s">
        <v>749</v>
      </c>
      <c r="F374" t="s">
        <v>54</v>
      </c>
      <c r="G374" t="s">
        <v>750</v>
      </c>
      <c r="J374" t="s">
        <v>5737</v>
      </c>
      <c r="K374">
        <v>50</v>
      </c>
      <c r="L374" t="str" cm="1">
        <f t="array" ref="L374">_xlfn.IFS(
 K374&lt;=50,"≤50",
 AND(K374&gt;=51,K374&lt;=100),"51–100",
 AND(K374&gt;=101,K374&lt;=250),"101–250",
 AND(K374&gt;=251,K374&lt;=500),"251–500",
 AND(K374&gt;=501,K374&lt;=1000),"501–1000",
 K374&gt;=1001,"1001+"
)</f>
        <v>≤50</v>
      </c>
    </row>
    <row r="375" spans="1:12" x14ac:dyDescent="0.3">
      <c r="A375" t="s">
        <v>751</v>
      </c>
      <c r="B375" t="s">
        <v>13</v>
      </c>
      <c r="C375" t="s">
        <v>5777</v>
      </c>
      <c r="D375" t="s">
        <v>752</v>
      </c>
      <c r="E375" t="s">
        <v>15</v>
      </c>
      <c r="F375" t="s">
        <v>16</v>
      </c>
      <c r="G375" t="s">
        <v>753</v>
      </c>
      <c r="J375" t="s">
        <v>5737</v>
      </c>
      <c r="K375">
        <v>50</v>
      </c>
      <c r="L375" t="str" cm="1">
        <f t="array" ref="L375">_xlfn.IFS(
 K375&lt;=50,"≤50",
 AND(K375&gt;=51,K375&lt;=100),"51–100",
 AND(K375&gt;=101,K375&lt;=250),"101–250",
 AND(K375&gt;=251,K375&lt;=500),"251–500",
 AND(K375&gt;=501,K375&lt;=1000),"501–1000",
 K375&gt;=1001,"1001+"
)</f>
        <v>≤50</v>
      </c>
    </row>
    <row r="376" spans="1:12" x14ac:dyDescent="0.3">
      <c r="A376" t="s">
        <v>754</v>
      </c>
      <c r="B376" t="s">
        <v>13</v>
      </c>
      <c r="C376" t="s">
        <v>5777</v>
      </c>
      <c r="D376" t="s">
        <v>755</v>
      </c>
      <c r="F376" t="s">
        <v>5770</v>
      </c>
      <c r="J376" t="s">
        <v>5737</v>
      </c>
      <c r="K376">
        <v>50</v>
      </c>
      <c r="L376" t="str" cm="1">
        <f t="array" ref="L376">_xlfn.IFS(
 K376&lt;=50,"≤50",
 AND(K376&gt;=51,K376&lt;=100),"51–100",
 AND(K376&gt;=101,K376&lt;=250),"101–250",
 AND(K376&gt;=251,K376&lt;=500),"251–500",
 AND(K376&gt;=501,K376&lt;=1000),"501–1000",
 K376&gt;=1001,"1001+"
)</f>
        <v>≤50</v>
      </c>
    </row>
    <row r="377" spans="1:12" x14ac:dyDescent="0.3">
      <c r="A377" t="s">
        <v>756</v>
      </c>
      <c r="B377" t="s">
        <v>9</v>
      </c>
      <c r="C377" t="s">
        <v>5780</v>
      </c>
      <c r="D377" t="s">
        <v>757</v>
      </c>
      <c r="E377" t="s">
        <v>15</v>
      </c>
      <c r="F377" t="s">
        <v>20</v>
      </c>
      <c r="G377" t="s">
        <v>758</v>
      </c>
      <c r="J377" t="s">
        <v>5737</v>
      </c>
      <c r="K377">
        <v>50</v>
      </c>
      <c r="L377" t="str" cm="1">
        <f t="array" ref="L377">_xlfn.IFS(
 K377&lt;=50,"≤50",
 AND(K377&gt;=51,K377&lt;=100),"51–100",
 AND(K377&gt;=101,K377&lt;=250),"101–250",
 AND(K377&gt;=251,K377&lt;=500),"251–500",
 AND(K377&gt;=501,K377&lt;=1000),"501–1000",
 K377&gt;=1001,"1001+"
)</f>
        <v>≤50</v>
      </c>
    </row>
    <row r="378" spans="1:12" x14ac:dyDescent="0.3">
      <c r="A378" t="s">
        <v>759</v>
      </c>
      <c r="B378" t="s">
        <v>13</v>
      </c>
      <c r="C378" t="s">
        <v>5777</v>
      </c>
      <c r="D378" t="s">
        <v>760</v>
      </c>
      <c r="E378" t="s">
        <v>15</v>
      </c>
      <c r="F378" t="s">
        <v>54</v>
      </c>
      <c r="G378" t="s">
        <v>761</v>
      </c>
      <c r="J378" t="s">
        <v>5737</v>
      </c>
      <c r="K378">
        <v>50</v>
      </c>
      <c r="L378" t="str" cm="1">
        <f t="array" ref="L378">_xlfn.IFS(
 K378&lt;=50,"≤50",
 AND(K378&gt;=51,K378&lt;=100),"51–100",
 AND(K378&gt;=101,K378&lt;=250),"101–250",
 AND(K378&gt;=251,K378&lt;=500),"251–500",
 AND(K378&gt;=501,K378&lt;=1000),"501–1000",
 K378&gt;=1001,"1001+"
)</f>
        <v>≤50</v>
      </c>
    </row>
    <row r="379" spans="1:12" x14ac:dyDescent="0.3">
      <c r="A379" t="s">
        <v>762</v>
      </c>
      <c r="B379" t="s">
        <v>13</v>
      </c>
      <c r="C379" t="s">
        <v>5777</v>
      </c>
      <c r="D379" t="s">
        <v>763</v>
      </c>
      <c r="E379" t="s">
        <v>15</v>
      </c>
      <c r="F379" t="s">
        <v>20</v>
      </c>
      <c r="G379" t="s">
        <v>21</v>
      </c>
      <c r="J379" t="s">
        <v>5737</v>
      </c>
      <c r="K379">
        <v>50</v>
      </c>
      <c r="L379" t="str" cm="1">
        <f t="array" ref="L379">_xlfn.IFS(
 K379&lt;=50,"≤50",
 AND(K379&gt;=51,K379&lt;=100),"51–100",
 AND(K379&gt;=101,K379&lt;=250),"101–250",
 AND(K379&gt;=251,K379&lt;=500),"251–500",
 AND(K379&gt;=501,K379&lt;=1000),"501–1000",
 K379&gt;=1001,"1001+"
)</f>
        <v>≤50</v>
      </c>
    </row>
    <row r="380" spans="1:12" x14ac:dyDescent="0.3">
      <c r="A380" t="s">
        <v>764</v>
      </c>
      <c r="B380" t="s">
        <v>9</v>
      </c>
      <c r="C380" t="s">
        <v>5780</v>
      </c>
      <c r="D380" t="s">
        <v>765</v>
      </c>
      <c r="E380" t="s">
        <v>15</v>
      </c>
      <c r="F380" t="s">
        <v>16</v>
      </c>
      <c r="G380" t="s">
        <v>766</v>
      </c>
      <c r="J380" t="s">
        <v>5737</v>
      </c>
      <c r="K380">
        <v>50</v>
      </c>
      <c r="L380" t="str" cm="1">
        <f t="array" ref="L380">_xlfn.IFS(
 K380&lt;=50,"≤50",
 AND(K380&gt;=51,K380&lt;=100),"51–100",
 AND(K380&gt;=101,K380&lt;=250),"101–250",
 AND(K380&gt;=251,K380&lt;=500),"251–500",
 AND(K380&gt;=501,K380&lt;=1000),"501–1000",
 K380&gt;=1001,"1001+"
)</f>
        <v>≤50</v>
      </c>
    </row>
    <row r="381" spans="1:12" x14ac:dyDescent="0.3">
      <c r="A381" t="s">
        <v>767</v>
      </c>
      <c r="B381" t="s">
        <v>13</v>
      </c>
      <c r="C381" t="s">
        <v>5777</v>
      </c>
      <c r="D381" t="s">
        <v>768</v>
      </c>
      <c r="E381" t="s">
        <v>15</v>
      </c>
      <c r="F381" t="s">
        <v>20</v>
      </c>
      <c r="G381" t="s">
        <v>21</v>
      </c>
      <c r="J381" t="s">
        <v>5737</v>
      </c>
      <c r="K381">
        <v>50</v>
      </c>
      <c r="L381" t="str" cm="1">
        <f t="array" ref="L381">_xlfn.IFS(
 K381&lt;=50,"≤50",
 AND(K381&gt;=51,K381&lt;=100),"51–100",
 AND(K381&gt;=101,K381&lt;=250),"101–250",
 AND(K381&gt;=251,K381&lt;=500),"251–500",
 AND(K381&gt;=501,K381&lt;=1000),"501–1000",
 K381&gt;=1001,"1001+"
)</f>
        <v>≤50</v>
      </c>
    </row>
    <row r="382" spans="1:12" x14ac:dyDescent="0.3">
      <c r="A382" t="s">
        <v>769</v>
      </c>
      <c r="B382" t="s">
        <v>9</v>
      </c>
      <c r="C382" t="s">
        <v>5780</v>
      </c>
      <c r="D382" t="s">
        <v>28</v>
      </c>
      <c r="E382" t="s">
        <v>15</v>
      </c>
      <c r="F382" t="s">
        <v>5770</v>
      </c>
      <c r="J382" t="s">
        <v>5738</v>
      </c>
      <c r="K382">
        <v>50</v>
      </c>
      <c r="L382" t="str" cm="1">
        <f t="array" ref="L382">_xlfn.IFS(
 K382&lt;=50,"≤50",
 AND(K382&gt;=51,K382&lt;=100),"51–100",
 AND(K382&gt;=101,K382&lt;=250),"101–250",
 AND(K382&gt;=251,K382&lt;=500),"251–500",
 AND(K382&gt;=501,K382&lt;=1000),"501–1000",
 K382&gt;=1001,"1001+"
)</f>
        <v>≤50</v>
      </c>
    </row>
    <row r="383" spans="1:12" x14ac:dyDescent="0.3">
      <c r="A383" t="s">
        <v>770</v>
      </c>
      <c r="B383" t="s">
        <v>13</v>
      </c>
      <c r="C383" t="s">
        <v>5777</v>
      </c>
      <c r="D383" t="s">
        <v>771</v>
      </c>
      <c r="E383" t="s">
        <v>15</v>
      </c>
      <c r="F383" t="s">
        <v>5770</v>
      </c>
      <c r="J383" t="s">
        <v>5738</v>
      </c>
      <c r="K383">
        <v>50</v>
      </c>
      <c r="L383" t="str" cm="1">
        <f t="array" ref="L383">_xlfn.IFS(
 K383&lt;=50,"≤50",
 AND(K383&gt;=51,K383&lt;=100),"51–100",
 AND(K383&gt;=101,K383&lt;=250),"101–250",
 AND(K383&gt;=251,K383&lt;=500),"251–500",
 AND(K383&gt;=501,K383&lt;=1000),"501–1000",
 K383&gt;=1001,"1001+"
)</f>
        <v>≤50</v>
      </c>
    </row>
    <row r="384" spans="1:12" x14ac:dyDescent="0.3">
      <c r="A384" t="s">
        <v>772</v>
      </c>
      <c r="B384" t="s">
        <v>11</v>
      </c>
      <c r="C384" t="s">
        <v>5776</v>
      </c>
      <c r="F384" t="s">
        <v>20</v>
      </c>
      <c r="G384" t="s">
        <v>773</v>
      </c>
      <c r="J384" t="s">
        <v>5737</v>
      </c>
      <c r="K384">
        <v>50</v>
      </c>
      <c r="L384" t="str" cm="1">
        <f t="array" ref="L384">_xlfn.IFS(
 K384&lt;=50,"≤50",
 AND(K384&gt;=51,K384&lt;=100),"51–100",
 AND(K384&gt;=101,K384&lt;=250),"101–250",
 AND(K384&gt;=251,K384&lt;=500),"251–500",
 AND(K384&gt;=501,K384&lt;=1000),"501–1000",
 K384&gt;=1001,"1001+"
)</f>
        <v>≤50</v>
      </c>
    </row>
    <row r="385" spans="1:12" x14ac:dyDescent="0.3">
      <c r="A385" t="s">
        <v>774</v>
      </c>
      <c r="B385" t="s">
        <v>11</v>
      </c>
      <c r="C385" t="s">
        <v>5776</v>
      </c>
      <c r="F385" t="s">
        <v>5770</v>
      </c>
      <c r="J385" t="s">
        <v>5737</v>
      </c>
      <c r="K385">
        <v>50</v>
      </c>
      <c r="L385" t="str" cm="1">
        <f t="array" ref="L385">_xlfn.IFS(
 K385&lt;=50,"≤50",
 AND(K385&gt;=51,K385&lt;=100),"51–100",
 AND(K385&gt;=101,K385&lt;=250),"101–250",
 AND(K385&gt;=251,K385&lt;=500),"251–500",
 AND(K385&gt;=501,K385&lt;=1000),"501–1000",
 K385&gt;=1001,"1001+"
)</f>
        <v>≤50</v>
      </c>
    </row>
    <row r="386" spans="1:12" x14ac:dyDescent="0.3">
      <c r="A386" t="s">
        <v>775</v>
      </c>
      <c r="B386" t="s">
        <v>13</v>
      </c>
      <c r="C386" t="s">
        <v>5777</v>
      </c>
      <c r="D386" t="s">
        <v>231</v>
      </c>
      <c r="F386" t="s">
        <v>5770</v>
      </c>
      <c r="J386" t="s">
        <v>5737</v>
      </c>
      <c r="K386">
        <v>50</v>
      </c>
      <c r="L386" t="str" cm="1">
        <f t="array" ref="L386">_xlfn.IFS(
 K386&lt;=50,"≤50",
 AND(K386&gt;=51,K386&lt;=100),"51–100",
 AND(K386&gt;=101,K386&lt;=250),"101–250",
 AND(K386&gt;=251,K386&lt;=500),"251–500",
 AND(K386&gt;=501,K386&lt;=1000),"501–1000",
 K386&gt;=1001,"1001+"
)</f>
        <v>≤50</v>
      </c>
    </row>
    <row r="387" spans="1:12" x14ac:dyDescent="0.3">
      <c r="A387" t="s">
        <v>776</v>
      </c>
      <c r="B387" t="s">
        <v>13</v>
      </c>
      <c r="C387" t="s">
        <v>5777</v>
      </c>
      <c r="D387" t="s">
        <v>777</v>
      </c>
      <c r="E387" t="s">
        <v>15</v>
      </c>
      <c r="F387" t="s">
        <v>5770</v>
      </c>
      <c r="J387" t="s">
        <v>5737</v>
      </c>
      <c r="K387">
        <v>50</v>
      </c>
      <c r="L387" t="str" cm="1">
        <f t="array" ref="L387">_xlfn.IFS(
 K387&lt;=50,"≤50",
 AND(K387&gt;=51,K387&lt;=100),"51–100",
 AND(K387&gt;=101,K387&lt;=250),"101–250",
 AND(K387&gt;=251,K387&lt;=500),"251–500",
 AND(K387&gt;=501,K387&lt;=1000),"501–1000",
 K387&gt;=1001,"1001+"
)</f>
        <v>≤50</v>
      </c>
    </row>
    <row r="388" spans="1:12" x14ac:dyDescent="0.3">
      <c r="A388" t="s">
        <v>778</v>
      </c>
      <c r="B388" t="s">
        <v>13</v>
      </c>
      <c r="C388" t="s">
        <v>5777</v>
      </c>
      <c r="D388" t="s">
        <v>245</v>
      </c>
      <c r="E388" t="s">
        <v>15</v>
      </c>
      <c r="F388" t="s">
        <v>20</v>
      </c>
      <c r="G388" t="s">
        <v>21</v>
      </c>
      <c r="J388" t="s">
        <v>5737</v>
      </c>
      <c r="K388">
        <v>50</v>
      </c>
      <c r="L388" t="str" cm="1">
        <f t="array" ref="L388">_xlfn.IFS(
 K388&lt;=50,"≤50",
 AND(K388&gt;=51,K388&lt;=100),"51–100",
 AND(K388&gt;=101,K388&lt;=250),"101–250",
 AND(K388&gt;=251,K388&lt;=500),"251–500",
 AND(K388&gt;=501,K388&lt;=1000),"501–1000",
 K388&gt;=1001,"1001+"
)</f>
        <v>≤50</v>
      </c>
    </row>
    <row r="389" spans="1:12" x14ac:dyDescent="0.3">
      <c r="A389" t="s">
        <v>779</v>
      </c>
      <c r="B389" t="s">
        <v>11</v>
      </c>
      <c r="C389" t="s">
        <v>5776</v>
      </c>
      <c r="E389" t="s">
        <v>15</v>
      </c>
      <c r="F389" t="s">
        <v>20</v>
      </c>
      <c r="G389" t="s">
        <v>21</v>
      </c>
      <c r="J389" t="s">
        <v>5737</v>
      </c>
      <c r="K389">
        <v>50</v>
      </c>
      <c r="L389" t="str" cm="1">
        <f t="array" ref="L389">_xlfn.IFS(
 K389&lt;=50,"≤50",
 AND(K389&gt;=51,K389&lt;=100),"51–100",
 AND(K389&gt;=101,K389&lt;=250),"101–250",
 AND(K389&gt;=251,K389&lt;=500),"251–500",
 AND(K389&gt;=501,K389&lt;=1000),"501–1000",
 K389&gt;=1001,"1001+"
)</f>
        <v>≤50</v>
      </c>
    </row>
    <row r="390" spans="1:12" x14ac:dyDescent="0.3">
      <c r="A390" t="s">
        <v>780</v>
      </c>
      <c r="B390" t="s">
        <v>13</v>
      </c>
      <c r="C390" t="s">
        <v>5777</v>
      </c>
      <c r="D390" t="s">
        <v>781</v>
      </c>
      <c r="E390" t="s">
        <v>15</v>
      </c>
      <c r="F390" t="s">
        <v>5770</v>
      </c>
      <c r="J390" t="s">
        <v>5744</v>
      </c>
      <c r="K390">
        <v>50</v>
      </c>
      <c r="L390" t="str" cm="1">
        <f t="array" ref="L390">_xlfn.IFS(
 K390&lt;=50,"≤50",
 AND(K390&gt;=51,K390&lt;=100),"51–100",
 AND(K390&gt;=101,K390&lt;=250),"101–250",
 AND(K390&gt;=251,K390&lt;=500),"251–500",
 AND(K390&gt;=501,K390&lt;=1000),"501–1000",
 K390&gt;=1001,"1001+"
)</f>
        <v>≤50</v>
      </c>
    </row>
    <row r="391" spans="1:12" x14ac:dyDescent="0.3">
      <c r="A391" t="s">
        <v>782</v>
      </c>
      <c r="B391" t="s">
        <v>9</v>
      </c>
      <c r="C391" t="s">
        <v>5780</v>
      </c>
      <c r="D391" t="s">
        <v>28</v>
      </c>
      <c r="F391" t="s">
        <v>5770</v>
      </c>
      <c r="J391" t="s">
        <v>5751</v>
      </c>
      <c r="K391">
        <v>50</v>
      </c>
      <c r="L391" t="str" cm="1">
        <f t="array" ref="L391">_xlfn.IFS(
 K391&lt;=50,"≤50",
 AND(K391&gt;=51,K391&lt;=100),"51–100",
 AND(K391&gt;=101,K391&lt;=250),"101–250",
 AND(K391&gt;=251,K391&lt;=500),"251–500",
 AND(K391&gt;=501,K391&lt;=1000),"501–1000",
 K391&gt;=1001,"1001+"
)</f>
        <v>≤50</v>
      </c>
    </row>
    <row r="392" spans="1:12" x14ac:dyDescent="0.3">
      <c r="A392" t="s">
        <v>783</v>
      </c>
      <c r="B392" t="s">
        <v>11</v>
      </c>
      <c r="C392" t="s">
        <v>5776</v>
      </c>
      <c r="F392" t="s">
        <v>5770</v>
      </c>
      <c r="J392" t="s">
        <v>5753</v>
      </c>
      <c r="K392">
        <v>50</v>
      </c>
      <c r="L392" t="str" cm="1">
        <f t="array" ref="L392">_xlfn.IFS(
 K392&lt;=50,"≤50",
 AND(K392&gt;=51,K392&lt;=100),"51–100",
 AND(K392&gt;=101,K392&lt;=250),"101–250",
 AND(K392&gt;=251,K392&lt;=500),"251–500",
 AND(K392&gt;=501,K392&lt;=1000),"501–1000",
 K392&gt;=1001,"1001+"
)</f>
        <v>≤50</v>
      </c>
    </row>
    <row r="393" spans="1:12" x14ac:dyDescent="0.3">
      <c r="A393" t="s">
        <v>784</v>
      </c>
      <c r="B393" t="s">
        <v>11</v>
      </c>
      <c r="C393" t="s">
        <v>5776</v>
      </c>
      <c r="E393" t="s">
        <v>15</v>
      </c>
      <c r="F393" t="s">
        <v>5770</v>
      </c>
      <c r="J393" t="s">
        <v>5742</v>
      </c>
      <c r="K393">
        <v>50</v>
      </c>
      <c r="L393" t="str" cm="1">
        <f t="array" ref="L393">_xlfn.IFS(
 K393&lt;=50,"≤50",
 AND(K393&gt;=51,K393&lt;=100),"51–100",
 AND(K393&gt;=101,K393&lt;=250),"101–250",
 AND(K393&gt;=251,K393&lt;=500),"251–500",
 AND(K393&gt;=501,K393&lt;=1000),"501–1000",
 K393&gt;=1001,"1001+"
)</f>
        <v>≤50</v>
      </c>
    </row>
    <row r="394" spans="1:12" x14ac:dyDescent="0.3">
      <c r="A394" t="s">
        <v>785</v>
      </c>
      <c r="B394" t="s">
        <v>9</v>
      </c>
      <c r="C394" t="s">
        <v>5780</v>
      </c>
      <c r="D394" t="s">
        <v>28</v>
      </c>
      <c r="F394" t="s">
        <v>5770</v>
      </c>
      <c r="J394" t="s">
        <v>5742</v>
      </c>
      <c r="K394">
        <v>50</v>
      </c>
      <c r="L394" t="str" cm="1">
        <f t="array" ref="L394">_xlfn.IFS(
 K394&lt;=50,"≤50",
 AND(K394&gt;=51,K394&lt;=100),"51–100",
 AND(K394&gt;=101,K394&lt;=250),"101–250",
 AND(K394&gt;=251,K394&lt;=500),"251–500",
 AND(K394&gt;=501,K394&lt;=1000),"501–1000",
 K394&gt;=1001,"1001+"
)</f>
        <v>≤50</v>
      </c>
    </row>
    <row r="395" spans="1:12" x14ac:dyDescent="0.3">
      <c r="A395" t="s">
        <v>786</v>
      </c>
      <c r="B395" t="s">
        <v>13</v>
      </c>
      <c r="C395" t="s">
        <v>5777</v>
      </c>
      <c r="D395" t="s">
        <v>314</v>
      </c>
      <c r="E395" t="s">
        <v>15</v>
      </c>
      <c r="F395" t="s">
        <v>5770</v>
      </c>
      <c r="J395" t="s">
        <v>5739</v>
      </c>
      <c r="K395">
        <v>50</v>
      </c>
      <c r="L395" t="str" cm="1">
        <f t="array" ref="L395">_xlfn.IFS(
 K395&lt;=50,"≤50",
 AND(K395&gt;=51,K395&lt;=100),"51–100",
 AND(K395&gt;=101,K395&lt;=250),"101–250",
 AND(K395&gt;=251,K395&lt;=500),"251–500",
 AND(K395&gt;=501,K395&lt;=1000),"501–1000",
 K395&gt;=1001,"1001+"
)</f>
        <v>≤50</v>
      </c>
    </row>
    <row r="396" spans="1:12" x14ac:dyDescent="0.3">
      <c r="A396" t="s">
        <v>787</v>
      </c>
      <c r="B396" t="s">
        <v>13</v>
      </c>
      <c r="C396" t="s">
        <v>5777</v>
      </c>
      <c r="D396" t="s">
        <v>245</v>
      </c>
      <c r="F396" t="s">
        <v>5770</v>
      </c>
      <c r="J396" t="s">
        <v>5752</v>
      </c>
      <c r="K396">
        <v>50</v>
      </c>
      <c r="L396" t="str" cm="1">
        <f t="array" ref="L396">_xlfn.IFS(
 K396&lt;=50,"≤50",
 AND(K396&gt;=51,K396&lt;=100),"51–100",
 AND(K396&gt;=101,K396&lt;=250),"101–250",
 AND(K396&gt;=251,K396&lt;=500),"251–500",
 AND(K396&gt;=501,K396&lt;=1000),"501–1000",
 K396&gt;=1001,"1001+"
)</f>
        <v>≤50</v>
      </c>
    </row>
    <row r="397" spans="1:12" x14ac:dyDescent="0.3">
      <c r="A397" t="s">
        <v>788</v>
      </c>
      <c r="B397" t="s">
        <v>11</v>
      </c>
      <c r="C397" t="s">
        <v>5776</v>
      </c>
      <c r="F397" t="s">
        <v>5770</v>
      </c>
      <c r="J397" t="s">
        <v>5761</v>
      </c>
      <c r="K397">
        <v>50</v>
      </c>
      <c r="L397" t="str" cm="1">
        <f t="array" ref="L397">_xlfn.IFS(
 K397&lt;=50,"≤50",
 AND(K397&gt;=51,K397&lt;=100),"51–100",
 AND(K397&gt;=101,K397&lt;=250),"101–250",
 AND(K397&gt;=251,K397&lt;=500),"251–500",
 AND(K397&gt;=501,K397&lt;=1000),"501–1000",
 K397&gt;=1001,"1001+"
)</f>
        <v>≤50</v>
      </c>
    </row>
    <row r="398" spans="1:12" x14ac:dyDescent="0.3">
      <c r="A398" t="s">
        <v>789</v>
      </c>
      <c r="B398" t="s">
        <v>9</v>
      </c>
      <c r="C398" t="s">
        <v>5780</v>
      </c>
      <c r="D398" t="s">
        <v>28</v>
      </c>
      <c r="F398" t="s">
        <v>20</v>
      </c>
      <c r="G398" t="s">
        <v>21</v>
      </c>
      <c r="J398" t="s">
        <v>5752</v>
      </c>
      <c r="K398">
        <v>50</v>
      </c>
      <c r="L398" t="str" cm="1">
        <f t="array" ref="L398">_xlfn.IFS(
 K398&lt;=50,"≤50",
 AND(K398&gt;=51,K398&lt;=100),"51–100",
 AND(K398&gt;=101,K398&lt;=250),"101–250",
 AND(K398&gt;=251,K398&lt;=500),"251–500",
 AND(K398&gt;=501,K398&lt;=1000),"501–1000",
 K398&gt;=1001,"1001+"
)</f>
        <v>≤50</v>
      </c>
    </row>
    <row r="399" spans="1:12" x14ac:dyDescent="0.3">
      <c r="A399" t="s">
        <v>790</v>
      </c>
      <c r="B399" t="s">
        <v>9</v>
      </c>
      <c r="C399" t="s">
        <v>5780</v>
      </c>
      <c r="D399" t="s">
        <v>791</v>
      </c>
      <c r="F399" t="s">
        <v>5770</v>
      </c>
      <c r="J399" t="s">
        <v>5743</v>
      </c>
      <c r="K399">
        <v>50</v>
      </c>
      <c r="L399" t="str" cm="1">
        <f t="array" ref="L399">_xlfn.IFS(
 K399&lt;=50,"≤50",
 AND(K399&gt;=51,K399&lt;=100),"51–100",
 AND(K399&gt;=101,K399&lt;=250),"101–250",
 AND(K399&gt;=251,K399&lt;=500),"251–500",
 AND(K399&gt;=501,K399&lt;=1000),"501–1000",
 K399&gt;=1001,"1001+"
)</f>
        <v>≤50</v>
      </c>
    </row>
    <row r="400" spans="1:12" x14ac:dyDescent="0.3">
      <c r="A400" t="s">
        <v>792</v>
      </c>
      <c r="B400" t="s">
        <v>13</v>
      </c>
      <c r="C400" t="s">
        <v>5777</v>
      </c>
      <c r="D400" t="s">
        <v>793</v>
      </c>
      <c r="F400" t="s">
        <v>5770</v>
      </c>
      <c r="J400" t="s">
        <v>5739</v>
      </c>
      <c r="K400">
        <v>50</v>
      </c>
      <c r="L400" t="str" cm="1">
        <f t="array" ref="L400">_xlfn.IFS(
 K400&lt;=50,"≤50",
 AND(K400&gt;=51,K400&lt;=100),"51–100",
 AND(K400&gt;=101,K400&lt;=250),"101–250",
 AND(K400&gt;=251,K400&lt;=500),"251–500",
 AND(K400&gt;=501,K400&lt;=1000),"501–1000",
 K400&gt;=1001,"1001+"
)</f>
        <v>≤50</v>
      </c>
    </row>
    <row r="401" spans="1:12" x14ac:dyDescent="0.3">
      <c r="A401" t="s">
        <v>794</v>
      </c>
      <c r="B401" t="s">
        <v>13</v>
      </c>
      <c r="C401" t="s">
        <v>5777</v>
      </c>
      <c r="D401" t="s">
        <v>795</v>
      </c>
      <c r="E401" t="s">
        <v>15</v>
      </c>
      <c r="F401" t="s">
        <v>5770</v>
      </c>
      <c r="J401" t="s">
        <v>5762</v>
      </c>
      <c r="K401">
        <v>50</v>
      </c>
      <c r="L401" t="str" cm="1">
        <f t="array" ref="L401">_xlfn.IFS(
 K401&lt;=50,"≤50",
 AND(K401&gt;=51,K401&lt;=100),"51–100",
 AND(K401&gt;=101,K401&lt;=250),"101–250",
 AND(K401&gt;=251,K401&lt;=500),"251–500",
 AND(K401&gt;=501,K401&lt;=1000),"501–1000",
 K401&gt;=1001,"1001+"
)</f>
        <v>≤50</v>
      </c>
    </row>
    <row r="402" spans="1:12" x14ac:dyDescent="0.3">
      <c r="A402" t="s">
        <v>796</v>
      </c>
      <c r="B402" t="s">
        <v>9</v>
      </c>
      <c r="C402" t="s">
        <v>5780</v>
      </c>
      <c r="D402" t="s">
        <v>797</v>
      </c>
      <c r="E402" t="s">
        <v>15</v>
      </c>
      <c r="F402" t="s">
        <v>20</v>
      </c>
      <c r="G402" t="s">
        <v>798</v>
      </c>
      <c r="J402" t="s">
        <v>5742</v>
      </c>
      <c r="K402">
        <v>50</v>
      </c>
      <c r="L402" t="str" cm="1">
        <f t="array" ref="L402">_xlfn.IFS(
 K402&lt;=50,"≤50",
 AND(K402&gt;=51,K402&lt;=100),"51–100",
 AND(K402&gt;=101,K402&lt;=250),"101–250",
 AND(K402&gt;=251,K402&lt;=500),"251–500",
 AND(K402&gt;=501,K402&lt;=1000),"501–1000",
 K402&gt;=1001,"1001+"
)</f>
        <v>≤50</v>
      </c>
    </row>
    <row r="403" spans="1:12" x14ac:dyDescent="0.3">
      <c r="A403" t="s">
        <v>799</v>
      </c>
      <c r="B403" t="s">
        <v>9</v>
      </c>
      <c r="C403" t="s">
        <v>5780</v>
      </c>
      <c r="D403" t="s">
        <v>800</v>
      </c>
      <c r="E403" t="s">
        <v>15</v>
      </c>
      <c r="F403" t="s">
        <v>54</v>
      </c>
      <c r="G403" t="s">
        <v>801</v>
      </c>
      <c r="J403" t="s">
        <v>5737</v>
      </c>
      <c r="K403">
        <v>50</v>
      </c>
      <c r="L403" t="str" cm="1">
        <f t="array" ref="L403">_xlfn.IFS(
 K403&lt;=50,"≤50",
 AND(K403&gt;=51,K403&lt;=100),"51–100",
 AND(K403&gt;=101,K403&lt;=250),"101–250",
 AND(K403&gt;=251,K403&lt;=500),"251–500",
 AND(K403&gt;=501,K403&lt;=1000),"501–1000",
 K403&gt;=1001,"1001+"
)</f>
        <v>≤50</v>
      </c>
    </row>
    <row r="404" spans="1:12" x14ac:dyDescent="0.3">
      <c r="A404" t="s">
        <v>802</v>
      </c>
      <c r="B404" t="s">
        <v>11</v>
      </c>
      <c r="C404" t="s">
        <v>5776</v>
      </c>
      <c r="F404" t="s">
        <v>5770</v>
      </c>
      <c r="J404" t="s">
        <v>5737</v>
      </c>
      <c r="K404">
        <v>50</v>
      </c>
      <c r="L404" t="str" cm="1">
        <f t="array" ref="L404">_xlfn.IFS(
 K404&lt;=50,"≤50",
 AND(K404&gt;=51,K404&lt;=100),"51–100",
 AND(K404&gt;=101,K404&lt;=250),"101–250",
 AND(K404&gt;=251,K404&lt;=500),"251–500",
 AND(K404&gt;=501,K404&lt;=1000),"501–1000",
 K404&gt;=1001,"1001+"
)</f>
        <v>≤50</v>
      </c>
    </row>
    <row r="405" spans="1:12" x14ac:dyDescent="0.3">
      <c r="A405" t="s">
        <v>803</v>
      </c>
      <c r="B405" t="s">
        <v>9</v>
      </c>
      <c r="C405" t="s">
        <v>5780</v>
      </c>
      <c r="D405" t="s">
        <v>804</v>
      </c>
      <c r="E405" t="s">
        <v>15</v>
      </c>
      <c r="F405" t="s">
        <v>20</v>
      </c>
      <c r="G405" t="s">
        <v>805</v>
      </c>
      <c r="J405" t="s">
        <v>5737</v>
      </c>
      <c r="K405">
        <v>50</v>
      </c>
      <c r="L405" t="str" cm="1">
        <f t="array" ref="L405">_xlfn.IFS(
 K405&lt;=50,"≤50",
 AND(K405&gt;=51,K405&lt;=100),"51–100",
 AND(K405&gt;=101,K405&lt;=250),"101–250",
 AND(K405&gt;=251,K405&lt;=500),"251–500",
 AND(K405&gt;=501,K405&lt;=1000),"501–1000",
 K405&gt;=1001,"1001+"
)</f>
        <v>≤50</v>
      </c>
    </row>
    <row r="406" spans="1:12" x14ac:dyDescent="0.3">
      <c r="A406" t="s">
        <v>806</v>
      </c>
      <c r="B406" t="s">
        <v>9</v>
      </c>
      <c r="C406" t="s">
        <v>5780</v>
      </c>
      <c r="D406" t="s">
        <v>28</v>
      </c>
      <c r="F406" t="s">
        <v>5770</v>
      </c>
      <c r="J406" t="s">
        <v>5752</v>
      </c>
      <c r="K406">
        <v>50</v>
      </c>
      <c r="L406" t="str" cm="1">
        <f t="array" ref="L406">_xlfn.IFS(
 K406&lt;=50,"≤50",
 AND(K406&gt;=51,K406&lt;=100),"51–100",
 AND(K406&gt;=101,K406&lt;=250),"101–250",
 AND(K406&gt;=251,K406&lt;=500),"251–500",
 AND(K406&gt;=501,K406&lt;=1000),"501–1000",
 K406&gt;=1001,"1001+"
)</f>
        <v>≤50</v>
      </c>
    </row>
    <row r="407" spans="1:12" x14ac:dyDescent="0.3">
      <c r="A407" t="s">
        <v>807</v>
      </c>
      <c r="B407" t="s">
        <v>13</v>
      </c>
      <c r="C407" t="s">
        <v>5777</v>
      </c>
      <c r="D407" t="s">
        <v>808</v>
      </c>
      <c r="E407" t="s">
        <v>15</v>
      </c>
      <c r="F407" t="s">
        <v>54</v>
      </c>
      <c r="G407" t="s">
        <v>588</v>
      </c>
      <c r="J407" t="s">
        <v>5738</v>
      </c>
      <c r="K407">
        <v>50</v>
      </c>
      <c r="L407" t="str" cm="1">
        <f t="array" ref="L407">_xlfn.IFS(
 K407&lt;=50,"≤50",
 AND(K407&gt;=51,K407&lt;=100),"51–100",
 AND(K407&gt;=101,K407&lt;=250),"101–250",
 AND(K407&gt;=251,K407&lt;=500),"251–500",
 AND(K407&gt;=501,K407&lt;=1000),"501–1000",
 K407&gt;=1001,"1001+"
)</f>
        <v>≤50</v>
      </c>
    </row>
    <row r="408" spans="1:12" x14ac:dyDescent="0.3">
      <c r="A408" t="s">
        <v>809</v>
      </c>
      <c r="B408" t="s">
        <v>9</v>
      </c>
      <c r="C408" t="s">
        <v>5780</v>
      </c>
      <c r="D408" t="s">
        <v>810</v>
      </c>
      <c r="F408" t="s">
        <v>54</v>
      </c>
      <c r="G408" t="s">
        <v>588</v>
      </c>
      <c r="J408" t="s">
        <v>5739</v>
      </c>
      <c r="K408">
        <v>50</v>
      </c>
      <c r="L408" t="str" cm="1">
        <f t="array" ref="L408">_xlfn.IFS(
 K408&lt;=50,"≤50",
 AND(K408&gt;=51,K408&lt;=100),"51–100",
 AND(K408&gt;=101,K408&lt;=250),"101–250",
 AND(K408&gt;=251,K408&lt;=500),"251–500",
 AND(K408&gt;=501,K408&lt;=1000),"501–1000",
 K408&gt;=1001,"1001+"
)</f>
        <v>≤50</v>
      </c>
    </row>
    <row r="409" spans="1:12" x14ac:dyDescent="0.3">
      <c r="A409" t="s">
        <v>811</v>
      </c>
      <c r="B409" t="s">
        <v>9</v>
      </c>
      <c r="C409" t="s">
        <v>5780</v>
      </c>
      <c r="D409" t="s">
        <v>812</v>
      </c>
      <c r="E409" t="s">
        <v>15</v>
      </c>
      <c r="F409" t="s">
        <v>20</v>
      </c>
      <c r="G409" t="s">
        <v>813</v>
      </c>
      <c r="J409" t="s">
        <v>5737</v>
      </c>
      <c r="K409">
        <v>50</v>
      </c>
      <c r="L409" t="str" cm="1">
        <f t="array" ref="L409">_xlfn.IFS(
 K409&lt;=50,"≤50",
 AND(K409&gt;=51,K409&lt;=100),"51–100",
 AND(K409&gt;=101,K409&lt;=250),"101–250",
 AND(K409&gt;=251,K409&lt;=500),"251–500",
 AND(K409&gt;=501,K409&lt;=1000),"501–1000",
 K409&gt;=1001,"1001+"
)</f>
        <v>≤50</v>
      </c>
    </row>
    <row r="410" spans="1:12" x14ac:dyDescent="0.3">
      <c r="A410" t="s">
        <v>814</v>
      </c>
      <c r="B410" t="s">
        <v>13</v>
      </c>
      <c r="C410" t="s">
        <v>5777</v>
      </c>
      <c r="D410" t="s">
        <v>815</v>
      </c>
      <c r="F410" t="s">
        <v>5770</v>
      </c>
      <c r="J410" t="s">
        <v>5752</v>
      </c>
      <c r="K410">
        <v>50</v>
      </c>
      <c r="L410" t="str" cm="1">
        <f t="array" ref="L410">_xlfn.IFS(
 K410&lt;=50,"≤50",
 AND(K410&gt;=51,K410&lt;=100),"51–100",
 AND(K410&gt;=101,K410&lt;=250),"101–250",
 AND(K410&gt;=251,K410&lt;=500),"251–500",
 AND(K410&gt;=501,K410&lt;=1000),"501–1000",
 K410&gt;=1001,"1001+"
)</f>
        <v>≤50</v>
      </c>
    </row>
    <row r="411" spans="1:12" x14ac:dyDescent="0.3">
      <c r="A411" t="s">
        <v>816</v>
      </c>
      <c r="B411" t="s">
        <v>9</v>
      </c>
      <c r="C411" t="s">
        <v>5780</v>
      </c>
      <c r="D411" t="s">
        <v>28</v>
      </c>
      <c r="E411" t="s">
        <v>15</v>
      </c>
      <c r="F411" t="s">
        <v>16</v>
      </c>
      <c r="G411" t="s">
        <v>817</v>
      </c>
      <c r="J411" t="s">
        <v>5753</v>
      </c>
      <c r="K411">
        <v>50</v>
      </c>
      <c r="L411" t="str" cm="1">
        <f t="array" ref="L411">_xlfn.IFS(
 K411&lt;=50,"≤50",
 AND(K411&gt;=51,K411&lt;=100),"51–100",
 AND(K411&gt;=101,K411&lt;=250),"101–250",
 AND(K411&gt;=251,K411&lt;=500),"251–500",
 AND(K411&gt;=501,K411&lt;=1000),"501–1000",
 K411&gt;=1001,"1001+"
)</f>
        <v>≤50</v>
      </c>
    </row>
    <row r="412" spans="1:12" x14ac:dyDescent="0.3">
      <c r="A412" t="s">
        <v>818</v>
      </c>
      <c r="B412" t="s">
        <v>11</v>
      </c>
      <c r="C412" t="s">
        <v>5776</v>
      </c>
      <c r="F412" t="s">
        <v>5770</v>
      </c>
      <c r="J412" t="s">
        <v>5738</v>
      </c>
      <c r="K412">
        <v>50</v>
      </c>
      <c r="L412" t="str" cm="1">
        <f t="array" ref="L412">_xlfn.IFS(
 K412&lt;=50,"≤50",
 AND(K412&gt;=51,K412&lt;=100),"51–100",
 AND(K412&gt;=101,K412&lt;=250),"101–250",
 AND(K412&gt;=251,K412&lt;=500),"251–500",
 AND(K412&gt;=501,K412&lt;=1000),"501–1000",
 K412&gt;=1001,"1001+"
)</f>
        <v>≤50</v>
      </c>
    </row>
    <row r="413" spans="1:12" x14ac:dyDescent="0.3">
      <c r="A413" t="s">
        <v>819</v>
      </c>
      <c r="B413" t="s">
        <v>13</v>
      </c>
      <c r="C413" t="s">
        <v>5777</v>
      </c>
      <c r="D413" t="s">
        <v>369</v>
      </c>
      <c r="F413" t="s">
        <v>5770</v>
      </c>
      <c r="J413" t="s">
        <v>5741</v>
      </c>
      <c r="K413">
        <v>50</v>
      </c>
      <c r="L413" t="str" cm="1">
        <f t="array" ref="L413">_xlfn.IFS(
 K413&lt;=50,"≤50",
 AND(K413&gt;=51,K413&lt;=100),"51–100",
 AND(K413&gt;=101,K413&lt;=250),"101–250",
 AND(K413&gt;=251,K413&lt;=500),"251–500",
 AND(K413&gt;=501,K413&lt;=1000),"501–1000",
 K413&gt;=1001,"1001+"
)</f>
        <v>≤50</v>
      </c>
    </row>
    <row r="414" spans="1:12" x14ac:dyDescent="0.3">
      <c r="A414" t="s">
        <v>820</v>
      </c>
      <c r="B414" t="s">
        <v>13</v>
      </c>
      <c r="C414" t="s">
        <v>5777</v>
      </c>
      <c r="D414" t="s">
        <v>821</v>
      </c>
      <c r="E414" t="s">
        <v>15</v>
      </c>
      <c r="F414" t="s">
        <v>5770</v>
      </c>
      <c r="J414" t="s">
        <v>5752</v>
      </c>
      <c r="K414">
        <v>50</v>
      </c>
      <c r="L414" t="str" cm="1">
        <f t="array" ref="L414">_xlfn.IFS(
 K414&lt;=50,"≤50",
 AND(K414&gt;=51,K414&lt;=100),"51–100",
 AND(K414&gt;=101,K414&lt;=250),"101–250",
 AND(K414&gt;=251,K414&lt;=500),"251–500",
 AND(K414&gt;=501,K414&lt;=1000),"501–1000",
 K414&gt;=1001,"1001+"
)</f>
        <v>≤50</v>
      </c>
    </row>
    <row r="415" spans="1:12" x14ac:dyDescent="0.3">
      <c r="A415" t="s">
        <v>822</v>
      </c>
      <c r="B415" t="s">
        <v>9</v>
      </c>
      <c r="C415" t="s">
        <v>5780</v>
      </c>
      <c r="D415" t="s">
        <v>823</v>
      </c>
      <c r="E415" t="s">
        <v>15</v>
      </c>
      <c r="F415" t="s">
        <v>20</v>
      </c>
      <c r="G415" t="s">
        <v>824</v>
      </c>
      <c r="J415" t="s">
        <v>5737</v>
      </c>
      <c r="K415">
        <v>50</v>
      </c>
      <c r="L415" t="str" cm="1">
        <f t="array" ref="L415">_xlfn.IFS(
 K415&lt;=50,"≤50",
 AND(K415&gt;=51,K415&lt;=100),"51–100",
 AND(K415&gt;=101,K415&lt;=250),"101–250",
 AND(K415&gt;=251,K415&lt;=500),"251–500",
 AND(K415&gt;=501,K415&lt;=1000),"501–1000",
 K415&gt;=1001,"1001+"
)</f>
        <v>≤50</v>
      </c>
    </row>
    <row r="416" spans="1:12" x14ac:dyDescent="0.3">
      <c r="A416" t="s">
        <v>825</v>
      </c>
      <c r="B416" t="s">
        <v>9</v>
      </c>
      <c r="C416" t="s">
        <v>5780</v>
      </c>
      <c r="D416" t="s">
        <v>826</v>
      </c>
      <c r="F416" t="s">
        <v>5770</v>
      </c>
      <c r="J416" t="s">
        <v>5738</v>
      </c>
      <c r="K416">
        <v>50</v>
      </c>
      <c r="L416" t="str" cm="1">
        <f t="array" ref="L416">_xlfn.IFS(
 K416&lt;=50,"≤50",
 AND(K416&gt;=51,K416&lt;=100),"51–100",
 AND(K416&gt;=101,K416&lt;=250),"101–250",
 AND(K416&gt;=251,K416&lt;=500),"251–500",
 AND(K416&gt;=501,K416&lt;=1000),"501–1000",
 K416&gt;=1001,"1001+"
)</f>
        <v>≤50</v>
      </c>
    </row>
    <row r="417" spans="1:12" x14ac:dyDescent="0.3">
      <c r="A417" t="s">
        <v>827</v>
      </c>
      <c r="B417" t="s">
        <v>9</v>
      </c>
      <c r="C417" t="s">
        <v>5780</v>
      </c>
      <c r="D417" t="s">
        <v>828</v>
      </c>
      <c r="E417" t="s">
        <v>15</v>
      </c>
      <c r="F417" t="s">
        <v>54</v>
      </c>
      <c r="G417" t="s">
        <v>829</v>
      </c>
      <c r="J417" t="s">
        <v>5737</v>
      </c>
      <c r="K417">
        <v>50</v>
      </c>
      <c r="L417" t="str" cm="1">
        <f t="array" ref="L417">_xlfn.IFS(
 K417&lt;=50,"≤50",
 AND(K417&gt;=51,K417&lt;=100),"51–100",
 AND(K417&gt;=101,K417&lt;=250),"101–250",
 AND(K417&gt;=251,K417&lt;=500),"251–500",
 AND(K417&gt;=501,K417&lt;=1000),"501–1000",
 K417&gt;=1001,"1001+"
)</f>
        <v>≤50</v>
      </c>
    </row>
    <row r="418" spans="1:12" x14ac:dyDescent="0.3">
      <c r="A418" t="s">
        <v>830</v>
      </c>
      <c r="B418" t="s">
        <v>9</v>
      </c>
      <c r="C418" t="s">
        <v>5780</v>
      </c>
      <c r="D418" t="s">
        <v>28</v>
      </c>
      <c r="F418" t="s">
        <v>5770</v>
      </c>
      <c r="J418" t="s">
        <v>5758</v>
      </c>
      <c r="K418">
        <v>50</v>
      </c>
      <c r="L418" t="str" cm="1">
        <f t="array" ref="L418">_xlfn.IFS(
 K418&lt;=50,"≤50",
 AND(K418&gt;=51,K418&lt;=100),"51–100",
 AND(K418&gt;=101,K418&lt;=250),"101–250",
 AND(K418&gt;=251,K418&lt;=500),"251–500",
 AND(K418&gt;=501,K418&lt;=1000),"501–1000",
 K418&gt;=1001,"1001+"
)</f>
        <v>≤50</v>
      </c>
    </row>
    <row r="419" spans="1:12" x14ac:dyDescent="0.3">
      <c r="A419" t="s">
        <v>831</v>
      </c>
      <c r="B419" t="s">
        <v>9</v>
      </c>
      <c r="C419" t="s">
        <v>5780</v>
      </c>
      <c r="D419" t="s">
        <v>832</v>
      </c>
      <c r="E419" t="s">
        <v>15</v>
      </c>
      <c r="F419" t="s">
        <v>54</v>
      </c>
      <c r="G419" t="s">
        <v>833</v>
      </c>
      <c r="J419" t="s">
        <v>5737</v>
      </c>
      <c r="K419">
        <v>50</v>
      </c>
      <c r="L419" t="str" cm="1">
        <f t="array" ref="L419">_xlfn.IFS(
 K419&lt;=50,"≤50",
 AND(K419&gt;=51,K419&lt;=100),"51–100",
 AND(K419&gt;=101,K419&lt;=250),"101–250",
 AND(K419&gt;=251,K419&lt;=500),"251–500",
 AND(K419&gt;=501,K419&lt;=1000),"501–1000",
 K419&gt;=1001,"1001+"
)</f>
        <v>≤50</v>
      </c>
    </row>
    <row r="420" spans="1:12" x14ac:dyDescent="0.3">
      <c r="A420" t="s">
        <v>834</v>
      </c>
      <c r="B420" t="s">
        <v>13</v>
      </c>
      <c r="C420" t="s">
        <v>5777</v>
      </c>
      <c r="D420" t="s">
        <v>835</v>
      </c>
      <c r="E420" t="s">
        <v>15</v>
      </c>
      <c r="F420" t="s">
        <v>16</v>
      </c>
      <c r="G420" t="s">
        <v>836</v>
      </c>
      <c r="J420" t="s">
        <v>5737</v>
      </c>
      <c r="K420">
        <v>50</v>
      </c>
      <c r="L420" t="str" cm="1">
        <f t="array" ref="L420">_xlfn.IFS(
 K420&lt;=50,"≤50",
 AND(K420&gt;=51,K420&lt;=100),"51–100",
 AND(K420&gt;=101,K420&lt;=250),"101–250",
 AND(K420&gt;=251,K420&lt;=500),"251–500",
 AND(K420&gt;=501,K420&lt;=1000),"501–1000",
 K420&gt;=1001,"1001+"
)</f>
        <v>≤50</v>
      </c>
    </row>
    <row r="421" spans="1:12" x14ac:dyDescent="0.3">
      <c r="A421" t="s">
        <v>837</v>
      </c>
      <c r="B421" t="s">
        <v>9</v>
      </c>
      <c r="C421" t="s">
        <v>5780</v>
      </c>
      <c r="D421" t="s">
        <v>838</v>
      </c>
      <c r="E421" t="s">
        <v>15</v>
      </c>
      <c r="F421" t="s">
        <v>20</v>
      </c>
      <c r="G421" t="s">
        <v>839</v>
      </c>
      <c r="J421" t="s">
        <v>5738</v>
      </c>
      <c r="K421">
        <v>50</v>
      </c>
      <c r="L421" t="str" cm="1">
        <f t="array" ref="L421">_xlfn.IFS(
 K421&lt;=50,"≤50",
 AND(K421&gt;=51,K421&lt;=100),"51–100",
 AND(K421&gt;=101,K421&lt;=250),"101–250",
 AND(K421&gt;=251,K421&lt;=500),"251–500",
 AND(K421&gt;=501,K421&lt;=1000),"501–1000",
 K421&gt;=1001,"1001+"
)</f>
        <v>≤50</v>
      </c>
    </row>
    <row r="422" spans="1:12" x14ac:dyDescent="0.3">
      <c r="A422" t="s">
        <v>840</v>
      </c>
      <c r="B422" t="s">
        <v>9</v>
      </c>
      <c r="C422" t="s">
        <v>5780</v>
      </c>
      <c r="D422" t="s">
        <v>841</v>
      </c>
      <c r="F422" t="s">
        <v>5770</v>
      </c>
      <c r="J422" t="s">
        <v>5737</v>
      </c>
      <c r="K422">
        <v>50</v>
      </c>
      <c r="L422" t="str" cm="1">
        <f t="array" ref="L422">_xlfn.IFS(
 K422&lt;=50,"≤50",
 AND(K422&gt;=51,K422&lt;=100),"51–100",
 AND(K422&gt;=101,K422&lt;=250),"101–250",
 AND(K422&gt;=251,K422&lt;=500),"251–500",
 AND(K422&gt;=501,K422&lt;=1000),"501–1000",
 K422&gt;=1001,"1001+"
)</f>
        <v>≤50</v>
      </c>
    </row>
    <row r="423" spans="1:12" x14ac:dyDescent="0.3">
      <c r="A423" t="s">
        <v>842</v>
      </c>
      <c r="B423" t="s">
        <v>11</v>
      </c>
      <c r="C423" t="s">
        <v>5776</v>
      </c>
      <c r="F423" t="s">
        <v>54</v>
      </c>
      <c r="G423" t="s">
        <v>588</v>
      </c>
      <c r="J423" t="s">
        <v>5737</v>
      </c>
      <c r="K423">
        <v>50</v>
      </c>
      <c r="L423" t="str" cm="1">
        <f t="array" ref="L423">_xlfn.IFS(
 K423&lt;=50,"≤50",
 AND(K423&gt;=51,K423&lt;=100),"51–100",
 AND(K423&gt;=101,K423&lt;=250),"101–250",
 AND(K423&gt;=251,K423&lt;=500),"251–500",
 AND(K423&gt;=501,K423&lt;=1000),"501–1000",
 K423&gt;=1001,"1001+"
)</f>
        <v>≤50</v>
      </c>
    </row>
    <row r="424" spans="1:12" x14ac:dyDescent="0.3">
      <c r="A424" t="s">
        <v>843</v>
      </c>
      <c r="B424" t="s">
        <v>9</v>
      </c>
      <c r="C424" t="s">
        <v>5780</v>
      </c>
      <c r="D424" t="s">
        <v>28</v>
      </c>
      <c r="F424" t="s">
        <v>5770</v>
      </c>
      <c r="J424" t="s">
        <v>5738</v>
      </c>
      <c r="K424">
        <v>50</v>
      </c>
      <c r="L424" t="str" cm="1">
        <f t="array" ref="L424">_xlfn.IFS(
 K424&lt;=50,"≤50",
 AND(K424&gt;=51,K424&lt;=100),"51–100",
 AND(K424&gt;=101,K424&lt;=250),"101–250",
 AND(K424&gt;=251,K424&lt;=500),"251–500",
 AND(K424&gt;=501,K424&lt;=1000),"501–1000",
 K424&gt;=1001,"1001+"
)</f>
        <v>≤50</v>
      </c>
    </row>
    <row r="425" spans="1:12" x14ac:dyDescent="0.3">
      <c r="A425" t="s">
        <v>844</v>
      </c>
      <c r="B425" t="s">
        <v>11</v>
      </c>
      <c r="C425" t="s">
        <v>5776</v>
      </c>
      <c r="F425" t="s">
        <v>5770</v>
      </c>
      <c r="J425" t="s">
        <v>5743</v>
      </c>
      <c r="K425">
        <v>50</v>
      </c>
      <c r="L425" t="str" cm="1">
        <f t="array" ref="L425">_xlfn.IFS(
 K425&lt;=50,"≤50",
 AND(K425&gt;=51,K425&lt;=100),"51–100",
 AND(K425&gt;=101,K425&lt;=250),"101–250",
 AND(K425&gt;=251,K425&lt;=500),"251–500",
 AND(K425&gt;=501,K425&lt;=1000),"501–1000",
 K425&gt;=1001,"1001+"
)</f>
        <v>≤50</v>
      </c>
    </row>
    <row r="426" spans="1:12" x14ac:dyDescent="0.3">
      <c r="A426" t="s">
        <v>845</v>
      </c>
      <c r="B426" t="s">
        <v>9</v>
      </c>
      <c r="C426" t="s">
        <v>5780</v>
      </c>
      <c r="D426" t="s">
        <v>28</v>
      </c>
      <c r="F426" t="s">
        <v>5770</v>
      </c>
      <c r="J426" t="s">
        <v>5737</v>
      </c>
      <c r="K426">
        <v>50</v>
      </c>
      <c r="L426" t="str" cm="1">
        <f t="array" ref="L426">_xlfn.IFS(
 K426&lt;=50,"≤50",
 AND(K426&gt;=51,K426&lt;=100),"51–100",
 AND(K426&gt;=101,K426&lt;=250),"101–250",
 AND(K426&gt;=251,K426&lt;=500),"251–500",
 AND(K426&gt;=501,K426&lt;=1000),"501–1000",
 K426&gt;=1001,"1001+"
)</f>
        <v>≤50</v>
      </c>
    </row>
    <row r="427" spans="1:12" x14ac:dyDescent="0.3">
      <c r="A427" t="s">
        <v>846</v>
      </c>
      <c r="B427" t="s">
        <v>9</v>
      </c>
      <c r="C427" t="s">
        <v>5780</v>
      </c>
      <c r="D427" t="s">
        <v>847</v>
      </c>
      <c r="E427" t="s">
        <v>15</v>
      </c>
      <c r="F427" t="s">
        <v>20</v>
      </c>
      <c r="G427" t="s">
        <v>21</v>
      </c>
      <c r="J427" t="s">
        <v>5737</v>
      </c>
      <c r="K427">
        <v>50</v>
      </c>
      <c r="L427" t="str" cm="1">
        <f t="array" ref="L427">_xlfn.IFS(
 K427&lt;=50,"≤50",
 AND(K427&gt;=51,K427&lt;=100),"51–100",
 AND(K427&gt;=101,K427&lt;=250),"101–250",
 AND(K427&gt;=251,K427&lt;=500),"251–500",
 AND(K427&gt;=501,K427&lt;=1000),"501–1000",
 K427&gt;=1001,"1001+"
)</f>
        <v>≤50</v>
      </c>
    </row>
    <row r="428" spans="1:12" x14ac:dyDescent="0.3">
      <c r="A428" t="s">
        <v>848</v>
      </c>
      <c r="B428" t="s">
        <v>9</v>
      </c>
      <c r="C428" t="s">
        <v>5780</v>
      </c>
      <c r="D428" t="s">
        <v>28</v>
      </c>
      <c r="E428" t="s">
        <v>15</v>
      </c>
      <c r="F428" t="s">
        <v>5770</v>
      </c>
      <c r="J428" t="s">
        <v>5753</v>
      </c>
      <c r="K428">
        <v>50</v>
      </c>
      <c r="L428" t="str" cm="1">
        <f t="array" ref="L428">_xlfn.IFS(
 K428&lt;=50,"≤50",
 AND(K428&gt;=51,K428&lt;=100),"51–100",
 AND(K428&gt;=101,K428&lt;=250),"101–250",
 AND(K428&gt;=251,K428&lt;=500),"251–500",
 AND(K428&gt;=501,K428&lt;=1000),"501–1000",
 K428&gt;=1001,"1001+"
)</f>
        <v>≤50</v>
      </c>
    </row>
    <row r="429" spans="1:12" x14ac:dyDescent="0.3">
      <c r="A429" t="s">
        <v>849</v>
      </c>
      <c r="B429" t="s">
        <v>13</v>
      </c>
      <c r="C429" t="s">
        <v>5777</v>
      </c>
      <c r="D429" t="s">
        <v>850</v>
      </c>
      <c r="E429" t="s">
        <v>15</v>
      </c>
      <c r="F429" t="s">
        <v>5770</v>
      </c>
      <c r="J429" t="s">
        <v>5756</v>
      </c>
      <c r="K429">
        <v>50</v>
      </c>
      <c r="L429" t="str" cm="1">
        <f t="array" ref="L429">_xlfn.IFS(
 K429&lt;=50,"≤50",
 AND(K429&gt;=51,K429&lt;=100),"51–100",
 AND(K429&gt;=101,K429&lt;=250),"101–250",
 AND(K429&gt;=251,K429&lt;=500),"251–500",
 AND(K429&gt;=501,K429&lt;=1000),"501–1000",
 K429&gt;=1001,"1001+"
)</f>
        <v>≤50</v>
      </c>
    </row>
    <row r="430" spans="1:12" x14ac:dyDescent="0.3">
      <c r="A430" t="s">
        <v>851</v>
      </c>
      <c r="B430" t="s">
        <v>11</v>
      </c>
      <c r="C430" t="s">
        <v>5776</v>
      </c>
      <c r="F430" t="s">
        <v>5770</v>
      </c>
      <c r="J430" t="s">
        <v>5749</v>
      </c>
      <c r="K430">
        <v>50</v>
      </c>
      <c r="L430" t="str" cm="1">
        <f t="array" ref="L430">_xlfn.IFS(
 K430&lt;=50,"≤50",
 AND(K430&gt;=51,K430&lt;=100),"51–100",
 AND(K430&gt;=101,K430&lt;=250),"101–250",
 AND(K430&gt;=251,K430&lt;=500),"251–500",
 AND(K430&gt;=501,K430&lt;=1000),"501–1000",
 K430&gt;=1001,"1001+"
)</f>
        <v>≤50</v>
      </c>
    </row>
    <row r="431" spans="1:12" x14ac:dyDescent="0.3">
      <c r="A431" t="s">
        <v>852</v>
      </c>
      <c r="B431" t="s">
        <v>9</v>
      </c>
      <c r="C431" t="s">
        <v>5780</v>
      </c>
      <c r="D431" t="s">
        <v>28</v>
      </c>
      <c r="F431" t="s">
        <v>5770</v>
      </c>
      <c r="J431" t="s">
        <v>5758</v>
      </c>
      <c r="K431">
        <v>50</v>
      </c>
      <c r="L431" t="str" cm="1">
        <f t="array" ref="L431">_xlfn.IFS(
 K431&lt;=50,"≤50",
 AND(K431&gt;=51,K431&lt;=100),"51–100",
 AND(K431&gt;=101,K431&lt;=250),"101–250",
 AND(K431&gt;=251,K431&lt;=500),"251–500",
 AND(K431&gt;=501,K431&lt;=1000),"501–1000",
 K431&gt;=1001,"1001+"
)</f>
        <v>≤50</v>
      </c>
    </row>
    <row r="432" spans="1:12" x14ac:dyDescent="0.3">
      <c r="A432" t="s">
        <v>853</v>
      </c>
      <c r="B432" t="s">
        <v>854</v>
      </c>
      <c r="C432" s="5" t="s">
        <v>5779</v>
      </c>
      <c r="D432" t="s">
        <v>855</v>
      </c>
      <c r="F432" t="s">
        <v>5770</v>
      </c>
      <c r="J432" t="s">
        <v>5759</v>
      </c>
      <c r="K432">
        <v>50</v>
      </c>
      <c r="L432" t="str" cm="1">
        <f t="array" ref="L432">_xlfn.IFS(
 K432&lt;=50,"≤50",
 AND(K432&gt;=51,K432&lt;=100),"51–100",
 AND(K432&gt;=101,K432&lt;=250),"101–250",
 AND(K432&gt;=251,K432&lt;=500),"251–500",
 AND(K432&gt;=501,K432&lt;=1000),"501–1000",
 K432&gt;=1001,"1001+"
)</f>
        <v>≤50</v>
      </c>
    </row>
    <row r="433" spans="1:12" x14ac:dyDescent="0.3">
      <c r="A433" t="s">
        <v>856</v>
      </c>
      <c r="B433" t="s">
        <v>13</v>
      </c>
      <c r="C433" t="s">
        <v>5777</v>
      </c>
      <c r="D433" t="s">
        <v>857</v>
      </c>
      <c r="F433" t="s">
        <v>5770</v>
      </c>
      <c r="J433" t="s">
        <v>5750</v>
      </c>
      <c r="K433">
        <v>50</v>
      </c>
      <c r="L433" t="str" cm="1">
        <f t="array" ref="L433">_xlfn.IFS(
 K433&lt;=50,"≤50",
 AND(K433&gt;=51,K433&lt;=100),"51–100",
 AND(K433&gt;=101,K433&lt;=250),"101–250",
 AND(K433&gt;=251,K433&lt;=500),"251–500",
 AND(K433&gt;=501,K433&lt;=1000),"501–1000",
 K433&gt;=1001,"1001+"
)</f>
        <v>≤50</v>
      </c>
    </row>
    <row r="434" spans="1:12" x14ac:dyDescent="0.3">
      <c r="A434" t="s">
        <v>858</v>
      </c>
      <c r="B434" t="s">
        <v>9</v>
      </c>
      <c r="C434" t="s">
        <v>5780</v>
      </c>
      <c r="D434" t="s">
        <v>859</v>
      </c>
      <c r="F434" t="s">
        <v>5770</v>
      </c>
      <c r="J434" t="s">
        <v>5761</v>
      </c>
      <c r="K434">
        <v>50</v>
      </c>
      <c r="L434" t="str" cm="1">
        <f t="array" ref="L434">_xlfn.IFS(
 K434&lt;=50,"≤50",
 AND(K434&gt;=51,K434&lt;=100),"51–100",
 AND(K434&gt;=101,K434&lt;=250),"101–250",
 AND(K434&gt;=251,K434&lt;=500),"251–500",
 AND(K434&gt;=501,K434&lt;=1000),"501–1000",
 K434&gt;=1001,"1001+"
)</f>
        <v>≤50</v>
      </c>
    </row>
    <row r="435" spans="1:12" x14ac:dyDescent="0.3">
      <c r="A435" t="s">
        <v>860</v>
      </c>
      <c r="B435" t="s">
        <v>13</v>
      </c>
      <c r="C435" t="s">
        <v>5777</v>
      </c>
      <c r="D435" t="s">
        <v>861</v>
      </c>
      <c r="F435" t="s">
        <v>20</v>
      </c>
      <c r="G435" t="s">
        <v>135</v>
      </c>
      <c r="J435" t="s">
        <v>5738</v>
      </c>
      <c r="K435">
        <v>50</v>
      </c>
      <c r="L435" t="str" cm="1">
        <f t="array" ref="L435">_xlfn.IFS(
 K435&lt;=50,"≤50",
 AND(K435&gt;=51,K435&lt;=100),"51–100",
 AND(K435&gt;=101,K435&lt;=250),"101–250",
 AND(K435&gt;=251,K435&lt;=500),"251–500",
 AND(K435&gt;=501,K435&lt;=1000),"501–1000",
 K435&gt;=1001,"1001+"
)</f>
        <v>≤50</v>
      </c>
    </row>
    <row r="436" spans="1:12" x14ac:dyDescent="0.3">
      <c r="A436" t="s">
        <v>862</v>
      </c>
      <c r="B436" t="s">
        <v>11</v>
      </c>
      <c r="C436" t="s">
        <v>5776</v>
      </c>
      <c r="F436" t="s">
        <v>5770</v>
      </c>
      <c r="J436" t="s">
        <v>5737</v>
      </c>
      <c r="K436">
        <v>50</v>
      </c>
      <c r="L436" t="str" cm="1">
        <f t="array" ref="L436">_xlfn.IFS(
 K436&lt;=50,"≤50",
 AND(K436&gt;=51,K436&lt;=100),"51–100",
 AND(K436&gt;=101,K436&lt;=250),"101–250",
 AND(K436&gt;=251,K436&lt;=500),"251–500",
 AND(K436&gt;=501,K436&lt;=1000),"501–1000",
 K436&gt;=1001,"1001+"
)</f>
        <v>≤50</v>
      </c>
    </row>
    <row r="437" spans="1:12" x14ac:dyDescent="0.3">
      <c r="A437" t="s">
        <v>863</v>
      </c>
      <c r="B437" t="s">
        <v>9</v>
      </c>
      <c r="C437" t="s">
        <v>5780</v>
      </c>
      <c r="D437" t="s">
        <v>864</v>
      </c>
      <c r="E437" t="s">
        <v>15</v>
      </c>
      <c r="F437" t="s">
        <v>54</v>
      </c>
      <c r="G437" t="s">
        <v>357</v>
      </c>
      <c r="H437" t="s">
        <v>15</v>
      </c>
      <c r="I437" t="s">
        <v>865</v>
      </c>
      <c r="J437" t="s">
        <v>5737</v>
      </c>
      <c r="K437">
        <v>50</v>
      </c>
      <c r="L437" t="str" cm="1">
        <f t="array" ref="L437">_xlfn.IFS(
 K437&lt;=50,"≤50",
 AND(K437&gt;=51,K437&lt;=100),"51–100",
 AND(K437&gt;=101,K437&lt;=250),"101–250",
 AND(K437&gt;=251,K437&lt;=500),"251–500",
 AND(K437&gt;=501,K437&lt;=1000),"501–1000",
 K437&gt;=1001,"1001+"
)</f>
        <v>≤50</v>
      </c>
    </row>
    <row r="438" spans="1:12" x14ac:dyDescent="0.3">
      <c r="A438" t="s">
        <v>866</v>
      </c>
      <c r="B438" t="s">
        <v>11</v>
      </c>
      <c r="C438" t="s">
        <v>5776</v>
      </c>
      <c r="F438" t="s">
        <v>5770</v>
      </c>
      <c r="J438" t="s">
        <v>5737</v>
      </c>
      <c r="K438">
        <v>50</v>
      </c>
      <c r="L438" t="str" cm="1">
        <f t="array" ref="L438">_xlfn.IFS(
 K438&lt;=50,"≤50",
 AND(K438&gt;=51,K438&lt;=100),"51–100",
 AND(K438&gt;=101,K438&lt;=250),"101–250",
 AND(K438&gt;=251,K438&lt;=500),"251–500",
 AND(K438&gt;=501,K438&lt;=1000),"501–1000",
 K438&gt;=1001,"1001+"
)</f>
        <v>≤50</v>
      </c>
    </row>
    <row r="439" spans="1:12" x14ac:dyDescent="0.3">
      <c r="A439" t="s">
        <v>867</v>
      </c>
      <c r="B439" t="s">
        <v>11</v>
      </c>
      <c r="C439" t="s">
        <v>5776</v>
      </c>
      <c r="E439" t="s">
        <v>15</v>
      </c>
      <c r="F439" t="s">
        <v>5770</v>
      </c>
      <c r="J439" t="s">
        <v>5737</v>
      </c>
      <c r="K439">
        <v>50</v>
      </c>
      <c r="L439" t="str" cm="1">
        <f t="array" ref="L439">_xlfn.IFS(
 K439&lt;=50,"≤50",
 AND(K439&gt;=51,K439&lt;=100),"51–100",
 AND(K439&gt;=101,K439&lt;=250),"101–250",
 AND(K439&gt;=251,K439&lt;=500),"251–500",
 AND(K439&gt;=501,K439&lt;=1000),"501–1000",
 K439&gt;=1001,"1001+"
)</f>
        <v>≤50</v>
      </c>
    </row>
    <row r="440" spans="1:12" x14ac:dyDescent="0.3">
      <c r="A440" t="s">
        <v>868</v>
      </c>
      <c r="B440" t="s">
        <v>13</v>
      </c>
      <c r="C440" t="s">
        <v>5777</v>
      </c>
      <c r="D440" t="s">
        <v>869</v>
      </c>
      <c r="F440" t="s">
        <v>54</v>
      </c>
      <c r="G440" t="s">
        <v>870</v>
      </c>
      <c r="J440" t="s">
        <v>5737</v>
      </c>
      <c r="K440">
        <v>50</v>
      </c>
      <c r="L440" t="str" cm="1">
        <f t="array" ref="L440">_xlfn.IFS(
 K440&lt;=50,"≤50",
 AND(K440&gt;=51,K440&lt;=100),"51–100",
 AND(K440&gt;=101,K440&lt;=250),"101–250",
 AND(K440&gt;=251,K440&lt;=500),"251–500",
 AND(K440&gt;=501,K440&lt;=1000),"501–1000",
 K440&gt;=1001,"1001+"
)</f>
        <v>≤50</v>
      </c>
    </row>
    <row r="441" spans="1:12" x14ac:dyDescent="0.3">
      <c r="A441" t="s">
        <v>871</v>
      </c>
      <c r="B441" t="s">
        <v>13</v>
      </c>
      <c r="C441" t="s">
        <v>5777</v>
      </c>
      <c r="D441" t="s">
        <v>872</v>
      </c>
      <c r="F441" t="s">
        <v>5770</v>
      </c>
      <c r="J441" t="s">
        <v>5737</v>
      </c>
      <c r="K441">
        <v>50</v>
      </c>
      <c r="L441" t="str" cm="1">
        <f t="array" ref="L441">_xlfn.IFS(
 K441&lt;=50,"≤50",
 AND(K441&gt;=51,K441&lt;=100),"51–100",
 AND(K441&gt;=101,K441&lt;=250),"101–250",
 AND(K441&gt;=251,K441&lt;=500),"251–500",
 AND(K441&gt;=501,K441&lt;=1000),"501–1000",
 K441&gt;=1001,"1001+"
)</f>
        <v>≤50</v>
      </c>
    </row>
    <row r="442" spans="1:12" x14ac:dyDescent="0.3">
      <c r="A442" t="s">
        <v>873</v>
      </c>
      <c r="B442" t="s">
        <v>9</v>
      </c>
      <c r="C442" t="s">
        <v>5780</v>
      </c>
      <c r="D442" t="s">
        <v>874</v>
      </c>
      <c r="F442" t="s">
        <v>5770</v>
      </c>
      <c r="J442" t="s">
        <v>5737</v>
      </c>
      <c r="K442">
        <v>50</v>
      </c>
      <c r="L442" t="str" cm="1">
        <f t="array" ref="L442">_xlfn.IFS(
 K442&lt;=50,"≤50",
 AND(K442&gt;=51,K442&lt;=100),"51–100",
 AND(K442&gt;=101,K442&lt;=250),"101–250",
 AND(K442&gt;=251,K442&lt;=500),"251–500",
 AND(K442&gt;=501,K442&lt;=1000),"501–1000",
 K442&gt;=1001,"1001+"
)</f>
        <v>≤50</v>
      </c>
    </row>
    <row r="443" spans="1:12" x14ac:dyDescent="0.3">
      <c r="A443" t="s">
        <v>875</v>
      </c>
      <c r="B443" t="s">
        <v>9</v>
      </c>
      <c r="C443" t="s">
        <v>5780</v>
      </c>
      <c r="D443" t="s">
        <v>876</v>
      </c>
      <c r="E443" t="s">
        <v>15</v>
      </c>
      <c r="F443" t="s">
        <v>5770</v>
      </c>
      <c r="J443" t="s">
        <v>5737</v>
      </c>
      <c r="K443">
        <v>50</v>
      </c>
      <c r="L443" t="str" cm="1">
        <f t="array" ref="L443">_xlfn.IFS(
 K443&lt;=50,"≤50",
 AND(K443&gt;=51,K443&lt;=100),"51–100",
 AND(K443&gt;=101,K443&lt;=250),"101–250",
 AND(K443&gt;=251,K443&lt;=500),"251–500",
 AND(K443&gt;=501,K443&lt;=1000),"501–1000",
 K443&gt;=1001,"1001+"
)</f>
        <v>≤50</v>
      </c>
    </row>
    <row r="444" spans="1:12" x14ac:dyDescent="0.3">
      <c r="A444" t="s">
        <v>877</v>
      </c>
      <c r="B444" t="s">
        <v>197</v>
      </c>
      <c r="C444" t="s">
        <v>5774</v>
      </c>
      <c r="D444" t="s">
        <v>878</v>
      </c>
      <c r="E444" t="s">
        <v>15</v>
      </c>
      <c r="F444" t="s">
        <v>20</v>
      </c>
      <c r="G444" t="s">
        <v>135</v>
      </c>
      <c r="J444" t="s">
        <v>5737</v>
      </c>
      <c r="K444">
        <v>50</v>
      </c>
      <c r="L444" t="str" cm="1">
        <f t="array" ref="L444">_xlfn.IFS(
 K444&lt;=50,"≤50",
 AND(K444&gt;=51,K444&lt;=100),"51–100",
 AND(K444&gt;=101,K444&lt;=250),"101–250",
 AND(K444&gt;=251,K444&lt;=500),"251–500",
 AND(K444&gt;=501,K444&lt;=1000),"501–1000",
 K444&gt;=1001,"1001+"
)</f>
        <v>≤50</v>
      </c>
    </row>
    <row r="445" spans="1:12" x14ac:dyDescent="0.3">
      <c r="A445" t="s">
        <v>879</v>
      </c>
      <c r="B445" t="s">
        <v>11</v>
      </c>
      <c r="C445" t="s">
        <v>5776</v>
      </c>
      <c r="F445" t="s">
        <v>5770</v>
      </c>
      <c r="J445" t="s">
        <v>5737</v>
      </c>
      <c r="K445">
        <v>50</v>
      </c>
      <c r="L445" t="str" cm="1">
        <f t="array" ref="L445">_xlfn.IFS(
 K445&lt;=50,"≤50",
 AND(K445&gt;=51,K445&lt;=100),"51–100",
 AND(K445&gt;=101,K445&lt;=250),"101–250",
 AND(K445&gt;=251,K445&lt;=500),"251–500",
 AND(K445&gt;=501,K445&lt;=1000),"501–1000",
 K445&gt;=1001,"1001+"
)</f>
        <v>≤50</v>
      </c>
    </row>
    <row r="446" spans="1:12" x14ac:dyDescent="0.3">
      <c r="A446" t="s">
        <v>880</v>
      </c>
      <c r="B446" t="s">
        <v>197</v>
      </c>
      <c r="C446" t="s">
        <v>5774</v>
      </c>
      <c r="D446" t="s">
        <v>881</v>
      </c>
      <c r="E446" t="s">
        <v>15</v>
      </c>
      <c r="F446" t="s">
        <v>20</v>
      </c>
      <c r="G446" t="s">
        <v>21</v>
      </c>
      <c r="J446" t="s">
        <v>5737</v>
      </c>
      <c r="K446">
        <v>50</v>
      </c>
      <c r="L446" t="str" cm="1">
        <f t="array" ref="L446">_xlfn.IFS(
 K446&lt;=50,"≤50",
 AND(K446&gt;=51,K446&lt;=100),"51–100",
 AND(K446&gt;=101,K446&lt;=250),"101–250",
 AND(K446&gt;=251,K446&lt;=500),"251–500",
 AND(K446&gt;=501,K446&lt;=1000),"501–1000",
 K446&gt;=1001,"1001+"
)</f>
        <v>≤50</v>
      </c>
    </row>
    <row r="447" spans="1:12" x14ac:dyDescent="0.3">
      <c r="A447" t="s">
        <v>882</v>
      </c>
      <c r="B447" t="s">
        <v>9</v>
      </c>
      <c r="C447" t="s">
        <v>5780</v>
      </c>
      <c r="D447" t="s">
        <v>28</v>
      </c>
      <c r="F447" t="s">
        <v>5770</v>
      </c>
      <c r="J447" t="s">
        <v>5744</v>
      </c>
      <c r="K447">
        <v>50</v>
      </c>
      <c r="L447" t="str" cm="1">
        <f t="array" ref="L447">_xlfn.IFS(
 K447&lt;=50,"≤50",
 AND(K447&gt;=51,K447&lt;=100),"51–100",
 AND(K447&gt;=101,K447&lt;=250),"101–250",
 AND(K447&gt;=251,K447&lt;=500),"251–500",
 AND(K447&gt;=501,K447&lt;=1000),"501–1000",
 K447&gt;=1001,"1001+"
)</f>
        <v>≤50</v>
      </c>
    </row>
    <row r="448" spans="1:12" x14ac:dyDescent="0.3">
      <c r="A448" t="s">
        <v>883</v>
      </c>
      <c r="B448" t="s">
        <v>9</v>
      </c>
      <c r="C448" t="s">
        <v>5780</v>
      </c>
      <c r="D448" t="s">
        <v>28</v>
      </c>
      <c r="F448" t="s">
        <v>5770</v>
      </c>
      <c r="J448" t="s">
        <v>5754</v>
      </c>
      <c r="K448">
        <v>50</v>
      </c>
      <c r="L448" t="str" cm="1">
        <f t="array" ref="L448">_xlfn.IFS(
 K448&lt;=50,"≤50",
 AND(K448&gt;=51,K448&lt;=100),"51–100",
 AND(K448&gt;=101,K448&lt;=250),"101–250",
 AND(K448&gt;=251,K448&lt;=500),"251–500",
 AND(K448&gt;=501,K448&lt;=1000),"501–1000",
 K448&gt;=1001,"1001+"
)</f>
        <v>≤50</v>
      </c>
    </row>
    <row r="449" spans="1:12" x14ac:dyDescent="0.3">
      <c r="A449" t="s">
        <v>884</v>
      </c>
      <c r="B449" t="s">
        <v>9</v>
      </c>
      <c r="C449" t="s">
        <v>5780</v>
      </c>
      <c r="D449" t="s">
        <v>885</v>
      </c>
      <c r="F449" t="s">
        <v>5770</v>
      </c>
      <c r="J449" t="s">
        <v>5750</v>
      </c>
      <c r="K449">
        <v>50</v>
      </c>
      <c r="L449" t="str" cm="1">
        <f t="array" ref="L449">_xlfn.IFS(
 K449&lt;=50,"≤50",
 AND(K449&gt;=51,K449&lt;=100),"51–100",
 AND(K449&gt;=101,K449&lt;=250),"101–250",
 AND(K449&gt;=251,K449&lt;=500),"251–500",
 AND(K449&gt;=501,K449&lt;=1000),"501–1000",
 K449&gt;=1001,"1001+"
)</f>
        <v>≤50</v>
      </c>
    </row>
    <row r="450" spans="1:12" x14ac:dyDescent="0.3">
      <c r="A450" t="s">
        <v>886</v>
      </c>
      <c r="B450" t="s">
        <v>13</v>
      </c>
      <c r="C450" t="s">
        <v>5777</v>
      </c>
      <c r="D450" t="s">
        <v>887</v>
      </c>
      <c r="F450" t="s">
        <v>20</v>
      </c>
      <c r="G450" t="s">
        <v>135</v>
      </c>
      <c r="J450" t="s">
        <v>5743</v>
      </c>
      <c r="K450">
        <v>50</v>
      </c>
      <c r="L450" t="str" cm="1">
        <f t="array" ref="L450">_xlfn.IFS(
 K450&lt;=50,"≤50",
 AND(K450&gt;=51,K450&lt;=100),"51–100",
 AND(K450&gt;=101,K450&lt;=250),"101–250",
 AND(K450&gt;=251,K450&lt;=500),"251–500",
 AND(K450&gt;=501,K450&lt;=1000),"501–1000",
 K450&gt;=1001,"1001+"
)</f>
        <v>≤50</v>
      </c>
    </row>
    <row r="451" spans="1:12" x14ac:dyDescent="0.3">
      <c r="A451" t="s">
        <v>888</v>
      </c>
      <c r="B451" t="s">
        <v>13</v>
      </c>
      <c r="C451" t="s">
        <v>5777</v>
      </c>
      <c r="D451" t="s">
        <v>889</v>
      </c>
      <c r="E451" t="s">
        <v>15</v>
      </c>
      <c r="F451" t="s">
        <v>16</v>
      </c>
      <c r="G451" t="s">
        <v>890</v>
      </c>
      <c r="J451" t="s">
        <v>5737</v>
      </c>
      <c r="K451">
        <v>50</v>
      </c>
      <c r="L451" t="str" cm="1">
        <f t="array" ref="L451">_xlfn.IFS(
 K451&lt;=50,"≤50",
 AND(K451&gt;=51,K451&lt;=100),"51–100",
 AND(K451&gt;=101,K451&lt;=250),"101–250",
 AND(K451&gt;=251,K451&lt;=500),"251–500",
 AND(K451&gt;=501,K451&lt;=1000),"501–1000",
 K451&gt;=1001,"1001+"
)</f>
        <v>≤50</v>
      </c>
    </row>
    <row r="452" spans="1:12" x14ac:dyDescent="0.3">
      <c r="A452" t="s">
        <v>891</v>
      </c>
      <c r="B452" t="s">
        <v>9</v>
      </c>
      <c r="C452" t="s">
        <v>5780</v>
      </c>
      <c r="D452" t="s">
        <v>892</v>
      </c>
      <c r="E452" t="s">
        <v>15</v>
      </c>
      <c r="F452" t="s">
        <v>20</v>
      </c>
      <c r="G452" t="s">
        <v>893</v>
      </c>
      <c r="J452" t="s">
        <v>5738</v>
      </c>
      <c r="K452">
        <v>50</v>
      </c>
      <c r="L452" t="str" cm="1">
        <f t="array" ref="L452">_xlfn.IFS(
 K452&lt;=50,"≤50",
 AND(K452&gt;=51,K452&lt;=100),"51–100",
 AND(K452&gt;=101,K452&lt;=250),"101–250",
 AND(K452&gt;=251,K452&lt;=500),"251–500",
 AND(K452&gt;=501,K452&lt;=1000),"501–1000",
 K452&gt;=1001,"1001+"
)</f>
        <v>≤50</v>
      </c>
    </row>
    <row r="453" spans="1:12" x14ac:dyDescent="0.3">
      <c r="A453" t="s">
        <v>894</v>
      </c>
      <c r="B453" t="s">
        <v>417</v>
      </c>
      <c r="C453" t="s">
        <v>5778</v>
      </c>
      <c r="D453" t="s">
        <v>895</v>
      </c>
      <c r="E453" t="s">
        <v>15</v>
      </c>
      <c r="F453" t="s">
        <v>20</v>
      </c>
      <c r="G453" t="s">
        <v>21</v>
      </c>
      <c r="J453" t="s">
        <v>5747</v>
      </c>
      <c r="K453">
        <v>50</v>
      </c>
      <c r="L453" t="str" cm="1">
        <f t="array" ref="L453">_xlfn.IFS(
 K453&lt;=50,"≤50",
 AND(K453&gt;=51,K453&lt;=100),"51–100",
 AND(K453&gt;=101,K453&lt;=250),"101–250",
 AND(K453&gt;=251,K453&lt;=500),"251–500",
 AND(K453&gt;=501,K453&lt;=1000),"501–1000",
 K453&gt;=1001,"1001+"
)</f>
        <v>≤50</v>
      </c>
    </row>
    <row r="454" spans="1:12" x14ac:dyDescent="0.3">
      <c r="A454" t="s">
        <v>896</v>
      </c>
      <c r="B454" t="s">
        <v>11</v>
      </c>
      <c r="C454" t="s">
        <v>5776</v>
      </c>
      <c r="F454" t="s">
        <v>5770</v>
      </c>
      <c r="J454" t="s">
        <v>5751</v>
      </c>
      <c r="K454">
        <v>50</v>
      </c>
      <c r="L454" t="str" cm="1">
        <f t="array" ref="L454">_xlfn.IFS(
 K454&lt;=50,"≤50",
 AND(K454&gt;=51,K454&lt;=100),"51–100",
 AND(K454&gt;=101,K454&lt;=250),"101–250",
 AND(K454&gt;=251,K454&lt;=500),"251–500",
 AND(K454&gt;=501,K454&lt;=1000),"501–1000",
 K454&gt;=1001,"1001+"
)</f>
        <v>≤50</v>
      </c>
    </row>
    <row r="455" spans="1:12" x14ac:dyDescent="0.3">
      <c r="A455" t="s">
        <v>897</v>
      </c>
      <c r="B455" t="s">
        <v>9</v>
      </c>
      <c r="C455" t="s">
        <v>5780</v>
      </c>
      <c r="D455" t="s">
        <v>898</v>
      </c>
      <c r="F455" t="s">
        <v>20</v>
      </c>
      <c r="G455" t="s">
        <v>899</v>
      </c>
      <c r="J455" t="s">
        <v>5737</v>
      </c>
      <c r="K455">
        <v>50</v>
      </c>
      <c r="L455" t="str" cm="1">
        <f t="array" ref="L455">_xlfn.IFS(
 K455&lt;=50,"≤50",
 AND(K455&gt;=51,K455&lt;=100),"51–100",
 AND(K455&gt;=101,K455&lt;=250),"101–250",
 AND(K455&gt;=251,K455&lt;=500),"251–500",
 AND(K455&gt;=501,K455&lt;=1000),"501–1000",
 K455&gt;=1001,"1001+"
)</f>
        <v>≤50</v>
      </c>
    </row>
    <row r="456" spans="1:12" x14ac:dyDescent="0.3">
      <c r="A456" t="s">
        <v>900</v>
      </c>
      <c r="B456" t="s">
        <v>9</v>
      </c>
      <c r="C456" t="s">
        <v>5780</v>
      </c>
      <c r="D456" t="s">
        <v>901</v>
      </c>
      <c r="E456" t="s">
        <v>15</v>
      </c>
      <c r="F456" t="s">
        <v>54</v>
      </c>
      <c r="G456" t="s">
        <v>902</v>
      </c>
      <c r="J456" t="s">
        <v>5738</v>
      </c>
      <c r="K456">
        <v>50</v>
      </c>
      <c r="L456" t="str" cm="1">
        <f t="array" ref="L456">_xlfn.IFS(
 K456&lt;=50,"≤50",
 AND(K456&gt;=51,K456&lt;=100),"51–100",
 AND(K456&gt;=101,K456&lt;=250),"101–250",
 AND(K456&gt;=251,K456&lt;=500),"251–500",
 AND(K456&gt;=501,K456&lt;=1000),"501–1000",
 K456&gt;=1001,"1001+"
)</f>
        <v>≤50</v>
      </c>
    </row>
    <row r="457" spans="1:12" x14ac:dyDescent="0.3">
      <c r="A457" t="s">
        <v>903</v>
      </c>
      <c r="B457" t="s">
        <v>13</v>
      </c>
      <c r="C457" t="s">
        <v>5777</v>
      </c>
      <c r="D457" t="s">
        <v>904</v>
      </c>
      <c r="E457" t="s">
        <v>15</v>
      </c>
      <c r="F457" t="s">
        <v>54</v>
      </c>
      <c r="G457" t="s">
        <v>905</v>
      </c>
      <c r="J457" t="s">
        <v>5737</v>
      </c>
      <c r="K457">
        <v>50</v>
      </c>
      <c r="L457" t="str" cm="1">
        <f t="array" ref="L457">_xlfn.IFS(
 K457&lt;=50,"≤50",
 AND(K457&gt;=51,K457&lt;=100),"51–100",
 AND(K457&gt;=101,K457&lt;=250),"101–250",
 AND(K457&gt;=251,K457&lt;=500),"251–500",
 AND(K457&gt;=501,K457&lt;=1000),"501–1000",
 K457&gt;=1001,"1001+"
)</f>
        <v>≤50</v>
      </c>
    </row>
    <row r="458" spans="1:12" x14ac:dyDescent="0.3">
      <c r="A458" t="s">
        <v>906</v>
      </c>
      <c r="B458" t="s">
        <v>9</v>
      </c>
      <c r="C458" t="s">
        <v>5780</v>
      </c>
      <c r="D458" t="s">
        <v>907</v>
      </c>
      <c r="E458" t="s">
        <v>15</v>
      </c>
      <c r="F458" t="s">
        <v>5770</v>
      </c>
      <c r="J458" t="s">
        <v>5742</v>
      </c>
      <c r="K458">
        <v>50</v>
      </c>
      <c r="L458" t="str" cm="1">
        <f t="array" ref="L458">_xlfn.IFS(
 K458&lt;=50,"≤50",
 AND(K458&gt;=51,K458&lt;=100),"51–100",
 AND(K458&gt;=101,K458&lt;=250),"101–250",
 AND(K458&gt;=251,K458&lt;=500),"251–500",
 AND(K458&gt;=501,K458&lt;=1000),"501–1000",
 K458&gt;=1001,"1001+"
)</f>
        <v>≤50</v>
      </c>
    </row>
    <row r="459" spans="1:12" x14ac:dyDescent="0.3">
      <c r="A459" t="s">
        <v>908</v>
      </c>
      <c r="B459" t="s">
        <v>9</v>
      </c>
      <c r="C459" t="s">
        <v>5780</v>
      </c>
      <c r="D459" t="s">
        <v>28</v>
      </c>
      <c r="F459" t="s">
        <v>5770</v>
      </c>
      <c r="J459" t="s">
        <v>5737</v>
      </c>
      <c r="K459">
        <v>50</v>
      </c>
      <c r="L459" t="str" cm="1">
        <f t="array" ref="L459">_xlfn.IFS(
 K459&lt;=50,"≤50",
 AND(K459&gt;=51,K459&lt;=100),"51–100",
 AND(K459&gt;=101,K459&lt;=250),"101–250",
 AND(K459&gt;=251,K459&lt;=500),"251–500",
 AND(K459&gt;=501,K459&lt;=1000),"501–1000",
 K459&gt;=1001,"1001+"
)</f>
        <v>≤50</v>
      </c>
    </row>
    <row r="460" spans="1:12" x14ac:dyDescent="0.3">
      <c r="A460" t="s">
        <v>909</v>
      </c>
      <c r="B460" t="s">
        <v>11</v>
      </c>
      <c r="C460" t="s">
        <v>5776</v>
      </c>
      <c r="F460" t="s">
        <v>5770</v>
      </c>
      <c r="J460" t="s">
        <v>5737</v>
      </c>
      <c r="K460">
        <v>50</v>
      </c>
      <c r="L460" t="str" cm="1">
        <f t="array" ref="L460">_xlfn.IFS(
 K460&lt;=50,"≤50",
 AND(K460&gt;=51,K460&lt;=100),"51–100",
 AND(K460&gt;=101,K460&lt;=250),"101–250",
 AND(K460&gt;=251,K460&lt;=500),"251–500",
 AND(K460&gt;=501,K460&lt;=1000),"501–1000",
 K460&gt;=1001,"1001+"
)</f>
        <v>≤50</v>
      </c>
    </row>
    <row r="461" spans="1:12" x14ac:dyDescent="0.3">
      <c r="A461" t="s">
        <v>910</v>
      </c>
      <c r="B461" t="s">
        <v>9</v>
      </c>
      <c r="C461" t="s">
        <v>5780</v>
      </c>
      <c r="D461" t="s">
        <v>911</v>
      </c>
      <c r="F461" t="s">
        <v>20</v>
      </c>
      <c r="G461" t="s">
        <v>912</v>
      </c>
      <c r="J461" t="s">
        <v>5737</v>
      </c>
      <c r="K461">
        <v>50</v>
      </c>
      <c r="L461" t="str" cm="1">
        <f t="array" ref="L461">_xlfn.IFS(
 K461&lt;=50,"≤50",
 AND(K461&gt;=51,K461&lt;=100),"51–100",
 AND(K461&gt;=101,K461&lt;=250),"101–250",
 AND(K461&gt;=251,K461&lt;=500),"251–500",
 AND(K461&gt;=501,K461&lt;=1000),"501–1000",
 K461&gt;=1001,"1001+"
)</f>
        <v>≤50</v>
      </c>
    </row>
    <row r="462" spans="1:12" x14ac:dyDescent="0.3">
      <c r="A462" t="s">
        <v>913</v>
      </c>
      <c r="B462" t="s">
        <v>9</v>
      </c>
      <c r="C462" t="s">
        <v>5780</v>
      </c>
      <c r="D462" t="s">
        <v>914</v>
      </c>
      <c r="E462" t="s">
        <v>15</v>
      </c>
      <c r="F462" t="s">
        <v>5770</v>
      </c>
      <c r="J462" t="s">
        <v>5755</v>
      </c>
      <c r="K462">
        <v>50</v>
      </c>
      <c r="L462" t="str" cm="1">
        <f t="array" ref="L462">_xlfn.IFS(
 K462&lt;=50,"≤50",
 AND(K462&gt;=51,K462&lt;=100),"51–100",
 AND(K462&gt;=101,K462&lt;=250),"101–250",
 AND(K462&gt;=251,K462&lt;=500),"251–500",
 AND(K462&gt;=501,K462&lt;=1000),"501–1000",
 K462&gt;=1001,"1001+"
)</f>
        <v>≤50</v>
      </c>
    </row>
    <row r="463" spans="1:12" x14ac:dyDescent="0.3">
      <c r="A463" t="s">
        <v>915</v>
      </c>
      <c r="B463" t="s">
        <v>11</v>
      </c>
      <c r="C463" t="s">
        <v>5776</v>
      </c>
      <c r="F463" t="s">
        <v>5770</v>
      </c>
      <c r="J463" t="s">
        <v>5762</v>
      </c>
      <c r="K463">
        <v>50</v>
      </c>
      <c r="L463" t="str" cm="1">
        <f t="array" ref="L463">_xlfn.IFS(
 K463&lt;=50,"≤50",
 AND(K463&gt;=51,K463&lt;=100),"51–100",
 AND(K463&gt;=101,K463&lt;=250),"101–250",
 AND(K463&gt;=251,K463&lt;=500),"251–500",
 AND(K463&gt;=501,K463&lt;=1000),"501–1000",
 K463&gt;=1001,"1001+"
)</f>
        <v>≤50</v>
      </c>
    </row>
    <row r="464" spans="1:12" x14ac:dyDescent="0.3">
      <c r="A464" t="s">
        <v>916</v>
      </c>
      <c r="B464" t="s">
        <v>9</v>
      </c>
      <c r="C464" t="s">
        <v>5780</v>
      </c>
      <c r="D464" t="s">
        <v>917</v>
      </c>
      <c r="E464" t="s">
        <v>15</v>
      </c>
      <c r="F464" t="s">
        <v>54</v>
      </c>
      <c r="G464" t="s">
        <v>918</v>
      </c>
      <c r="J464" t="s">
        <v>5755</v>
      </c>
      <c r="K464">
        <v>50</v>
      </c>
      <c r="L464" t="str" cm="1">
        <f t="array" ref="L464">_xlfn.IFS(
 K464&lt;=50,"≤50",
 AND(K464&gt;=51,K464&lt;=100),"51–100",
 AND(K464&gt;=101,K464&lt;=250),"101–250",
 AND(K464&gt;=251,K464&lt;=500),"251–500",
 AND(K464&gt;=501,K464&lt;=1000),"501–1000",
 K464&gt;=1001,"1001+"
)</f>
        <v>≤50</v>
      </c>
    </row>
    <row r="465" spans="1:12" x14ac:dyDescent="0.3">
      <c r="A465" t="s">
        <v>919</v>
      </c>
      <c r="B465" t="s">
        <v>11</v>
      </c>
      <c r="C465" t="s">
        <v>5776</v>
      </c>
      <c r="E465" t="s">
        <v>15</v>
      </c>
      <c r="F465" t="s">
        <v>5770</v>
      </c>
      <c r="J465" t="s">
        <v>5740</v>
      </c>
      <c r="K465">
        <v>50</v>
      </c>
      <c r="L465" t="str" cm="1">
        <f t="array" ref="L465">_xlfn.IFS(
 K465&lt;=50,"≤50",
 AND(K465&gt;=51,K465&lt;=100),"51–100",
 AND(K465&gt;=101,K465&lt;=250),"101–250",
 AND(K465&gt;=251,K465&lt;=500),"251–500",
 AND(K465&gt;=501,K465&lt;=1000),"501–1000",
 K465&gt;=1001,"1001+"
)</f>
        <v>≤50</v>
      </c>
    </row>
    <row r="466" spans="1:12" x14ac:dyDescent="0.3">
      <c r="A466" t="s">
        <v>920</v>
      </c>
      <c r="B466" t="s">
        <v>13</v>
      </c>
      <c r="C466" t="s">
        <v>5777</v>
      </c>
      <c r="D466" t="s">
        <v>921</v>
      </c>
      <c r="F466" t="s">
        <v>20</v>
      </c>
      <c r="G466" t="s">
        <v>922</v>
      </c>
      <c r="J466" t="s">
        <v>5737</v>
      </c>
      <c r="K466">
        <v>50</v>
      </c>
      <c r="L466" t="str" cm="1">
        <f t="array" ref="L466">_xlfn.IFS(
 K466&lt;=50,"≤50",
 AND(K466&gt;=51,K466&lt;=100),"51–100",
 AND(K466&gt;=101,K466&lt;=250),"101–250",
 AND(K466&gt;=251,K466&lt;=500),"251–500",
 AND(K466&gt;=501,K466&lt;=1000),"501–1000",
 K466&gt;=1001,"1001+"
)</f>
        <v>≤50</v>
      </c>
    </row>
    <row r="467" spans="1:12" x14ac:dyDescent="0.3">
      <c r="A467" t="s">
        <v>923</v>
      </c>
      <c r="B467" t="s">
        <v>9</v>
      </c>
      <c r="C467" t="s">
        <v>5780</v>
      </c>
      <c r="D467" t="s">
        <v>924</v>
      </c>
      <c r="E467" t="s">
        <v>15</v>
      </c>
      <c r="F467" t="s">
        <v>16</v>
      </c>
      <c r="G467" t="s">
        <v>925</v>
      </c>
      <c r="J467" t="s">
        <v>5737</v>
      </c>
      <c r="K467">
        <v>50</v>
      </c>
      <c r="L467" t="str" cm="1">
        <f t="array" ref="L467">_xlfn.IFS(
 K467&lt;=50,"≤50",
 AND(K467&gt;=51,K467&lt;=100),"51–100",
 AND(K467&gt;=101,K467&lt;=250),"101–250",
 AND(K467&gt;=251,K467&lt;=500),"251–500",
 AND(K467&gt;=501,K467&lt;=1000),"501–1000",
 K467&gt;=1001,"1001+"
)</f>
        <v>≤50</v>
      </c>
    </row>
    <row r="468" spans="1:12" x14ac:dyDescent="0.3">
      <c r="A468" t="s">
        <v>926</v>
      </c>
      <c r="B468" t="s">
        <v>9</v>
      </c>
      <c r="C468" t="s">
        <v>5780</v>
      </c>
      <c r="D468" t="s">
        <v>927</v>
      </c>
      <c r="F468" t="s">
        <v>20</v>
      </c>
      <c r="G468" t="s">
        <v>928</v>
      </c>
      <c r="J468" t="s">
        <v>5737</v>
      </c>
      <c r="K468">
        <v>50</v>
      </c>
      <c r="L468" t="str" cm="1">
        <f t="array" ref="L468">_xlfn.IFS(
 K468&lt;=50,"≤50",
 AND(K468&gt;=51,K468&lt;=100),"51–100",
 AND(K468&gt;=101,K468&lt;=250),"101–250",
 AND(K468&gt;=251,K468&lt;=500),"251–500",
 AND(K468&gt;=501,K468&lt;=1000),"501–1000",
 K468&gt;=1001,"1001+"
)</f>
        <v>≤50</v>
      </c>
    </row>
    <row r="469" spans="1:12" x14ac:dyDescent="0.3">
      <c r="A469" t="s">
        <v>929</v>
      </c>
      <c r="B469" t="s">
        <v>417</v>
      </c>
      <c r="C469" t="s">
        <v>5778</v>
      </c>
      <c r="D469" t="s">
        <v>930</v>
      </c>
      <c r="F469" t="s">
        <v>20</v>
      </c>
      <c r="G469" t="s">
        <v>931</v>
      </c>
      <c r="J469" t="s">
        <v>5737</v>
      </c>
      <c r="K469">
        <v>50</v>
      </c>
      <c r="L469" t="str" cm="1">
        <f t="array" ref="L469">_xlfn.IFS(
 K469&lt;=50,"≤50",
 AND(K469&gt;=51,K469&lt;=100),"51–100",
 AND(K469&gt;=101,K469&lt;=250),"101–250",
 AND(K469&gt;=251,K469&lt;=500),"251–500",
 AND(K469&gt;=501,K469&lt;=1000),"501–1000",
 K469&gt;=1001,"1001+"
)</f>
        <v>≤50</v>
      </c>
    </row>
    <row r="470" spans="1:12" x14ac:dyDescent="0.3">
      <c r="A470" t="s">
        <v>932</v>
      </c>
      <c r="B470" t="s">
        <v>13</v>
      </c>
      <c r="C470" t="s">
        <v>5777</v>
      </c>
      <c r="D470" t="s">
        <v>933</v>
      </c>
      <c r="F470" t="s">
        <v>20</v>
      </c>
      <c r="G470" t="s">
        <v>934</v>
      </c>
      <c r="J470" t="s">
        <v>5737</v>
      </c>
      <c r="K470">
        <v>50</v>
      </c>
      <c r="L470" t="str" cm="1">
        <f t="array" ref="L470">_xlfn.IFS(
 K470&lt;=50,"≤50",
 AND(K470&gt;=51,K470&lt;=100),"51–100",
 AND(K470&gt;=101,K470&lt;=250),"101–250",
 AND(K470&gt;=251,K470&lt;=500),"251–500",
 AND(K470&gt;=501,K470&lt;=1000),"501–1000",
 K470&gt;=1001,"1001+"
)</f>
        <v>≤50</v>
      </c>
    </row>
    <row r="471" spans="1:12" x14ac:dyDescent="0.3">
      <c r="A471" t="s">
        <v>935</v>
      </c>
      <c r="B471" t="s">
        <v>13</v>
      </c>
      <c r="C471" t="s">
        <v>5777</v>
      </c>
      <c r="D471" t="s">
        <v>245</v>
      </c>
      <c r="E471" t="s">
        <v>15</v>
      </c>
      <c r="F471" t="s">
        <v>5770</v>
      </c>
      <c r="J471" t="s">
        <v>5748</v>
      </c>
      <c r="K471">
        <v>50</v>
      </c>
      <c r="L471" t="str" cm="1">
        <f t="array" ref="L471">_xlfn.IFS(
 K471&lt;=50,"≤50",
 AND(K471&gt;=51,K471&lt;=100),"51–100",
 AND(K471&gt;=101,K471&lt;=250),"101–250",
 AND(K471&gt;=251,K471&lt;=500),"251–500",
 AND(K471&gt;=501,K471&lt;=1000),"501–1000",
 K471&gt;=1001,"1001+"
)</f>
        <v>≤50</v>
      </c>
    </row>
    <row r="472" spans="1:12" x14ac:dyDescent="0.3">
      <c r="A472" t="s">
        <v>936</v>
      </c>
      <c r="B472" t="s">
        <v>9</v>
      </c>
      <c r="C472" t="s">
        <v>5780</v>
      </c>
      <c r="D472" t="s">
        <v>937</v>
      </c>
      <c r="F472" t="s">
        <v>5770</v>
      </c>
      <c r="J472" t="s">
        <v>5737</v>
      </c>
      <c r="K472">
        <v>50</v>
      </c>
      <c r="L472" t="str" cm="1">
        <f t="array" ref="L472">_xlfn.IFS(
 K472&lt;=50,"≤50",
 AND(K472&gt;=51,K472&lt;=100),"51–100",
 AND(K472&gt;=101,K472&lt;=250),"101–250",
 AND(K472&gt;=251,K472&lt;=500),"251–500",
 AND(K472&gt;=501,K472&lt;=1000),"501–1000",
 K472&gt;=1001,"1001+"
)</f>
        <v>≤50</v>
      </c>
    </row>
    <row r="473" spans="1:12" x14ac:dyDescent="0.3">
      <c r="A473" t="s">
        <v>938</v>
      </c>
      <c r="B473" t="s">
        <v>13</v>
      </c>
      <c r="C473" t="s">
        <v>5777</v>
      </c>
      <c r="D473" t="s">
        <v>939</v>
      </c>
      <c r="F473" t="s">
        <v>16</v>
      </c>
      <c r="G473" t="s">
        <v>940</v>
      </c>
      <c r="J473" t="s">
        <v>5744</v>
      </c>
      <c r="K473">
        <v>50</v>
      </c>
      <c r="L473" t="str" cm="1">
        <f t="array" ref="L473">_xlfn.IFS(
 K473&lt;=50,"≤50",
 AND(K473&gt;=51,K473&lt;=100),"51–100",
 AND(K473&gt;=101,K473&lt;=250),"101–250",
 AND(K473&gt;=251,K473&lt;=500),"251–500",
 AND(K473&gt;=501,K473&lt;=1000),"501–1000",
 K473&gt;=1001,"1001+"
)</f>
        <v>≤50</v>
      </c>
    </row>
    <row r="474" spans="1:12" x14ac:dyDescent="0.3">
      <c r="A474" t="s">
        <v>941</v>
      </c>
      <c r="B474" t="s">
        <v>9</v>
      </c>
      <c r="C474" t="s">
        <v>5780</v>
      </c>
      <c r="D474" t="s">
        <v>28</v>
      </c>
      <c r="F474" t="s">
        <v>5770</v>
      </c>
      <c r="J474" t="s">
        <v>5744</v>
      </c>
      <c r="K474">
        <v>50</v>
      </c>
      <c r="L474" t="str" cm="1">
        <f t="array" ref="L474">_xlfn.IFS(
 K474&lt;=50,"≤50",
 AND(K474&gt;=51,K474&lt;=100),"51–100",
 AND(K474&gt;=101,K474&lt;=250),"101–250",
 AND(K474&gt;=251,K474&lt;=500),"251–500",
 AND(K474&gt;=501,K474&lt;=1000),"501–1000",
 K474&gt;=1001,"1001+"
)</f>
        <v>≤50</v>
      </c>
    </row>
    <row r="475" spans="1:12" x14ac:dyDescent="0.3">
      <c r="A475" t="s">
        <v>942</v>
      </c>
      <c r="B475" t="s">
        <v>9</v>
      </c>
      <c r="C475" t="s">
        <v>5780</v>
      </c>
      <c r="D475" t="s">
        <v>943</v>
      </c>
      <c r="F475" t="s">
        <v>5770</v>
      </c>
      <c r="J475" t="s">
        <v>5755</v>
      </c>
      <c r="K475">
        <v>50</v>
      </c>
      <c r="L475" t="str" cm="1">
        <f t="array" ref="L475">_xlfn.IFS(
 K475&lt;=50,"≤50",
 AND(K475&gt;=51,K475&lt;=100),"51–100",
 AND(K475&gt;=101,K475&lt;=250),"101–250",
 AND(K475&gt;=251,K475&lt;=500),"251–500",
 AND(K475&gt;=501,K475&lt;=1000),"501–1000",
 K475&gt;=1001,"1001+"
)</f>
        <v>≤50</v>
      </c>
    </row>
    <row r="476" spans="1:12" x14ac:dyDescent="0.3">
      <c r="A476" t="s">
        <v>944</v>
      </c>
      <c r="B476" t="s">
        <v>9</v>
      </c>
      <c r="C476" t="s">
        <v>5780</v>
      </c>
      <c r="D476" t="s">
        <v>28</v>
      </c>
      <c r="F476" t="s">
        <v>5770</v>
      </c>
      <c r="J476" t="s">
        <v>5742</v>
      </c>
      <c r="K476">
        <v>50</v>
      </c>
      <c r="L476" t="str" cm="1">
        <f t="array" ref="L476">_xlfn.IFS(
 K476&lt;=50,"≤50",
 AND(K476&gt;=51,K476&lt;=100),"51–100",
 AND(K476&gt;=101,K476&lt;=250),"101–250",
 AND(K476&gt;=251,K476&lt;=500),"251–500",
 AND(K476&gt;=501,K476&lt;=1000),"501–1000",
 K476&gt;=1001,"1001+"
)</f>
        <v>≤50</v>
      </c>
    </row>
    <row r="477" spans="1:12" x14ac:dyDescent="0.3">
      <c r="A477" t="s">
        <v>945</v>
      </c>
      <c r="B477" t="s">
        <v>9</v>
      </c>
      <c r="C477" t="s">
        <v>5780</v>
      </c>
      <c r="D477" t="s">
        <v>946</v>
      </c>
      <c r="F477" t="s">
        <v>5770</v>
      </c>
      <c r="J477" t="s">
        <v>5742</v>
      </c>
      <c r="K477">
        <v>50</v>
      </c>
      <c r="L477" t="str" cm="1">
        <f t="array" ref="L477">_xlfn.IFS(
 K477&lt;=50,"≤50",
 AND(K477&gt;=51,K477&lt;=100),"51–100",
 AND(K477&gt;=101,K477&lt;=250),"101–250",
 AND(K477&gt;=251,K477&lt;=500),"251–500",
 AND(K477&gt;=501,K477&lt;=1000),"501–1000",
 K477&gt;=1001,"1001+"
)</f>
        <v>≤50</v>
      </c>
    </row>
    <row r="478" spans="1:12" x14ac:dyDescent="0.3">
      <c r="A478" t="s">
        <v>947</v>
      </c>
      <c r="B478" t="s">
        <v>13</v>
      </c>
      <c r="C478" t="s">
        <v>5777</v>
      </c>
      <c r="D478" t="s">
        <v>948</v>
      </c>
      <c r="E478" t="s">
        <v>15</v>
      </c>
      <c r="F478" t="s">
        <v>20</v>
      </c>
      <c r="G478" t="s">
        <v>21</v>
      </c>
      <c r="J478" t="s">
        <v>5759</v>
      </c>
      <c r="K478">
        <v>50</v>
      </c>
      <c r="L478" t="str" cm="1">
        <f t="array" ref="L478">_xlfn.IFS(
 K478&lt;=50,"≤50",
 AND(K478&gt;=51,K478&lt;=100),"51–100",
 AND(K478&gt;=101,K478&lt;=250),"101–250",
 AND(K478&gt;=251,K478&lt;=500),"251–500",
 AND(K478&gt;=501,K478&lt;=1000),"501–1000",
 K478&gt;=1001,"1001+"
)</f>
        <v>≤50</v>
      </c>
    </row>
    <row r="479" spans="1:12" x14ac:dyDescent="0.3">
      <c r="A479" t="s">
        <v>949</v>
      </c>
      <c r="B479" t="s">
        <v>9</v>
      </c>
      <c r="C479" t="s">
        <v>5780</v>
      </c>
      <c r="D479" t="s">
        <v>950</v>
      </c>
      <c r="E479" t="s">
        <v>15</v>
      </c>
      <c r="F479" t="s">
        <v>5770</v>
      </c>
      <c r="J479" t="s">
        <v>5747</v>
      </c>
      <c r="K479">
        <v>50</v>
      </c>
      <c r="L479" t="str" cm="1">
        <f t="array" ref="L479">_xlfn.IFS(
 K479&lt;=50,"≤50",
 AND(K479&gt;=51,K479&lt;=100),"51–100",
 AND(K479&gt;=101,K479&lt;=250),"101–250",
 AND(K479&gt;=251,K479&lt;=500),"251–500",
 AND(K479&gt;=501,K479&lt;=1000),"501–1000",
 K479&gt;=1001,"1001+"
)</f>
        <v>≤50</v>
      </c>
    </row>
    <row r="480" spans="1:12" x14ac:dyDescent="0.3">
      <c r="A480" t="s">
        <v>951</v>
      </c>
      <c r="B480" t="s">
        <v>11</v>
      </c>
      <c r="C480" t="s">
        <v>5776</v>
      </c>
      <c r="E480" t="s">
        <v>15</v>
      </c>
      <c r="F480" t="s">
        <v>5770</v>
      </c>
      <c r="J480" t="s">
        <v>5742</v>
      </c>
      <c r="K480">
        <v>50</v>
      </c>
      <c r="L480" t="str" cm="1">
        <f t="array" ref="L480">_xlfn.IFS(
 K480&lt;=50,"≤50",
 AND(K480&gt;=51,K480&lt;=100),"51–100",
 AND(K480&gt;=101,K480&lt;=250),"101–250",
 AND(K480&gt;=251,K480&lt;=500),"251–500",
 AND(K480&gt;=501,K480&lt;=1000),"501–1000",
 K480&gt;=1001,"1001+"
)</f>
        <v>≤50</v>
      </c>
    </row>
    <row r="481" spans="1:12" x14ac:dyDescent="0.3">
      <c r="A481" t="s">
        <v>952</v>
      </c>
      <c r="B481" t="s">
        <v>9</v>
      </c>
      <c r="C481" t="s">
        <v>5780</v>
      </c>
      <c r="D481" t="s">
        <v>953</v>
      </c>
      <c r="E481" t="s">
        <v>15</v>
      </c>
      <c r="F481" t="s">
        <v>5770</v>
      </c>
      <c r="J481" t="s">
        <v>5740</v>
      </c>
      <c r="K481">
        <v>50</v>
      </c>
      <c r="L481" t="str" cm="1">
        <f t="array" ref="L481">_xlfn.IFS(
 K481&lt;=50,"≤50",
 AND(K481&gt;=51,K481&lt;=100),"51–100",
 AND(K481&gt;=101,K481&lt;=250),"101–250",
 AND(K481&gt;=251,K481&lt;=500),"251–500",
 AND(K481&gt;=501,K481&lt;=1000),"501–1000",
 K481&gt;=1001,"1001+"
)</f>
        <v>≤50</v>
      </c>
    </row>
    <row r="482" spans="1:12" x14ac:dyDescent="0.3">
      <c r="A482" t="s">
        <v>954</v>
      </c>
      <c r="B482" t="s">
        <v>9</v>
      </c>
      <c r="C482" t="s">
        <v>5780</v>
      </c>
      <c r="D482" t="s">
        <v>955</v>
      </c>
      <c r="F482" t="s">
        <v>20</v>
      </c>
      <c r="G482" t="s">
        <v>956</v>
      </c>
      <c r="J482" t="s">
        <v>5742</v>
      </c>
      <c r="K482">
        <v>50</v>
      </c>
      <c r="L482" t="str" cm="1">
        <f t="array" ref="L482">_xlfn.IFS(
 K482&lt;=50,"≤50",
 AND(K482&gt;=51,K482&lt;=100),"51–100",
 AND(K482&gt;=101,K482&lt;=250),"101–250",
 AND(K482&gt;=251,K482&lt;=500),"251–500",
 AND(K482&gt;=501,K482&lt;=1000),"501–1000",
 K482&gt;=1001,"1001+"
)</f>
        <v>≤50</v>
      </c>
    </row>
    <row r="483" spans="1:12" x14ac:dyDescent="0.3">
      <c r="A483" t="s">
        <v>957</v>
      </c>
      <c r="B483" t="s">
        <v>9</v>
      </c>
      <c r="C483" t="s">
        <v>5780</v>
      </c>
      <c r="D483" t="s">
        <v>958</v>
      </c>
      <c r="E483" t="s">
        <v>15</v>
      </c>
      <c r="F483" t="s">
        <v>54</v>
      </c>
      <c r="G483" t="s">
        <v>959</v>
      </c>
      <c r="H483" t="s">
        <v>15</v>
      </c>
      <c r="I483" t="s">
        <v>960</v>
      </c>
      <c r="J483" t="s">
        <v>5737</v>
      </c>
      <c r="K483">
        <v>50</v>
      </c>
      <c r="L483" t="str" cm="1">
        <f t="array" ref="L483">_xlfn.IFS(
 K483&lt;=50,"≤50",
 AND(K483&gt;=51,K483&lt;=100),"51–100",
 AND(K483&gt;=101,K483&lt;=250),"101–250",
 AND(K483&gt;=251,K483&lt;=500),"251–500",
 AND(K483&gt;=501,K483&lt;=1000),"501–1000",
 K483&gt;=1001,"1001+"
)</f>
        <v>≤50</v>
      </c>
    </row>
    <row r="484" spans="1:12" x14ac:dyDescent="0.3">
      <c r="A484" t="s">
        <v>961</v>
      </c>
      <c r="B484" t="s">
        <v>11</v>
      </c>
      <c r="C484" t="s">
        <v>5776</v>
      </c>
      <c r="F484" t="s">
        <v>5770</v>
      </c>
      <c r="J484" t="s">
        <v>5737</v>
      </c>
      <c r="K484">
        <v>50</v>
      </c>
      <c r="L484" t="str" cm="1">
        <f t="array" ref="L484">_xlfn.IFS(
 K484&lt;=50,"≤50",
 AND(K484&gt;=51,K484&lt;=100),"51–100",
 AND(K484&gt;=101,K484&lt;=250),"101–250",
 AND(K484&gt;=251,K484&lt;=500),"251–500",
 AND(K484&gt;=501,K484&lt;=1000),"501–1000",
 K484&gt;=1001,"1001+"
)</f>
        <v>≤50</v>
      </c>
    </row>
    <row r="485" spans="1:12" x14ac:dyDescent="0.3">
      <c r="A485" t="s">
        <v>962</v>
      </c>
      <c r="B485" t="s">
        <v>13</v>
      </c>
      <c r="C485" t="s">
        <v>5777</v>
      </c>
      <c r="D485" t="s">
        <v>963</v>
      </c>
      <c r="E485" t="s">
        <v>15</v>
      </c>
      <c r="F485" t="s">
        <v>20</v>
      </c>
      <c r="G485" t="s">
        <v>21</v>
      </c>
      <c r="J485" t="s">
        <v>5745</v>
      </c>
      <c r="K485">
        <v>50</v>
      </c>
      <c r="L485" t="str" cm="1">
        <f t="array" ref="L485">_xlfn.IFS(
 K485&lt;=50,"≤50",
 AND(K485&gt;=51,K485&lt;=100),"51–100",
 AND(K485&gt;=101,K485&lt;=250),"101–250",
 AND(K485&gt;=251,K485&lt;=500),"251–500",
 AND(K485&gt;=501,K485&lt;=1000),"501–1000",
 K485&gt;=1001,"1001+"
)</f>
        <v>≤50</v>
      </c>
    </row>
    <row r="486" spans="1:12" x14ac:dyDescent="0.3">
      <c r="A486" t="s">
        <v>964</v>
      </c>
      <c r="B486" t="s">
        <v>9</v>
      </c>
      <c r="C486" t="s">
        <v>5780</v>
      </c>
      <c r="D486" t="s">
        <v>965</v>
      </c>
      <c r="F486" t="s">
        <v>5770</v>
      </c>
      <c r="J486" t="s">
        <v>5737</v>
      </c>
      <c r="K486">
        <v>50</v>
      </c>
      <c r="L486" t="str" cm="1">
        <f t="array" ref="L486">_xlfn.IFS(
 K486&lt;=50,"≤50",
 AND(K486&gt;=51,K486&lt;=100),"51–100",
 AND(K486&gt;=101,K486&lt;=250),"101–250",
 AND(K486&gt;=251,K486&lt;=500),"251–500",
 AND(K486&gt;=501,K486&lt;=1000),"501–1000",
 K486&gt;=1001,"1001+"
)</f>
        <v>≤50</v>
      </c>
    </row>
    <row r="487" spans="1:12" x14ac:dyDescent="0.3">
      <c r="A487" t="s">
        <v>966</v>
      </c>
      <c r="B487" t="s">
        <v>11</v>
      </c>
      <c r="C487" t="s">
        <v>5776</v>
      </c>
      <c r="F487" t="s">
        <v>5770</v>
      </c>
      <c r="J487" t="s">
        <v>5738</v>
      </c>
      <c r="K487">
        <v>50</v>
      </c>
      <c r="L487" t="str" cm="1">
        <f t="array" ref="L487">_xlfn.IFS(
 K487&lt;=50,"≤50",
 AND(K487&gt;=51,K487&lt;=100),"51–100",
 AND(K487&gt;=101,K487&lt;=250),"101–250",
 AND(K487&gt;=251,K487&lt;=500),"251–500",
 AND(K487&gt;=501,K487&lt;=1000),"501–1000",
 K487&gt;=1001,"1001+"
)</f>
        <v>≤50</v>
      </c>
    </row>
    <row r="488" spans="1:12" x14ac:dyDescent="0.3">
      <c r="A488" t="s">
        <v>967</v>
      </c>
      <c r="B488" t="s">
        <v>11</v>
      </c>
      <c r="C488" t="s">
        <v>5776</v>
      </c>
      <c r="F488" t="s">
        <v>5770</v>
      </c>
      <c r="J488" t="s">
        <v>5750</v>
      </c>
      <c r="K488">
        <v>50</v>
      </c>
      <c r="L488" t="str" cm="1">
        <f t="array" ref="L488">_xlfn.IFS(
 K488&lt;=50,"≤50",
 AND(K488&gt;=51,K488&lt;=100),"51–100",
 AND(K488&gt;=101,K488&lt;=250),"101–250",
 AND(K488&gt;=251,K488&lt;=500),"251–500",
 AND(K488&gt;=501,K488&lt;=1000),"501–1000",
 K488&gt;=1001,"1001+"
)</f>
        <v>≤50</v>
      </c>
    </row>
    <row r="489" spans="1:12" x14ac:dyDescent="0.3">
      <c r="A489" t="s">
        <v>968</v>
      </c>
      <c r="B489" t="s">
        <v>13</v>
      </c>
      <c r="C489" t="s">
        <v>5777</v>
      </c>
      <c r="D489" t="s">
        <v>969</v>
      </c>
      <c r="E489" t="s">
        <v>15</v>
      </c>
      <c r="F489" t="s">
        <v>5770</v>
      </c>
      <c r="J489" t="s">
        <v>5737</v>
      </c>
      <c r="K489">
        <v>50</v>
      </c>
      <c r="L489" t="str" cm="1">
        <f t="array" ref="L489">_xlfn.IFS(
 K489&lt;=50,"≤50",
 AND(K489&gt;=51,K489&lt;=100),"51–100",
 AND(K489&gt;=101,K489&lt;=250),"101–250",
 AND(K489&gt;=251,K489&lt;=500),"251–500",
 AND(K489&gt;=501,K489&lt;=1000),"501–1000",
 K489&gt;=1001,"1001+"
)</f>
        <v>≤50</v>
      </c>
    </row>
    <row r="490" spans="1:12" x14ac:dyDescent="0.3">
      <c r="A490" t="s">
        <v>970</v>
      </c>
      <c r="B490" t="s">
        <v>9</v>
      </c>
      <c r="C490" t="s">
        <v>5780</v>
      </c>
      <c r="D490" t="s">
        <v>28</v>
      </c>
      <c r="E490" t="s">
        <v>15</v>
      </c>
      <c r="F490" t="s">
        <v>54</v>
      </c>
      <c r="G490" t="s">
        <v>971</v>
      </c>
      <c r="J490" t="s">
        <v>5738</v>
      </c>
      <c r="K490">
        <v>50</v>
      </c>
      <c r="L490" t="str" cm="1">
        <f t="array" ref="L490">_xlfn.IFS(
 K490&lt;=50,"≤50",
 AND(K490&gt;=51,K490&lt;=100),"51–100",
 AND(K490&gt;=101,K490&lt;=250),"101–250",
 AND(K490&gt;=251,K490&lt;=500),"251–500",
 AND(K490&gt;=501,K490&lt;=1000),"501–1000",
 K490&gt;=1001,"1001+"
)</f>
        <v>≤50</v>
      </c>
    </row>
    <row r="491" spans="1:12" x14ac:dyDescent="0.3">
      <c r="A491" t="s">
        <v>972</v>
      </c>
      <c r="B491" t="s">
        <v>11</v>
      </c>
      <c r="C491" t="s">
        <v>5776</v>
      </c>
      <c r="F491" t="s">
        <v>5770</v>
      </c>
      <c r="J491" t="s">
        <v>5737</v>
      </c>
      <c r="K491">
        <v>50</v>
      </c>
      <c r="L491" t="str" cm="1">
        <f t="array" ref="L491">_xlfn.IFS(
 K491&lt;=50,"≤50",
 AND(K491&gt;=51,K491&lt;=100),"51–100",
 AND(K491&gt;=101,K491&lt;=250),"101–250",
 AND(K491&gt;=251,K491&lt;=500),"251–500",
 AND(K491&gt;=501,K491&lt;=1000),"501–1000",
 K491&gt;=1001,"1001+"
)</f>
        <v>≤50</v>
      </c>
    </row>
    <row r="492" spans="1:12" x14ac:dyDescent="0.3">
      <c r="A492" t="s">
        <v>973</v>
      </c>
      <c r="B492" t="s">
        <v>9</v>
      </c>
      <c r="C492" t="s">
        <v>5780</v>
      </c>
      <c r="D492" t="s">
        <v>974</v>
      </c>
      <c r="F492" t="s">
        <v>5770</v>
      </c>
      <c r="J492" t="s">
        <v>5744</v>
      </c>
      <c r="K492">
        <v>50</v>
      </c>
      <c r="L492" t="str" cm="1">
        <f t="array" ref="L492">_xlfn.IFS(
 K492&lt;=50,"≤50",
 AND(K492&gt;=51,K492&lt;=100),"51–100",
 AND(K492&gt;=101,K492&lt;=250),"101–250",
 AND(K492&gt;=251,K492&lt;=500),"251–500",
 AND(K492&gt;=501,K492&lt;=1000),"501–1000",
 K492&gt;=1001,"1001+"
)</f>
        <v>≤50</v>
      </c>
    </row>
    <row r="493" spans="1:12" x14ac:dyDescent="0.3">
      <c r="A493" t="s">
        <v>975</v>
      </c>
      <c r="B493" t="s">
        <v>11</v>
      </c>
      <c r="C493" t="s">
        <v>5776</v>
      </c>
      <c r="F493" t="s">
        <v>5770</v>
      </c>
      <c r="J493" t="s">
        <v>5738</v>
      </c>
      <c r="K493">
        <v>50</v>
      </c>
      <c r="L493" t="str" cm="1">
        <f t="array" ref="L493">_xlfn.IFS(
 K493&lt;=50,"≤50",
 AND(K493&gt;=51,K493&lt;=100),"51–100",
 AND(K493&gt;=101,K493&lt;=250),"101–250",
 AND(K493&gt;=251,K493&lt;=500),"251–500",
 AND(K493&gt;=501,K493&lt;=1000),"501–1000",
 K493&gt;=1001,"1001+"
)</f>
        <v>≤50</v>
      </c>
    </row>
    <row r="494" spans="1:12" x14ac:dyDescent="0.3">
      <c r="A494" t="s">
        <v>976</v>
      </c>
      <c r="B494" t="s">
        <v>11</v>
      </c>
      <c r="C494" t="s">
        <v>5776</v>
      </c>
      <c r="F494" t="s">
        <v>5770</v>
      </c>
      <c r="J494" t="s">
        <v>5737</v>
      </c>
      <c r="K494">
        <v>50</v>
      </c>
      <c r="L494" t="str" cm="1">
        <f t="array" ref="L494">_xlfn.IFS(
 K494&lt;=50,"≤50",
 AND(K494&gt;=51,K494&lt;=100),"51–100",
 AND(K494&gt;=101,K494&lt;=250),"101–250",
 AND(K494&gt;=251,K494&lt;=500),"251–500",
 AND(K494&gt;=501,K494&lt;=1000),"501–1000",
 K494&gt;=1001,"1001+"
)</f>
        <v>≤50</v>
      </c>
    </row>
    <row r="495" spans="1:12" x14ac:dyDescent="0.3">
      <c r="A495" t="s">
        <v>977</v>
      </c>
      <c r="B495" t="s">
        <v>9</v>
      </c>
      <c r="C495" t="s">
        <v>5780</v>
      </c>
      <c r="D495" t="s">
        <v>978</v>
      </c>
      <c r="E495" t="s">
        <v>15</v>
      </c>
      <c r="F495" t="s">
        <v>5770</v>
      </c>
      <c r="J495" t="s">
        <v>5737</v>
      </c>
      <c r="K495">
        <v>50</v>
      </c>
      <c r="L495" t="str" cm="1">
        <f t="array" ref="L495">_xlfn.IFS(
 K495&lt;=50,"≤50",
 AND(K495&gt;=51,K495&lt;=100),"51–100",
 AND(K495&gt;=101,K495&lt;=250),"101–250",
 AND(K495&gt;=251,K495&lt;=500),"251–500",
 AND(K495&gt;=501,K495&lt;=1000),"501–1000",
 K495&gt;=1001,"1001+"
)</f>
        <v>≤50</v>
      </c>
    </row>
    <row r="496" spans="1:12" x14ac:dyDescent="0.3">
      <c r="A496" t="s">
        <v>979</v>
      </c>
      <c r="B496" t="s">
        <v>11</v>
      </c>
      <c r="C496" t="s">
        <v>5776</v>
      </c>
      <c r="F496" t="s">
        <v>5770</v>
      </c>
      <c r="J496" t="s">
        <v>5737</v>
      </c>
      <c r="K496">
        <v>50</v>
      </c>
      <c r="L496" t="str" cm="1">
        <f t="array" ref="L496">_xlfn.IFS(
 K496&lt;=50,"≤50",
 AND(K496&gt;=51,K496&lt;=100),"51–100",
 AND(K496&gt;=101,K496&lt;=250),"101–250",
 AND(K496&gt;=251,K496&lt;=500),"251–500",
 AND(K496&gt;=501,K496&lt;=1000),"501–1000",
 K496&gt;=1001,"1001+"
)</f>
        <v>≤50</v>
      </c>
    </row>
    <row r="497" spans="1:12" x14ac:dyDescent="0.3">
      <c r="A497" t="s">
        <v>980</v>
      </c>
      <c r="B497" t="s">
        <v>9</v>
      </c>
      <c r="C497" t="s">
        <v>5780</v>
      </c>
      <c r="D497" t="s">
        <v>981</v>
      </c>
      <c r="E497" t="s">
        <v>15</v>
      </c>
      <c r="F497" t="s">
        <v>5770</v>
      </c>
      <c r="J497" t="s">
        <v>5737</v>
      </c>
      <c r="K497">
        <v>50</v>
      </c>
      <c r="L497" t="str" cm="1">
        <f t="array" ref="L497">_xlfn.IFS(
 K497&lt;=50,"≤50",
 AND(K497&gt;=51,K497&lt;=100),"51–100",
 AND(K497&gt;=101,K497&lt;=250),"101–250",
 AND(K497&gt;=251,K497&lt;=500),"251–500",
 AND(K497&gt;=501,K497&lt;=1000),"501–1000",
 K497&gt;=1001,"1001+"
)</f>
        <v>≤50</v>
      </c>
    </row>
    <row r="498" spans="1:12" x14ac:dyDescent="0.3">
      <c r="A498" t="s">
        <v>982</v>
      </c>
      <c r="B498" t="s">
        <v>13</v>
      </c>
      <c r="C498" t="s">
        <v>5777</v>
      </c>
      <c r="D498" t="s">
        <v>983</v>
      </c>
      <c r="E498" t="s">
        <v>15</v>
      </c>
      <c r="F498" t="s">
        <v>20</v>
      </c>
      <c r="G498" t="s">
        <v>21</v>
      </c>
      <c r="J498" t="s">
        <v>5750</v>
      </c>
      <c r="K498">
        <v>50</v>
      </c>
      <c r="L498" t="str" cm="1">
        <f t="array" ref="L498">_xlfn.IFS(
 K498&lt;=50,"≤50",
 AND(K498&gt;=51,K498&lt;=100),"51–100",
 AND(K498&gt;=101,K498&lt;=250),"101–250",
 AND(K498&gt;=251,K498&lt;=500),"251–500",
 AND(K498&gt;=501,K498&lt;=1000),"501–1000",
 K498&gt;=1001,"1001+"
)</f>
        <v>≤50</v>
      </c>
    </row>
    <row r="499" spans="1:12" x14ac:dyDescent="0.3">
      <c r="A499" t="s">
        <v>984</v>
      </c>
      <c r="B499" t="s">
        <v>11</v>
      </c>
      <c r="C499" t="s">
        <v>5776</v>
      </c>
      <c r="F499" t="s">
        <v>5770</v>
      </c>
      <c r="J499" t="s">
        <v>5737</v>
      </c>
      <c r="K499">
        <v>50</v>
      </c>
      <c r="L499" t="str" cm="1">
        <f t="array" ref="L499">_xlfn.IFS(
 K499&lt;=50,"≤50",
 AND(K499&gt;=51,K499&lt;=100),"51–100",
 AND(K499&gt;=101,K499&lt;=250),"101–250",
 AND(K499&gt;=251,K499&lt;=500),"251–500",
 AND(K499&gt;=501,K499&lt;=1000),"501–1000",
 K499&gt;=1001,"1001+"
)</f>
        <v>≤50</v>
      </c>
    </row>
    <row r="500" spans="1:12" x14ac:dyDescent="0.3">
      <c r="A500" t="s">
        <v>985</v>
      </c>
      <c r="B500" t="s">
        <v>9</v>
      </c>
      <c r="C500" t="s">
        <v>5780</v>
      </c>
      <c r="D500" t="s">
        <v>986</v>
      </c>
      <c r="E500" t="s">
        <v>15</v>
      </c>
      <c r="F500" t="s">
        <v>54</v>
      </c>
      <c r="G500" t="s">
        <v>987</v>
      </c>
      <c r="J500" t="s">
        <v>5737</v>
      </c>
      <c r="K500">
        <v>50</v>
      </c>
      <c r="L500" t="str" cm="1">
        <f t="array" ref="L500">_xlfn.IFS(
 K500&lt;=50,"≤50",
 AND(K500&gt;=51,K500&lt;=100),"51–100",
 AND(K500&gt;=101,K500&lt;=250),"101–250",
 AND(K500&gt;=251,K500&lt;=500),"251–500",
 AND(K500&gt;=501,K500&lt;=1000),"501–1000",
 K500&gt;=1001,"1001+"
)</f>
        <v>≤50</v>
      </c>
    </row>
    <row r="501" spans="1:12" x14ac:dyDescent="0.3">
      <c r="A501" t="s">
        <v>988</v>
      </c>
      <c r="B501" t="s">
        <v>9</v>
      </c>
      <c r="C501" t="s">
        <v>5780</v>
      </c>
      <c r="D501" t="s">
        <v>28</v>
      </c>
      <c r="F501" t="s">
        <v>5770</v>
      </c>
      <c r="J501" t="s">
        <v>5751</v>
      </c>
      <c r="K501">
        <v>50</v>
      </c>
      <c r="L501" t="str" cm="1">
        <f t="array" ref="L501">_xlfn.IFS(
 K501&lt;=50,"≤50",
 AND(K501&gt;=51,K501&lt;=100),"51–100",
 AND(K501&gt;=101,K501&lt;=250),"101–250",
 AND(K501&gt;=251,K501&lt;=500),"251–500",
 AND(K501&gt;=501,K501&lt;=1000),"501–1000",
 K501&gt;=1001,"1001+"
)</f>
        <v>≤50</v>
      </c>
    </row>
    <row r="502" spans="1:12" x14ac:dyDescent="0.3">
      <c r="A502" t="s">
        <v>989</v>
      </c>
      <c r="B502" t="s">
        <v>13</v>
      </c>
      <c r="C502" t="s">
        <v>5777</v>
      </c>
      <c r="D502" t="s">
        <v>990</v>
      </c>
      <c r="F502" t="s">
        <v>20</v>
      </c>
      <c r="G502" t="s">
        <v>991</v>
      </c>
      <c r="J502" t="s">
        <v>5738</v>
      </c>
      <c r="K502">
        <v>50</v>
      </c>
      <c r="L502" t="str" cm="1">
        <f t="array" ref="L502">_xlfn.IFS(
 K502&lt;=50,"≤50",
 AND(K502&gt;=51,K502&lt;=100),"51–100",
 AND(K502&gt;=101,K502&lt;=250),"101–250",
 AND(K502&gt;=251,K502&lt;=500),"251–500",
 AND(K502&gt;=501,K502&lt;=1000),"501–1000",
 K502&gt;=1001,"1001+"
)</f>
        <v>≤50</v>
      </c>
    </row>
    <row r="503" spans="1:12" x14ac:dyDescent="0.3">
      <c r="A503" t="s">
        <v>992</v>
      </c>
      <c r="B503" t="s">
        <v>9</v>
      </c>
      <c r="C503" t="s">
        <v>5780</v>
      </c>
      <c r="D503" t="s">
        <v>993</v>
      </c>
      <c r="F503" t="s">
        <v>5770</v>
      </c>
      <c r="J503" t="s">
        <v>5737</v>
      </c>
      <c r="K503">
        <v>50</v>
      </c>
      <c r="L503" t="str" cm="1">
        <f t="array" ref="L503">_xlfn.IFS(
 K503&lt;=50,"≤50",
 AND(K503&gt;=51,K503&lt;=100),"51–100",
 AND(K503&gt;=101,K503&lt;=250),"101–250",
 AND(K503&gt;=251,K503&lt;=500),"251–500",
 AND(K503&gt;=501,K503&lt;=1000),"501–1000",
 K503&gt;=1001,"1001+"
)</f>
        <v>≤50</v>
      </c>
    </row>
    <row r="504" spans="1:12" x14ac:dyDescent="0.3">
      <c r="A504" t="s">
        <v>994</v>
      </c>
      <c r="B504" t="s">
        <v>9</v>
      </c>
      <c r="C504" t="s">
        <v>5780</v>
      </c>
      <c r="D504" t="s">
        <v>995</v>
      </c>
      <c r="E504" t="s">
        <v>15</v>
      </c>
      <c r="F504" t="s">
        <v>20</v>
      </c>
      <c r="G504" t="s">
        <v>996</v>
      </c>
      <c r="J504" t="s">
        <v>5742</v>
      </c>
      <c r="K504">
        <v>50</v>
      </c>
      <c r="L504" t="str" cm="1">
        <f t="array" ref="L504">_xlfn.IFS(
 K504&lt;=50,"≤50",
 AND(K504&gt;=51,K504&lt;=100),"51–100",
 AND(K504&gt;=101,K504&lt;=250),"101–250",
 AND(K504&gt;=251,K504&lt;=500),"251–500",
 AND(K504&gt;=501,K504&lt;=1000),"501–1000",
 K504&gt;=1001,"1001+"
)</f>
        <v>≤50</v>
      </c>
    </row>
    <row r="505" spans="1:12" x14ac:dyDescent="0.3">
      <c r="A505" t="s">
        <v>997</v>
      </c>
      <c r="B505" t="s">
        <v>13</v>
      </c>
      <c r="C505" t="s">
        <v>5777</v>
      </c>
      <c r="D505" t="s">
        <v>998</v>
      </c>
      <c r="E505" t="s">
        <v>15</v>
      </c>
      <c r="F505" t="s">
        <v>5770</v>
      </c>
      <c r="J505" t="s">
        <v>5750</v>
      </c>
      <c r="K505">
        <v>50</v>
      </c>
      <c r="L505" t="str" cm="1">
        <f t="array" ref="L505">_xlfn.IFS(
 K505&lt;=50,"≤50",
 AND(K505&gt;=51,K505&lt;=100),"51–100",
 AND(K505&gt;=101,K505&lt;=250),"101–250",
 AND(K505&gt;=251,K505&lt;=500),"251–500",
 AND(K505&gt;=501,K505&lt;=1000),"501–1000",
 K505&gt;=1001,"1001+"
)</f>
        <v>≤50</v>
      </c>
    </row>
    <row r="506" spans="1:12" x14ac:dyDescent="0.3">
      <c r="A506" t="s">
        <v>999</v>
      </c>
      <c r="B506" t="s">
        <v>13</v>
      </c>
      <c r="C506" t="s">
        <v>5777</v>
      </c>
      <c r="D506" t="s">
        <v>1000</v>
      </c>
      <c r="E506" t="s">
        <v>15</v>
      </c>
      <c r="F506" t="s">
        <v>16</v>
      </c>
      <c r="G506" t="s">
        <v>1001</v>
      </c>
      <c r="J506" t="s">
        <v>5737</v>
      </c>
      <c r="K506">
        <v>50</v>
      </c>
      <c r="L506" t="str" cm="1">
        <f t="array" ref="L506">_xlfn.IFS(
 K506&lt;=50,"≤50",
 AND(K506&gt;=51,K506&lt;=100),"51–100",
 AND(K506&gt;=101,K506&lt;=250),"101–250",
 AND(K506&gt;=251,K506&lt;=500),"251–500",
 AND(K506&gt;=501,K506&lt;=1000),"501–1000",
 K506&gt;=1001,"1001+"
)</f>
        <v>≤50</v>
      </c>
    </row>
    <row r="507" spans="1:12" x14ac:dyDescent="0.3">
      <c r="A507" t="s">
        <v>1002</v>
      </c>
      <c r="B507" t="s">
        <v>9</v>
      </c>
      <c r="C507" t="s">
        <v>5780</v>
      </c>
      <c r="D507" t="s">
        <v>28</v>
      </c>
      <c r="F507" t="s">
        <v>5770</v>
      </c>
      <c r="J507" t="s">
        <v>5737</v>
      </c>
      <c r="K507">
        <v>50</v>
      </c>
      <c r="L507" t="str" cm="1">
        <f t="array" ref="L507">_xlfn.IFS(
 K507&lt;=50,"≤50",
 AND(K507&gt;=51,K507&lt;=100),"51–100",
 AND(K507&gt;=101,K507&lt;=250),"101–250",
 AND(K507&gt;=251,K507&lt;=500),"251–500",
 AND(K507&gt;=501,K507&lt;=1000),"501–1000",
 K507&gt;=1001,"1001+"
)</f>
        <v>≤50</v>
      </c>
    </row>
    <row r="508" spans="1:12" x14ac:dyDescent="0.3">
      <c r="A508" t="s">
        <v>1003</v>
      </c>
      <c r="B508" t="s">
        <v>11</v>
      </c>
      <c r="C508" t="s">
        <v>5776</v>
      </c>
      <c r="F508" t="s">
        <v>5770</v>
      </c>
      <c r="J508" t="s">
        <v>5737</v>
      </c>
      <c r="K508">
        <v>50</v>
      </c>
      <c r="L508" t="str" cm="1">
        <f t="array" ref="L508">_xlfn.IFS(
 K508&lt;=50,"≤50",
 AND(K508&gt;=51,K508&lt;=100),"51–100",
 AND(K508&gt;=101,K508&lt;=250),"101–250",
 AND(K508&gt;=251,K508&lt;=500),"251–500",
 AND(K508&gt;=501,K508&lt;=1000),"501–1000",
 K508&gt;=1001,"1001+"
)</f>
        <v>≤50</v>
      </c>
    </row>
    <row r="509" spans="1:12" x14ac:dyDescent="0.3">
      <c r="A509" t="s">
        <v>1004</v>
      </c>
      <c r="B509" t="s">
        <v>9</v>
      </c>
      <c r="C509" t="s">
        <v>5780</v>
      </c>
      <c r="D509" t="s">
        <v>1005</v>
      </c>
      <c r="E509" t="s">
        <v>15</v>
      </c>
      <c r="F509" t="s">
        <v>5770</v>
      </c>
      <c r="J509" t="s">
        <v>5737</v>
      </c>
      <c r="K509">
        <v>50</v>
      </c>
      <c r="L509" t="str" cm="1">
        <f t="array" ref="L509">_xlfn.IFS(
 K509&lt;=50,"≤50",
 AND(K509&gt;=51,K509&lt;=100),"51–100",
 AND(K509&gt;=101,K509&lt;=250),"101–250",
 AND(K509&gt;=251,K509&lt;=500),"251–500",
 AND(K509&gt;=501,K509&lt;=1000),"501–1000",
 K509&gt;=1001,"1001+"
)</f>
        <v>≤50</v>
      </c>
    </row>
    <row r="510" spans="1:12" x14ac:dyDescent="0.3">
      <c r="A510" t="s">
        <v>1006</v>
      </c>
      <c r="B510" t="s">
        <v>11</v>
      </c>
      <c r="C510" t="s">
        <v>5776</v>
      </c>
      <c r="F510" t="s">
        <v>5770</v>
      </c>
      <c r="J510" t="s">
        <v>5742</v>
      </c>
      <c r="K510">
        <v>50</v>
      </c>
      <c r="L510" t="str" cm="1">
        <f t="array" ref="L510">_xlfn.IFS(
 K510&lt;=50,"≤50",
 AND(K510&gt;=51,K510&lt;=100),"51–100",
 AND(K510&gt;=101,K510&lt;=250),"101–250",
 AND(K510&gt;=251,K510&lt;=500),"251–500",
 AND(K510&gt;=501,K510&lt;=1000),"501–1000",
 K510&gt;=1001,"1001+"
)</f>
        <v>≤50</v>
      </c>
    </row>
    <row r="511" spans="1:12" x14ac:dyDescent="0.3">
      <c r="A511" t="s">
        <v>1007</v>
      </c>
      <c r="B511" t="s">
        <v>9</v>
      </c>
      <c r="C511" t="s">
        <v>5780</v>
      </c>
      <c r="D511" t="s">
        <v>1008</v>
      </c>
      <c r="F511" t="s">
        <v>5770</v>
      </c>
      <c r="J511" t="s">
        <v>5748</v>
      </c>
      <c r="K511">
        <v>50</v>
      </c>
      <c r="L511" t="str" cm="1">
        <f t="array" ref="L511">_xlfn.IFS(
 K511&lt;=50,"≤50",
 AND(K511&gt;=51,K511&lt;=100),"51–100",
 AND(K511&gt;=101,K511&lt;=250),"101–250",
 AND(K511&gt;=251,K511&lt;=500),"251–500",
 AND(K511&gt;=501,K511&lt;=1000),"501–1000",
 K511&gt;=1001,"1001+"
)</f>
        <v>≤50</v>
      </c>
    </row>
    <row r="512" spans="1:12" x14ac:dyDescent="0.3">
      <c r="A512" t="s">
        <v>1009</v>
      </c>
      <c r="B512" t="s">
        <v>13</v>
      </c>
      <c r="C512" t="s">
        <v>5777</v>
      </c>
      <c r="D512" t="s">
        <v>1010</v>
      </c>
      <c r="E512" t="s">
        <v>15</v>
      </c>
      <c r="F512" t="s">
        <v>20</v>
      </c>
      <c r="G512" t="s">
        <v>1011</v>
      </c>
      <c r="J512" t="s">
        <v>5738</v>
      </c>
      <c r="K512">
        <v>50</v>
      </c>
      <c r="L512" t="str" cm="1">
        <f t="array" ref="L512">_xlfn.IFS(
 K512&lt;=50,"≤50",
 AND(K512&gt;=51,K512&lt;=100),"51–100",
 AND(K512&gt;=101,K512&lt;=250),"101–250",
 AND(K512&gt;=251,K512&lt;=500),"251–500",
 AND(K512&gt;=501,K512&lt;=1000),"501–1000",
 K512&gt;=1001,"1001+"
)</f>
        <v>≤50</v>
      </c>
    </row>
    <row r="513" spans="1:12" x14ac:dyDescent="0.3">
      <c r="A513" t="s">
        <v>1012</v>
      </c>
      <c r="B513" t="s">
        <v>11</v>
      </c>
      <c r="C513" t="s">
        <v>5776</v>
      </c>
      <c r="F513" t="s">
        <v>5770</v>
      </c>
      <c r="J513" t="s">
        <v>5737</v>
      </c>
      <c r="K513">
        <v>50</v>
      </c>
      <c r="L513" t="str" cm="1">
        <f t="array" ref="L513">_xlfn.IFS(
 K513&lt;=50,"≤50",
 AND(K513&gt;=51,K513&lt;=100),"51–100",
 AND(K513&gt;=101,K513&lt;=250),"101–250",
 AND(K513&gt;=251,K513&lt;=500),"251–500",
 AND(K513&gt;=501,K513&lt;=1000),"501–1000",
 K513&gt;=1001,"1001+"
)</f>
        <v>≤50</v>
      </c>
    </row>
    <row r="514" spans="1:12" x14ac:dyDescent="0.3">
      <c r="A514" t="s">
        <v>1013</v>
      </c>
      <c r="B514" t="s">
        <v>9</v>
      </c>
      <c r="C514" t="s">
        <v>5780</v>
      </c>
      <c r="D514" t="s">
        <v>51</v>
      </c>
      <c r="F514" t="s">
        <v>54</v>
      </c>
      <c r="G514" t="s">
        <v>1014</v>
      </c>
      <c r="J514" t="s">
        <v>5750</v>
      </c>
      <c r="K514">
        <v>50</v>
      </c>
      <c r="L514" t="str" cm="1">
        <f t="array" ref="L514">_xlfn.IFS(
 K514&lt;=50,"≤50",
 AND(K514&gt;=51,K514&lt;=100),"51–100",
 AND(K514&gt;=101,K514&lt;=250),"101–250",
 AND(K514&gt;=251,K514&lt;=500),"251–500",
 AND(K514&gt;=501,K514&lt;=1000),"501–1000",
 K514&gt;=1001,"1001+"
)</f>
        <v>≤50</v>
      </c>
    </row>
    <row r="515" spans="1:12" x14ac:dyDescent="0.3">
      <c r="A515" t="s">
        <v>1015</v>
      </c>
      <c r="B515" t="s">
        <v>9</v>
      </c>
      <c r="C515" t="s">
        <v>5780</v>
      </c>
      <c r="D515" t="s">
        <v>1016</v>
      </c>
      <c r="F515" t="s">
        <v>5770</v>
      </c>
      <c r="J515" t="s">
        <v>5753</v>
      </c>
      <c r="K515">
        <v>50</v>
      </c>
      <c r="L515" t="str" cm="1">
        <f t="array" ref="L515">_xlfn.IFS(
 K515&lt;=50,"≤50",
 AND(K515&gt;=51,K515&lt;=100),"51–100",
 AND(K515&gt;=101,K515&lt;=250),"101–250",
 AND(K515&gt;=251,K515&lt;=500),"251–500",
 AND(K515&gt;=501,K515&lt;=1000),"501–1000",
 K515&gt;=1001,"1001+"
)</f>
        <v>≤50</v>
      </c>
    </row>
    <row r="516" spans="1:12" x14ac:dyDescent="0.3">
      <c r="A516" t="s">
        <v>1017</v>
      </c>
      <c r="B516" t="s">
        <v>13</v>
      </c>
      <c r="C516" t="s">
        <v>5777</v>
      </c>
      <c r="D516" t="s">
        <v>1018</v>
      </c>
      <c r="E516" t="s">
        <v>15</v>
      </c>
      <c r="F516" t="s">
        <v>5770</v>
      </c>
      <c r="J516" t="s">
        <v>5737</v>
      </c>
      <c r="K516">
        <v>50</v>
      </c>
      <c r="L516" t="str" cm="1">
        <f t="array" ref="L516">_xlfn.IFS(
 K516&lt;=50,"≤50",
 AND(K516&gt;=51,K516&lt;=100),"51–100",
 AND(K516&gt;=101,K516&lt;=250),"101–250",
 AND(K516&gt;=251,K516&lt;=500),"251–500",
 AND(K516&gt;=501,K516&lt;=1000),"501–1000",
 K516&gt;=1001,"1001+"
)</f>
        <v>≤50</v>
      </c>
    </row>
    <row r="517" spans="1:12" x14ac:dyDescent="0.3">
      <c r="A517" t="s">
        <v>1019</v>
      </c>
      <c r="B517" t="s">
        <v>9</v>
      </c>
      <c r="C517" t="s">
        <v>5780</v>
      </c>
      <c r="D517" t="s">
        <v>1020</v>
      </c>
      <c r="E517" t="s">
        <v>15</v>
      </c>
      <c r="F517" t="s">
        <v>20</v>
      </c>
      <c r="G517" t="s">
        <v>1021</v>
      </c>
      <c r="J517" t="s">
        <v>5737</v>
      </c>
      <c r="K517">
        <v>50</v>
      </c>
      <c r="L517" t="str" cm="1">
        <f t="array" ref="L517">_xlfn.IFS(
 K517&lt;=50,"≤50",
 AND(K517&gt;=51,K517&lt;=100),"51–100",
 AND(K517&gt;=101,K517&lt;=250),"101–250",
 AND(K517&gt;=251,K517&lt;=500),"251–500",
 AND(K517&gt;=501,K517&lt;=1000),"501–1000",
 K517&gt;=1001,"1001+"
)</f>
        <v>≤50</v>
      </c>
    </row>
    <row r="518" spans="1:12" x14ac:dyDescent="0.3">
      <c r="A518" t="s">
        <v>1022</v>
      </c>
      <c r="B518" t="s">
        <v>9</v>
      </c>
      <c r="C518" t="s">
        <v>5780</v>
      </c>
      <c r="D518" t="s">
        <v>51</v>
      </c>
      <c r="F518" t="s">
        <v>20</v>
      </c>
      <c r="G518" t="s">
        <v>1023</v>
      </c>
      <c r="J518" t="s">
        <v>5737</v>
      </c>
      <c r="K518">
        <v>50</v>
      </c>
      <c r="L518" t="str" cm="1">
        <f t="array" ref="L518">_xlfn.IFS(
 K518&lt;=50,"≤50",
 AND(K518&gt;=51,K518&lt;=100),"51–100",
 AND(K518&gt;=101,K518&lt;=250),"101–250",
 AND(K518&gt;=251,K518&lt;=500),"251–500",
 AND(K518&gt;=501,K518&lt;=1000),"501–1000",
 K518&gt;=1001,"1001+"
)</f>
        <v>≤50</v>
      </c>
    </row>
    <row r="519" spans="1:12" x14ac:dyDescent="0.3">
      <c r="A519" t="s">
        <v>1024</v>
      </c>
      <c r="B519" t="s">
        <v>9</v>
      </c>
      <c r="C519" t="s">
        <v>5780</v>
      </c>
      <c r="D519" t="s">
        <v>1025</v>
      </c>
      <c r="F519" t="s">
        <v>16</v>
      </c>
      <c r="G519" t="s">
        <v>1026</v>
      </c>
      <c r="J519" t="s">
        <v>5737</v>
      </c>
      <c r="K519">
        <v>50</v>
      </c>
      <c r="L519" t="str" cm="1">
        <f t="array" ref="L519">_xlfn.IFS(
 K519&lt;=50,"≤50",
 AND(K519&gt;=51,K519&lt;=100),"51–100",
 AND(K519&gt;=101,K519&lt;=250),"101–250",
 AND(K519&gt;=251,K519&lt;=500),"251–500",
 AND(K519&gt;=501,K519&lt;=1000),"501–1000",
 K519&gt;=1001,"1001+"
)</f>
        <v>≤50</v>
      </c>
    </row>
    <row r="520" spans="1:12" x14ac:dyDescent="0.3">
      <c r="A520" t="s">
        <v>1027</v>
      </c>
      <c r="B520" t="s">
        <v>9</v>
      </c>
      <c r="C520" t="s">
        <v>5780</v>
      </c>
      <c r="D520" t="s">
        <v>1028</v>
      </c>
      <c r="E520" t="s">
        <v>15</v>
      </c>
      <c r="F520" t="s">
        <v>20</v>
      </c>
      <c r="G520" t="s">
        <v>21</v>
      </c>
      <c r="J520" t="s">
        <v>5739</v>
      </c>
      <c r="K520">
        <v>50</v>
      </c>
      <c r="L520" t="str" cm="1">
        <f t="array" ref="L520">_xlfn.IFS(
 K520&lt;=50,"≤50",
 AND(K520&gt;=51,K520&lt;=100),"51–100",
 AND(K520&gt;=101,K520&lt;=250),"101–250",
 AND(K520&gt;=251,K520&lt;=500),"251–500",
 AND(K520&gt;=501,K520&lt;=1000),"501–1000",
 K520&gt;=1001,"1001+"
)</f>
        <v>≤50</v>
      </c>
    </row>
    <row r="521" spans="1:12" x14ac:dyDescent="0.3">
      <c r="A521" t="s">
        <v>1029</v>
      </c>
      <c r="B521" t="s">
        <v>13</v>
      </c>
      <c r="C521" t="s">
        <v>5777</v>
      </c>
      <c r="D521" t="s">
        <v>1030</v>
      </c>
      <c r="E521" t="s">
        <v>15</v>
      </c>
      <c r="F521" t="s">
        <v>20</v>
      </c>
      <c r="G521" t="s">
        <v>1031</v>
      </c>
      <c r="J521" t="s">
        <v>5747</v>
      </c>
      <c r="K521">
        <v>50</v>
      </c>
      <c r="L521" t="str" cm="1">
        <f t="array" ref="L521">_xlfn.IFS(
 K521&lt;=50,"≤50",
 AND(K521&gt;=51,K521&lt;=100),"51–100",
 AND(K521&gt;=101,K521&lt;=250),"101–250",
 AND(K521&gt;=251,K521&lt;=500),"251–500",
 AND(K521&gt;=501,K521&lt;=1000),"501–1000",
 K521&gt;=1001,"1001+"
)</f>
        <v>≤50</v>
      </c>
    </row>
    <row r="522" spans="1:12" x14ac:dyDescent="0.3">
      <c r="A522" t="s">
        <v>1032</v>
      </c>
      <c r="B522" t="s">
        <v>9</v>
      </c>
      <c r="C522" t="s">
        <v>5780</v>
      </c>
      <c r="D522" t="s">
        <v>1033</v>
      </c>
      <c r="E522" t="s">
        <v>15</v>
      </c>
      <c r="F522" t="s">
        <v>20</v>
      </c>
      <c r="G522" t="s">
        <v>42</v>
      </c>
      <c r="J522" t="s">
        <v>5746</v>
      </c>
      <c r="K522">
        <v>50</v>
      </c>
      <c r="L522" t="str" cm="1">
        <f t="array" ref="L522">_xlfn.IFS(
 K522&lt;=50,"≤50",
 AND(K522&gt;=51,K522&lt;=100),"51–100",
 AND(K522&gt;=101,K522&lt;=250),"101–250",
 AND(K522&gt;=251,K522&lt;=500),"251–500",
 AND(K522&gt;=501,K522&lt;=1000),"501–1000",
 K522&gt;=1001,"1001+"
)</f>
        <v>≤50</v>
      </c>
    </row>
    <row r="523" spans="1:12" x14ac:dyDescent="0.3">
      <c r="A523" t="s">
        <v>1034</v>
      </c>
      <c r="B523" t="s">
        <v>13</v>
      </c>
      <c r="C523" t="s">
        <v>5777</v>
      </c>
      <c r="D523" t="s">
        <v>1035</v>
      </c>
      <c r="E523" t="s">
        <v>15</v>
      </c>
      <c r="F523" t="s">
        <v>54</v>
      </c>
      <c r="G523" t="s">
        <v>1036</v>
      </c>
      <c r="J523" t="s">
        <v>5738</v>
      </c>
      <c r="K523">
        <v>50</v>
      </c>
      <c r="L523" t="str" cm="1">
        <f t="array" ref="L523">_xlfn.IFS(
 K523&lt;=50,"≤50",
 AND(K523&gt;=51,K523&lt;=100),"51–100",
 AND(K523&gt;=101,K523&lt;=250),"101–250",
 AND(K523&gt;=251,K523&lt;=500),"251–500",
 AND(K523&gt;=501,K523&lt;=1000),"501–1000",
 K523&gt;=1001,"1001+"
)</f>
        <v>≤50</v>
      </c>
    </row>
    <row r="524" spans="1:12" x14ac:dyDescent="0.3">
      <c r="A524" t="s">
        <v>1037</v>
      </c>
      <c r="B524" t="s">
        <v>13</v>
      </c>
      <c r="C524" t="s">
        <v>5777</v>
      </c>
      <c r="D524" t="s">
        <v>1038</v>
      </c>
      <c r="E524" t="s">
        <v>15</v>
      </c>
      <c r="F524" t="s">
        <v>5770</v>
      </c>
      <c r="J524" t="s">
        <v>5738</v>
      </c>
      <c r="K524">
        <v>50</v>
      </c>
      <c r="L524" t="str" cm="1">
        <f t="array" ref="L524">_xlfn.IFS(
 K524&lt;=50,"≤50",
 AND(K524&gt;=51,K524&lt;=100),"51–100",
 AND(K524&gt;=101,K524&lt;=250),"101–250",
 AND(K524&gt;=251,K524&lt;=500),"251–500",
 AND(K524&gt;=501,K524&lt;=1000),"501–1000",
 K524&gt;=1001,"1001+"
)</f>
        <v>≤50</v>
      </c>
    </row>
    <row r="525" spans="1:12" x14ac:dyDescent="0.3">
      <c r="A525" t="s">
        <v>1039</v>
      </c>
      <c r="B525" t="s">
        <v>9</v>
      </c>
      <c r="C525" t="s">
        <v>5780</v>
      </c>
      <c r="D525" t="s">
        <v>51</v>
      </c>
      <c r="F525" t="s">
        <v>5770</v>
      </c>
      <c r="J525" t="s">
        <v>5738</v>
      </c>
      <c r="K525">
        <v>50</v>
      </c>
      <c r="L525" t="str" cm="1">
        <f t="array" ref="L525">_xlfn.IFS(
 K525&lt;=50,"≤50",
 AND(K525&gt;=51,K525&lt;=100),"51–100",
 AND(K525&gt;=101,K525&lt;=250),"101–250",
 AND(K525&gt;=251,K525&lt;=500),"251–500",
 AND(K525&gt;=501,K525&lt;=1000),"501–1000",
 K525&gt;=1001,"1001+"
)</f>
        <v>≤50</v>
      </c>
    </row>
    <row r="526" spans="1:12" x14ac:dyDescent="0.3">
      <c r="A526" t="s">
        <v>1040</v>
      </c>
      <c r="B526" t="s">
        <v>9</v>
      </c>
      <c r="C526" t="s">
        <v>5780</v>
      </c>
      <c r="D526" t="s">
        <v>1041</v>
      </c>
      <c r="F526" t="s">
        <v>16</v>
      </c>
      <c r="G526" t="s">
        <v>1042</v>
      </c>
      <c r="J526" t="s">
        <v>5738</v>
      </c>
      <c r="K526">
        <v>50</v>
      </c>
      <c r="L526" t="str" cm="1">
        <f t="array" ref="L526">_xlfn.IFS(
 K526&lt;=50,"≤50",
 AND(K526&gt;=51,K526&lt;=100),"51–100",
 AND(K526&gt;=101,K526&lt;=250),"101–250",
 AND(K526&gt;=251,K526&lt;=500),"251–500",
 AND(K526&gt;=501,K526&lt;=1000),"501–1000",
 K526&gt;=1001,"1001+"
)</f>
        <v>≤50</v>
      </c>
    </row>
    <row r="527" spans="1:12" x14ac:dyDescent="0.3">
      <c r="A527" t="s">
        <v>1043</v>
      </c>
      <c r="B527" t="s">
        <v>9</v>
      </c>
      <c r="C527" t="s">
        <v>5780</v>
      </c>
      <c r="D527" t="s">
        <v>51</v>
      </c>
      <c r="F527" t="s">
        <v>5770</v>
      </c>
      <c r="J527" t="s">
        <v>5738</v>
      </c>
      <c r="K527">
        <v>50</v>
      </c>
      <c r="L527" t="str" cm="1">
        <f t="array" ref="L527">_xlfn.IFS(
 K527&lt;=50,"≤50",
 AND(K527&gt;=51,K527&lt;=100),"51–100",
 AND(K527&gt;=101,K527&lt;=250),"101–250",
 AND(K527&gt;=251,K527&lt;=500),"251–500",
 AND(K527&gt;=501,K527&lt;=1000),"501–1000",
 K527&gt;=1001,"1001+"
)</f>
        <v>≤50</v>
      </c>
    </row>
    <row r="528" spans="1:12" x14ac:dyDescent="0.3">
      <c r="A528" t="s">
        <v>1044</v>
      </c>
      <c r="B528" t="s">
        <v>11</v>
      </c>
      <c r="C528" t="s">
        <v>5776</v>
      </c>
      <c r="F528" t="s">
        <v>5770</v>
      </c>
      <c r="J528" t="s">
        <v>5737</v>
      </c>
      <c r="K528">
        <v>50</v>
      </c>
      <c r="L528" t="str" cm="1">
        <f t="array" ref="L528">_xlfn.IFS(
 K528&lt;=50,"≤50",
 AND(K528&gt;=51,K528&lt;=100),"51–100",
 AND(K528&gt;=101,K528&lt;=250),"101–250",
 AND(K528&gt;=251,K528&lt;=500),"251–500",
 AND(K528&gt;=501,K528&lt;=1000),"501–1000",
 K528&gt;=1001,"1001+"
)</f>
        <v>≤50</v>
      </c>
    </row>
    <row r="529" spans="1:12" x14ac:dyDescent="0.3">
      <c r="A529" t="s">
        <v>1045</v>
      </c>
      <c r="B529" t="s">
        <v>9</v>
      </c>
      <c r="C529" t="s">
        <v>5780</v>
      </c>
      <c r="D529" t="s">
        <v>28</v>
      </c>
      <c r="E529" t="s">
        <v>15</v>
      </c>
      <c r="F529" t="s">
        <v>16</v>
      </c>
      <c r="G529" t="s">
        <v>1046</v>
      </c>
      <c r="J529" t="s">
        <v>5737</v>
      </c>
      <c r="K529">
        <v>50</v>
      </c>
      <c r="L529" t="str" cm="1">
        <f t="array" ref="L529">_xlfn.IFS(
 K529&lt;=50,"≤50",
 AND(K529&gt;=51,K529&lt;=100),"51–100",
 AND(K529&gt;=101,K529&lt;=250),"101–250",
 AND(K529&gt;=251,K529&lt;=500),"251–500",
 AND(K529&gt;=501,K529&lt;=1000),"501–1000",
 K529&gt;=1001,"1001+"
)</f>
        <v>≤50</v>
      </c>
    </row>
    <row r="530" spans="1:12" x14ac:dyDescent="0.3">
      <c r="A530" t="s">
        <v>1047</v>
      </c>
      <c r="B530" t="s">
        <v>9</v>
      </c>
      <c r="C530" t="s">
        <v>5780</v>
      </c>
      <c r="D530" t="s">
        <v>1048</v>
      </c>
      <c r="E530" t="s">
        <v>15</v>
      </c>
      <c r="F530" t="s">
        <v>16</v>
      </c>
      <c r="G530" t="s">
        <v>138</v>
      </c>
      <c r="J530" t="s">
        <v>5737</v>
      </c>
      <c r="K530">
        <v>50</v>
      </c>
      <c r="L530" t="str" cm="1">
        <f t="array" ref="L530">_xlfn.IFS(
 K530&lt;=50,"≤50",
 AND(K530&gt;=51,K530&lt;=100),"51–100",
 AND(K530&gt;=101,K530&lt;=250),"101–250",
 AND(K530&gt;=251,K530&lt;=500),"251–500",
 AND(K530&gt;=501,K530&lt;=1000),"501–1000",
 K530&gt;=1001,"1001+"
)</f>
        <v>≤50</v>
      </c>
    </row>
    <row r="531" spans="1:12" x14ac:dyDescent="0.3">
      <c r="A531" t="s">
        <v>1049</v>
      </c>
      <c r="B531" t="s">
        <v>13</v>
      </c>
      <c r="C531" t="s">
        <v>5777</v>
      </c>
      <c r="D531" t="s">
        <v>1050</v>
      </c>
      <c r="E531" t="s">
        <v>15</v>
      </c>
      <c r="F531" t="s">
        <v>20</v>
      </c>
      <c r="G531" t="s">
        <v>130</v>
      </c>
      <c r="J531" t="s">
        <v>5737</v>
      </c>
      <c r="K531">
        <v>50</v>
      </c>
      <c r="L531" t="str" cm="1">
        <f t="array" ref="L531">_xlfn.IFS(
 K531&lt;=50,"≤50",
 AND(K531&gt;=51,K531&lt;=100),"51–100",
 AND(K531&gt;=101,K531&lt;=250),"101–250",
 AND(K531&gt;=251,K531&lt;=500),"251–500",
 AND(K531&gt;=501,K531&lt;=1000),"501–1000",
 K531&gt;=1001,"1001+"
)</f>
        <v>≤50</v>
      </c>
    </row>
    <row r="532" spans="1:12" x14ac:dyDescent="0.3">
      <c r="A532" t="s">
        <v>1051</v>
      </c>
      <c r="B532" t="s">
        <v>9</v>
      </c>
      <c r="C532" t="s">
        <v>5780</v>
      </c>
      <c r="D532" t="s">
        <v>28</v>
      </c>
      <c r="F532" t="s">
        <v>5770</v>
      </c>
      <c r="J532" t="s">
        <v>5737</v>
      </c>
      <c r="K532">
        <v>50</v>
      </c>
      <c r="L532" t="str" cm="1">
        <f t="array" ref="L532">_xlfn.IFS(
 K532&lt;=50,"≤50",
 AND(K532&gt;=51,K532&lt;=100),"51–100",
 AND(K532&gt;=101,K532&lt;=250),"101–250",
 AND(K532&gt;=251,K532&lt;=500),"251–500",
 AND(K532&gt;=501,K532&lt;=1000),"501–1000",
 K532&gt;=1001,"1001+"
)</f>
        <v>≤50</v>
      </c>
    </row>
    <row r="533" spans="1:12" x14ac:dyDescent="0.3">
      <c r="A533" t="s">
        <v>1052</v>
      </c>
      <c r="B533" t="s">
        <v>9</v>
      </c>
      <c r="C533" t="s">
        <v>5780</v>
      </c>
      <c r="D533" t="s">
        <v>28</v>
      </c>
      <c r="F533" t="s">
        <v>5770</v>
      </c>
      <c r="J533" t="s">
        <v>5737</v>
      </c>
      <c r="K533">
        <v>50</v>
      </c>
      <c r="L533" t="str" cm="1">
        <f t="array" ref="L533">_xlfn.IFS(
 K533&lt;=50,"≤50",
 AND(K533&gt;=51,K533&lt;=100),"51–100",
 AND(K533&gt;=101,K533&lt;=250),"101–250",
 AND(K533&gt;=251,K533&lt;=500),"251–500",
 AND(K533&gt;=501,K533&lt;=1000),"501–1000",
 K533&gt;=1001,"1001+"
)</f>
        <v>≤50</v>
      </c>
    </row>
    <row r="534" spans="1:12" x14ac:dyDescent="0.3">
      <c r="A534" t="s">
        <v>1053</v>
      </c>
      <c r="B534" t="s">
        <v>13</v>
      </c>
      <c r="C534" t="s">
        <v>5777</v>
      </c>
      <c r="D534" t="s">
        <v>245</v>
      </c>
      <c r="E534" t="s">
        <v>15</v>
      </c>
      <c r="F534" t="s">
        <v>5770</v>
      </c>
      <c r="J534" t="s">
        <v>5737</v>
      </c>
      <c r="K534">
        <v>50</v>
      </c>
      <c r="L534" t="str" cm="1">
        <f t="array" ref="L534">_xlfn.IFS(
 K534&lt;=50,"≤50",
 AND(K534&gt;=51,K534&lt;=100),"51–100",
 AND(K534&gt;=101,K534&lt;=250),"101–250",
 AND(K534&gt;=251,K534&lt;=500),"251–500",
 AND(K534&gt;=501,K534&lt;=1000),"501–1000",
 K534&gt;=1001,"1001+"
)</f>
        <v>≤50</v>
      </c>
    </row>
    <row r="535" spans="1:12" x14ac:dyDescent="0.3">
      <c r="A535" t="s">
        <v>1054</v>
      </c>
      <c r="B535" t="s">
        <v>9</v>
      </c>
      <c r="C535" t="s">
        <v>5780</v>
      </c>
      <c r="D535" t="s">
        <v>28</v>
      </c>
      <c r="F535" t="s">
        <v>5770</v>
      </c>
      <c r="J535" t="s">
        <v>5737</v>
      </c>
      <c r="K535">
        <v>50</v>
      </c>
      <c r="L535" t="str" cm="1">
        <f t="array" ref="L535">_xlfn.IFS(
 K535&lt;=50,"≤50",
 AND(K535&gt;=51,K535&lt;=100),"51–100",
 AND(K535&gt;=101,K535&lt;=250),"101–250",
 AND(K535&gt;=251,K535&lt;=500),"251–500",
 AND(K535&gt;=501,K535&lt;=1000),"501–1000",
 K535&gt;=1001,"1001+"
)</f>
        <v>≤50</v>
      </c>
    </row>
    <row r="536" spans="1:12" x14ac:dyDescent="0.3">
      <c r="A536" t="s">
        <v>1055</v>
      </c>
      <c r="B536" t="s">
        <v>11</v>
      </c>
      <c r="C536" t="s">
        <v>5776</v>
      </c>
      <c r="F536" t="s">
        <v>5770</v>
      </c>
      <c r="J536" t="s">
        <v>5737</v>
      </c>
      <c r="K536">
        <v>50</v>
      </c>
      <c r="L536" t="str" cm="1">
        <f t="array" ref="L536">_xlfn.IFS(
 K536&lt;=50,"≤50",
 AND(K536&gt;=51,K536&lt;=100),"51–100",
 AND(K536&gt;=101,K536&lt;=250),"101–250",
 AND(K536&gt;=251,K536&lt;=500),"251–500",
 AND(K536&gt;=501,K536&lt;=1000),"501–1000",
 K536&gt;=1001,"1001+"
)</f>
        <v>≤50</v>
      </c>
    </row>
    <row r="537" spans="1:12" x14ac:dyDescent="0.3">
      <c r="A537" t="s">
        <v>1056</v>
      </c>
      <c r="B537" t="s">
        <v>13</v>
      </c>
      <c r="C537" t="s">
        <v>5777</v>
      </c>
      <c r="D537" t="s">
        <v>1057</v>
      </c>
      <c r="E537" t="s">
        <v>15</v>
      </c>
      <c r="F537" t="s">
        <v>54</v>
      </c>
      <c r="G537" t="s">
        <v>1058</v>
      </c>
      <c r="J537" t="s">
        <v>5737</v>
      </c>
      <c r="K537">
        <v>50</v>
      </c>
      <c r="L537" t="str" cm="1">
        <f t="array" ref="L537">_xlfn.IFS(
 K537&lt;=50,"≤50",
 AND(K537&gt;=51,K537&lt;=100),"51–100",
 AND(K537&gt;=101,K537&lt;=250),"101–250",
 AND(K537&gt;=251,K537&lt;=500),"251–500",
 AND(K537&gt;=501,K537&lt;=1000),"501–1000",
 K537&gt;=1001,"1001+"
)</f>
        <v>≤50</v>
      </c>
    </row>
    <row r="538" spans="1:12" x14ac:dyDescent="0.3">
      <c r="A538" t="s">
        <v>1059</v>
      </c>
      <c r="B538" t="s">
        <v>13</v>
      </c>
      <c r="C538" t="s">
        <v>5777</v>
      </c>
      <c r="D538" t="s">
        <v>1060</v>
      </c>
      <c r="E538" t="s">
        <v>15</v>
      </c>
      <c r="F538" t="s">
        <v>20</v>
      </c>
      <c r="G538" t="s">
        <v>117</v>
      </c>
      <c r="J538" t="s">
        <v>5737</v>
      </c>
      <c r="K538">
        <v>50</v>
      </c>
      <c r="L538" t="str" cm="1">
        <f t="array" ref="L538">_xlfn.IFS(
 K538&lt;=50,"≤50",
 AND(K538&gt;=51,K538&lt;=100),"51–100",
 AND(K538&gt;=101,K538&lt;=250),"101–250",
 AND(K538&gt;=251,K538&lt;=500),"251–500",
 AND(K538&gt;=501,K538&lt;=1000),"501–1000",
 K538&gt;=1001,"1001+"
)</f>
        <v>≤50</v>
      </c>
    </row>
    <row r="539" spans="1:12" x14ac:dyDescent="0.3">
      <c r="A539" t="s">
        <v>1061</v>
      </c>
      <c r="B539" t="s">
        <v>13</v>
      </c>
      <c r="C539" t="s">
        <v>5777</v>
      </c>
      <c r="D539" t="s">
        <v>1062</v>
      </c>
      <c r="F539" t="s">
        <v>20</v>
      </c>
      <c r="G539" t="s">
        <v>135</v>
      </c>
      <c r="J539" t="s">
        <v>5737</v>
      </c>
      <c r="K539">
        <v>50</v>
      </c>
      <c r="L539" t="str" cm="1">
        <f t="array" ref="L539">_xlfn.IFS(
 K539&lt;=50,"≤50",
 AND(K539&gt;=51,K539&lt;=100),"51–100",
 AND(K539&gt;=101,K539&lt;=250),"101–250",
 AND(K539&gt;=251,K539&lt;=500),"251–500",
 AND(K539&gt;=501,K539&lt;=1000),"501–1000",
 K539&gt;=1001,"1001+"
)</f>
        <v>≤50</v>
      </c>
    </row>
    <row r="540" spans="1:12" x14ac:dyDescent="0.3">
      <c r="A540" t="s">
        <v>1063</v>
      </c>
      <c r="B540" t="s">
        <v>13</v>
      </c>
      <c r="C540" t="s">
        <v>5777</v>
      </c>
      <c r="D540" t="s">
        <v>1064</v>
      </c>
      <c r="E540" t="s">
        <v>15</v>
      </c>
      <c r="F540" t="s">
        <v>54</v>
      </c>
      <c r="G540" t="s">
        <v>1065</v>
      </c>
      <c r="J540" t="s">
        <v>5737</v>
      </c>
      <c r="K540">
        <v>50</v>
      </c>
      <c r="L540" t="str" cm="1">
        <f t="array" ref="L540">_xlfn.IFS(
 K540&lt;=50,"≤50",
 AND(K540&gt;=51,K540&lt;=100),"51–100",
 AND(K540&gt;=101,K540&lt;=250),"101–250",
 AND(K540&gt;=251,K540&lt;=500),"251–500",
 AND(K540&gt;=501,K540&lt;=1000),"501–1000",
 K540&gt;=1001,"1001+"
)</f>
        <v>≤50</v>
      </c>
    </row>
    <row r="541" spans="1:12" x14ac:dyDescent="0.3">
      <c r="A541" t="s">
        <v>1066</v>
      </c>
      <c r="B541" t="s">
        <v>11</v>
      </c>
      <c r="C541" t="s">
        <v>5776</v>
      </c>
      <c r="F541" t="s">
        <v>5770</v>
      </c>
      <c r="J541" t="s">
        <v>5737</v>
      </c>
      <c r="K541">
        <v>50</v>
      </c>
      <c r="L541" t="str" cm="1">
        <f t="array" ref="L541">_xlfn.IFS(
 K541&lt;=50,"≤50",
 AND(K541&gt;=51,K541&lt;=100),"51–100",
 AND(K541&gt;=101,K541&lt;=250),"101–250",
 AND(K541&gt;=251,K541&lt;=500),"251–500",
 AND(K541&gt;=501,K541&lt;=1000),"501–1000",
 K541&gt;=1001,"1001+"
)</f>
        <v>≤50</v>
      </c>
    </row>
    <row r="542" spans="1:12" x14ac:dyDescent="0.3">
      <c r="A542" t="s">
        <v>1067</v>
      </c>
      <c r="B542" t="s">
        <v>9</v>
      </c>
      <c r="C542" t="s">
        <v>5780</v>
      </c>
      <c r="D542" t="s">
        <v>1068</v>
      </c>
      <c r="E542" t="s">
        <v>15</v>
      </c>
      <c r="F542" t="s">
        <v>54</v>
      </c>
      <c r="G542" t="s">
        <v>1069</v>
      </c>
      <c r="J542" t="s">
        <v>5737</v>
      </c>
      <c r="K542">
        <v>50</v>
      </c>
      <c r="L542" t="str" cm="1">
        <f t="array" ref="L542">_xlfn.IFS(
 K542&lt;=50,"≤50",
 AND(K542&gt;=51,K542&lt;=100),"51–100",
 AND(K542&gt;=101,K542&lt;=250),"101–250",
 AND(K542&gt;=251,K542&lt;=500),"251–500",
 AND(K542&gt;=501,K542&lt;=1000),"501–1000",
 K542&gt;=1001,"1001+"
)</f>
        <v>≤50</v>
      </c>
    </row>
    <row r="543" spans="1:12" x14ac:dyDescent="0.3">
      <c r="A543" t="s">
        <v>1070</v>
      </c>
      <c r="B543" t="s">
        <v>13</v>
      </c>
      <c r="C543" t="s">
        <v>5777</v>
      </c>
      <c r="D543" t="s">
        <v>1071</v>
      </c>
      <c r="F543" t="s">
        <v>20</v>
      </c>
      <c r="G543" t="s">
        <v>1072</v>
      </c>
      <c r="J543" t="s">
        <v>5737</v>
      </c>
      <c r="K543">
        <v>50</v>
      </c>
      <c r="L543" t="str" cm="1">
        <f t="array" ref="L543">_xlfn.IFS(
 K543&lt;=50,"≤50",
 AND(K543&gt;=51,K543&lt;=100),"51–100",
 AND(K543&gt;=101,K543&lt;=250),"101–250",
 AND(K543&gt;=251,K543&lt;=500),"251–500",
 AND(K543&gt;=501,K543&lt;=1000),"501–1000",
 K543&gt;=1001,"1001+"
)</f>
        <v>≤50</v>
      </c>
    </row>
    <row r="544" spans="1:12" x14ac:dyDescent="0.3">
      <c r="A544" t="s">
        <v>1073</v>
      </c>
      <c r="B544" t="s">
        <v>9</v>
      </c>
      <c r="C544" t="s">
        <v>5780</v>
      </c>
      <c r="D544" t="s">
        <v>1074</v>
      </c>
      <c r="E544" t="s">
        <v>15</v>
      </c>
      <c r="F544" t="s">
        <v>54</v>
      </c>
      <c r="G544" t="s">
        <v>1075</v>
      </c>
      <c r="J544" t="s">
        <v>5737</v>
      </c>
      <c r="K544">
        <v>50</v>
      </c>
      <c r="L544" t="str" cm="1">
        <f t="array" ref="L544">_xlfn.IFS(
 K544&lt;=50,"≤50",
 AND(K544&gt;=51,K544&lt;=100),"51–100",
 AND(K544&gt;=101,K544&lt;=250),"101–250",
 AND(K544&gt;=251,K544&lt;=500),"251–500",
 AND(K544&gt;=501,K544&lt;=1000),"501–1000",
 K544&gt;=1001,"1001+"
)</f>
        <v>≤50</v>
      </c>
    </row>
    <row r="545" spans="1:12" x14ac:dyDescent="0.3">
      <c r="A545" t="s">
        <v>1076</v>
      </c>
      <c r="B545" t="s">
        <v>9</v>
      </c>
      <c r="C545" t="s">
        <v>5780</v>
      </c>
      <c r="D545" t="s">
        <v>1077</v>
      </c>
      <c r="E545" t="s">
        <v>15</v>
      </c>
      <c r="F545" t="s">
        <v>5770</v>
      </c>
      <c r="J545" t="s">
        <v>5737</v>
      </c>
      <c r="K545">
        <v>50</v>
      </c>
      <c r="L545" t="str" cm="1">
        <f t="array" ref="L545">_xlfn.IFS(
 K545&lt;=50,"≤50",
 AND(K545&gt;=51,K545&lt;=100),"51–100",
 AND(K545&gt;=101,K545&lt;=250),"101–250",
 AND(K545&gt;=251,K545&lt;=500),"251–500",
 AND(K545&gt;=501,K545&lt;=1000),"501–1000",
 K545&gt;=1001,"1001+"
)</f>
        <v>≤50</v>
      </c>
    </row>
    <row r="546" spans="1:12" x14ac:dyDescent="0.3">
      <c r="A546" t="s">
        <v>1078</v>
      </c>
      <c r="B546" t="s">
        <v>13</v>
      </c>
      <c r="C546" t="s">
        <v>5777</v>
      </c>
      <c r="D546" t="s">
        <v>1079</v>
      </c>
      <c r="F546" t="s">
        <v>5770</v>
      </c>
      <c r="J546" t="s">
        <v>5744</v>
      </c>
      <c r="K546">
        <v>50</v>
      </c>
      <c r="L546" t="str" cm="1">
        <f t="array" ref="L546">_xlfn.IFS(
 K546&lt;=50,"≤50",
 AND(K546&gt;=51,K546&lt;=100),"51–100",
 AND(K546&gt;=101,K546&lt;=250),"101–250",
 AND(K546&gt;=251,K546&lt;=500),"251–500",
 AND(K546&gt;=501,K546&lt;=1000),"501–1000",
 K546&gt;=1001,"1001+"
)</f>
        <v>≤50</v>
      </c>
    </row>
    <row r="547" spans="1:12" x14ac:dyDescent="0.3">
      <c r="A547" t="s">
        <v>1080</v>
      </c>
      <c r="B547" t="s">
        <v>11</v>
      </c>
      <c r="C547" t="s">
        <v>5776</v>
      </c>
      <c r="F547" t="s">
        <v>5770</v>
      </c>
      <c r="J547" t="s">
        <v>5744</v>
      </c>
      <c r="K547">
        <v>50</v>
      </c>
      <c r="L547" t="str" cm="1">
        <f t="array" ref="L547">_xlfn.IFS(
 K547&lt;=50,"≤50",
 AND(K547&gt;=51,K547&lt;=100),"51–100",
 AND(K547&gt;=101,K547&lt;=250),"101–250",
 AND(K547&gt;=251,K547&lt;=500),"251–500",
 AND(K547&gt;=501,K547&lt;=1000),"501–1000",
 K547&gt;=1001,"1001+"
)</f>
        <v>≤50</v>
      </c>
    </row>
    <row r="548" spans="1:12" x14ac:dyDescent="0.3">
      <c r="A548" t="s">
        <v>1081</v>
      </c>
      <c r="B548" t="s">
        <v>13</v>
      </c>
      <c r="C548" t="s">
        <v>5777</v>
      </c>
      <c r="D548" t="s">
        <v>231</v>
      </c>
      <c r="F548" t="s">
        <v>5770</v>
      </c>
      <c r="J548" t="s">
        <v>5751</v>
      </c>
      <c r="K548">
        <v>50</v>
      </c>
      <c r="L548" t="str" cm="1">
        <f t="array" ref="L548">_xlfn.IFS(
 K548&lt;=50,"≤50",
 AND(K548&gt;=51,K548&lt;=100),"51–100",
 AND(K548&gt;=101,K548&lt;=250),"101–250",
 AND(K548&gt;=251,K548&lt;=500),"251–500",
 AND(K548&gt;=501,K548&lt;=1000),"501–1000",
 K548&gt;=1001,"1001+"
)</f>
        <v>≤50</v>
      </c>
    </row>
    <row r="549" spans="1:12" x14ac:dyDescent="0.3">
      <c r="A549" t="s">
        <v>1082</v>
      </c>
      <c r="B549" t="s">
        <v>9</v>
      </c>
      <c r="C549" t="s">
        <v>5780</v>
      </c>
      <c r="D549" t="s">
        <v>1083</v>
      </c>
      <c r="E549" t="s">
        <v>15</v>
      </c>
      <c r="F549" t="s">
        <v>20</v>
      </c>
      <c r="G549" t="s">
        <v>21</v>
      </c>
      <c r="J549" t="s">
        <v>5751</v>
      </c>
      <c r="K549">
        <v>50</v>
      </c>
      <c r="L549" t="str" cm="1">
        <f t="array" ref="L549">_xlfn.IFS(
 K549&lt;=50,"≤50",
 AND(K549&gt;=51,K549&lt;=100),"51–100",
 AND(K549&gt;=101,K549&lt;=250),"101–250",
 AND(K549&gt;=251,K549&lt;=500),"251–500",
 AND(K549&gt;=501,K549&lt;=1000),"501–1000",
 K549&gt;=1001,"1001+"
)</f>
        <v>≤50</v>
      </c>
    </row>
    <row r="550" spans="1:12" x14ac:dyDescent="0.3">
      <c r="A550" t="s">
        <v>1084</v>
      </c>
      <c r="B550" t="s">
        <v>9</v>
      </c>
      <c r="C550" t="s">
        <v>5780</v>
      </c>
      <c r="D550" t="s">
        <v>1085</v>
      </c>
      <c r="E550" t="s">
        <v>15</v>
      </c>
      <c r="F550" t="s">
        <v>20</v>
      </c>
      <c r="G550" t="s">
        <v>1086</v>
      </c>
      <c r="J550" t="s">
        <v>5753</v>
      </c>
      <c r="K550">
        <v>50</v>
      </c>
      <c r="L550" t="str" cm="1">
        <f t="array" ref="L550">_xlfn.IFS(
 K550&lt;=50,"≤50",
 AND(K550&gt;=51,K550&lt;=100),"51–100",
 AND(K550&gt;=101,K550&lt;=250),"101–250",
 AND(K550&gt;=251,K550&lt;=500),"251–500",
 AND(K550&gt;=501,K550&lt;=1000),"501–1000",
 K550&gt;=1001,"1001+"
)</f>
        <v>≤50</v>
      </c>
    </row>
    <row r="551" spans="1:12" x14ac:dyDescent="0.3">
      <c r="A551" t="s">
        <v>1087</v>
      </c>
      <c r="B551" t="s">
        <v>13</v>
      </c>
      <c r="C551" t="s">
        <v>5777</v>
      </c>
      <c r="D551" t="s">
        <v>1088</v>
      </c>
      <c r="E551" t="s">
        <v>15</v>
      </c>
      <c r="F551" t="s">
        <v>20</v>
      </c>
      <c r="G551" t="s">
        <v>1089</v>
      </c>
      <c r="J551" t="s">
        <v>5753</v>
      </c>
      <c r="K551">
        <v>50</v>
      </c>
      <c r="L551" t="str" cm="1">
        <f t="array" ref="L551">_xlfn.IFS(
 K551&lt;=50,"≤50",
 AND(K551&gt;=51,K551&lt;=100),"51–100",
 AND(K551&gt;=101,K551&lt;=250),"101–250",
 AND(K551&gt;=251,K551&lt;=500),"251–500",
 AND(K551&gt;=501,K551&lt;=1000),"501–1000",
 K551&gt;=1001,"1001+"
)</f>
        <v>≤50</v>
      </c>
    </row>
    <row r="552" spans="1:12" x14ac:dyDescent="0.3">
      <c r="A552" t="s">
        <v>1090</v>
      </c>
      <c r="B552" t="s">
        <v>9</v>
      </c>
      <c r="C552" t="s">
        <v>5780</v>
      </c>
      <c r="D552" t="s">
        <v>1091</v>
      </c>
      <c r="F552" t="s">
        <v>5770</v>
      </c>
      <c r="J552" t="s">
        <v>5742</v>
      </c>
      <c r="K552">
        <v>50</v>
      </c>
      <c r="L552" t="str" cm="1">
        <f t="array" ref="L552">_xlfn.IFS(
 K552&lt;=50,"≤50",
 AND(K552&gt;=51,K552&lt;=100),"51–100",
 AND(K552&gt;=101,K552&lt;=250),"101–250",
 AND(K552&gt;=251,K552&lt;=500),"251–500",
 AND(K552&gt;=501,K552&lt;=1000),"501–1000",
 K552&gt;=1001,"1001+"
)</f>
        <v>≤50</v>
      </c>
    </row>
    <row r="553" spans="1:12" x14ac:dyDescent="0.3">
      <c r="A553" t="s">
        <v>1092</v>
      </c>
      <c r="B553" t="s">
        <v>9</v>
      </c>
      <c r="C553" t="s">
        <v>5780</v>
      </c>
      <c r="D553" t="s">
        <v>317</v>
      </c>
      <c r="F553" t="s">
        <v>5770</v>
      </c>
      <c r="J553" t="s">
        <v>5742</v>
      </c>
      <c r="K553">
        <v>50</v>
      </c>
      <c r="L553" t="str" cm="1">
        <f t="array" ref="L553">_xlfn.IFS(
 K553&lt;=50,"≤50",
 AND(K553&gt;=51,K553&lt;=100),"51–100",
 AND(K553&gt;=101,K553&lt;=250),"101–250",
 AND(K553&gt;=251,K553&lt;=500),"251–500",
 AND(K553&gt;=501,K553&lt;=1000),"501–1000",
 K553&gt;=1001,"1001+"
)</f>
        <v>≤50</v>
      </c>
    </row>
    <row r="554" spans="1:12" x14ac:dyDescent="0.3">
      <c r="A554" t="s">
        <v>1093</v>
      </c>
      <c r="B554" t="s">
        <v>9</v>
      </c>
      <c r="C554" t="s">
        <v>5780</v>
      </c>
      <c r="D554" t="s">
        <v>28</v>
      </c>
      <c r="F554" t="s">
        <v>5770</v>
      </c>
      <c r="J554" t="s">
        <v>5742</v>
      </c>
      <c r="K554">
        <v>50</v>
      </c>
      <c r="L554" t="str" cm="1">
        <f t="array" ref="L554">_xlfn.IFS(
 K554&lt;=50,"≤50",
 AND(K554&gt;=51,K554&lt;=100),"51–100",
 AND(K554&gt;=101,K554&lt;=250),"101–250",
 AND(K554&gt;=251,K554&lt;=500),"251–500",
 AND(K554&gt;=501,K554&lt;=1000),"501–1000",
 K554&gt;=1001,"1001+"
)</f>
        <v>≤50</v>
      </c>
    </row>
    <row r="555" spans="1:12" x14ac:dyDescent="0.3">
      <c r="A555" t="s">
        <v>1094</v>
      </c>
      <c r="B555" t="s">
        <v>13</v>
      </c>
      <c r="C555" t="s">
        <v>5777</v>
      </c>
      <c r="D555" t="s">
        <v>1095</v>
      </c>
      <c r="E555" t="s">
        <v>15</v>
      </c>
      <c r="F555" t="s">
        <v>5770</v>
      </c>
      <c r="J555" t="s">
        <v>5739</v>
      </c>
      <c r="K555">
        <v>50</v>
      </c>
      <c r="L555" t="str" cm="1">
        <f t="array" ref="L555">_xlfn.IFS(
 K555&lt;=50,"≤50",
 AND(K555&gt;=51,K555&lt;=100),"51–100",
 AND(K555&gt;=101,K555&lt;=250),"101–250",
 AND(K555&gt;=251,K555&lt;=500),"251–500",
 AND(K555&gt;=501,K555&lt;=1000),"501–1000",
 K555&gt;=1001,"1001+"
)</f>
        <v>≤50</v>
      </c>
    </row>
    <row r="556" spans="1:12" x14ac:dyDescent="0.3">
      <c r="A556" t="s">
        <v>1096</v>
      </c>
      <c r="B556" t="s">
        <v>9</v>
      </c>
      <c r="C556" t="s">
        <v>5780</v>
      </c>
      <c r="D556" t="s">
        <v>1097</v>
      </c>
      <c r="E556" t="s">
        <v>15</v>
      </c>
      <c r="F556" t="s">
        <v>20</v>
      </c>
      <c r="G556" t="s">
        <v>1098</v>
      </c>
      <c r="J556" t="s">
        <v>5741</v>
      </c>
      <c r="K556">
        <v>50</v>
      </c>
      <c r="L556" t="str" cm="1">
        <f t="array" ref="L556">_xlfn.IFS(
 K556&lt;=50,"≤50",
 AND(K556&gt;=51,K556&lt;=100),"51–100",
 AND(K556&gt;=101,K556&lt;=250),"101–250",
 AND(K556&gt;=251,K556&lt;=500),"251–500",
 AND(K556&gt;=501,K556&lt;=1000),"501–1000",
 K556&gt;=1001,"1001+"
)</f>
        <v>≤50</v>
      </c>
    </row>
    <row r="557" spans="1:12" x14ac:dyDescent="0.3">
      <c r="A557" t="s">
        <v>1099</v>
      </c>
      <c r="B557" t="s">
        <v>13</v>
      </c>
      <c r="C557" t="s">
        <v>5777</v>
      </c>
      <c r="D557" t="s">
        <v>1100</v>
      </c>
      <c r="E557" t="s">
        <v>15</v>
      </c>
      <c r="F557" t="s">
        <v>20</v>
      </c>
      <c r="G557" t="s">
        <v>130</v>
      </c>
      <c r="J557" t="s">
        <v>5741</v>
      </c>
      <c r="K557">
        <v>50</v>
      </c>
      <c r="L557" t="str" cm="1">
        <f t="array" ref="L557">_xlfn.IFS(
 K557&lt;=50,"≤50",
 AND(K557&gt;=51,K557&lt;=100),"51–100",
 AND(K557&gt;=101,K557&lt;=250),"101–250",
 AND(K557&gt;=251,K557&lt;=500),"251–500",
 AND(K557&gt;=501,K557&lt;=1000),"501–1000",
 K557&gt;=1001,"1001+"
)</f>
        <v>≤50</v>
      </c>
    </row>
    <row r="558" spans="1:12" x14ac:dyDescent="0.3">
      <c r="A558" t="s">
        <v>1101</v>
      </c>
      <c r="B558" t="s">
        <v>9</v>
      </c>
      <c r="C558" t="s">
        <v>5780</v>
      </c>
      <c r="D558" t="s">
        <v>1102</v>
      </c>
      <c r="E558" t="s">
        <v>15</v>
      </c>
      <c r="F558" t="s">
        <v>54</v>
      </c>
      <c r="G558" t="s">
        <v>1103</v>
      </c>
      <c r="J558" t="s">
        <v>5752</v>
      </c>
      <c r="K558">
        <v>50</v>
      </c>
      <c r="L558" t="str" cm="1">
        <f t="array" ref="L558">_xlfn.IFS(
 K558&lt;=50,"≤50",
 AND(K558&gt;=51,K558&lt;=100),"51–100",
 AND(K558&gt;=101,K558&lt;=250),"101–250",
 AND(K558&gt;=251,K558&lt;=500),"251–500",
 AND(K558&gt;=501,K558&lt;=1000),"501–1000",
 K558&gt;=1001,"1001+"
)</f>
        <v>≤50</v>
      </c>
    </row>
    <row r="559" spans="1:12" x14ac:dyDescent="0.3">
      <c r="A559" t="s">
        <v>1104</v>
      </c>
      <c r="B559" t="s">
        <v>9</v>
      </c>
      <c r="C559" t="s">
        <v>5780</v>
      </c>
      <c r="D559" t="s">
        <v>1105</v>
      </c>
      <c r="F559" t="s">
        <v>20</v>
      </c>
      <c r="G559" t="s">
        <v>21</v>
      </c>
      <c r="J559" t="s">
        <v>5752</v>
      </c>
      <c r="K559">
        <v>50</v>
      </c>
      <c r="L559" t="str" cm="1">
        <f t="array" ref="L559">_xlfn.IFS(
 K559&lt;=50,"≤50",
 AND(K559&gt;=51,K559&lt;=100),"51–100",
 AND(K559&gt;=101,K559&lt;=250),"101–250",
 AND(K559&gt;=251,K559&lt;=500),"251–500",
 AND(K559&gt;=501,K559&lt;=1000),"501–1000",
 K559&gt;=1001,"1001+"
)</f>
        <v>≤50</v>
      </c>
    </row>
    <row r="560" spans="1:12" x14ac:dyDescent="0.3">
      <c r="A560" t="s">
        <v>1106</v>
      </c>
      <c r="B560" t="s">
        <v>9</v>
      </c>
      <c r="C560" t="s">
        <v>5780</v>
      </c>
      <c r="D560" t="s">
        <v>1107</v>
      </c>
      <c r="F560" t="s">
        <v>20</v>
      </c>
      <c r="G560" t="s">
        <v>21</v>
      </c>
      <c r="J560" t="s">
        <v>5752</v>
      </c>
      <c r="K560">
        <v>50</v>
      </c>
      <c r="L560" t="str" cm="1">
        <f t="array" ref="L560">_xlfn.IFS(
 K560&lt;=50,"≤50",
 AND(K560&gt;=51,K560&lt;=100),"51–100",
 AND(K560&gt;=101,K560&lt;=250),"101–250",
 AND(K560&gt;=251,K560&lt;=500),"251–500",
 AND(K560&gt;=501,K560&lt;=1000),"501–1000",
 K560&gt;=1001,"1001+"
)</f>
        <v>≤50</v>
      </c>
    </row>
    <row r="561" spans="1:12" x14ac:dyDescent="0.3">
      <c r="A561" t="s">
        <v>1108</v>
      </c>
      <c r="B561" t="s">
        <v>13</v>
      </c>
      <c r="C561" t="s">
        <v>5777</v>
      </c>
      <c r="D561" t="s">
        <v>1109</v>
      </c>
      <c r="E561" t="s">
        <v>15</v>
      </c>
      <c r="F561" t="s">
        <v>5770</v>
      </c>
      <c r="J561" t="s">
        <v>5752</v>
      </c>
      <c r="K561">
        <v>50</v>
      </c>
      <c r="L561" t="str" cm="1">
        <f t="array" ref="L561">_xlfn.IFS(
 K561&lt;=50,"≤50",
 AND(K561&gt;=51,K561&lt;=100),"51–100",
 AND(K561&gt;=101,K561&lt;=250),"101–250",
 AND(K561&gt;=251,K561&lt;=500),"251–500",
 AND(K561&gt;=501,K561&lt;=1000),"501–1000",
 K561&gt;=1001,"1001+"
)</f>
        <v>≤50</v>
      </c>
    </row>
    <row r="562" spans="1:12" x14ac:dyDescent="0.3">
      <c r="A562" t="s">
        <v>1110</v>
      </c>
      <c r="B562" t="s">
        <v>13</v>
      </c>
      <c r="C562" t="s">
        <v>5777</v>
      </c>
      <c r="D562" t="s">
        <v>1111</v>
      </c>
      <c r="E562" t="s">
        <v>15</v>
      </c>
      <c r="F562" t="s">
        <v>5770</v>
      </c>
      <c r="J562" t="s">
        <v>5752</v>
      </c>
      <c r="K562">
        <v>50</v>
      </c>
      <c r="L562" t="str" cm="1">
        <f t="array" ref="L562">_xlfn.IFS(
 K562&lt;=50,"≤50",
 AND(K562&gt;=51,K562&lt;=100),"51–100",
 AND(K562&gt;=101,K562&lt;=250),"101–250",
 AND(K562&gt;=251,K562&lt;=500),"251–500",
 AND(K562&gt;=501,K562&lt;=1000),"501–1000",
 K562&gt;=1001,"1001+"
)</f>
        <v>≤50</v>
      </c>
    </row>
    <row r="563" spans="1:12" x14ac:dyDescent="0.3">
      <c r="A563" t="s">
        <v>1112</v>
      </c>
      <c r="B563" t="s">
        <v>9</v>
      </c>
      <c r="C563" t="s">
        <v>5780</v>
      </c>
      <c r="D563" t="s">
        <v>1113</v>
      </c>
      <c r="E563" t="s">
        <v>15</v>
      </c>
      <c r="F563" t="s">
        <v>16</v>
      </c>
      <c r="G563" t="s">
        <v>1114</v>
      </c>
      <c r="J563" t="s">
        <v>5758</v>
      </c>
      <c r="K563">
        <v>50</v>
      </c>
      <c r="L563" t="str" cm="1">
        <f t="array" ref="L563">_xlfn.IFS(
 K563&lt;=50,"≤50",
 AND(K563&gt;=51,K563&lt;=100),"51–100",
 AND(K563&gt;=101,K563&lt;=250),"101–250",
 AND(K563&gt;=251,K563&lt;=500),"251–500",
 AND(K563&gt;=501,K563&lt;=1000),"501–1000",
 K563&gt;=1001,"1001+"
)</f>
        <v>≤50</v>
      </c>
    </row>
    <row r="564" spans="1:12" x14ac:dyDescent="0.3">
      <c r="A564" t="s">
        <v>1115</v>
      </c>
      <c r="B564" t="s">
        <v>13</v>
      </c>
      <c r="C564" t="s">
        <v>5777</v>
      </c>
      <c r="D564" t="s">
        <v>1116</v>
      </c>
      <c r="F564" t="s">
        <v>5770</v>
      </c>
      <c r="J564" t="s">
        <v>5758</v>
      </c>
      <c r="K564">
        <v>50</v>
      </c>
      <c r="L564" t="str" cm="1">
        <f t="array" ref="L564">_xlfn.IFS(
 K564&lt;=50,"≤50",
 AND(K564&gt;=51,K564&lt;=100),"51–100",
 AND(K564&gt;=101,K564&lt;=250),"101–250",
 AND(K564&gt;=251,K564&lt;=500),"251–500",
 AND(K564&gt;=501,K564&lt;=1000),"501–1000",
 K564&gt;=1001,"1001+"
)</f>
        <v>≤50</v>
      </c>
    </row>
    <row r="565" spans="1:12" x14ac:dyDescent="0.3">
      <c r="A565" t="s">
        <v>1117</v>
      </c>
      <c r="B565" t="s">
        <v>13</v>
      </c>
      <c r="C565" t="s">
        <v>5777</v>
      </c>
      <c r="D565" t="s">
        <v>1118</v>
      </c>
      <c r="F565" t="s">
        <v>5770</v>
      </c>
      <c r="J565" t="s">
        <v>5750</v>
      </c>
      <c r="K565">
        <v>50</v>
      </c>
      <c r="L565" t="str" cm="1">
        <f t="array" ref="L565">_xlfn.IFS(
 K565&lt;=50,"≤50",
 AND(K565&gt;=51,K565&lt;=100),"51–100",
 AND(K565&gt;=101,K565&lt;=250),"101–250",
 AND(K565&gt;=251,K565&lt;=500),"251–500",
 AND(K565&gt;=501,K565&lt;=1000),"501–1000",
 K565&gt;=1001,"1001+"
)</f>
        <v>≤50</v>
      </c>
    </row>
    <row r="566" spans="1:12" x14ac:dyDescent="0.3">
      <c r="A566" t="s">
        <v>1119</v>
      </c>
      <c r="B566" t="s">
        <v>11</v>
      </c>
      <c r="C566" t="s">
        <v>5776</v>
      </c>
      <c r="F566" t="s">
        <v>5770</v>
      </c>
      <c r="J566" t="s">
        <v>5747</v>
      </c>
      <c r="K566">
        <v>50</v>
      </c>
      <c r="L566" t="str" cm="1">
        <f t="array" ref="L566">_xlfn.IFS(
 K566&lt;=50,"≤50",
 AND(K566&gt;=51,K566&lt;=100),"51–100",
 AND(K566&gt;=101,K566&lt;=250),"101–250",
 AND(K566&gt;=251,K566&lt;=500),"251–500",
 AND(K566&gt;=501,K566&lt;=1000),"501–1000",
 K566&gt;=1001,"1001+"
)</f>
        <v>≤50</v>
      </c>
    </row>
    <row r="567" spans="1:12" x14ac:dyDescent="0.3">
      <c r="A567" t="s">
        <v>1120</v>
      </c>
      <c r="B567" t="s">
        <v>9</v>
      </c>
      <c r="C567" t="s">
        <v>5780</v>
      </c>
      <c r="D567" t="s">
        <v>1121</v>
      </c>
      <c r="E567" t="s">
        <v>15</v>
      </c>
      <c r="F567" t="s">
        <v>54</v>
      </c>
      <c r="G567" t="s">
        <v>1122</v>
      </c>
      <c r="J567" t="s">
        <v>5737</v>
      </c>
      <c r="K567">
        <v>51</v>
      </c>
      <c r="L567" t="str" cm="1">
        <f t="array" ref="L567">_xlfn.IFS(
 K567&lt;=50,"≤50",
 AND(K567&gt;=51,K567&lt;=100),"51–100",
 AND(K567&gt;=101,K567&lt;=250),"101–250",
 AND(K567&gt;=251,K567&lt;=500),"251–500",
 AND(K567&gt;=501,K567&lt;=1000),"501–1000",
 K567&gt;=1001,"1001+"
)</f>
        <v>51–100</v>
      </c>
    </row>
    <row r="568" spans="1:12" x14ac:dyDescent="0.3">
      <c r="A568" t="s">
        <v>1123</v>
      </c>
      <c r="B568" t="s">
        <v>9</v>
      </c>
      <c r="C568" t="s">
        <v>5780</v>
      </c>
      <c r="D568" t="s">
        <v>1124</v>
      </c>
      <c r="E568" t="s">
        <v>15</v>
      </c>
      <c r="F568" t="s">
        <v>20</v>
      </c>
      <c r="G568" t="s">
        <v>135</v>
      </c>
      <c r="J568" t="s">
        <v>5737</v>
      </c>
      <c r="K568">
        <v>51</v>
      </c>
      <c r="L568" t="str" cm="1">
        <f t="array" ref="L568">_xlfn.IFS(
 K568&lt;=50,"≤50",
 AND(K568&gt;=51,K568&lt;=100),"51–100",
 AND(K568&gt;=101,K568&lt;=250),"101–250",
 AND(K568&gt;=251,K568&lt;=500),"251–500",
 AND(K568&gt;=501,K568&lt;=1000),"501–1000",
 K568&gt;=1001,"1001+"
)</f>
        <v>51–100</v>
      </c>
    </row>
    <row r="569" spans="1:12" x14ac:dyDescent="0.3">
      <c r="A569" t="s">
        <v>1125</v>
      </c>
      <c r="B569" t="s">
        <v>197</v>
      </c>
      <c r="C569" t="s">
        <v>5774</v>
      </c>
      <c r="D569" t="s">
        <v>1126</v>
      </c>
      <c r="F569" t="s">
        <v>20</v>
      </c>
      <c r="G569" t="s">
        <v>1127</v>
      </c>
      <c r="J569" t="s">
        <v>5737</v>
      </c>
      <c r="K569">
        <v>51</v>
      </c>
      <c r="L569" t="str" cm="1">
        <f t="array" ref="L569">_xlfn.IFS(
 K569&lt;=50,"≤50",
 AND(K569&gt;=51,K569&lt;=100),"51–100",
 AND(K569&gt;=101,K569&lt;=250),"101–250",
 AND(K569&gt;=251,K569&lt;=500),"251–500",
 AND(K569&gt;=501,K569&lt;=1000),"501–1000",
 K569&gt;=1001,"1001+"
)</f>
        <v>51–100</v>
      </c>
    </row>
    <row r="570" spans="1:12" x14ac:dyDescent="0.3">
      <c r="A570" t="s">
        <v>1128</v>
      </c>
      <c r="B570" t="s">
        <v>9</v>
      </c>
      <c r="C570" t="s">
        <v>5780</v>
      </c>
      <c r="D570" t="s">
        <v>28</v>
      </c>
      <c r="F570" t="s">
        <v>5770</v>
      </c>
      <c r="J570" t="s">
        <v>5737</v>
      </c>
      <c r="K570">
        <v>51</v>
      </c>
      <c r="L570" t="str" cm="1">
        <f t="array" ref="L570">_xlfn.IFS(
 K570&lt;=50,"≤50",
 AND(K570&gt;=51,K570&lt;=100),"51–100",
 AND(K570&gt;=101,K570&lt;=250),"101–250",
 AND(K570&gt;=251,K570&lt;=500),"251–500",
 AND(K570&gt;=501,K570&lt;=1000),"501–1000",
 K570&gt;=1001,"1001+"
)</f>
        <v>51–100</v>
      </c>
    </row>
    <row r="571" spans="1:12" x14ac:dyDescent="0.3">
      <c r="A571" t="s">
        <v>1129</v>
      </c>
      <c r="B571" t="s">
        <v>11</v>
      </c>
      <c r="C571" t="s">
        <v>5776</v>
      </c>
      <c r="F571" t="s">
        <v>5770</v>
      </c>
      <c r="J571" t="s">
        <v>5739</v>
      </c>
      <c r="K571">
        <v>51</v>
      </c>
      <c r="L571" t="str" cm="1">
        <f t="array" ref="L571">_xlfn.IFS(
 K571&lt;=50,"≤50",
 AND(K571&gt;=51,K571&lt;=100),"51–100",
 AND(K571&gt;=101,K571&lt;=250),"101–250",
 AND(K571&gt;=251,K571&lt;=500),"251–500",
 AND(K571&gt;=501,K571&lt;=1000),"501–1000",
 K571&gt;=1001,"1001+"
)</f>
        <v>51–100</v>
      </c>
    </row>
    <row r="572" spans="1:12" x14ac:dyDescent="0.3">
      <c r="A572" t="s">
        <v>1130</v>
      </c>
      <c r="B572" t="s">
        <v>9</v>
      </c>
      <c r="C572" t="s">
        <v>5780</v>
      </c>
      <c r="D572" t="s">
        <v>1131</v>
      </c>
      <c r="F572" t="s">
        <v>5770</v>
      </c>
      <c r="J572" t="s">
        <v>5737</v>
      </c>
      <c r="K572">
        <v>52</v>
      </c>
      <c r="L572" t="str" cm="1">
        <f t="array" ref="L572">_xlfn.IFS(
 K572&lt;=50,"≤50",
 AND(K572&gt;=51,K572&lt;=100),"51–100",
 AND(K572&gt;=101,K572&lt;=250),"101–250",
 AND(K572&gt;=251,K572&lt;=500),"251–500",
 AND(K572&gt;=501,K572&lt;=1000),"501–1000",
 K572&gt;=1001,"1001+"
)</f>
        <v>51–100</v>
      </c>
    </row>
    <row r="573" spans="1:12" x14ac:dyDescent="0.3">
      <c r="A573" t="s">
        <v>1132</v>
      </c>
      <c r="B573" t="s">
        <v>9</v>
      </c>
      <c r="C573" t="s">
        <v>5780</v>
      </c>
      <c r="D573" t="s">
        <v>51</v>
      </c>
      <c r="F573" t="s">
        <v>54</v>
      </c>
      <c r="G573" t="s">
        <v>1133</v>
      </c>
      <c r="J573" t="s">
        <v>5737</v>
      </c>
      <c r="K573">
        <v>52</v>
      </c>
      <c r="L573" t="str" cm="1">
        <f t="array" ref="L573">_xlfn.IFS(
 K573&lt;=50,"≤50",
 AND(K573&gt;=51,K573&lt;=100),"51–100",
 AND(K573&gt;=101,K573&lt;=250),"101–250",
 AND(K573&gt;=251,K573&lt;=500),"251–500",
 AND(K573&gt;=501,K573&lt;=1000),"501–1000",
 K573&gt;=1001,"1001+"
)</f>
        <v>51–100</v>
      </c>
    </row>
    <row r="574" spans="1:12" x14ac:dyDescent="0.3">
      <c r="A574" t="s">
        <v>1134</v>
      </c>
      <c r="B574" t="s">
        <v>11</v>
      </c>
      <c r="C574" t="s">
        <v>5776</v>
      </c>
      <c r="F574" t="s">
        <v>5770</v>
      </c>
      <c r="J574" t="s">
        <v>5747</v>
      </c>
      <c r="K574">
        <v>52</v>
      </c>
      <c r="L574" t="str" cm="1">
        <f t="array" ref="L574">_xlfn.IFS(
 K574&lt;=50,"≤50",
 AND(K574&gt;=51,K574&lt;=100),"51–100",
 AND(K574&gt;=101,K574&lt;=250),"101–250",
 AND(K574&gt;=251,K574&lt;=500),"251–500",
 AND(K574&gt;=501,K574&lt;=1000),"501–1000",
 K574&gt;=1001,"1001+"
)</f>
        <v>51–100</v>
      </c>
    </row>
    <row r="575" spans="1:12" x14ac:dyDescent="0.3">
      <c r="A575" t="s">
        <v>1135</v>
      </c>
      <c r="B575" t="s">
        <v>13</v>
      </c>
      <c r="C575" t="s">
        <v>5777</v>
      </c>
      <c r="D575" t="s">
        <v>231</v>
      </c>
      <c r="F575" t="s">
        <v>5770</v>
      </c>
      <c r="J575" t="s">
        <v>5737</v>
      </c>
      <c r="K575">
        <v>52</v>
      </c>
      <c r="L575" t="str" cm="1">
        <f t="array" ref="L575">_xlfn.IFS(
 K575&lt;=50,"≤50",
 AND(K575&gt;=51,K575&lt;=100),"51–100",
 AND(K575&gt;=101,K575&lt;=250),"101–250",
 AND(K575&gt;=251,K575&lt;=500),"251–500",
 AND(K575&gt;=501,K575&lt;=1000),"501–1000",
 K575&gt;=1001,"1001+"
)</f>
        <v>51–100</v>
      </c>
    </row>
    <row r="576" spans="1:12" x14ac:dyDescent="0.3">
      <c r="A576" t="s">
        <v>1136</v>
      </c>
      <c r="B576" t="s">
        <v>9</v>
      </c>
      <c r="C576" t="s">
        <v>5780</v>
      </c>
      <c r="D576" t="s">
        <v>28</v>
      </c>
      <c r="E576" t="s">
        <v>15</v>
      </c>
      <c r="F576" t="s">
        <v>54</v>
      </c>
      <c r="G576" t="s">
        <v>1137</v>
      </c>
      <c r="J576" t="s">
        <v>5748</v>
      </c>
      <c r="K576">
        <v>52</v>
      </c>
      <c r="L576" t="str" cm="1">
        <f t="array" ref="L576">_xlfn.IFS(
 K576&lt;=50,"≤50",
 AND(K576&gt;=51,K576&lt;=100),"51–100",
 AND(K576&gt;=101,K576&lt;=250),"101–250",
 AND(K576&gt;=251,K576&lt;=500),"251–500",
 AND(K576&gt;=501,K576&lt;=1000),"501–1000",
 K576&gt;=1001,"1001+"
)</f>
        <v>51–100</v>
      </c>
    </row>
    <row r="577" spans="1:12" x14ac:dyDescent="0.3">
      <c r="A577" t="s">
        <v>1138</v>
      </c>
      <c r="B577" t="s">
        <v>13</v>
      </c>
      <c r="C577" t="s">
        <v>5777</v>
      </c>
      <c r="D577" t="s">
        <v>245</v>
      </c>
      <c r="E577" t="s">
        <v>15</v>
      </c>
      <c r="F577" t="s">
        <v>5770</v>
      </c>
      <c r="J577" t="s">
        <v>5738</v>
      </c>
      <c r="K577">
        <v>52</v>
      </c>
      <c r="L577" t="str" cm="1">
        <f t="array" ref="L577">_xlfn.IFS(
 K577&lt;=50,"≤50",
 AND(K577&gt;=51,K577&lt;=100),"51–100",
 AND(K577&gt;=101,K577&lt;=250),"101–250",
 AND(K577&gt;=251,K577&lt;=500),"251–500",
 AND(K577&gt;=501,K577&lt;=1000),"501–1000",
 K577&gt;=1001,"1001+"
)</f>
        <v>51–100</v>
      </c>
    </row>
    <row r="578" spans="1:12" x14ac:dyDescent="0.3">
      <c r="A578" t="s">
        <v>1139</v>
      </c>
      <c r="B578" t="s">
        <v>9</v>
      </c>
      <c r="C578" t="s">
        <v>5780</v>
      </c>
      <c r="D578" t="s">
        <v>28</v>
      </c>
      <c r="E578" t="s">
        <v>15</v>
      </c>
      <c r="F578" t="s">
        <v>5770</v>
      </c>
      <c r="J578" t="s">
        <v>5740</v>
      </c>
      <c r="K578">
        <v>52</v>
      </c>
      <c r="L578" t="str" cm="1">
        <f t="array" ref="L578">_xlfn.IFS(
 K578&lt;=50,"≤50",
 AND(K578&gt;=51,K578&lt;=100),"51–100",
 AND(K578&gt;=101,K578&lt;=250),"101–250",
 AND(K578&gt;=251,K578&lt;=500),"251–500",
 AND(K578&gt;=501,K578&lt;=1000),"501–1000",
 K578&gt;=1001,"1001+"
)</f>
        <v>51–100</v>
      </c>
    </row>
    <row r="579" spans="1:12" x14ac:dyDescent="0.3">
      <c r="A579" t="s">
        <v>1140</v>
      </c>
      <c r="B579" t="s">
        <v>11</v>
      </c>
      <c r="C579" t="s">
        <v>5776</v>
      </c>
      <c r="F579" t="s">
        <v>5770</v>
      </c>
      <c r="J579" t="s">
        <v>5737</v>
      </c>
      <c r="K579">
        <v>52</v>
      </c>
      <c r="L579" t="str" cm="1">
        <f t="array" ref="L579">_xlfn.IFS(
 K579&lt;=50,"≤50",
 AND(K579&gt;=51,K579&lt;=100),"51–100",
 AND(K579&gt;=101,K579&lt;=250),"101–250",
 AND(K579&gt;=251,K579&lt;=500),"251–500",
 AND(K579&gt;=501,K579&lt;=1000),"501–1000",
 K579&gt;=1001,"1001+"
)</f>
        <v>51–100</v>
      </c>
    </row>
    <row r="580" spans="1:12" x14ac:dyDescent="0.3">
      <c r="A580" t="s">
        <v>1141</v>
      </c>
      <c r="B580" t="s">
        <v>197</v>
      </c>
      <c r="C580" t="s">
        <v>5774</v>
      </c>
      <c r="D580" t="s">
        <v>1142</v>
      </c>
      <c r="E580" t="s">
        <v>15</v>
      </c>
      <c r="F580" t="s">
        <v>20</v>
      </c>
      <c r="G580" t="s">
        <v>1143</v>
      </c>
      <c r="J580" t="s">
        <v>5753</v>
      </c>
      <c r="K580">
        <v>52</v>
      </c>
      <c r="L580" t="str" cm="1">
        <f t="array" ref="L580">_xlfn.IFS(
 K580&lt;=50,"≤50",
 AND(K580&gt;=51,K580&lt;=100),"51–100",
 AND(K580&gt;=101,K580&lt;=250),"101–250",
 AND(K580&gt;=251,K580&lt;=500),"251–500",
 AND(K580&gt;=501,K580&lt;=1000),"501–1000",
 K580&gt;=1001,"1001+"
)</f>
        <v>51–100</v>
      </c>
    </row>
    <row r="581" spans="1:12" x14ac:dyDescent="0.3">
      <c r="A581" t="s">
        <v>1144</v>
      </c>
      <c r="B581" t="s">
        <v>13</v>
      </c>
      <c r="C581" t="s">
        <v>5777</v>
      </c>
      <c r="D581" t="s">
        <v>1145</v>
      </c>
      <c r="E581" t="s">
        <v>15</v>
      </c>
      <c r="F581" t="s">
        <v>54</v>
      </c>
      <c r="G581" t="s">
        <v>1146</v>
      </c>
      <c r="J581" t="s">
        <v>5737</v>
      </c>
      <c r="K581">
        <v>52</v>
      </c>
      <c r="L581" t="str" cm="1">
        <f t="array" ref="L581">_xlfn.IFS(
 K581&lt;=50,"≤50",
 AND(K581&gt;=51,K581&lt;=100),"51–100",
 AND(K581&gt;=101,K581&lt;=250),"101–250",
 AND(K581&gt;=251,K581&lt;=500),"251–500",
 AND(K581&gt;=501,K581&lt;=1000),"501–1000",
 K581&gt;=1001,"1001+"
)</f>
        <v>51–100</v>
      </c>
    </row>
    <row r="582" spans="1:12" x14ac:dyDescent="0.3">
      <c r="A582" t="s">
        <v>1147</v>
      </c>
      <c r="B582" t="s">
        <v>9</v>
      </c>
      <c r="C582" t="s">
        <v>5780</v>
      </c>
      <c r="D582" t="s">
        <v>1148</v>
      </c>
      <c r="E582" t="s">
        <v>15</v>
      </c>
      <c r="F582" t="s">
        <v>16</v>
      </c>
      <c r="G582" t="s">
        <v>1149</v>
      </c>
      <c r="J582" t="s">
        <v>5737</v>
      </c>
      <c r="K582">
        <v>52</v>
      </c>
      <c r="L582" t="str" cm="1">
        <f t="array" ref="L582">_xlfn.IFS(
 K582&lt;=50,"≤50",
 AND(K582&gt;=51,K582&lt;=100),"51–100",
 AND(K582&gt;=101,K582&lt;=250),"101–250",
 AND(K582&gt;=251,K582&lt;=500),"251–500",
 AND(K582&gt;=501,K582&lt;=1000),"501–1000",
 K582&gt;=1001,"1001+"
)</f>
        <v>51–100</v>
      </c>
    </row>
    <row r="583" spans="1:12" x14ac:dyDescent="0.3">
      <c r="A583" t="s">
        <v>1150</v>
      </c>
      <c r="B583" t="s">
        <v>9</v>
      </c>
      <c r="C583" t="s">
        <v>5780</v>
      </c>
      <c r="D583" t="s">
        <v>1151</v>
      </c>
      <c r="E583" t="s">
        <v>15</v>
      </c>
      <c r="F583" t="s">
        <v>20</v>
      </c>
      <c r="G583" t="s">
        <v>1152</v>
      </c>
      <c r="J583" t="s">
        <v>5737</v>
      </c>
      <c r="K583">
        <v>52</v>
      </c>
      <c r="L583" t="str" cm="1">
        <f t="array" ref="L583">_xlfn.IFS(
 K583&lt;=50,"≤50",
 AND(K583&gt;=51,K583&lt;=100),"51–100",
 AND(K583&gt;=101,K583&lt;=250),"101–250",
 AND(K583&gt;=251,K583&lt;=500),"251–500",
 AND(K583&gt;=501,K583&lt;=1000),"501–1000",
 K583&gt;=1001,"1001+"
)</f>
        <v>51–100</v>
      </c>
    </row>
    <row r="584" spans="1:12" x14ac:dyDescent="0.3">
      <c r="A584" t="s">
        <v>1153</v>
      </c>
      <c r="B584" t="s">
        <v>9</v>
      </c>
      <c r="C584" t="s">
        <v>5780</v>
      </c>
      <c r="D584" t="s">
        <v>28</v>
      </c>
      <c r="E584" t="s">
        <v>15</v>
      </c>
      <c r="F584" t="s">
        <v>5770</v>
      </c>
      <c r="J584" t="s">
        <v>5738</v>
      </c>
      <c r="K584">
        <v>52</v>
      </c>
      <c r="L584" t="str" cm="1">
        <f t="array" ref="L584">_xlfn.IFS(
 K584&lt;=50,"≤50",
 AND(K584&gt;=51,K584&lt;=100),"51–100",
 AND(K584&gt;=101,K584&lt;=250),"101–250",
 AND(K584&gt;=251,K584&lt;=500),"251–500",
 AND(K584&gt;=501,K584&lt;=1000),"501–1000",
 K584&gt;=1001,"1001+"
)</f>
        <v>51–100</v>
      </c>
    </row>
    <row r="585" spans="1:12" x14ac:dyDescent="0.3">
      <c r="A585" t="s">
        <v>1154</v>
      </c>
      <c r="B585" t="s">
        <v>13</v>
      </c>
      <c r="C585" t="s">
        <v>5777</v>
      </c>
      <c r="D585" t="s">
        <v>1155</v>
      </c>
      <c r="E585" t="s">
        <v>15</v>
      </c>
      <c r="F585" t="s">
        <v>20</v>
      </c>
      <c r="G585" t="s">
        <v>117</v>
      </c>
      <c r="J585" t="s">
        <v>5737</v>
      </c>
      <c r="K585">
        <v>52</v>
      </c>
      <c r="L585" t="str" cm="1">
        <f t="array" ref="L585">_xlfn.IFS(
 K585&lt;=50,"≤50",
 AND(K585&gt;=51,K585&lt;=100),"51–100",
 AND(K585&gt;=101,K585&lt;=250),"101–250",
 AND(K585&gt;=251,K585&lt;=500),"251–500",
 AND(K585&gt;=501,K585&lt;=1000),"501–1000",
 K585&gt;=1001,"1001+"
)</f>
        <v>51–100</v>
      </c>
    </row>
    <row r="586" spans="1:12" x14ac:dyDescent="0.3">
      <c r="A586" t="s">
        <v>1156</v>
      </c>
      <c r="B586" t="s">
        <v>9</v>
      </c>
      <c r="C586" t="s">
        <v>5780</v>
      </c>
      <c r="D586" t="s">
        <v>28</v>
      </c>
      <c r="F586" t="s">
        <v>5770</v>
      </c>
      <c r="J586" t="s">
        <v>5753</v>
      </c>
      <c r="K586">
        <v>52</v>
      </c>
      <c r="L586" t="str" cm="1">
        <f t="array" ref="L586">_xlfn.IFS(
 K586&lt;=50,"≤50",
 AND(K586&gt;=51,K586&lt;=100),"51–100",
 AND(K586&gt;=101,K586&lt;=250),"101–250",
 AND(K586&gt;=251,K586&lt;=500),"251–500",
 AND(K586&gt;=501,K586&lt;=1000),"501–1000",
 K586&gt;=1001,"1001+"
)</f>
        <v>51–100</v>
      </c>
    </row>
    <row r="587" spans="1:12" x14ac:dyDescent="0.3">
      <c r="A587" t="s">
        <v>1157</v>
      </c>
      <c r="B587" t="s">
        <v>13</v>
      </c>
      <c r="C587" t="s">
        <v>5777</v>
      </c>
      <c r="D587" t="s">
        <v>245</v>
      </c>
      <c r="E587" t="s">
        <v>15</v>
      </c>
      <c r="F587" t="s">
        <v>5770</v>
      </c>
      <c r="J587" t="s">
        <v>5761</v>
      </c>
      <c r="K587">
        <v>52</v>
      </c>
      <c r="L587" t="str" cm="1">
        <f t="array" ref="L587">_xlfn.IFS(
 K587&lt;=50,"≤50",
 AND(K587&gt;=51,K587&lt;=100),"51–100",
 AND(K587&gt;=101,K587&lt;=250),"101–250",
 AND(K587&gt;=251,K587&lt;=500),"251–500",
 AND(K587&gt;=501,K587&lt;=1000),"501–1000",
 K587&gt;=1001,"1001+"
)</f>
        <v>51–100</v>
      </c>
    </row>
    <row r="588" spans="1:12" x14ac:dyDescent="0.3">
      <c r="A588" t="s">
        <v>1158</v>
      </c>
      <c r="B588" t="s">
        <v>11</v>
      </c>
      <c r="C588" t="s">
        <v>5776</v>
      </c>
      <c r="F588" t="s">
        <v>5770</v>
      </c>
      <c r="J588" t="s">
        <v>5744</v>
      </c>
      <c r="K588">
        <v>52</v>
      </c>
      <c r="L588" t="str" cm="1">
        <f t="array" ref="L588">_xlfn.IFS(
 K588&lt;=50,"≤50",
 AND(K588&gt;=51,K588&lt;=100),"51–100",
 AND(K588&gt;=101,K588&lt;=250),"101–250",
 AND(K588&gt;=251,K588&lt;=500),"251–500",
 AND(K588&gt;=501,K588&lt;=1000),"501–1000",
 K588&gt;=1001,"1001+"
)</f>
        <v>51–100</v>
      </c>
    </row>
    <row r="589" spans="1:12" x14ac:dyDescent="0.3">
      <c r="A589" t="s">
        <v>1159</v>
      </c>
      <c r="B589" t="s">
        <v>9</v>
      </c>
      <c r="C589" t="s">
        <v>5780</v>
      </c>
      <c r="D589" t="s">
        <v>1160</v>
      </c>
      <c r="E589" t="s">
        <v>15</v>
      </c>
      <c r="F589" t="s">
        <v>54</v>
      </c>
      <c r="G589" t="s">
        <v>1161</v>
      </c>
      <c r="J589" t="s">
        <v>5737</v>
      </c>
      <c r="K589">
        <v>52</v>
      </c>
      <c r="L589" t="str" cm="1">
        <f t="array" ref="L589">_xlfn.IFS(
 K589&lt;=50,"≤50",
 AND(K589&gt;=51,K589&lt;=100),"51–100",
 AND(K589&gt;=101,K589&lt;=250),"101–250",
 AND(K589&gt;=251,K589&lt;=500),"251–500",
 AND(K589&gt;=501,K589&lt;=1000),"501–1000",
 K589&gt;=1001,"1001+"
)</f>
        <v>51–100</v>
      </c>
    </row>
    <row r="590" spans="1:12" x14ac:dyDescent="0.3">
      <c r="A590" t="s">
        <v>1162</v>
      </c>
      <c r="B590" t="s">
        <v>13</v>
      </c>
      <c r="C590" t="s">
        <v>5777</v>
      </c>
      <c r="D590" t="s">
        <v>573</v>
      </c>
      <c r="F590" t="s">
        <v>5770</v>
      </c>
      <c r="J590" t="s">
        <v>5761</v>
      </c>
      <c r="K590">
        <v>52</v>
      </c>
      <c r="L590" t="str" cm="1">
        <f t="array" ref="L590">_xlfn.IFS(
 K590&lt;=50,"≤50",
 AND(K590&gt;=51,K590&lt;=100),"51–100",
 AND(K590&gt;=101,K590&lt;=250),"101–250",
 AND(K590&gt;=251,K590&lt;=500),"251–500",
 AND(K590&gt;=501,K590&lt;=1000),"501–1000",
 K590&gt;=1001,"1001+"
)</f>
        <v>51–100</v>
      </c>
    </row>
    <row r="591" spans="1:12" x14ac:dyDescent="0.3">
      <c r="A591" t="s">
        <v>1163</v>
      </c>
      <c r="B591" t="s">
        <v>9</v>
      </c>
      <c r="C591" t="s">
        <v>5780</v>
      </c>
      <c r="D591" t="s">
        <v>28</v>
      </c>
      <c r="F591" t="s">
        <v>5770</v>
      </c>
      <c r="J591" t="s">
        <v>5737</v>
      </c>
      <c r="K591">
        <v>52</v>
      </c>
      <c r="L591" t="str" cm="1">
        <f t="array" ref="L591">_xlfn.IFS(
 K591&lt;=50,"≤50",
 AND(K591&gt;=51,K591&lt;=100),"51–100",
 AND(K591&gt;=101,K591&lt;=250),"101–250",
 AND(K591&gt;=251,K591&lt;=500),"251–500",
 AND(K591&gt;=501,K591&lt;=1000),"501–1000",
 K591&gt;=1001,"1001+"
)</f>
        <v>51–100</v>
      </c>
    </row>
    <row r="592" spans="1:12" x14ac:dyDescent="0.3">
      <c r="A592" t="s">
        <v>1164</v>
      </c>
      <c r="B592" t="s">
        <v>9</v>
      </c>
      <c r="C592" t="s">
        <v>5780</v>
      </c>
      <c r="D592" t="s">
        <v>28</v>
      </c>
      <c r="F592" t="s">
        <v>5770</v>
      </c>
      <c r="J592" t="s">
        <v>5737</v>
      </c>
      <c r="K592">
        <v>52</v>
      </c>
      <c r="L592" t="str" cm="1">
        <f t="array" ref="L592">_xlfn.IFS(
 K592&lt;=50,"≤50",
 AND(K592&gt;=51,K592&lt;=100),"51–100",
 AND(K592&gt;=101,K592&lt;=250),"101–250",
 AND(K592&gt;=251,K592&lt;=500),"251–500",
 AND(K592&gt;=501,K592&lt;=1000),"501–1000",
 K592&gt;=1001,"1001+"
)</f>
        <v>51–100</v>
      </c>
    </row>
    <row r="593" spans="1:12" x14ac:dyDescent="0.3">
      <c r="A593" t="s">
        <v>1165</v>
      </c>
      <c r="B593" t="s">
        <v>9</v>
      </c>
      <c r="C593" t="s">
        <v>5780</v>
      </c>
      <c r="D593" t="s">
        <v>28</v>
      </c>
      <c r="F593" t="s">
        <v>20</v>
      </c>
      <c r="G593" t="s">
        <v>425</v>
      </c>
      <c r="J593" t="s">
        <v>5752</v>
      </c>
      <c r="K593">
        <v>52</v>
      </c>
      <c r="L593" t="str" cm="1">
        <f t="array" ref="L593">_xlfn.IFS(
 K593&lt;=50,"≤50",
 AND(K593&gt;=51,K593&lt;=100),"51–100",
 AND(K593&gt;=101,K593&lt;=250),"101–250",
 AND(K593&gt;=251,K593&lt;=500),"251–500",
 AND(K593&gt;=501,K593&lt;=1000),"501–1000",
 K593&gt;=1001,"1001+"
)</f>
        <v>51–100</v>
      </c>
    </row>
    <row r="594" spans="1:12" x14ac:dyDescent="0.3">
      <c r="A594" t="s">
        <v>1166</v>
      </c>
      <c r="B594" t="s">
        <v>13</v>
      </c>
      <c r="C594" t="s">
        <v>5777</v>
      </c>
      <c r="D594" t="s">
        <v>1167</v>
      </c>
      <c r="E594" t="s">
        <v>15</v>
      </c>
      <c r="F594" t="s">
        <v>20</v>
      </c>
      <c r="G594" t="s">
        <v>1168</v>
      </c>
      <c r="J594" t="s">
        <v>5737</v>
      </c>
      <c r="K594">
        <v>52</v>
      </c>
      <c r="L594" t="str" cm="1">
        <f t="array" ref="L594">_xlfn.IFS(
 K594&lt;=50,"≤50",
 AND(K594&gt;=51,K594&lt;=100),"51–100",
 AND(K594&gt;=101,K594&lt;=250),"101–250",
 AND(K594&gt;=251,K594&lt;=500),"251–500",
 AND(K594&gt;=501,K594&lt;=1000),"501–1000",
 K594&gt;=1001,"1001+"
)</f>
        <v>51–100</v>
      </c>
    </row>
    <row r="595" spans="1:12" x14ac:dyDescent="0.3">
      <c r="A595" t="s">
        <v>1169</v>
      </c>
      <c r="B595" t="s">
        <v>9</v>
      </c>
      <c r="C595" t="s">
        <v>5780</v>
      </c>
      <c r="D595" t="s">
        <v>1170</v>
      </c>
      <c r="E595" t="s">
        <v>15</v>
      </c>
      <c r="F595" t="s">
        <v>54</v>
      </c>
      <c r="G595" t="s">
        <v>1171</v>
      </c>
      <c r="J595" t="s">
        <v>5753</v>
      </c>
      <c r="K595">
        <v>53</v>
      </c>
      <c r="L595" t="str" cm="1">
        <f t="array" ref="L595">_xlfn.IFS(
 K595&lt;=50,"≤50",
 AND(K595&gt;=51,K595&lt;=100),"51–100",
 AND(K595&gt;=101,K595&lt;=250),"101–250",
 AND(K595&gt;=251,K595&lt;=500),"251–500",
 AND(K595&gt;=501,K595&lt;=1000),"501–1000",
 K595&gt;=1001,"1001+"
)</f>
        <v>51–100</v>
      </c>
    </row>
    <row r="596" spans="1:12" x14ac:dyDescent="0.3">
      <c r="A596" t="s">
        <v>1172</v>
      </c>
      <c r="B596" t="s">
        <v>9</v>
      </c>
      <c r="C596" t="s">
        <v>5780</v>
      </c>
      <c r="D596" t="s">
        <v>1173</v>
      </c>
      <c r="E596" t="s">
        <v>15</v>
      </c>
      <c r="F596" t="s">
        <v>20</v>
      </c>
      <c r="G596" t="s">
        <v>21</v>
      </c>
      <c r="J596" t="s">
        <v>5751</v>
      </c>
      <c r="K596">
        <v>53</v>
      </c>
      <c r="L596" t="str" cm="1">
        <f t="array" ref="L596">_xlfn.IFS(
 K596&lt;=50,"≤50",
 AND(K596&gt;=51,K596&lt;=100),"51–100",
 AND(K596&gt;=101,K596&lt;=250),"101–250",
 AND(K596&gt;=251,K596&lt;=500),"251–500",
 AND(K596&gt;=501,K596&lt;=1000),"501–1000",
 K596&gt;=1001,"1001+"
)</f>
        <v>51–100</v>
      </c>
    </row>
    <row r="597" spans="1:12" x14ac:dyDescent="0.3">
      <c r="A597" t="s">
        <v>1174</v>
      </c>
      <c r="B597" t="s">
        <v>13</v>
      </c>
      <c r="C597" t="s">
        <v>5777</v>
      </c>
      <c r="D597" t="s">
        <v>1175</v>
      </c>
      <c r="E597" t="s">
        <v>15</v>
      </c>
      <c r="F597" t="s">
        <v>20</v>
      </c>
      <c r="G597" t="s">
        <v>21</v>
      </c>
      <c r="J597" t="s">
        <v>5739</v>
      </c>
      <c r="K597">
        <v>53</v>
      </c>
      <c r="L597" t="str" cm="1">
        <f t="array" ref="L597">_xlfn.IFS(
 K597&lt;=50,"≤50",
 AND(K597&gt;=51,K597&lt;=100),"51–100",
 AND(K597&gt;=101,K597&lt;=250),"101–250",
 AND(K597&gt;=251,K597&lt;=500),"251–500",
 AND(K597&gt;=501,K597&lt;=1000),"501–1000",
 K597&gt;=1001,"1001+"
)</f>
        <v>51–100</v>
      </c>
    </row>
    <row r="598" spans="1:12" x14ac:dyDescent="0.3">
      <c r="A598" t="s">
        <v>1176</v>
      </c>
      <c r="B598" t="s">
        <v>13</v>
      </c>
      <c r="C598" t="s">
        <v>5777</v>
      </c>
      <c r="D598" t="s">
        <v>1177</v>
      </c>
      <c r="E598" t="s">
        <v>15</v>
      </c>
      <c r="F598" t="s">
        <v>5770</v>
      </c>
      <c r="J598" t="s">
        <v>5760</v>
      </c>
      <c r="K598">
        <v>53</v>
      </c>
      <c r="L598" t="str" cm="1">
        <f t="array" ref="L598">_xlfn.IFS(
 K598&lt;=50,"≤50",
 AND(K598&gt;=51,K598&lt;=100),"51–100",
 AND(K598&gt;=101,K598&lt;=250),"101–250",
 AND(K598&gt;=251,K598&lt;=500),"251–500",
 AND(K598&gt;=501,K598&lt;=1000),"501–1000",
 K598&gt;=1001,"1001+"
)</f>
        <v>51–100</v>
      </c>
    </row>
    <row r="599" spans="1:12" x14ac:dyDescent="0.3">
      <c r="A599" t="s">
        <v>1178</v>
      </c>
      <c r="B599" t="s">
        <v>13</v>
      </c>
      <c r="C599" t="s">
        <v>5777</v>
      </c>
      <c r="D599" t="s">
        <v>1179</v>
      </c>
      <c r="E599" t="s">
        <v>15</v>
      </c>
      <c r="F599" t="s">
        <v>5770</v>
      </c>
      <c r="J599" t="s">
        <v>5760</v>
      </c>
      <c r="K599">
        <v>53</v>
      </c>
      <c r="L599" t="str" cm="1">
        <f t="array" ref="L599">_xlfn.IFS(
 K599&lt;=50,"≤50",
 AND(K599&gt;=51,K599&lt;=100),"51–100",
 AND(K599&gt;=101,K599&lt;=250),"101–250",
 AND(K599&gt;=251,K599&lt;=500),"251–500",
 AND(K599&gt;=501,K599&lt;=1000),"501–1000",
 K599&gt;=1001,"1001+"
)</f>
        <v>51–100</v>
      </c>
    </row>
    <row r="600" spans="1:12" x14ac:dyDescent="0.3">
      <c r="A600" t="s">
        <v>1180</v>
      </c>
      <c r="B600" t="s">
        <v>13</v>
      </c>
      <c r="C600" t="s">
        <v>5777</v>
      </c>
      <c r="D600" t="s">
        <v>1181</v>
      </c>
      <c r="E600" t="s">
        <v>15</v>
      </c>
      <c r="F600" t="s">
        <v>16</v>
      </c>
      <c r="G600" t="s">
        <v>138</v>
      </c>
      <c r="J600" t="s">
        <v>5737</v>
      </c>
      <c r="K600">
        <v>53</v>
      </c>
      <c r="L600" t="str" cm="1">
        <f t="array" ref="L600">_xlfn.IFS(
 K600&lt;=50,"≤50",
 AND(K600&gt;=51,K600&lt;=100),"51–100",
 AND(K600&gt;=101,K600&lt;=250),"101–250",
 AND(K600&gt;=251,K600&lt;=500),"251–500",
 AND(K600&gt;=501,K600&lt;=1000),"501–1000",
 K600&gt;=1001,"1001+"
)</f>
        <v>51–100</v>
      </c>
    </row>
    <row r="601" spans="1:12" x14ac:dyDescent="0.3">
      <c r="A601" t="s">
        <v>1182</v>
      </c>
      <c r="B601" t="s">
        <v>11</v>
      </c>
      <c r="C601" t="s">
        <v>5776</v>
      </c>
      <c r="F601" t="s">
        <v>5770</v>
      </c>
      <c r="J601" t="s">
        <v>5743</v>
      </c>
      <c r="K601">
        <v>53</v>
      </c>
      <c r="L601" t="str" cm="1">
        <f t="array" ref="L601">_xlfn.IFS(
 K601&lt;=50,"≤50",
 AND(K601&gt;=51,K601&lt;=100),"51–100",
 AND(K601&gt;=101,K601&lt;=250),"101–250",
 AND(K601&gt;=251,K601&lt;=500),"251–500",
 AND(K601&gt;=501,K601&lt;=1000),"501–1000",
 K601&gt;=1001,"1001+"
)</f>
        <v>51–100</v>
      </c>
    </row>
    <row r="602" spans="1:12" x14ac:dyDescent="0.3">
      <c r="A602" t="s">
        <v>1183</v>
      </c>
      <c r="B602" t="s">
        <v>11</v>
      </c>
      <c r="C602" t="s">
        <v>5776</v>
      </c>
      <c r="E602" t="s">
        <v>15</v>
      </c>
      <c r="F602" t="s">
        <v>20</v>
      </c>
      <c r="G602" t="s">
        <v>21</v>
      </c>
      <c r="J602" t="s">
        <v>5737</v>
      </c>
      <c r="K602">
        <v>53</v>
      </c>
      <c r="L602" t="str" cm="1">
        <f t="array" ref="L602">_xlfn.IFS(
 K602&lt;=50,"≤50",
 AND(K602&gt;=51,K602&lt;=100),"51–100",
 AND(K602&gt;=101,K602&lt;=250),"101–250",
 AND(K602&gt;=251,K602&lt;=500),"251–500",
 AND(K602&gt;=501,K602&lt;=1000),"501–1000",
 K602&gt;=1001,"1001+"
)</f>
        <v>51–100</v>
      </c>
    </row>
    <row r="603" spans="1:12" x14ac:dyDescent="0.3">
      <c r="A603" t="s">
        <v>1184</v>
      </c>
      <c r="B603" t="s">
        <v>9</v>
      </c>
      <c r="C603" t="s">
        <v>5780</v>
      </c>
      <c r="D603" t="s">
        <v>28</v>
      </c>
      <c r="F603" t="s">
        <v>5770</v>
      </c>
      <c r="J603" t="s">
        <v>5737</v>
      </c>
      <c r="K603">
        <v>53</v>
      </c>
      <c r="L603" t="str" cm="1">
        <f t="array" ref="L603">_xlfn.IFS(
 K603&lt;=50,"≤50",
 AND(K603&gt;=51,K603&lt;=100),"51–100",
 AND(K603&gt;=101,K603&lt;=250),"101–250",
 AND(K603&gt;=251,K603&lt;=500),"251–500",
 AND(K603&gt;=501,K603&lt;=1000),"501–1000",
 K603&gt;=1001,"1001+"
)</f>
        <v>51–100</v>
      </c>
    </row>
    <row r="604" spans="1:12" x14ac:dyDescent="0.3">
      <c r="A604" t="s">
        <v>1185</v>
      </c>
      <c r="B604" t="s">
        <v>13</v>
      </c>
      <c r="C604" t="s">
        <v>5777</v>
      </c>
      <c r="D604" t="s">
        <v>1186</v>
      </c>
      <c r="E604" t="s">
        <v>15</v>
      </c>
      <c r="F604" t="s">
        <v>5770</v>
      </c>
      <c r="J604" t="s">
        <v>5758</v>
      </c>
      <c r="K604">
        <v>53</v>
      </c>
      <c r="L604" t="str" cm="1">
        <f t="array" ref="L604">_xlfn.IFS(
 K604&lt;=50,"≤50",
 AND(K604&gt;=51,K604&lt;=100),"51–100",
 AND(K604&gt;=101,K604&lt;=250),"101–250",
 AND(K604&gt;=251,K604&lt;=500),"251–500",
 AND(K604&gt;=501,K604&lt;=1000),"501–1000",
 K604&gt;=1001,"1001+"
)</f>
        <v>51–100</v>
      </c>
    </row>
    <row r="605" spans="1:12" x14ac:dyDescent="0.3">
      <c r="A605" t="s">
        <v>1187</v>
      </c>
      <c r="B605" t="s">
        <v>13</v>
      </c>
      <c r="C605" t="s">
        <v>5777</v>
      </c>
      <c r="D605" t="s">
        <v>65</v>
      </c>
      <c r="F605" t="s">
        <v>5770</v>
      </c>
      <c r="J605" t="s">
        <v>5750</v>
      </c>
      <c r="K605">
        <v>54</v>
      </c>
      <c r="L605" t="str" cm="1">
        <f t="array" ref="L605">_xlfn.IFS(
 K605&lt;=50,"≤50",
 AND(K605&gt;=51,K605&lt;=100),"51–100",
 AND(K605&gt;=101,K605&lt;=250),"101–250",
 AND(K605&gt;=251,K605&lt;=500),"251–500",
 AND(K605&gt;=501,K605&lt;=1000),"501–1000",
 K605&gt;=1001,"1001+"
)</f>
        <v>51–100</v>
      </c>
    </row>
    <row r="606" spans="1:12" x14ac:dyDescent="0.3">
      <c r="A606" t="s">
        <v>1188</v>
      </c>
      <c r="B606" t="s">
        <v>9</v>
      </c>
      <c r="C606" t="s">
        <v>5780</v>
      </c>
      <c r="D606" t="s">
        <v>28</v>
      </c>
      <c r="F606" t="s">
        <v>20</v>
      </c>
      <c r="G606" t="s">
        <v>135</v>
      </c>
      <c r="J606" t="s">
        <v>5744</v>
      </c>
      <c r="K606">
        <v>54</v>
      </c>
      <c r="L606" t="str" cm="1">
        <f t="array" ref="L606">_xlfn.IFS(
 K606&lt;=50,"≤50",
 AND(K606&gt;=51,K606&lt;=100),"51–100",
 AND(K606&gt;=101,K606&lt;=250),"101–250",
 AND(K606&gt;=251,K606&lt;=500),"251–500",
 AND(K606&gt;=501,K606&lt;=1000),"501–1000",
 K606&gt;=1001,"1001+"
)</f>
        <v>51–100</v>
      </c>
    </row>
    <row r="607" spans="1:12" x14ac:dyDescent="0.3">
      <c r="A607" t="s">
        <v>1189</v>
      </c>
      <c r="B607" t="s">
        <v>13</v>
      </c>
      <c r="C607" t="s">
        <v>5777</v>
      </c>
      <c r="D607" t="s">
        <v>1190</v>
      </c>
      <c r="E607" t="s">
        <v>15</v>
      </c>
      <c r="F607" t="s">
        <v>16</v>
      </c>
      <c r="G607" t="s">
        <v>1191</v>
      </c>
      <c r="J607" t="s">
        <v>5758</v>
      </c>
      <c r="K607">
        <v>54</v>
      </c>
      <c r="L607" t="str" cm="1">
        <f t="array" ref="L607">_xlfn.IFS(
 K607&lt;=50,"≤50",
 AND(K607&gt;=51,K607&lt;=100),"51–100",
 AND(K607&gt;=101,K607&lt;=250),"101–250",
 AND(K607&gt;=251,K607&lt;=500),"251–500",
 AND(K607&gt;=501,K607&lt;=1000),"501–1000",
 K607&gt;=1001,"1001+"
)</f>
        <v>51–100</v>
      </c>
    </row>
    <row r="608" spans="1:12" x14ac:dyDescent="0.3">
      <c r="A608" t="s">
        <v>1192</v>
      </c>
      <c r="B608" t="s">
        <v>9</v>
      </c>
      <c r="C608" t="s">
        <v>5780</v>
      </c>
      <c r="D608" t="s">
        <v>1193</v>
      </c>
      <c r="E608" t="s">
        <v>15</v>
      </c>
      <c r="F608" t="s">
        <v>20</v>
      </c>
      <c r="G608" t="s">
        <v>42</v>
      </c>
      <c r="J608" t="s">
        <v>5740</v>
      </c>
      <c r="K608">
        <v>54</v>
      </c>
      <c r="L608" t="str" cm="1">
        <f t="array" ref="L608">_xlfn.IFS(
 K608&lt;=50,"≤50",
 AND(K608&gt;=51,K608&lt;=100),"51–100",
 AND(K608&gt;=101,K608&lt;=250),"101–250",
 AND(K608&gt;=251,K608&lt;=500),"251–500",
 AND(K608&gt;=501,K608&lt;=1000),"501–1000",
 K608&gt;=1001,"1001+"
)</f>
        <v>51–100</v>
      </c>
    </row>
    <row r="609" spans="1:12" x14ac:dyDescent="0.3">
      <c r="A609" t="s">
        <v>1194</v>
      </c>
      <c r="B609" t="s">
        <v>9</v>
      </c>
      <c r="C609" t="s">
        <v>5780</v>
      </c>
      <c r="D609" t="s">
        <v>28</v>
      </c>
      <c r="F609" t="s">
        <v>5770</v>
      </c>
      <c r="J609" t="s">
        <v>5747</v>
      </c>
      <c r="K609">
        <v>54</v>
      </c>
      <c r="L609" t="str" cm="1">
        <f t="array" ref="L609">_xlfn.IFS(
 K609&lt;=50,"≤50",
 AND(K609&gt;=51,K609&lt;=100),"51–100",
 AND(K609&gt;=101,K609&lt;=250),"101–250",
 AND(K609&gt;=251,K609&lt;=500),"251–500",
 AND(K609&gt;=501,K609&lt;=1000),"501–1000",
 K609&gt;=1001,"1001+"
)</f>
        <v>51–100</v>
      </c>
    </row>
    <row r="610" spans="1:12" x14ac:dyDescent="0.3">
      <c r="A610" t="s">
        <v>1195</v>
      </c>
      <c r="B610" t="s">
        <v>9</v>
      </c>
      <c r="C610" t="s">
        <v>5780</v>
      </c>
      <c r="D610" t="s">
        <v>28</v>
      </c>
      <c r="F610" t="s">
        <v>5770</v>
      </c>
      <c r="J610" t="s">
        <v>5737</v>
      </c>
      <c r="K610">
        <v>54</v>
      </c>
      <c r="L610" t="str" cm="1">
        <f t="array" ref="L610">_xlfn.IFS(
 K610&lt;=50,"≤50",
 AND(K610&gt;=51,K610&lt;=100),"51–100",
 AND(K610&gt;=101,K610&lt;=250),"101–250",
 AND(K610&gt;=251,K610&lt;=500),"251–500",
 AND(K610&gt;=501,K610&lt;=1000),"501–1000",
 K610&gt;=1001,"1001+"
)</f>
        <v>51–100</v>
      </c>
    </row>
    <row r="611" spans="1:12" x14ac:dyDescent="0.3">
      <c r="A611" t="s">
        <v>1196</v>
      </c>
      <c r="B611" t="s">
        <v>13</v>
      </c>
      <c r="C611" t="s">
        <v>5777</v>
      </c>
      <c r="D611" t="s">
        <v>1197</v>
      </c>
      <c r="F611" t="s">
        <v>5770</v>
      </c>
      <c r="J611" t="s">
        <v>5737</v>
      </c>
      <c r="K611">
        <v>54</v>
      </c>
      <c r="L611" t="str" cm="1">
        <f t="array" ref="L611">_xlfn.IFS(
 K611&lt;=50,"≤50",
 AND(K611&gt;=51,K611&lt;=100),"51–100",
 AND(K611&gt;=101,K611&lt;=250),"101–250",
 AND(K611&gt;=251,K611&lt;=500),"251–500",
 AND(K611&gt;=501,K611&lt;=1000),"501–1000",
 K611&gt;=1001,"1001+"
)</f>
        <v>51–100</v>
      </c>
    </row>
    <row r="612" spans="1:12" x14ac:dyDescent="0.3">
      <c r="A612" t="s">
        <v>1198</v>
      </c>
      <c r="B612" t="s">
        <v>9</v>
      </c>
      <c r="C612" t="s">
        <v>5780</v>
      </c>
      <c r="D612" t="s">
        <v>1199</v>
      </c>
      <c r="E612" t="s">
        <v>15</v>
      </c>
      <c r="F612" t="s">
        <v>16</v>
      </c>
      <c r="G612" t="s">
        <v>1200</v>
      </c>
      <c r="J612" t="s">
        <v>5737</v>
      </c>
      <c r="K612">
        <v>54</v>
      </c>
      <c r="L612" t="str" cm="1">
        <f t="array" ref="L612">_xlfn.IFS(
 K612&lt;=50,"≤50",
 AND(K612&gt;=51,K612&lt;=100),"51–100",
 AND(K612&gt;=101,K612&lt;=250),"101–250",
 AND(K612&gt;=251,K612&lt;=500),"251–500",
 AND(K612&gt;=501,K612&lt;=1000),"501–1000",
 K612&gt;=1001,"1001+"
)</f>
        <v>51–100</v>
      </c>
    </row>
    <row r="613" spans="1:12" x14ac:dyDescent="0.3">
      <c r="A613" t="s">
        <v>1201</v>
      </c>
      <c r="B613" t="s">
        <v>11</v>
      </c>
      <c r="C613" t="s">
        <v>5776</v>
      </c>
      <c r="F613" t="s">
        <v>5770</v>
      </c>
      <c r="J613" t="s">
        <v>5739</v>
      </c>
      <c r="K613">
        <v>54</v>
      </c>
      <c r="L613" t="str" cm="1">
        <f t="array" ref="L613">_xlfn.IFS(
 K613&lt;=50,"≤50",
 AND(K613&gt;=51,K613&lt;=100),"51–100",
 AND(K613&gt;=101,K613&lt;=250),"101–250",
 AND(K613&gt;=251,K613&lt;=500),"251–500",
 AND(K613&gt;=501,K613&lt;=1000),"501–1000",
 K613&gt;=1001,"1001+"
)</f>
        <v>51–100</v>
      </c>
    </row>
    <row r="614" spans="1:12" x14ac:dyDescent="0.3">
      <c r="A614" t="s">
        <v>1202</v>
      </c>
      <c r="B614" t="s">
        <v>417</v>
      </c>
      <c r="C614" t="s">
        <v>5778</v>
      </c>
      <c r="D614" t="s">
        <v>1203</v>
      </c>
      <c r="F614" t="s">
        <v>5770</v>
      </c>
      <c r="J614" t="s">
        <v>5761</v>
      </c>
      <c r="K614">
        <v>54</v>
      </c>
      <c r="L614" t="str" cm="1">
        <f t="array" ref="L614">_xlfn.IFS(
 K614&lt;=50,"≤50",
 AND(K614&gt;=51,K614&lt;=100),"51–100",
 AND(K614&gt;=101,K614&lt;=250),"101–250",
 AND(K614&gt;=251,K614&lt;=500),"251–500",
 AND(K614&gt;=501,K614&lt;=1000),"501–1000",
 K614&gt;=1001,"1001+"
)</f>
        <v>51–100</v>
      </c>
    </row>
    <row r="615" spans="1:12" x14ac:dyDescent="0.3">
      <c r="A615" t="s">
        <v>1204</v>
      </c>
      <c r="B615" t="s">
        <v>9</v>
      </c>
      <c r="C615" t="s">
        <v>5780</v>
      </c>
      <c r="D615" t="s">
        <v>28</v>
      </c>
      <c r="F615" t="s">
        <v>5770</v>
      </c>
      <c r="J615" t="s">
        <v>5744</v>
      </c>
      <c r="K615">
        <v>54</v>
      </c>
      <c r="L615" t="str" cm="1">
        <f t="array" ref="L615">_xlfn.IFS(
 K615&lt;=50,"≤50",
 AND(K615&gt;=51,K615&lt;=100),"51–100",
 AND(K615&gt;=101,K615&lt;=250),"101–250",
 AND(K615&gt;=251,K615&lt;=500),"251–500",
 AND(K615&gt;=501,K615&lt;=1000),"501–1000",
 K615&gt;=1001,"1001+"
)</f>
        <v>51–100</v>
      </c>
    </row>
    <row r="616" spans="1:12" x14ac:dyDescent="0.3">
      <c r="A616" t="s">
        <v>1205</v>
      </c>
      <c r="B616" t="s">
        <v>11</v>
      </c>
      <c r="C616" t="s">
        <v>5776</v>
      </c>
      <c r="F616" t="s">
        <v>5770</v>
      </c>
      <c r="J616" t="s">
        <v>5739</v>
      </c>
      <c r="K616">
        <v>55</v>
      </c>
      <c r="L616" t="str" cm="1">
        <f t="array" ref="L616">_xlfn.IFS(
 K616&lt;=50,"≤50",
 AND(K616&gt;=51,K616&lt;=100),"51–100",
 AND(K616&gt;=101,K616&lt;=250),"101–250",
 AND(K616&gt;=251,K616&lt;=500),"251–500",
 AND(K616&gt;=501,K616&lt;=1000),"501–1000",
 K616&gt;=1001,"1001+"
)</f>
        <v>51–100</v>
      </c>
    </row>
    <row r="617" spans="1:12" x14ac:dyDescent="0.3">
      <c r="A617" t="s">
        <v>1206</v>
      </c>
      <c r="B617" t="s">
        <v>13</v>
      </c>
      <c r="C617" t="s">
        <v>5777</v>
      </c>
      <c r="D617" t="s">
        <v>1207</v>
      </c>
      <c r="F617" t="s">
        <v>54</v>
      </c>
      <c r="G617" t="s">
        <v>1208</v>
      </c>
      <c r="J617" t="s">
        <v>5737</v>
      </c>
      <c r="K617">
        <v>55</v>
      </c>
      <c r="L617" t="str" cm="1">
        <f t="array" ref="L617">_xlfn.IFS(
 K617&lt;=50,"≤50",
 AND(K617&gt;=51,K617&lt;=100),"51–100",
 AND(K617&gt;=101,K617&lt;=250),"101–250",
 AND(K617&gt;=251,K617&lt;=500),"251–500",
 AND(K617&gt;=501,K617&lt;=1000),"501–1000",
 K617&gt;=1001,"1001+"
)</f>
        <v>51–100</v>
      </c>
    </row>
    <row r="618" spans="1:12" x14ac:dyDescent="0.3">
      <c r="A618" t="s">
        <v>1209</v>
      </c>
      <c r="B618" t="s">
        <v>197</v>
      </c>
      <c r="C618" t="s">
        <v>5774</v>
      </c>
      <c r="D618" t="s">
        <v>1210</v>
      </c>
      <c r="E618" t="s">
        <v>15</v>
      </c>
      <c r="F618" t="s">
        <v>54</v>
      </c>
      <c r="G618" t="s">
        <v>1211</v>
      </c>
      <c r="J618" t="s">
        <v>5755</v>
      </c>
      <c r="K618">
        <v>55</v>
      </c>
      <c r="L618" t="str" cm="1">
        <f t="array" ref="L618">_xlfn.IFS(
 K618&lt;=50,"≤50",
 AND(K618&gt;=51,K618&lt;=100),"51–100",
 AND(K618&gt;=101,K618&lt;=250),"101–250",
 AND(K618&gt;=251,K618&lt;=500),"251–500",
 AND(K618&gt;=501,K618&lt;=1000),"501–1000",
 K618&gt;=1001,"1001+"
)</f>
        <v>51–100</v>
      </c>
    </row>
    <row r="619" spans="1:12" x14ac:dyDescent="0.3">
      <c r="A619" t="s">
        <v>1212</v>
      </c>
      <c r="B619" t="s">
        <v>197</v>
      </c>
      <c r="C619" t="s">
        <v>5774</v>
      </c>
      <c r="D619" t="s">
        <v>1213</v>
      </c>
      <c r="E619" t="s">
        <v>15</v>
      </c>
      <c r="F619" t="s">
        <v>20</v>
      </c>
      <c r="G619" t="s">
        <v>21</v>
      </c>
      <c r="J619" t="s">
        <v>5742</v>
      </c>
      <c r="K619">
        <v>55</v>
      </c>
      <c r="L619" t="str" cm="1">
        <f t="array" ref="L619">_xlfn.IFS(
 K619&lt;=50,"≤50",
 AND(K619&gt;=51,K619&lt;=100),"51–100",
 AND(K619&gt;=101,K619&lt;=250),"101–250",
 AND(K619&gt;=251,K619&lt;=500),"251–500",
 AND(K619&gt;=501,K619&lt;=1000),"501–1000",
 K619&gt;=1001,"1001+"
)</f>
        <v>51–100</v>
      </c>
    </row>
    <row r="620" spans="1:12" x14ac:dyDescent="0.3">
      <c r="A620" t="s">
        <v>1214</v>
      </c>
      <c r="B620" t="s">
        <v>9</v>
      </c>
      <c r="C620" t="s">
        <v>5780</v>
      </c>
      <c r="D620" t="s">
        <v>1215</v>
      </c>
      <c r="F620" t="s">
        <v>5770</v>
      </c>
      <c r="J620" t="s">
        <v>5738</v>
      </c>
      <c r="K620">
        <v>55</v>
      </c>
      <c r="L620" t="str" cm="1">
        <f t="array" ref="L620">_xlfn.IFS(
 K620&lt;=50,"≤50",
 AND(K620&gt;=51,K620&lt;=100),"51–100",
 AND(K620&gt;=101,K620&lt;=250),"101–250",
 AND(K620&gt;=251,K620&lt;=500),"251–500",
 AND(K620&gt;=501,K620&lt;=1000),"501–1000",
 K620&gt;=1001,"1001+"
)</f>
        <v>51–100</v>
      </c>
    </row>
    <row r="621" spans="1:12" x14ac:dyDescent="0.3">
      <c r="A621" t="s">
        <v>1216</v>
      </c>
      <c r="B621" t="s">
        <v>11</v>
      </c>
      <c r="C621" t="s">
        <v>5776</v>
      </c>
      <c r="F621" t="s">
        <v>5770</v>
      </c>
      <c r="J621" t="s">
        <v>5750</v>
      </c>
      <c r="K621">
        <v>55</v>
      </c>
      <c r="L621" t="str" cm="1">
        <f t="array" ref="L621">_xlfn.IFS(
 K621&lt;=50,"≤50",
 AND(K621&gt;=51,K621&lt;=100),"51–100",
 AND(K621&gt;=101,K621&lt;=250),"101–250",
 AND(K621&gt;=251,K621&lt;=500),"251–500",
 AND(K621&gt;=501,K621&lt;=1000),"501–1000",
 K621&gt;=1001,"1001+"
)</f>
        <v>51–100</v>
      </c>
    </row>
    <row r="622" spans="1:12" x14ac:dyDescent="0.3">
      <c r="A622" t="s">
        <v>1217</v>
      </c>
      <c r="B622" t="s">
        <v>9</v>
      </c>
      <c r="C622" t="s">
        <v>5780</v>
      </c>
      <c r="D622" t="s">
        <v>1218</v>
      </c>
      <c r="F622" t="s">
        <v>54</v>
      </c>
      <c r="G622" t="s">
        <v>1219</v>
      </c>
      <c r="J622" t="s">
        <v>5737</v>
      </c>
      <c r="K622">
        <v>55</v>
      </c>
      <c r="L622" t="str" cm="1">
        <f t="array" ref="L622">_xlfn.IFS(
 K622&lt;=50,"≤50",
 AND(K622&gt;=51,K622&lt;=100),"51–100",
 AND(K622&gt;=101,K622&lt;=250),"101–250",
 AND(K622&gt;=251,K622&lt;=500),"251–500",
 AND(K622&gt;=501,K622&lt;=1000),"501–1000",
 K622&gt;=1001,"1001+"
)</f>
        <v>51–100</v>
      </c>
    </row>
    <row r="623" spans="1:12" x14ac:dyDescent="0.3">
      <c r="A623" t="s">
        <v>1220</v>
      </c>
      <c r="B623" t="s">
        <v>9</v>
      </c>
      <c r="C623" t="s">
        <v>5780</v>
      </c>
      <c r="D623" t="s">
        <v>1221</v>
      </c>
      <c r="E623" t="s">
        <v>15</v>
      </c>
      <c r="F623" t="s">
        <v>20</v>
      </c>
      <c r="G623" t="s">
        <v>1222</v>
      </c>
      <c r="J623" t="s">
        <v>5737</v>
      </c>
      <c r="K623">
        <v>55</v>
      </c>
      <c r="L623" t="str" cm="1">
        <f t="array" ref="L623">_xlfn.IFS(
 K623&lt;=50,"≤50",
 AND(K623&gt;=51,K623&lt;=100),"51–100",
 AND(K623&gt;=101,K623&lt;=250),"101–250",
 AND(K623&gt;=251,K623&lt;=500),"251–500",
 AND(K623&gt;=501,K623&lt;=1000),"501–1000",
 K623&gt;=1001,"1001+"
)</f>
        <v>51–100</v>
      </c>
    </row>
    <row r="624" spans="1:12" x14ac:dyDescent="0.3">
      <c r="A624" t="s">
        <v>1223</v>
      </c>
      <c r="B624" t="s">
        <v>13</v>
      </c>
      <c r="C624" t="s">
        <v>5777</v>
      </c>
      <c r="D624" t="s">
        <v>1224</v>
      </c>
      <c r="E624" t="s">
        <v>15</v>
      </c>
      <c r="F624" t="s">
        <v>5770</v>
      </c>
      <c r="J624" t="s">
        <v>5740</v>
      </c>
      <c r="K624">
        <v>55</v>
      </c>
      <c r="L624" t="str" cm="1">
        <f t="array" ref="L624">_xlfn.IFS(
 K624&lt;=50,"≤50",
 AND(K624&gt;=51,K624&lt;=100),"51–100",
 AND(K624&gt;=101,K624&lt;=250),"101–250",
 AND(K624&gt;=251,K624&lt;=500),"251–500",
 AND(K624&gt;=501,K624&lt;=1000),"501–1000",
 K624&gt;=1001,"1001+"
)</f>
        <v>51–100</v>
      </c>
    </row>
    <row r="625" spans="1:12" x14ac:dyDescent="0.3">
      <c r="A625" t="s">
        <v>1225</v>
      </c>
      <c r="B625" t="s">
        <v>13</v>
      </c>
      <c r="C625" t="s">
        <v>5777</v>
      </c>
      <c r="D625" t="s">
        <v>65</v>
      </c>
      <c r="F625" t="s">
        <v>5770</v>
      </c>
      <c r="J625" t="s">
        <v>5762</v>
      </c>
      <c r="K625">
        <v>55</v>
      </c>
      <c r="L625" t="str" cm="1">
        <f t="array" ref="L625">_xlfn.IFS(
 K625&lt;=50,"≤50",
 AND(K625&gt;=51,K625&lt;=100),"51–100",
 AND(K625&gt;=101,K625&lt;=250),"101–250",
 AND(K625&gt;=251,K625&lt;=500),"251–500",
 AND(K625&gt;=501,K625&lt;=1000),"501–1000",
 K625&gt;=1001,"1001+"
)</f>
        <v>51–100</v>
      </c>
    </row>
    <row r="626" spans="1:12" x14ac:dyDescent="0.3">
      <c r="A626" t="s">
        <v>1226</v>
      </c>
      <c r="B626" t="s">
        <v>9</v>
      </c>
      <c r="C626" t="s">
        <v>5780</v>
      </c>
      <c r="D626" t="s">
        <v>1227</v>
      </c>
      <c r="E626" t="s">
        <v>15</v>
      </c>
      <c r="F626" t="s">
        <v>16</v>
      </c>
      <c r="G626" t="s">
        <v>45</v>
      </c>
      <c r="J626" t="s">
        <v>5738</v>
      </c>
      <c r="K626">
        <v>55</v>
      </c>
      <c r="L626" t="str" cm="1">
        <f t="array" ref="L626">_xlfn.IFS(
 K626&lt;=50,"≤50",
 AND(K626&gt;=51,K626&lt;=100),"51–100",
 AND(K626&gt;=101,K626&lt;=250),"101–250",
 AND(K626&gt;=251,K626&lt;=500),"251–500",
 AND(K626&gt;=501,K626&lt;=1000),"501–1000",
 K626&gt;=1001,"1001+"
)</f>
        <v>51–100</v>
      </c>
    </row>
    <row r="627" spans="1:12" x14ac:dyDescent="0.3">
      <c r="A627" t="s">
        <v>1228</v>
      </c>
      <c r="B627" t="s">
        <v>9</v>
      </c>
      <c r="C627" t="s">
        <v>5780</v>
      </c>
      <c r="D627" t="s">
        <v>28</v>
      </c>
      <c r="F627" t="s">
        <v>5770</v>
      </c>
      <c r="J627" t="s">
        <v>5738</v>
      </c>
      <c r="K627">
        <v>55</v>
      </c>
      <c r="L627" t="str" cm="1">
        <f t="array" ref="L627">_xlfn.IFS(
 K627&lt;=50,"≤50",
 AND(K627&gt;=51,K627&lt;=100),"51–100",
 AND(K627&gt;=101,K627&lt;=250),"101–250",
 AND(K627&gt;=251,K627&lt;=500),"251–500",
 AND(K627&gt;=501,K627&lt;=1000),"501–1000",
 K627&gt;=1001,"1001+"
)</f>
        <v>51–100</v>
      </c>
    </row>
    <row r="628" spans="1:12" x14ac:dyDescent="0.3">
      <c r="A628" t="s">
        <v>1229</v>
      </c>
      <c r="B628" t="s">
        <v>11</v>
      </c>
      <c r="C628" t="s">
        <v>5776</v>
      </c>
      <c r="F628" t="s">
        <v>5770</v>
      </c>
      <c r="J628" t="s">
        <v>5743</v>
      </c>
      <c r="K628">
        <v>55</v>
      </c>
      <c r="L628" t="str" cm="1">
        <f t="array" ref="L628">_xlfn.IFS(
 K628&lt;=50,"≤50",
 AND(K628&gt;=51,K628&lt;=100),"51–100",
 AND(K628&gt;=101,K628&lt;=250),"101–250",
 AND(K628&gt;=251,K628&lt;=500),"251–500",
 AND(K628&gt;=501,K628&lt;=1000),"501–1000",
 K628&gt;=1001,"1001+"
)</f>
        <v>51–100</v>
      </c>
    </row>
    <row r="629" spans="1:12" x14ac:dyDescent="0.3">
      <c r="A629" t="s">
        <v>1230</v>
      </c>
      <c r="B629" t="s">
        <v>9</v>
      </c>
      <c r="C629" t="s">
        <v>5780</v>
      </c>
      <c r="D629" t="s">
        <v>1231</v>
      </c>
      <c r="E629" t="s">
        <v>15</v>
      </c>
      <c r="F629" t="s">
        <v>54</v>
      </c>
      <c r="G629" t="s">
        <v>1069</v>
      </c>
      <c r="J629" t="s">
        <v>5743</v>
      </c>
      <c r="K629">
        <v>55</v>
      </c>
      <c r="L629" t="str" cm="1">
        <f t="array" ref="L629">_xlfn.IFS(
 K629&lt;=50,"≤50",
 AND(K629&gt;=51,K629&lt;=100),"51–100",
 AND(K629&gt;=101,K629&lt;=250),"101–250",
 AND(K629&gt;=251,K629&lt;=500),"251–500",
 AND(K629&gt;=501,K629&lt;=1000),"501–1000",
 K629&gt;=1001,"1001+"
)</f>
        <v>51–100</v>
      </c>
    </row>
    <row r="630" spans="1:12" x14ac:dyDescent="0.3">
      <c r="A630" t="s">
        <v>1232</v>
      </c>
      <c r="B630" t="s">
        <v>11</v>
      </c>
      <c r="C630" t="s">
        <v>5776</v>
      </c>
      <c r="F630" t="s">
        <v>5770</v>
      </c>
      <c r="J630" t="s">
        <v>5737</v>
      </c>
      <c r="K630">
        <v>55</v>
      </c>
      <c r="L630" t="str" cm="1">
        <f t="array" ref="L630">_xlfn.IFS(
 K630&lt;=50,"≤50",
 AND(K630&gt;=51,K630&lt;=100),"51–100",
 AND(K630&gt;=101,K630&lt;=250),"101–250",
 AND(K630&gt;=251,K630&lt;=500),"251–500",
 AND(K630&gt;=501,K630&lt;=1000),"501–1000",
 K630&gt;=1001,"1001+"
)</f>
        <v>51–100</v>
      </c>
    </row>
    <row r="631" spans="1:12" x14ac:dyDescent="0.3">
      <c r="A631" t="s">
        <v>1233</v>
      </c>
      <c r="B631" t="s">
        <v>9</v>
      </c>
      <c r="C631" t="s">
        <v>5780</v>
      </c>
      <c r="D631" t="s">
        <v>1234</v>
      </c>
      <c r="E631" t="s">
        <v>15</v>
      </c>
      <c r="F631" t="s">
        <v>20</v>
      </c>
      <c r="G631" t="s">
        <v>21</v>
      </c>
      <c r="J631" t="s">
        <v>5737</v>
      </c>
      <c r="K631">
        <v>55</v>
      </c>
      <c r="L631" t="str" cm="1">
        <f t="array" ref="L631">_xlfn.IFS(
 K631&lt;=50,"≤50",
 AND(K631&gt;=51,K631&lt;=100),"51–100",
 AND(K631&gt;=101,K631&lt;=250),"101–250",
 AND(K631&gt;=251,K631&lt;=500),"251–500",
 AND(K631&gt;=501,K631&lt;=1000),"501–1000",
 K631&gt;=1001,"1001+"
)</f>
        <v>51–100</v>
      </c>
    </row>
    <row r="632" spans="1:12" x14ac:dyDescent="0.3">
      <c r="A632" t="s">
        <v>1235</v>
      </c>
      <c r="B632" t="s">
        <v>13</v>
      </c>
      <c r="C632" t="s">
        <v>5777</v>
      </c>
      <c r="D632" t="s">
        <v>245</v>
      </c>
      <c r="E632" t="s">
        <v>15</v>
      </c>
      <c r="F632" t="s">
        <v>5770</v>
      </c>
      <c r="J632" t="s">
        <v>5737</v>
      </c>
      <c r="K632">
        <v>55</v>
      </c>
      <c r="L632" t="str" cm="1">
        <f t="array" ref="L632">_xlfn.IFS(
 K632&lt;=50,"≤50",
 AND(K632&gt;=51,K632&lt;=100),"51–100",
 AND(K632&gt;=101,K632&lt;=250),"101–250",
 AND(K632&gt;=251,K632&lt;=500),"251–500",
 AND(K632&gt;=501,K632&lt;=1000),"501–1000",
 K632&gt;=1001,"1001+"
)</f>
        <v>51–100</v>
      </c>
    </row>
    <row r="633" spans="1:12" x14ac:dyDescent="0.3">
      <c r="A633" t="s">
        <v>1236</v>
      </c>
      <c r="B633" t="s">
        <v>11</v>
      </c>
      <c r="C633" t="s">
        <v>5776</v>
      </c>
      <c r="E633" t="s">
        <v>15</v>
      </c>
      <c r="F633" t="s">
        <v>5770</v>
      </c>
      <c r="J633" t="s">
        <v>5737</v>
      </c>
      <c r="K633">
        <v>55</v>
      </c>
      <c r="L633" t="str" cm="1">
        <f t="array" ref="L633">_xlfn.IFS(
 K633&lt;=50,"≤50",
 AND(K633&gt;=51,K633&lt;=100),"51–100",
 AND(K633&gt;=101,K633&lt;=250),"101–250",
 AND(K633&gt;=251,K633&lt;=500),"251–500",
 AND(K633&gt;=501,K633&lt;=1000),"501–1000",
 K633&gt;=1001,"1001+"
)</f>
        <v>51–100</v>
      </c>
    </row>
    <row r="634" spans="1:12" x14ac:dyDescent="0.3">
      <c r="A634" t="s">
        <v>1237</v>
      </c>
      <c r="B634" t="s">
        <v>13</v>
      </c>
      <c r="C634" t="s">
        <v>5777</v>
      </c>
      <c r="D634" t="s">
        <v>245</v>
      </c>
      <c r="E634" t="s">
        <v>15</v>
      </c>
      <c r="F634" t="s">
        <v>5770</v>
      </c>
      <c r="J634" t="s">
        <v>5737</v>
      </c>
      <c r="K634">
        <v>55</v>
      </c>
      <c r="L634" t="str" cm="1">
        <f t="array" ref="L634">_xlfn.IFS(
 K634&lt;=50,"≤50",
 AND(K634&gt;=51,K634&lt;=100),"51–100",
 AND(K634&gt;=101,K634&lt;=250),"101–250",
 AND(K634&gt;=251,K634&lt;=500),"251–500",
 AND(K634&gt;=501,K634&lt;=1000),"501–1000",
 K634&gt;=1001,"1001+"
)</f>
        <v>51–100</v>
      </c>
    </row>
    <row r="635" spans="1:12" x14ac:dyDescent="0.3">
      <c r="A635" t="s">
        <v>1238</v>
      </c>
      <c r="B635" t="s">
        <v>13</v>
      </c>
      <c r="C635" t="s">
        <v>5777</v>
      </c>
      <c r="D635" t="s">
        <v>245</v>
      </c>
      <c r="E635" t="s">
        <v>15</v>
      </c>
      <c r="F635" t="s">
        <v>5770</v>
      </c>
      <c r="J635" t="s">
        <v>5737</v>
      </c>
      <c r="K635">
        <v>55</v>
      </c>
      <c r="L635" t="str" cm="1">
        <f t="array" ref="L635">_xlfn.IFS(
 K635&lt;=50,"≤50",
 AND(K635&gt;=51,K635&lt;=100),"51–100",
 AND(K635&gt;=101,K635&lt;=250),"101–250",
 AND(K635&gt;=251,K635&lt;=500),"251–500",
 AND(K635&gt;=501,K635&lt;=1000),"501–1000",
 K635&gt;=1001,"1001+"
)</f>
        <v>51–100</v>
      </c>
    </row>
    <row r="636" spans="1:12" x14ac:dyDescent="0.3">
      <c r="A636" t="s">
        <v>1239</v>
      </c>
      <c r="B636" t="s">
        <v>9</v>
      </c>
      <c r="C636" t="s">
        <v>5780</v>
      </c>
      <c r="D636" t="s">
        <v>28</v>
      </c>
      <c r="F636" t="s">
        <v>5770</v>
      </c>
      <c r="J636" t="s">
        <v>5744</v>
      </c>
      <c r="K636">
        <v>55</v>
      </c>
      <c r="L636" t="str" cm="1">
        <f t="array" ref="L636">_xlfn.IFS(
 K636&lt;=50,"≤50",
 AND(K636&gt;=51,K636&lt;=100),"51–100",
 AND(K636&gt;=101,K636&lt;=250),"101–250",
 AND(K636&gt;=251,K636&lt;=500),"251–500",
 AND(K636&gt;=501,K636&lt;=1000),"501–1000",
 K636&gt;=1001,"1001+"
)</f>
        <v>51–100</v>
      </c>
    </row>
    <row r="637" spans="1:12" x14ac:dyDescent="0.3">
      <c r="A637" t="s">
        <v>1240</v>
      </c>
      <c r="B637" t="s">
        <v>11</v>
      </c>
      <c r="C637" t="s">
        <v>5776</v>
      </c>
      <c r="F637" t="s">
        <v>5770</v>
      </c>
      <c r="J637" t="s">
        <v>5753</v>
      </c>
      <c r="K637">
        <v>55</v>
      </c>
      <c r="L637" t="str" cm="1">
        <f t="array" ref="L637">_xlfn.IFS(
 K637&lt;=50,"≤50",
 AND(K637&gt;=51,K637&lt;=100),"51–100",
 AND(K637&gt;=101,K637&lt;=250),"101–250",
 AND(K637&gt;=251,K637&lt;=500),"251–500",
 AND(K637&gt;=501,K637&lt;=1000),"501–1000",
 K637&gt;=1001,"1001+"
)</f>
        <v>51–100</v>
      </c>
    </row>
    <row r="638" spans="1:12" x14ac:dyDescent="0.3">
      <c r="A638" t="s">
        <v>1241</v>
      </c>
      <c r="B638" t="s">
        <v>13</v>
      </c>
      <c r="C638" t="s">
        <v>5777</v>
      </c>
      <c r="D638" t="s">
        <v>245</v>
      </c>
      <c r="F638" t="s">
        <v>5770</v>
      </c>
      <c r="J638" t="s">
        <v>5753</v>
      </c>
      <c r="K638">
        <v>55</v>
      </c>
      <c r="L638" t="str" cm="1">
        <f t="array" ref="L638">_xlfn.IFS(
 K638&lt;=50,"≤50",
 AND(K638&gt;=51,K638&lt;=100),"51–100",
 AND(K638&gt;=101,K638&lt;=250),"101–250",
 AND(K638&gt;=251,K638&lt;=500),"251–500",
 AND(K638&gt;=501,K638&lt;=1000),"501–1000",
 K638&gt;=1001,"1001+"
)</f>
        <v>51–100</v>
      </c>
    </row>
    <row r="639" spans="1:12" x14ac:dyDescent="0.3">
      <c r="A639" t="s">
        <v>1242</v>
      </c>
      <c r="B639" t="s">
        <v>11</v>
      </c>
      <c r="C639" t="s">
        <v>5776</v>
      </c>
      <c r="F639" t="s">
        <v>5770</v>
      </c>
      <c r="J639" t="s">
        <v>5742</v>
      </c>
      <c r="K639">
        <v>55</v>
      </c>
      <c r="L639" t="str" cm="1">
        <f t="array" ref="L639">_xlfn.IFS(
 K639&lt;=50,"≤50",
 AND(K639&gt;=51,K639&lt;=100),"51–100",
 AND(K639&gt;=101,K639&lt;=250),"101–250",
 AND(K639&gt;=251,K639&lt;=500),"251–500",
 AND(K639&gt;=501,K639&lt;=1000),"501–1000",
 K639&gt;=1001,"1001+"
)</f>
        <v>51–100</v>
      </c>
    </row>
    <row r="640" spans="1:12" x14ac:dyDescent="0.3">
      <c r="A640" t="s">
        <v>1243</v>
      </c>
      <c r="B640" t="s">
        <v>9</v>
      </c>
      <c r="C640" t="s">
        <v>5780</v>
      </c>
      <c r="D640" t="s">
        <v>1244</v>
      </c>
      <c r="E640" t="s">
        <v>15</v>
      </c>
      <c r="F640" t="s">
        <v>20</v>
      </c>
      <c r="G640" t="s">
        <v>1245</v>
      </c>
      <c r="J640" t="s">
        <v>5742</v>
      </c>
      <c r="K640">
        <v>55</v>
      </c>
      <c r="L640" t="str" cm="1">
        <f t="array" ref="L640">_xlfn.IFS(
 K640&lt;=50,"≤50",
 AND(K640&gt;=51,K640&lt;=100),"51–100",
 AND(K640&gt;=101,K640&lt;=250),"101–250",
 AND(K640&gt;=251,K640&lt;=500),"251–500",
 AND(K640&gt;=501,K640&lt;=1000),"501–1000",
 K640&gt;=1001,"1001+"
)</f>
        <v>51–100</v>
      </c>
    </row>
    <row r="641" spans="1:12" x14ac:dyDescent="0.3">
      <c r="A641" t="s">
        <v>1246</v>
      </c>
      <c r="B641" t="s">
        <v>13</v>
      </c>
      <c r="C641" t="s">
        <v>5777</v>
      </c>
      <c r="D641" t="s">
        <v>314</v>
      </c>
      <c r="F641" t="s">
        <v>5770</v>
      </c>
      <c r="J641" t="s">
        <v>5739</v>
      </c>
      <c r="K641">
        <v>55</v>
      </c>
      <c r="L641" t="str" cm="1">
        <f t="array" ref="L641">_xlfn.IFS(
 K641&lt;=50,"≤50",
 AND(K641&gt;=51,K641&lt;=100),"51–100",
 AND(K641&gt;=101,K641&lt;=250),"101–250",
 AND(K641&gt;=251,K641&lt;=500),"251–500",
 AND(K641&gt;=501,K641&lt;=1000),"501–1000",
 K641&gt;=1001,"1001+"
)</f>
        <v>51–100</v>
      </c>
    </row>
    <row r="642" spans="1:12" x14ac:dyDescent="0.3">
      <c r="A642" t="s">
        <v>1247</v>
      </c>
      <c r="B642" t="s">
        <v>9</v>
      </c>
      <c r="C642" t="s">
        <v>5780</v>
      </c>
      <c r="D642" t="s">
        <v>1248</v>
      </c>
      <c r="E642" t="s">
        <v>15</v>
      </c>
      <c r="F642" t="s">
        <v>54</v>
      </c>
      <c r="G642" t="s">
        <v>1249</v>
      </c>
      <c r="J642" t="s">
        <v>5739</v>
      </c>
      <c r="K642">
        <v>55</v>
      </c>
      <c r="L642" t="str" cm="1">
        <f t="array" ref="L642">_xlfn.IFS(
 K642&lt;=50,"≤50",
 AND(K642&gt;=51,K642&lt;=100),"51–100",
 AND(K642&gt;=101,K642&lt;=250),"101–250",
 AND(K642&gt;=251,K642&lt;=500),"251–500",
 AND(K642&gt;=501,K642&lt;=1000),"501–1000",
 K642&gt;=1001,"1001+"
)</f>
        <v>51–100</v>
      </c>
    </row>
    <row r="643" spans="1:12" x14ac:dyDescent="0.3">
      <c r="A643" t="s">
        <v>1250</v>
      </c>
      <c r="B643" t="s">
        <v>11</v>
      </c>
      <c r="C643" t="s">
        <v>5776</v>
      </c>
      <c r="F643" t="s">
        <v>5770</v>
      </c>
      <c r="J643" t="s">
        <v>5752</v>
      </c>
      <c r="K643">
        <v>55</v>
      </c>
      <c r="L643" t="str" cm="1">
        <f t="array" ref="L643">_xlfn.IFS(
 K643&lt;=50,"≤50",
 AND(K643&gt;=51,K643&lt;=100),"51–100",
 AND(K643&gt;=101,K643&lt;=250),"101–250",
 AND(K643&gt;=251,K643&lt;=500),"251–500",
 AND(K643&gt;=501,K643&lt;=1000),"501–1000",
 K643&gt;=1001,"1001+"
)</f>
        <v>51–100</v>
      </c>
    </row>
    <row r="644" spans="1:12" x14ac:dyDescent="0.3">
      <c r="A644" t="s">
        <v>1251</v>
      </c>
      <c r="B644" t="s">
        <v>9</v>
      </c>
      <c r="C644" t="s">
        <v>5780</v>
      </c>
      <c r="D644" t="s">
        <v>28</v>
      </c>
      <c r="F644" t="s">
        <v>5770</v>
      </c>
      <c r="J644" t="s">
        <v>5750</v>
      </c>
      <c r="K644">
        <v>55</v>
      </c>
      <c r="L644" t="str" cm="1">
        <f t="array" ref="L644">_xlfn.IFS(
 K644&lt;=50,"≤50",
 AND(K644&gt;=51,K644&lt;=100),"51–100",
 AND(K644&gt;=101,K644&lt;=250),"101–250",
 AND(K644&gt;=251,K644&lt;=500),"251–500",
 AND(K644&gt;=501,K644&lt;=1000),"501–1000",
 K644&gt;=1001,"1001+"
)</f>
        <v>51–100</v>
      </c>
    </row>
    <row r="645" spans="1:12" x14ac:dyDescent="0.3">
      <c r="A645" t="s">
        <v>1252</v>
      </c>
      <c r="B645" t="s">
        <v>13</v>
      </c>
      <c r="C645" t="s">
        <v>5777</v>
      </c>
      <c r="D645" t="s">
        <v>245</v>
      </c>
      <c r="E645" t="s">
        <v>15</v>
      </c>
      <c r="F645" t="s">
        <v>5770</v>
      </c>
      <c r="J645" t="s">
        <v>5750</v>
      </c>
      <c r="K645">
        <v>55</v>
      </c>
      <c r="L645" t="str" cm="1">
        <f t="array" ref="L645">_xlfn.IFS(
 K645&lt;=50,"≤50",
 AND(K645&gt;=51,K645&lt;=100),"51–100",
 AND(K645&gt;=101,K645&lt;=250),"101–250",
 AND(K645&gt;=251,K645&lt;=500),"251–500",
 AND(K645&gt;=501,K645&lt;=1000),"501–1000",
 K645&gt;=1001,"1001+"
)</f>
        <v>51–100</v>
      </c>
    </row>
    <row r="646" spans="1:12" x14ac:dyDescent="0.3">
      <c r="A646" t="s">
        <v>1253</v>
      </c>
      <c r="B646" t="s">
        <v>13</v>
      </c>
      <c r="C646" t="s">
        <v>5777</v>
      </c>
      <c r="D646" t="s">
        <v>1254</v>
      </c>
      <c r="E646" t="s">
        <v>15</v>
      </c>
      <c r="F646" t="s">
        <v>5770</v>
      </c>
      <c r="J646" t="s">
        <v>5747</v>
      </c>
      <c r="K646">
        <v>55</v>
      </c>
      <c r="L646" t="str" cm="1">
        <f t="array" ref="L646">_xlfn.IFS(
 K646&lt;=50,"≤50",
 AND(K646&gt;=51,K646&lt;=100),"51–100",
 AND(K646&gt;=101,K646&lt;=250),"101–250",
 AND(K646&gt;=251,K646&lt;=500),"251–500",
 AND(K646&gt;=501,K646&lt;=1000),"501–1000",
 K646&gt;=1001,"1001+"
)</f>
        <v>51–100</v>
      </c>
    </row>
    <row r="647" spans="1:12" x14ac:dyDescent="0.3">
      <c r="A647" t="s">
        <v>1255</v>
      </c>
      <c r="B647" t="s">
        <v>11</v>
      </c>
      <c r="C647" t="s">
        <v>5776</v>
      </c>
      <c r="F647" t="s">
        <v>5770</v>
      </c>
      <c r="J647" t="s">
        <v>5760</v>
      </c>
      <c r="K647">
        <v>55</v>
      </c>
      <c r="L647" t="str" cm="1">
        <f t="array" ref="L647">_xlfn.IFS(
 K647&lt;=50,"≤50",
 AND(K647&gt;=51,K647&lt;=100),"51–100",
 AND(K647&gt;=101,K647&lt;=250),"101–250",
 AND(K647&gt;=251,K647&lt;=500),"251–500",
 AND(K647&gt;=501,K647&lt;=1000),"501–1000",
 K647&gt;=1001,"1001+"
)</f>
        <v>51–100</v>
      </c>
    </row>
    <row r="648" spans="1:12" x14ac:dyDescent="0.3">
      <c r="A648" t="s">
        <v>1256</v>
      </c>
      <c r="B648" t="s">
        <v>9</v>
      </c>
      <c r="C648" t="s">
        <v>5780</v>
      </c>
      <c r="D648" t="s">
        <v>28</v>
      </c>
      <c r="F648" t="s">
        <v>5770</v>
      </c>
      <c r="J648" t="s">
        <v>5740</v>
      </c>
      <c r="K648">
        <v>55</v>
      </c>
      <c r="L648" t="str" cm="1">
        <f t="array" ref="L648">_xlfn.IFS(
 K648&lt;=50,"≤50",
 AND(K648&gt;=51,K648&lt;=100),"51–100",
 AND(K648&gt;=101,K648&lt;=250),"101–250",
 AND(K648&gt;=251,K648&lt;=500),"251–500",
 AND(K648&gt;=501,K648&lt;=1000),"501–1000",
 K648&gt;=1001,"1001+"
)</f>
        <v>51–100</v>
      </c>
    </row>
    <row r="649" spans="1:12" x14ac:dyDescent="0.3">
      <c r="A649" t="s">
        <v>1257</v>
      </c>
      <c r="B649" t="s">
        <v>9</v>
      </c>
      <c r="C649" t="s">
        <v>5780</v>
      </c>
      <c r="D649" t="s">
        <v>28</v>
      </c>
      <c r="F649" t="s">
        <v>5770</v>
      </c>
      <c r="J649" t="s">
        <v>5738</v>
      </c>
      <c r="K649">
        <v>55</v>
      </c>
      <c r="L649" t="str" cm="1">
        <f t="array" ref="L649">_xlfn.IFS(
 K649&lt;=50,"≤50",
 AND(K649&gt;=51,K649&lt;=100),"51–100",
 AND(K649&gt;=101,K649&lt;=250),"101–250",
 AND(K649&gt;=251,K649&lt;=500),"251–500",
 AND(K649&gt;=501,K649&lt;=1000),"501–1000",
 K649&gt;=1001,"1001+"
)</f>
        <v>51–100</v>
      </c>
    </row>
    <row r="650" spans="1:12" x14ac:dyDescent="0.3">
      <c r="A650" t="s">
        <v>1258</v>
      </c>
      <c r="B650" t="s">
        <v>9</v>
      </c>
      <c r="C650" t="s">
        <v>5780</v>
      </c>
      <c r="D650" t="s">
        <v>1259</v>
      </c>
      <c r="E650" t="s">
        <v>15</v>
      </c>
      <c r="F650" t="s">
        <v>16</v>
      </c>
      <c r="G650" t="s">
        <v>1260</v>
      </c>
      <c r="J650" t="s">
        <v>5737</v>
      </c>
      <c r="K650">
        <v>55</v>
      </c>
      <c r="L650" t="str" cm="1">
        <f t="array" ref="L650">_xlfn.IFS(
 K650&lt;=50,"≤50",
 AND(K650&gt;=51,K650&lt;=100),"51–100",
 AND(K650&gt;=101,K650&lt;=250),"101–250",
 AND(K650&gt;=251,K650&lt;=500),"251–500",
 AND(K650&gt;=501,K650&lt;=1000),"501–1000",
 K650&gt;=1001,"1001+"
)</f>
        <v>51–100</v>
      </c>
    </row>
    <row r="651" spans="1:12" x14ac:dyDescent="0.3">
      <c r="A651" t="s">
        <v>1261</v>
      </c>
      <c r="B651" t="s">
        <v>13</v>
      </c>
      <c r="C651" t="s">
        <v>5777</v>
      </c>
      <c r="D651" t="s">
        <v>1262</v>
      </c>
      <c r="F651" t="s">
        <v>20</v>
      </c>
      <c r="G651" t="s">
        <v>330</v>
      </c>
      <c r="J651" t="s">
        <v>5753</v>
      </c>
      <c r="K651">
        <v>55</v>
      </c>
      <c r="L651" t="str" cm="1">
        <f t="array" ref="L651">_xlfn.IFS(
 K651&lt;=50,"≤50",
 AND(K651&gt;=51,K651&lt;=100),"51–100",
 AND(K651&gt;=101,K651&lt;=250),"101–250",
 AND(K651&gt;=251,K651&lt;=500),"251–500",
 AND(K651&gt;=501,K651&lt;=1000),"501–1000",
 K651&gt;=1001,"1001+"
)</f>
        <v>51–100</v>
      </c>
    </row>
    <row r="652" spans="1:12" x14ac:dyDescent="0.3">
      <c r="A652" t="s">
        <v>1263</v>
      </c>
      <c r="B652" t="s">
        <v>9</v>
      </c>
      <c r="C652" t="s">
        <v>5780</v>
      </c>
      <c r="D652" t="s">
        <v>28</v>
      </c>
      <c r="F652" t="s">
        <v>5770</v>
      </c>
      <c r="J652" t="s">
        <v>5758</v>
      </c>
      <c r="K652">
        <v>55</v>
      </c>
      <c r="L652" t="str" cm="1">
        <f t="array" ref="L652">_xlfn.IFS(
 K652&lt;=50,"≤50",
 AND(K652&gt;=51,K652&lt;=100),"51–100",
 AND(K652&gt;=101,K652&lt;=250),"101–250",
 AND(K652&gt;=251,K652&lt;=500),"251–500",
 AND(K652&gt;=501,K652&lt;=1000),"501–1000",
 K652&gt;=1001,"1001+"
)</f>
        <v>51–100</v>
      </c>
    </row>
    <row r="653" spans="1:12" x14ac:dyDescent="0.3">
      <c r="A653" t="s">
        <v>1264</v>
      </c>
      <c r="B653" t="s">
        <v>13</v>
      </c>
      <c r="C653" t="s">
        <v>5777</v>
      </c>
      <c r="D653" t="s">
        <v>1265</v>
      </c>
      <c r="E653" t="s">
        <v>15</v>
      </c>
      <c r="F653" t="s">
        <v>20</v>
      </c>
      <c r="G653" t="s">
        <v>1266</v>
      </c>
      <c r="J653" t="s">
        <v>5737</v>
      </c>
      <c r="K653">
        <v>55</v>
      </c>
      <c r="L653" t="str" cm="1">
        <f t="array" ref="L653">_xlfn.IFS(
 K653&lt;=50,"≤50",
 AND(K653&gt;=51,K653&lt;=100),"51–100",
 AND(K653&gt;=101,K653&lt;=250),"101–250",
 AND(K653&gt;=251,K653&lt;=500),"251–500",
 AND(K653&gt;=501,K653&lt;=1000),"501–1000",
 K653&gt;=1001,"1001+"
)</f>
        <v>51–100</v>
      </c>
    </row>
    <row r="654" spans="1:12" x14ac:dyDescent="0.3">
      <c r="A654" t="s">
        <v>1267</v>
      </c>
      <c r="B654" t="s">
        <v>13</v>
      </c>
      <c r="C654" t="s">
        <v>5777</v>
      </c>
      <c r="D654" t="s">
        <v>112</v>
      </c>
      <c r="E654" t="s">
        <v>15</v>
      </c>
      <c r="F654" t="s">
        <v>54</v>
      </c>
      <c r="G654" t="s">
        <v>588</v>
      </c>
      <c r="J654" t="s">
        <v>5737</v>
      </c>
      <c r="K654">
        <v>55</v>
      </c>
      <c r="L654" t="str" cm="1">
        <f t="array" ref="L654">_xlfn.IFS(
 K654&lt;=50,"≤50",
 AND(K654&gt;=51,K654&lt;=100),"51–100",
 AND(K654&gt;=101,K654&lt;=250),"101–250",
 AND(K654&gt;=251,K654&lt;=500),"251–500",
 AND(K654&gt;=501,K654&lt;=1000),"501–1000",
 K654&gt;=1001,"1001+"
)</f>
        <v>51–100</v>
      </c>
    </row>
    <row r="655" spans="1:12" x14ac:dyDescent="0.3">
      <c r="A655" t="s">
        <v>1268</v>
      </c>
      <c r="B655" t="s">
        <v>13</v>
      </c>
      <c r="C655" t="s">
        <v>5777</v>
      </c>
      <c r="D655" t="s">
        <v>1269</v>
      </c>
      <c r="F655" t="s">
        <v>16</v>
      </c>
      <c r="G655" t="s">
        <v>1270</v>
      </c>
      <c r="J655" t="s">
        <v>5747</v>
      </c>
      <c r="K655">
        <v>55</v>
      </c>
      <c r="L655" t="str" cm="1">
        <f t="array" ref="L655">_xlfn.IFS(
 K655&lt;=50,"≤50",
 AND(K655&gt;=51,K655&lt;=100),"51–100",
 AND(K655&gt;=101,K655&lt;=250),"101–250",
 AND(K655&gt;=251,K655&lt;=500),"251–500",
 AND(K655&gt;=501,K655&lt;=1000),"501–1000",
 K655&gt;=1001,"1001+"
)</f>
        <v>51–100</v>
      </c>
    </row>
    <row r="656" spans="1:12" x14ac:dyDescent="0.3">
      <c r="A656" t="s">
        <v>1271</v>
      </c>
      <c r="B656" t="s">
        <v>9</v>
      </c>
      <c r="C656" t="s">
        <v>5780</v>
      </c>
      <c r="D656" t="s">
        <v>1272</v>
      </c>
      <c r="E656" t="s">
        <v>15</v>
      </c>
      <c r="F656" t="s">
        <v>54</v>
      </c>
      <c r="G656" t="s">
        <v>1273</v>
      </c>
      <c r="J656" t="s">
        <v>5753</v>
      </c>
      <c r="K656">
        <v>55</v>
      </c>
      <c r="L656" t="str" cm="1">
        <f t="array" ref="L656">_xlfn.IFS(
 K656&lt;=50,"≤50",
 AND(K656&gt;=51,K656&lt;=100),"51–100",
 AND(K656&gt;=101,K656&lt;=250),"101–250",
 AND(K656&gt;=251,K656&lt;=500),"251–500",
 AND(K656&gt;=501,K656&lt;=1000),"501–1000",
 K656&gt;=1001,"1001+"
)</f>
        <v>51–100</v>
      </c>
    </row>
    <row r="657" spans="1:12" x14ac:dyDescent="0.3">
      <c r="A657" t="s">
        <v>1274</v>
      </c>
      <c r="B657" t="s">
        <v>9</v>
      </c>
      <c r="C657" t="s">
        <v>5780</v>
      </c>
      <c r="D657" t="s">
        <v>1275</v>
      </c>
      <c r="E657" t="s">
        <v>15</v>
      </c>
      <c r="F657" t="s">
        <v>16</v>
      </c>
      <c r="G657" t="s">
        <v>1276</v>
      </c>
      <c r="J657" t="s">
        <v>5761</v>
      </c>
      <c r="K657">
        <v>55</v>
      </c>
      <c r="L657" t="str" cm="1">
        <f t="array" ref="L657">_xlfn.IFS(
 K657&lt;=50,"≤50",
 AND(K657&gt;=51,K657&lt;=100),"51–100",
 AND(K657&gt;=101,K657&lt;=250),"101–250",
 AND(K657&gt;=251,K657&lt;=500),"251–500",
 AND(K657&gt;=501,K657&lt;=1000),"501–1000",
 K657&gt;=1001,"1001+"
)</f>
        <v>51–100</v>
      </c>
    </row>
    <row r="658" spans="1:12" x14ac:dyDescent="0.3">
      <c r="A658" t="s">
        <v>1277</v>
      </c>
      <c r="B658" t="s">
        <v>197</v>
      </c>
      <c r="C658" t="s">
        <v>5774</v>
      </c>
      <c r="D658" t="s">
        <v>1278</v>
      </c>
      <c r="F658" t="s">
        <v>5770</v>
      </c>
      <c r="J658" t="s">
        <v>5743</v>
      </c>
      <c r="K658">
        <v>55</v>
      </c>
      <c r="L658" t="str" cm="1">
        <f t="array" ref="L658">_xlfn.IFS(
 K658&lt;=50,"≤50",
 AND(K658&gt;=51,K658&lt;=100),"51–100",
 AND(K658&gt;=101,K658&lt;=250),"101–250",
 AND(K658&gt;=251,K658&lt;=500),"251–500",
 AND(K658&gt;=501,K658&lt;=1000),"501–1000",
 K658&gt;=1001,"1001+"
)</f>
        <v>51–100</v>
      </c>
    </row>
    <row r="659" spans="1:12" x14ac:dyDescent="0.3">
      <c r="A659" t="s">
        <v>1279</v>
      </c>
      <c r="B659" t="s">
        <v>9</v>
      </c>
      <c r="C659" t="s">
        <v>5780</v>
      </c>
      <c r="D659" t="s">
        <v>1280</v>
      </c>
      <c r="E659" t="s">
        <v>15</v>
      </c>
      <c r="F659" t="s">
        <v>20</v>
      </c>
      <c r="G659" t="s">
        <v>1281</v>
      </c>
      <c r="J659" t="s">
        <v>5741</v>
      </c>
      <c r="K659">
        <v>55</v>
      </c>
      <c r="L659" t="str" cm="1">
        <f t="array" ref="L659">_xlfn.IFS(
 K659&lt;=50,"≤50",
 AND(K659&gt;=51,K659&lt;=100),"51–100",
 AND(K659&gt;=101,K659&lt;=250),"101–250",
 AND(K659&gt;=251,K659&lt;=500),"251–500",
 AND(K659&gt;=501,K659&lt;=1000),"501–1000",
 K659&gt;=1001,"1001+"
)</f>
        <v>51–100</v>
      </c>
    </row>
    <row r="660" spans="1:12" x14ac:dyDescent="0.3">
      <c r="A660" t="s">
        <v>1282</v>
      </c>
      <c r="B660" t="s">
        <v>13</v>
      </c>
      <c r="C660" t="s">
        <v>5777</v>
      </c>
      <c r="D660" t="s">
        <v>1283</v>
      </c>
      <c r="F660" t="s">
        <v>54</v>
      </c>
      <c r="G660" t="s">
        <v>1284</v>
      </c>
      <c r="J660" t="s">
        <v>5752</v>
      </c>
      <c r="K660">
        <v>55</v>
      </c>
      <c r="L660" t="str" cm="1">
        <f t="array" ref="L660">_xlfn.IFS(
 K660&lt;=50,"≤50",
 AND(K660&gt;=51,K660&lt;=100),"51–100",
 AND(K660&gt;=101,K660&lt;=250),"101–250",
 AND(K660&gt;=251,K660&lt;=500),"251–500",
 AND(K660&gt;=501,K660&lt;=1000),"501–1000",
 K660&gt;=1001,"1001+"
)</f>
        <v>51–100</v>
      </c>
    </row>
    <row r="661" spans="1:12" x14ac:dyDescent="0.3">
      <c r="A661" t="s">
        <v>1285</v>
      </c>
      <c r="B661" t="s">
        <v>13</v>
      </c>
      <c r="C661" t="s">
        <v>5777</v>
      </c>
      <c r="D661" t="s">
        <v>1286</v>
      </c>
      <c r="F661" t="s">
        <v>16</v>
      </c>
      <c r="G661" t="s">
        <v>1287</v>
      </c>
      <c r="J661" t="s">
        <v>5761</v>
      </c>
      <c r="K661">
        <v>55</v>
      </c>
      <c r="L661" t="str" cm="1">
        <f t="array" ref="L661">_xlfn.IFS(
 K661&lt;=50,"≤50",
 AND(K661&gt;=51,K661&lt;=100),"51–100",
 AND(K661&gt;=101,K661&lt;=250),"101–250",
 AND(K661&gt;=251,K661&lt;=500),"251–500",
 AND(K661&gt;=501,K661&lt;=1000),"501–1000",
 K661&gt;=1001,"1001+"
)</f>
        <v>51–100</v>
      </c>
    </row>
    <row r="662" spans="1:12" x14ac:dyDescent="0.3">
      <c r="A662" t="s">
        <v>1288</v>
      </c>
      <c r="B662" t="s">
        <v>11</v>
      </c>
      <c r="C662" t="s">
        <v>5776</v>
      </c>
      <c r="F662" t="s">
        <v>5770</v>
      </c>
      <c r="J662" t="s">
        <v>5757</v>
      </c>
      <c r="K662">
        <v>55</v>
      </c>
      <c r="L662" t="str" cm="1">
        <f t="array" ref="L662">_xlfn.IFS(
 K662&lt;=50,"≤50",
 AND(K662&gt;=51,K662&lt;=100),"51–100",
 AND(K662&gt;=101,K662&lt;=250),"101–250",
 AND(K662&gt;=251,K662&lt;=500),"251–500",
 AND(K662&gt;=501,K662&lt;=1000),"501–1000",
 K662&gt;=1001,"1001+"
)</f>
        <v>51–100</v>
      </c>
    </row>
    <row r="663" spans="1:12" x14ac:dyDescent="0.3">
      <c r="A663" t="s">
        <v>1289</v>
      </c>
      <c r="B663" t="s">
        <v>197</v>
      </c>
      <c r="C663" t="s">
        <v>5774</v>
      </c>
      <c r="D663" t="s">
        <v>1290</v>
      </c>
      <c r="E663" t="s">
        <v>15</v>
      </c>
      <c r="F663" t="s">
        <v>20</v>
      </c>
      <c r="G663" t="s">
        <v>1291</v>
      </c>
      <c r="J663" t="s">
        <v>5738</v>
      </c>
      <c r="K663">
        <v>55</v>
      </c>
      <c r="L663" t="str" cm="1">
        <f t="array" ref="L663">_xlfn.IFS(
 K663&lt;=50,"≤50",
 AND(K663&gt;=51,K663&lt;=100),"51–100",
 AND(K663&gt;=101,K663&lt;=250),"101–250",
 AND(K663&gt;=251,K663&lt;=500),"251–500",
 AND(K663&gt;=501,K663&lt;=1000),"501–1000",
 K663&gt;=1001,"1001+"
)</f>
        <v>51–100</v>
      </c>
    </row>
    <row r="664" spans="1:12" x14ac:dyDescent="0.3">
      <c r="A664" t="s">
        <v>1292</v>
      </c>
      <c r="B664" t="s">
        <v>9</v>
      </c>
      <c r="C664" t="s">
        <v>5780</v>
      </c>
      <c r="D664" t="s">
        <v>1293</v>
      </c>
      <c r="F664" t="s">
        <v>5770</v>
      </c>
      <c r="J664" t="s">
        <v>5737</v>
      </c>
      <c r="K664">
        <v>55</v>
      </c>
      <c r="L664" t="str" cm="1">
        <f t="array" ref="L664">_xlfn.IFS(
 K664&lt;=50,"≤50",
 AND(K664&gt;=51,K664&lt;=100),"51–100",
 AND(K664&gt;=101,K664&lt;=250),"101–250",
 AND(K664&gt;=251,K664&lt;=500),"251–500",
 AND(K664&gt;=501,K664&lt;=1000),"501–1000",
 K664&gt;=1001,"1001+"
)</f>
        <v>51–100</v>
      </c>
    </row>
    <row r="665" spans="1:12" x14ac:dyDescent="0.3">
      <c r="A665" t="s">
        <v>1294</v>
      </c>
      <c r="B665" t="s">
        <v>9</v>
      </c>
      <c r="C665" t="s">
        <v>5780</v>
      </c>
      <c r="D665" t="s">
        <v>1295</v>
      </c>
      <c r="E665" t="s">
        <v>15</v>
      </c>
      <c r="F665" t="s">
        <v>54</v>
      </c>
      <c r="G665" t="s">
        <v>1296</v>
      </c>
      <c r="J665" t="s">
        <v>5737</v>
      </c>
      <c r="K665">
        <v>55</v>
      </c>
      <c r="L665" t="str" cm="1">
        <f t="array" ref="L665">_xlfn.IFS(
 K665&lt;=50,"≤50",
 AND(K665&gt;=51,K665&lt;=100),"51–100",
 AND(K665&gt;=101,K665&lt;=250),"101–250",
 AND(K665&gt;=251,K665&lt;=500),"251–500",
 AND(K665&gt;=501,K665&lt;=1000),"501–1000",
 K665&gt;=1001,"1001+"
)</f>
        <v>51–100</v>
      </c>
    </row>
    <row r="666" spans="1:12" x14ac:dyDescent="0.3">
      <c r="A666" t="s">
        <v>1297</v>
      </c>
      <c r="B666" t="s">
        <v>9</v>
      </c>
      <c r="C666" t="s">
        <v>5780</v>
      </c>
      <c r="D666" t="s">
        <v>28</v>
      </c>
      <c r="E666" t="s">
        <v>15</v>
      </c>
      <c r="F666" t="s">
        <v>16</v>
      </c>
      <c r="G666" t="s">
        <v>1298</v>
      </c>
      <c r="J666" t="s">
        <v>5737</v>
      </c>
      <c r="K666">
        <v>55</v>
      </c>
      <c r="L666" t="str" cm="1">
        <f t="array" ref="L666">_xlfn.IFS(
 K666&lt;=50,"≤50",
 AND(K666&gt;=51,K666&lt;=100),"51–100",
 AND(K666&gt;=101,K666&lt;=250),"101–250",
 AND(K666&gt;=251,K666&lt;=500),"251–500",
 AND(K666&gt;=501,K666&lt;=1000),"501–1000",
 K666&gt;=1001,"1001+"
)</f>
        <v>51–100</v>
      </c>
    </row>
    <row r="667" spans="1:12" x14ac:dyDescent="0.3">
      <c r="A667" t="s">
        <v>1299</v>
      </c>
      <c r="B667" t="s">
        <v>13</v>
      </c>
      <c r="C667" t="s">
        <v>5777</v>
      </c>
      <c r="D667" t="s">
        <v>1300</v>
      </c>
      <c r="E667" t="s">
        <v>15</v>
      </c>
      <c r="F667" t="s">
        <v>20</v>
      </c>
      <c r="G667" t="s">
        <v>1301</v>
      </c>
      <c r="J667" t="s">
        <v>5737</v>
      </c>
      <c r="K667">
        <v>55</v>
      </c>
      <c r="L667" t="str" cm="1">
        <f t="array" ref="L667">_xlfn.IFS(
 K667&lt;=50,"≤50",
 AND(K667&gt;=51,K667&lt;=100),"51–100",
 AND(K667&gt;=101,K667&lt;=250),"101–250",
 AND(K667&gt;=251,K667&lt;=500),"251–500",
 AND(K667&gt;=501,K667&lt;=1000),"501–1000",
 K667&gt;=1001,"1001+"
)</f>
        <v>51–100</v>
      </c>
    </row>
    <row r="668" spans="1:12" x14ac:dyDescent="0.3">
      <c r="A668" t="s">
        <v>1302</v>
      </c>
      <c r="B668" t="s">
        <v>13</v>
      </c>
      <c r="C668" t="s">
        <v>5777</v>
      </c>
      <c r="D668" t="s">
        <v>112</v>
      </c>
      <c r="E668" t="s">
        <v>15</v>
      </c>
      <c r="F668" t="s">
        <v>5770</v>
      </c>
      <c r="J668" t="s">
        <v>5742</v>
      </c>
      <c r="K668">
        <v>55</v>
      </c>
      <c r="L668" t="str" cm="1">
        <f t="array" ref="L668">_xlfn.IFS(
 K668&lt;=50,"≤50",
 AND(K668&gt;=51,K668&lt;=100),"51–100",
 AND(K668&gt;=101,K668&lt;=250),"101–250",
 AND(K668&gt;=251,K668&lt;=500),"251–500",
 AND(K668&gt;=501,K668&lt;=1000),"501–1000",
 K668&gt;=1001,"1001+"
)</f>
        <v>51–100</v>
      </c>
    </row>
    <row r="669" spans="1:12" x14ac:dyDescent="0.3">
      <c r="A669" t="s">
        <v>1303</v>
      </c>
      <c r="B669" t="s">
        <v>9</v>
      </c>
      <c r="C669" t="s">
        <v>5780</v>
      </c>
      <c r="D669" t="s">
        <v>1304</v>
      </c>
      <c r="F669" t="s">
        <v>5770</v>
      </c>
      <c r="J669" t="s">
        <v>5761</v>
      </c>
      <c r="K669">
        <v>55</v>
      </c>
      <c r="L669" t="str" cm="1">
        <f t="array" ref="L669">_xlfn.IFS(
 K669&lt;=50,"≤50",
 AND(K669&gt;=51,K669&lt;=100),"51–100",
 AND(K669&gt;=101,K669&lt;=250),"101–250",
 AND(K669&gt;=251,K669&lt;=500),"251–500",
 AND(K669&gt;=501,K669&lt;=1000),"501–1000",
 K669&gt;=1001,"1001+"
)</f>
        <v>51–100</v>
      </c>
    </row>
    <row r="670" spans="1:12" x14ac:dyDescent="0.3">
      <c r="A670" t="s">
        <v>1305</v>
      </c>
      <c r="B670" t="s">
        <v>9</v>
      </c>
      <c r="C670" t="s">
        <v>5780</v>
      </c>
      <c r="D670" t="s">
        <v>1306</v>
      </c>
      <c r="E670" t="s">
        <v>15</v>
      </c>
      <c r="F670" t="s">
        <v>16</v>
      </c>
      <c r="G670" t="s">
        <v>1307</v>
      </c>
      <c r="J670" t="s">
        <v>5737</v>
      </c>
      <c r="K670">
        <v>55</v>
      </c>
      <c r="L670" t="str" cm="1">
        <f t="array" ref="L670">_xlfn.IFS(
 K670&lt;=50,"≤50",
 AND(K670&gt;=51,K670&lt;=100),"51–100",
 AND(K670&gt;=101,K670&lt;=250),"101–250",
 AND(K670&gt;=251,K670&lt;=500),"251–500",
 AND(K670&gt;=501,K670&lt;=1000),"501–1000",
 K670&gt;=1001,"1001+"
)</f>
        <v>51–100</v>
      </c>
    </row>
    <row r="671" spans="1:12" x14ac:dyDescent="0.3">
      <c r="A671" t="s">
        <v>1308</v>
      </c>
      <c r="B671" t="s">
        <v>9</v>
      </c>
      <c r="C671" t="s">
        <v>5780</v>
      </c>
      <c r="D671" t="s">
        <v>1309</v>
      </c>
      <c r="E671" t="s">
        <v>15</v>
      </c>
      <c r="F671" t="s">
        <v>16</v>
      </c>
      <c r="G671" t="s">
        <v>1310</v>
      </c>
      <c r="J671" t="s">
        <v>5738</v>
      </c>
      <c r="K671">
        <v>55</v>
      </c>
      <c r="L671" t="str" cm="1">
        <f t="array" ref="L671">_xlfn.IFS(
 K671&lt;=50,"≤50",
 AND(K671&gt;=51,K671&lt;=100),"51–100",
 AND(K671&gt;=101,K671&lt;=250),"101–250",
 AND(K671&gt;=251,K671&lt;=500),"251–500",
 AND(K671&gt;=501,K671&lt;=1000),"501–1000",
 K671&gt;=1001,"1001+"
)</f>
        <v>51–100</v>
      </c>
    </row>
    <row r="672" spans="1:12" x14ac:dyDescent="0.3">
      <c r="A672" t="s">
        <v>1311</v>
      </c>
      <c r="B672" t="s">
        <v>197</v>
      </c>
      <c r="C672" t="s">
        <v>5774</v>
      </c>
      <c r="D672" t="s">
        <v>1312</v>
      </c>
      <c r="F672" t="s">
        <v>5770</v>
      </c>
      <c r="J672" t="s">
        <v>5737</v>
      </c>
      <c r="K672">
        <v>55</v>
      </c>
      <c r="L672" t="str" cm="1">
        <f t="array" ref="L672">_xlfn.IFS(
 K672&lt;=50,"≤50",
 AND(K672&gt;=51,K672&lt;=100),"51–100",
 AND(K672&gt;=101,K672&lt;=250),"101–250",
 AND(K672&gt;=251,K672&lt;=500),"251–500",
 AND(K672&gt;=501,K672&lt;=1000),"501–1000",
 K672&gt;=1001,"1001+"
)</f>
        <v>51–100</v>
      </c>
    </row>
    <row r="673" spans="1:12" x14ac:dyDescent="0.3">
      <c r="A673" t="s">
        <v>1313</v>
      </c>
      <c r="B673" t="s">
        <v>11</v>
      </c>
      <c r="C673" t="s">
        <v>5776</v>
      </c>
      <c r="F673" t="s">
        <v>5770</v>
      </c>
      <c r="J673" t="s">
        <v>5738</v>
      </c>
      <c r="K673">
        <v>55</v>
      </c>
      <c r="L673" t="str" cm="1">
        <f t="array" ref="L673">_xlfn.IFS(
 K673&lt;=50,"≤50",
 AND(K673&gt;=51,K673&lt;=100),"51–100",
 AND(K673&gt;=101,K673&lt;=250),"101–250",
 AND(K673&gt;=251,K673&lt;=500),"251–500",
 AND(K673&gt;=501,K673&lt;=1000),"501–1000",
 K673&gt;=1001,"1001+"
)</f>
        <v>51–100</v>
      </c>
    </row>
    <row r="674" spans="1:12" x14ac:dyDescent="0.3">
      <c r="A674" t="s">
        <v>1314</v>
      </c>
      <c r="B674" t="s">
        <v>197</v>
      </c>
      <c r="C674" t="s">
        <v>5774</v>
      </c>
      <c r="D674" t="s">
        <v>1312</v>
      </c>
      <c r="F674" t="s">
        <v>5770</v>
      </c>
      <c r="J674" t="s">
        <v>5737</v>
      </c>
      <c r="K674">
        <v>55</v>
      </c>
      <c r="L674" t="str" cm="1">
        <f t="array" ref="L674">_xlfn.IFS(
 K674&lt;=50,"≤50",
 AND(K674&gt;=51,K674&lt;=100),"51–100",
 AND(K674&gt;=101,K674&lt;=250),"101–250",
 AND(K674&gt;=251,K674&lt;=500),"251–500",
 AND(K674&gt;=501,K674&lt;=1000),"501–1000",
 K674&gt;=1001,"1001+"
)</f>
        <v>51–100</v>
      </c>
    </row>
    <row r="675" spans="1:12" x14ac:dyDescent="0.3">
      <c r="A675" t="s">
        <v>1315</v>
      </c>
      <c r="B675" t="s">
        <v>9</v>
      </c>
      <c r="C675" t="s">
        <v>5780</v>
      </c>
      <c r="D675" t="s">
        <v>51</v>
      </c>
      <c r="F675" t="s">
        <v>5770</v>
      </c>
      <c r="J675" t="s">
        <v>5753</v>
      </c>
      <c r="K675">
        <v>55</v>
      </c>
      <c r="L675" t="str" cm="1">
        <f t="array" ref="L675">_xlfn.IFS(
 K675&lt;=50,"≤50",
 AND(K675&gt;=51,K675&lt;=100),"51–100",
 AND(K675&gt;=101,K675&lt;=250),"101–250",
 AND(K675&gt;=251,K675&lt;=500),"251–500",
 AND(K675&gt;=501,K675&lt;=1000),"501–1000",
 K675&gt;=1001,"1001+"
)</f>
        <v>51–100</v>
      </c>
    </row>
    <row r="676" spans="1:12" x14ac:dyDescent="0.3">
      <c r="A676" t="s">
        <v>1316</v>
      </c>
      <c r="B676" t="s">
        <v>11</v>
      </c>
      <c r="C676" t="s">
        <v>5776</v>
      </c>
      <c r="F676" t="s">
        <v>20</v>
      </c>
      <c r="G676" t="s">
        <v>135</v>
      </c>
      <c r="J676" t="s">
        <v>5750</v>
      </c>
      <c r="K676">
        <v>55</v>
      </c>
      <c r="L676" t="str" cm="1">
        <f t="array" ref="L676">_xlfn.IFS(
 K676&lt;=50,"≤50",
 AND(K676&gt;=51,K676&lt;=100),"51–100",
 AND(K676&gt;=101,K676&lt;=250),"101–250",
 AND(K676&gt;=251,K676&lt;=500),"251–500",
 AND(K676&gt;=501,K676&lt;=1000),"501–1000",
 K676&gt;=1001,"1001+"
)</f>
        <v>51–100</v>
      </c>
    </row>
    <row r="677" spans="1:12" x14ac:dyDescent="0.3">
      <c r="A677" t="s">
        <v>1317</v>
      </c>
      <c r="B677" t="s">
        <v>11</v>
      </c>
      <c r="C677" t="s">
        <v>5776</v>
      </c>
      <c r="F677" t="s">
        <v>5770</v>
      </c>
      <c r="J677" t="s">
        <v>5761</v>
      </c>
      <c r="K677">
        <v>55</v>
      </c>
      <c r="L677" t="str" cm="1">
        <f t="array" ref="L677">_xlfn.IFS(
 K677&lt;=50,"≤50",
 AND(K677&gt;=51,K677&lt;=100),"51–100",
 AND(K677&gt;=101,K677&lt;=250),"101–250",
 AND(K677&gt;=251,K677&lt;=500),"251–500",
 AND(K677&gt;=501,K677&lt;=1000),"501–1000",
 K677&gt;=1001,"1001+"
)</f>
        <v>51–100</v>
      </c>
    </row>
    <row r="678" spans="1:12" x14ac:dyDescent="0.3">
      <c r="A678" t="s">
        <v>1318</v>
      </c>
      <c r="B678" t="s">
        <v>9</v>
      </c>
      <c r="C678" t="s">
        <v>5780</v>
      </c>
      <c r="D678" t="s">
        <v>1319</v>
      </c>
      <c r="F678" t="s">
        <v>5770</v>
      </c>
      <c r="J678" t="s">
        <v>5743</v>
      </c>
      <c r="K678">
        <v>55</v>
      </c>
      <c r="L678" t="str" cm="1">
        <f t="array" ref="L678">_xlfn.IFS(
 K678&lt;=50,"≤50",
 AND(K678&gt;=51,K678&lt;=100),"51–100",
 AND(K678&gt;=101,K678&lt;=250),"101–250",
 AND(K678&gt;=251,K678&lt;=500),"251–500",
 AND(K678&gt;=501,K678&lt;=1000),"501–1000",
 K678&gt;=1001,"1001+"
)</f>
        <v>51–100</v>
      </c>
    </row>
    <row r="679" spans="1:12" x14ac:dyDescent="0.3">
      <c r="A679" t="s">
        <v>1320</v>
      </c>
      <c r="B679" t="s">
        <v>13</v>
      </c>
      <c r="C679" t="s">
        <v>5777</v>
      </c>
      <c r="D679" t="s">
        <v>1321</v>
      </c>
      <c r="E679" t="s">
        <v>15</v>
      </c>
      <c r="F679" t="s">
        <v>16</v>
      </c>
      <c r="G679" t="s">
        <v>1322</v>
      </c>
      <c r="J679" t="s">
        <v>5738</v>
      </c>
      <c r="K679">
        <v>55</v>
      </c>
      <c r="L679" t="str" cm="1">
        <f t="array" ref="L679">_xlfn.IFS(
 K679&lt;=50,"≤50",
 AND(K679&gt;=51,K679&lt;=100),"51–100",
 AND(K679&gt;=101,K679&lt;=250),"101–250",
 AND(K679&gt;=251,K679&lt;=500),"251–500",
 AND(K679&gt;=501,K679&lt;=1000),"501–1000",
 K679&gt;=1001,"1001+"
)</f>
        <v>51–100</v>
      </c>
    </row>
    <row r="680" spans="1:12" x14ac:dyDescent="0.3">
      <c r="A680" t="s">
        <v>1323</v>
      </c>
      <c r="B680" t="s">
        <v>13</v>
      </c>
      <c r="C680" t="s">
        <v>5777</v>
      </c>
      <c r="D680" t="s">
        <v>1324</v>
      </c>
      <c r="E680" t="s">
        <v>15</v>
      </c>
      <c r="F680" t="s">
        <v>20</v>
      </c>
      <c r="G680" t="s">
        <v>1325</v>
      </c>
      <c r="J680" t="s">
        <v>5737</v>
      </c>
      <c r="K680">
        <v>55</v>
      </c>
      <c r="L680" t="str" cm="1">
        <f t="array" ref="L680">_xlfn.IFS(
 K680&lt;=50,"≤50",
 AND(K680&gt;=51,K680&lt;=100),"51–100",
 AND(K680&gt;=101,K680&lt;=250),"101–250",
 AND(K680&gt;=251,K680&lt;=500),"251–500",
 AND(K680&gt;=501,K680&lt;=1000),"501–1000",
 K680&gt;=1001,"1001+"
)</f>
        <v>51–100</v>
      </c>
    </row>
    <row r="681" spans="1:12" x14ac:dyDescent="0.3">
      <c r="A681" t="s">
        <v>1326</v>
      </c>
      <c r="B681" t="s">
        <v>13</v>
      </c>
      <c r="C681" t="s">
        <v>5777</v>
      </c>
      <c r="D681" t="s">
        <v>1327</v>
      </c>
      <c r="F681" t="s">
        <v>54</v>
      </c>
      <c r="G681" t="s">
        <v>1328</v>
      </c>
      <c r="J681" t="s">
        <v>5751</v>
      </c>
      <c r="K681">
        <v>55</v>
      </c>
      <c r="L681" t="str" cm="1">
        <f t="array" ref="L681">_xlfn.IFS(
 K681&lt;=50,"≤50",
 AND(K681&gt;=51,K681&lt;=100),"51–100",
 AND(K681&gt;=101,K681&lt;=250),"101–250",
 AND(K681&gt;=251,K681&lt;=500),"251–500",
 AND(K681&gt;=501,K681&lt;=1000),"501–1000",
 K681&gt;=1001,"1001+"
)</f>
        <v>51–100</v>
      </c>
    </row>
    <row r="682" spans="1:12" x14ac:dyDescent="0.3">
      <c r="A682" t="s">
        <v>1329</v>
      </c>
      <c r="B682" t="s">
        <v>11</v>
      </c>
      <c r="C682" t="s">
        <v>5776</v>
      </c>
      <c r="F682" t="s">
        <v>5770</v>
      </c>
      <c r="J682" t="s">
        <v>5737</v>
      </c>
      <c r="K682">
        <v>55</v>
      </c>
      <c r="L682" t="str" cm="1">
        <f t="array" ref="L682">_xlfn.IFS(
 K682&lt;=50,"≤50",
 AND(K682&gt;=51,K682&lt;=100),"51–100",
 AND(K682&gt;=101,K682&lt;=250),"101–250",
 AND(K682&gt;=251,K682&lt;=500),"251–500",
 AND(K682&gt;=501,K682&lt;=1000),"501–1000",
 K682&gt;=1001,"1001+"
)</f>
        <v>51–100</v>
      </c>
    </row>
    <row r="683" spans="1:12" x14ac:dyDescent="0.3">
      <c r="A683" t="s">
        <v>1330</v>
      </c>
      <c r="B683" t="s">
        <v>417</v>
      </c>
      <c r="C683" t="s">
        <v>5778</v>
      </c>
      <c r="D683" t="s">
        <v>1331</v>
      </c>
      <c r="E683" t="s">
        <v>15</v>
      </c>
      <c r="F683" t="s">
        <v>54</v>
      </c>
      <c r="G683" t="s">
        <v>918</v>
      </c>
      <c r="J683" t="s">
        <v>5737</v>
      </c>
      <c r="K683">
        <v>55</v>
      </c>
      <c r="L683" t="str" cm="1">
        <f t="array" ref="L683">_xlfn.IFS(
 K683&lt;=50,"≤50",
 AND(K683&gt;=51,K683&lt;=100),"51–100",
 AND(K683&gt;=101,K683&lt;=250),"101–250",
 AND(K683&gt;=251,K683&lt;=500),"251–500",
 AND(K683&gt;=501,K683&lt;=1000),"501–1000",
 K683&gt;=1001,"1001+"
)</f>
        <v>51–100</v>
      </c>
    </row>
    <row r="684" spans="1:12" x14ac:dyDescent="0.3">
      <c r="A684" t="s">
        <v>1332</v>
      </c>
      <c r="B684" t="s">
        <v>11</v>
      </c>
      <c r="C684" t="s">
        <v>5776</v>
      </c>
      <c r="F684" t="s">
        <v>5770</v>
      </c>
      <c r="J684" t="s">
        <v>5746</v>
      </c>
      <c r="K684">
        <v>55</v>
      </c>
      <c r="L684" t="str" cm="1">
        <f t="array" ref="L684">_xlfn.IFS(
 K684&lt;=50,"≤50",
 AND(K684&gt;=51,K684&lt;=100),"51–100",
 AND(K684&gt;=101,K684&lt;=250),"101–250",
 AND(K684&gt;=251,K684&lt;=500),"251–500",
 AND(K684&gt;=501,K684&lt;=1000),"501–1000",
 K684&gt;=1001,"1001+"
)</f>
        <v>51–100</v>
      </c>
    </row>
    <row r="685" spans="1:12" x14ac:dyDescent="0.3">
      <c r="A685" t="s">
        <v>1333</v>
      </c>
      <c r="B685" t="s">
        <v>9</v>
      </c>
      <c r="C685" t="s">
        <v>5780</v>
      </c>
      <c r="D685" t="s">
        <v>1334</v>
      </c>
      <c r="E685" t="s">
        <v>15</v>
      </c>
      <c r="F685" t="s">
        <v>16</v>
      </c>
      <c r="G685" t="s">
        <v>1335</v>
      </c>
      <c r="J685" t="s">
        <v>5748</v>
      </c>
      <c r="K685">
        <v>55</v>
      </c>
      <c r="L685" t="str" cm="1">
        <f t="array" ref="L685">_xlfn.IFS(
 K685&lt;=50,"≤50",
 AND(K685&gt;=51,K685&lt;=100),"51–100",
 AND(K685&gt;=101,K685&lt;=250),"101–250",
 AND(K685&gt;=251,K685&lt;=500),"251–500",
 AND(K685&gt;=501,K685&lt;=1000),"501–1000",
 K685&gt;=1001,"1001+"
)</f>
        <v>51–100</v>
      </c>
    </row>
    <row r="686" spans="1:12" x14ac:dyDescent="0.3">
      <c r="A686" t="s">
        <v>1336</v>
      </c>
      <c r="B686" t="s">
        <v>9</v>
      </c>
      <c r="C686" t="s">
        <v>5780</v>
      </c>
      <c r="D686" t="s">
        <v>1337</v>
      </c>
      <c r="F686" t="s">
        <v>20</v>
      </c>
      <c r="G686" t="s">
        <v>21</v>
      </c>
      <c r="J686" t="s">
        <v>5746</v>
      </c>
      <c r="K686">
        <v>55</v>
      </c>
      <c r="L686" t="str" cm="1">
        <f t="array" ref="L686">_xlfn.IFS(
 K686&lt;=50,"≤50",
 AND(K686&gt;=51,K686&lt;=100),"51–100",
 AND(K686&gt;=101,K686&lt;=250),"101–250",
 AND(K686&gt;=251,K686&lt;=500),"251–500",
 AND(K686&gt;=501,K686&lt;=1000),"501–1000",
 K686&gt;=1001,"1001+"
)</f>
        <v>51–100</v>
      </c>
    </row>
    <row r="687" spans="1:12" x14ac:dyDescent="0.3">
      <c r="A687" t="s">
        <v>1338</v>
      </c>
      <c r="B687" t="s">
        <v>9</v>
      </c>
      <c r="C687" t="s">
        <v>5780</v>
      </c>
      <c r="D687" t="s">
        <v>1339</v>
      </c>
      <c r="F687" t="s">
        <v>5770</v>
      </c>
      <c r="J687" t="s">
        <v>5738</v>
      </c>
      <c r="K687">
        <v>55</v>
      </c>
      <c r="L687" t="str" cm="1">
        <f t="array" ref="L687">_xlfn.IFS(
 K687&lt;=50,"≤50",
 AND(K687&gt;=51,K687&lt;=100),"51–100",
 AND(K687&gt;=101,K687&lt;=250),"101–250",
 AND(K687&gt;=251,K687&lt;=500),"251–500",
 AND(K687&gt;=501,K687&lt;=1000),"501–1000",
 K687&gt;=1001,"1001+"
)</f>
        <v>51–100</v>
      </c>
    </row>
    <row r="688" spans="1:12" x14ac:dyDescent="0.3">
      <c r="A688" t="s">
        <v>1340</v>
      </c>
      <c r="B688" t="s">
        <v>11</v>
      </c>
      <c r="C688" t="s">
        <v>5776</v>
      </c>
      <c r="F688" t="s">
        <v>5770</v>
      </c>
      <c r="J688" t="s">
        <v>5742</v>
      </c>
      <c r="K688">
        <v>55</v>
      </c>
      <c r="L688" t="str" cm="1">
        <f t="array" ref="L688">_xlfn.IFS(
 K688&lt;=50,"≤50",
 AND(K688&gt;=51,K688&lt;=100),"51–100",
 AND(K688&gt;=101,K688&lt;=250),"101–250",
 AND(K688&gt;=251,K688&lt;=500),"251–500",
 AND(K688&gt;=501,K688&lt;=1000),"501–1000",
 K688&gt;=1001,"1001+"
)</f>
        <v>51–100</v>
      </c>
    </row>
    <row r="689" spans="1:12" x14ac:dyDescent="0.3">
      <c r="A689" t="s">
        <v>1341</v>
      </c>
      <c r="B689" t="s">
        <v>11</v>
      </c>
      <c r="C689" t="s">
        <v>5776</v>
      </c>
      <c r="F689" t="s">
        <v>5770</v>
      </c>
      <c r="J689" t="s">
        <v>5739</v>
      </c>
      <c r="K689">
        <v>55</v>
      </c>
      <c r="L689" t="str" cm="1">
        <f t="array" ref="L689">_xlfn.IFS(
 K689&lt;=50,"≤50",
 AND(K689&gt;=51,K689&lt;=100),"51–100",
 AND(K689&gt;=101,K689&lt;=250),"101–250",
 AND(K689&gt;=251,K689&lt;=500),"251–500",
 AND(K689&gt;=501,K689&lt;=1000),"501–1000",
 K689&gt;=1001,"1001+"
)</f>
        <v>51–100</v>
      </c>
    </row>
    <row r="690" spans="1:12" x14ac:dyDescent="0.3">
      <c r="A690" t="s">
        <v>1342</v>
      </c>
      <c r="B690" t="s">
        <v>9</v>
      </c>
      <c r="C690" t="s">
        <v>5780</v>
      </c>
      <c r="D690" t="s">
        <v>1343</v>
      </c>
      <c r="E690" t="s">
        <v>15</v>
      </c>
      <c r="F690" t="s">
        <v>20</v>
      </c>
      <c r="G690" t="s">
        <v>1344</v>
      </c>
      <c r="J690" t="s">
        <v>5742</v>
      </c>
      <c r="K690">
        <v>56</v>
      </c>
      <c r="L690" t="str" cm="1">
        <f t="array" ref="L690">_xlfn.IFS(
 K690&lt;=50,"≤50",
 AND(K690&gt;=51,K690&lt;=100),"51–100",
 AND(K690&gt;=101,K690&lt;=250),"101–250",
 AND(K690&gt;=251,K690&lt;=500),"251–500",
 AND(K690&gt;=501,K690&lt;=1000),"501–1000",
 K690&gt;=1001,"1001+"
)</f>
        <v>51–100</v>
      </c>
    </row>
    <row r="691" spans="1:12" x14ac:dyDescent="0.3">
      <c r="A691" t="s">
        <v>1345</v>
      </c>
      <c r="B691" t="s">
        <v>9</v>
      </c>
      <c r="C691" t="s">
        <v>5780</v>
      </c>
      <c r="D691" t="s">
        <v>28</v>
      </c>
      <c r="F691" t="s">
        <v>5770</v>
      </c>
      <c r="J691" t="s">
        <v>5738</v>
      </c>
      <c r="K691">
        <v>56</v>
      </c>
      <c r="L691" t="str" cm="1">
        <f t="array" ref="L691">_xlfn.IFS(
 K691&lt;=50,"≤50",
 AND(K691&gt;=51,K691&lt;=100),"51–100",
 AND(K691&gt;=101,K691&lt;=250),"101–250",
 AND(K691&gt;=251,K691&lt;=500),"251–500",
 AND(K691&gt;=501,K691&lt;=1000),"501–1000",
 K691&gt;=1001,"1001+"
)</f>
        <v>51–100</v>
      </c>
    </row>
    <row r="692" spans="1:12" x14ac:dyDescent="0.3">
      <c r="A692" t="s">
        <v>1346</v>
      </c>
      <c r="B692" t="s">
        <v>9</v>
      </c>
      <c r="C692" t="s">
        <v>5780</v>
      </c>
      <c r="D692" t="s">
        <v>28</v>
      </c>
      <c r="F692" t="s">
        <v>5770</v>
      </c>
      <c r="J692" t="s">
        <v>5753</v>
      </c>
      <c r="K692">
        <v>56</v>
      </c>
      <c r="L692" t="str" cm="1">
        <f t="array" ref="L692">_xlfn.IFS(
 K692&lt;=50,"≤50",
 AND(K692&gt;=51,K692&lt;=100),"51–100",
 AND(K692&gt;=101,K692&lt;=250),"101–250",
 AND(K692&gt;=251,K692&lt;=500),"251–500",
 AND(K692&gt;=501,K692&lt;=1000),"501–1000",
 K692&gt;=1001,"1001+"
)</f>
        <v>51–100</v>
      </c>
    </row>
    <row r="693" spans="1:12" x14ac:dyDescent="0.3">
      <c r="A693" t="s">
        <v>1347</v>
      </c>
      <c r="B693" t="s">
        <v>9</v>
      </c>
      <c r="C693" t="s">
        <v>5780</v>
      </c>
      <c r="D693" t="s">
        <v>1348</v>
      </c>
      <c r="E693" t="s">
        <v>15</v>
      </c>
      <c r="F693" t="s">
        <v>5770</v>
      </c>
      <c r="J693" t="s">
        <v>5737</v>
      </c>
      <c r="K693">
        <v>56</v>
      </c>
      <c r="L693" t="str" cm="1">
        <f t="array" ref="L693">_xlfn.IFS(
 K693&lt;=50,"≤50",
 AND(K693&gt;=51,K693&lt;=100),"51–100",
 AND(K693&gt;=101,K693&lt;=250),"101–250",
 AND(K693&gt;=251,K693&lt;=500),"251–500",
 AND(K693&gt;=501,K693&lt;=1000),"501–1000",
 K693&gt;=1001,"1001+"
)</f>
        <v>51–100</v>
      </c>
    </row>
    <row r="694" spans="1:12" x14ac:dyDescent="0.3">
      <c r="A694" t="s">
        <v>1349</v>
      </c>
      <c r="B694" t="s">
        <v>11</v>
      </c>
      <c r="C694" t="s">
        <v>5776</v>
      </c>
      <c r="F694" t="s">
        <v>5770</v>
      </c>
      <c r="J694" t="s">
        <v>5745</v>
      </c>
      <c r="K694">
        <v>57</v>
      </c>
      <c r="L694" t="str" cm="1">
        <f t="array" ref="L694">_xlfn.IFS(
 K694&lt;=50,"≤50",
 AND(K694&gt;=51,K694&lt;=100),"51–100",
 AND(K694&gt;=101,K694&lt;=250),"101–250",
 AND(K694&gt;=251,K694&lt;=500),"251–500",
 AND(K694&gt;=501,K694&lt;=1000),"501–1000",
 K694&gt;=1001,"1001+"
)</f>
        <v>51–100</v>
      </c>
    </row>
    <row r="695" spans="1:12" x14ac:dyDescent="0.3">
      <c r="A695" t="s">
        <v>1350</v>
      </c>
      <c r="B695" t="s">
        <v>9</v>
      </c>
      <c r="C695" t="s">
        <v>5780</v>
      </c>
      <c r="D695" t="s">
        <v>1351</v>
      </c>
      <c r="E695" t="s">
        <v>15</v>
      </c>
      <c r="F695" t="s">
        <v>16</v>
      </c>
      <c r="G695" t="s">
        <v>1352</v>
      </c>
      <c r="J695" t="s">
        <v>5737</v>
      </c>
      <c r="K695">
        <v>57</v>
      </c>
      <c r="L695" t="str" cm="1">
        <f t="array" ref="L695">_xlfn.IFS(
 K695&lt;=50,"≤50",
 AND(K695&gt;=51,K695&lt;=100),"51–100",
 AND(K695&gt;=101,K695&lt;=250),"101–250",
 AND(K695&gt;=251,K695&lt;=500),"251–500",
 AND(K695&gt;=501,K695&lt;=1000),"501–1000",
 K695&gt;=1001,"1001+"
)</f>
        <v>51–100</v>
      </c>
    </row>
    <row r="696" spans="1:12" x14ac:dyDescent="0.3">
      <c r="A696" t="s">
        <v>1353</v>
      </c>
      <c r="B696" t="s">
        <v>13</v>
      </c>
      <c r="C696" t="s">
        <v>5777</v>
      </c>
      <c r="D696" t="s">
        <v>65</v>
      </c>
      <c r="F696" t="s">
        <v>5770</v>
      </c>
      <c r="J696" t="s">
        <v>5737</v>
      </c>
      <c r="K696">
        <v>57</v>
      </c>
      <c r="L696" t="str" cm="1">
        <f t="array" ref="L696">_xlfn.IFS(
 K696&lt;=50,"≤50",
 AND(K696&gt;=51,K696&lt;=100),"51–100",
 AND(K696&gt;=101,K696&lt;=250),"101–250",
 AND(K696&gt;=251,K696&lt;=500),"251–500",
 AND(K696&gt;=501,K696&lt;=1000),"501–1000",
 K696&gt;=1001,"1001+"
)</f>
        <v>51–100</v>
      </c>
    </row>
    <row r="697" spans="1:12" x14ac:dyDescent="0.3">
      <c r="A697" t="s">
        <v>1354</v>
      </c>
      <c r="B697" t="s">
        <v>11</v>
      </c>
      <c r="C697" t="s">
        <v>5776</v>
      </c>
      <c r="F697" t="s">
        <v>5770</v>
      </c>
      <c r="J697" t="s">
        <v>5742</v>
      </c>
      <c r="K697">
        <v>57</v>
      </c>
      <c r="L697" t="str" cm="1">
        <f t="array" ref="L697">_xlfn.IFS(
 K697&lt;=50,"≤50",
 AND(K697&gt;=51,K697&lt;=100),"51–100",
 AND(K697&gt;=101,K697&lt;=250),"101–250",
 AND(K697&gt;=251,K697&lt;=500),"251–500",
 AND(K697&gt;=501,K697&lt;=1000),"501–1000",
 K697&gt;=1001,"1001+"
)</f>
        <v>51–100</v>
      </c>
    </row>
    <row r="698" spans="1:12" x14ac:dyDescent="0.3">
      <c r="A698" t="s">
        <v>1355</v>
      </c>
      <c r="B698" t="s">
        <v>11</v>
      </c>
      <c r="C698" t="s">
        <v>5776</v>
      </c>
      <c r="F698" t="s">
        <v>16</v>
      </c>
      <c r="G698" t="s">
        <v>288</v>
      </c>
      <c r="J698" t="s">
        <v>5738</v>
      </c>
      <c r="K698">
        <v>57</v>
      </c>
      <c r="L698" t="str" cm="1">
        <f t="array" ref="L698">_xlfn.IFS(
 K698&lt;=50,"≤50",
 AND(K698&gt;=51,K698&lt;=100),"51–100",
 AND(K698&gt;=101,K698&lt;=250),"101–250",
 AND(K698&gt;=251,K698&lt;=500),"251–500",
 AND(K698&gt;=501,K698&lt;=1000),"501–1000",
 K698&gt;=1001,"1001+"
)</f>
        <v>51–100</v>
      </c>
    </row>
    <row r="699" spans="1:12" x14ac:dyDescent="0.3">
      <c r="A699" t="s">
        <v>1356</v>
      </c>
      <c r="B699" t="s">
        <v>9</v>
      </c>
      <c r="C699" t="s">
        <v>5780</v>
      </c>
      <c r="D699" t="s">
        <v>28</v>
      </c>
      <c r="F699" t="s">
        <v>5770</v>
      </c>
      <c r="J699" t="s">
        <v>5737</v>
      </c>
      <c r="K699">
        <v>57</v>
      </c>
      <c r="L699" t="str" cm="1">
        <f t="array" ref="L699">_xlfn.IFS(
 K699&lt;=50,"≤50",
 AND(K699&gt;=51,K699&lt;=100),"51–100",
 AND(K699&gt;=101,K699&lt;=250),"101–250",
 AND(K699&gt;=251,K699&lt;=500),"251–500",
 AND(K699&gt;=501,K699&lt;=1000),"501–1000",
 K699&gt;=1001,"1001+"
)</f>
        <v>51–100</v>
      </c>
    </row>
    <row r="700" spans="1:12" x14ac:dyDescent="0.3">
      <c r="A700" t="s">
        <v>1357</v>
      </c>
      <c r="B700" t="s">
        <v>13</v>
      </c>
      <c r="C700" t="s">
        <v>5777</v>
      </c>
      <c r="D700" t="s">
        <v>245</v>
      </c>
      <c r="E700" t="s">
        <v>15</v>
      </c>
      <c r="F700" t="s">
        <v>5770</v>
      </c>
      <c r="J700" t="s">
        <v>5752</v>
      </c>
      <c r="K700">
        <v>58</v>
      </c>
      <c r="L700" t="str" cm="1">
        <f t="array" ref="L700">_xlfn.IFS(
 K700&lt;=50,"≤50",
 AND(K700&gt;=51,K700&lt;=100),"51–100",
 AND(K700&gt;=101,K700&lt;=250),"101–250",
 AND(K700&gt;=251,K700&lt;=500),"251–500",
 AND(K700&gt;=501,K700&lt;=1000),"501–1000",
 K700&gt;=1001,"1001+"
)</f>
        <v>51–100</v>
      </c>
    </row>
    <row r="701" spans="1:12" x14ac:dyDescent="0.3">
      <c r="A701" t="s">
        <v>1358</v>
      </c>
      <c r="B701" t="s">
        <v>9</v>
      </c>
      <c r="C701" t="s">
        <v>5780</v>
      </c>
      <c r="D701" t="s">
        <v>1359</v>
      </c>
      <c r="E701" t="s">
        <v>15</v>
      </c>
      <c r="F701" t="s">
        <v>16</v>
      </c>
      <c r="G701" t="s">
        <v>1360</v>
      </c>
      <c r="J701" t="s">
        <v>5737</v>
      </c>
      <c r="K701">
        <v>58</v>
      </c>
      <c r="L701" t="str" cm="1">
        <f t="array" ref="L701">_xlfn.IFS(
 K701&lt;=50,"≤50",
 AND(K701&gt;=51,K701&lt;=100),"51–100",
 AND(K701&gt;=101,K701&lt;=250),"101–250",
 AND(K701&gt;=251,K701&lt;=500),"251–500",
 AND(K701&gt;=501,K701&lt;=1000),"501–1000",
 K701&gt;=1001,"1001+"
)</f>
        <v>51–100</v>
      </c>
    </row>
    <row r="702" spans="1:12" x14ac:dyDescent="0.3">
      <c r="A702" t="s">
        <v>1361</v>
      </c>
      <c r="B702" t="s">
        <v>9</v>
      </c>
      <c r="C702" t="s">
        <v>5780</v>
      </c>
      <c r="D702" t="s">
        <v>1362</v>
      </c>
      <c r="F702" t="s">
        <v>20</v>
      </c>
      <c r="G702" t="s">
        <v>21</v>
      </c>
      <c r="J702" t="s">
        <v>5737</v>
      </c>
      <c r="K702">
        <v>58</v>
      </c>
      <c r="L702" t="str" cm="1">
        <f t="array" ref="L702">_xlfn.IFS(
 K702&lt;=50,"≤50",
 AND(K702&gt;=51,K702&lt;=100),"51–100",
 AND(K702&gt;=101,K702&lt;=250),"101–250",
 AND(K702&gt;=251,K702&lt;=500),"251–500",
 AND(K702&gt;=501,K702&lt;=1000),"501–1000",
 K702&gt;=1001,"1001+"
)</f>
        <v>51–100</v>
      </c>
    </row>
    <row r="703" spans="1:12" x14ac:dyDescent="0.3">
      <c r="A703" t="s">
        <v>1363</v>
      </c>
      <c r="B703" t="s">
        <v>9</v>
      </c>
      <c r="C703" t="s">
        <v>5780</v>
      </c>
      <c r="D703" t="s">
        <v>1364</v>
      </c>
      <c r="E703" t="s">
        <v>15</v>
      </c>
      <c r="F703" t="s">
        <v>5770</v>
      </c>
      <c r="J703" t="s">
        <v>5744</v>
      </c>
      <c r="K703">
        <v>58</v>
      </c>
      <c r="L703" t="str" cm="1">
        <f t="array" ref="L703">_xlfn.IFS(
 K703&lt;=50,"≤50",
 AND(K703&gt;=51,K703&lt;=100),"51–100",
 AND(K703&gt;=101,K703&lt;=250),"101–250",
 AND(K703&gt;=251,K703&lt;=500),"251–500",
 AND(K703&gt;=501,K703&lt;=1000),"501–1000",
 K703&gt;=1001,"1001+"
)</f>
        <v>51–100</v>
      </c>
    </row>
    <row r="704" spans="1:12" x14ac:dyDescent="0.3">
      <c r="A704" t="s">
        <v>1365</v>
      </c>
      <c r="B704" t="s">
        <v>11</v>
      </c>
      <c r="C704" t="s">
        <v>5776</v>
      </c>
      <c r="F704" t="s">
        <v>5770</v>
      </c>
      <c r="J704" t="s">
        <v>5746</v>
      </c>
      <c r="K704">
        <v>58</v>
      </c>
      <c r="L704" t="str" cm="1">
        <f t="array" ref="L704">_xlfn.IFS(
 K704&lt;=50,"≤50",
 AND(K704&gt;=51,K704&lt;=100),"51–100",
 AND(K704&gt;=101,K704&lt;=250),"101–250",
 AND(K704&gt;=251,K704&lt;=500),"251–500",
 AND(K704&gt;=501,K704&lt;=1000),"501–1000",
 K704&gt;=1001,"1001+"
)</f>
        <v>51–100</v>
      </c>
    </row>
    <row r="705" spans="1:12" x14ac:dyDescent="0.3">
      <c r="A705" t="s">
        <v>1366</v>
      </c>
      <c r="B705" t="s">
        <v>13</v>
      </c>
      <c r="C705" t="s">
        <v>5777</v>
      </c>
      <c r="D705" t="s">
        <v>1367</v>
      </c>
      <c r="F705" t="s">
        <v>5770</v>
      </c>
      <c r="J705" t="s">
        <v>5737</v>
      </c>
      <c r="K705">
        <v>59</v>
      </c>
      <c r="L705" t="str" cm="1">
        <f t="array" ref="L705">_xlfn.IFS(
 K705&lt;=50,"≤50",
 AND(K705&gt;=51,K705&lt;=100),"51–100",
 AND(K705&gt;=101,K705&lt;=250),"101–250",
 AND(K705&gt;=251,K705&lt;=500),"251–500",
 AND(K705&gt;=501,K705&lt;=1000),"501–1000",
 K705&gt;=1001,"1001+"
)</f>
        <v>51–100</v>
      </c>
    </row>
    <row r="706" spans="1:12" x14ac:dyDescent="0.3">
      <c r="A706" t="s">
        <v>1368</v>
      </c>
      <c r="B706" t="s">
        <v>9</v>
      </c>
      <c r="C706" t="s">
        <v>5780</v>
      </c>
      <c r="D706" t="s">
        <v>1369</v>
      </c>
      <c r="E706" t="s">
        <v>15</v>
      </c>
      <c r="F706" t="s">
        <v>54</v>
      </c>
      <c r="G706" t="s">
        <v>302</v>
      </c>
      <c r="J706" t="s">
        <v>5738</v>
      </c>
      <c r="K706">
        <v>60</v>
      </c>
      <c r="L706" t="str" cm="1">
        <f t="array" ref="L706">_xlfn.IFS(
 K706&lt;=50,"≤50",
 AND(K706&gt;=51,K706&lt;=100),"51–100",
 AND(K706&gt;=101,K706&lt;=250),"101–250",
 AND(K706&gt;=251,K706&lt;=500),"251–500",
 AND(K706&gt;=501,K706&lt;=1000),"501–1000",
 K706&gt;=1001,"1001+"
)</f>
        <v>51–100</v>
      </c>
    </row>
    <row r="707" spans="1:12" x14ac:dyDescent="0.3">
      <c r="A707" t="s">
        <v>1370</v>
      </c>
      <c r="B707" t="s">
        <v>13</v>
      </c>
      <c r="C707" t="s">
        <v>5777</v>
      </c>
      <c r="D707" t="s">
        <v>1371</v>
      </c>
      <c r="E707" t="s">
        <v>15</v>
      </c>
      <c r="F707" t="s">
        <v>16</v>
      </c>
      <c r="G707" t="s">
        <v>1372</v>
      </c>
      <c r="J707" t="s">
        <v>5737</v>
      </c>
      <c r="K707">
        <v>60</v>
      </c>
      <c r="L707" t="str" cm="1">
        <f t="array" ref="L707">_xlfn.IFS(
 K707&lt;=50,"≤50",
 AND(K707&gt;=51,K707&lt;=100),"51–100",
 AND(K707&gt;=101,K707&lt;=250),"101–250",
 AND(K707&gt;=251,K707&lt;=500),"251–500",
 AND(K707&gt;=501,K707&lt;=1000),"501–1000",
 K707&gt;=1001,"1001+"
)</f>
        <v>51–100</v>
      </c>
    </row>
    <row r="708" spans="1:12" x14ac:dyDescent="0.3">
      <c r="A708" t="s">
        <v>1373</v>
      </c>
      <c r="B708" t="s">
        <v>9</v>
      </c>
      <c r="C708" t="s">
        <v>5780</v>
      </c>
      <c r="D708" t="s">
        <v>1374</v>
      </c>
      <c r="E708" t="s">
        <v>15</v>
      </c>
      <c r="F708" t="s">
        <v>54</v>
      </c>
      <c r="G708" t="s">
        <v>1375</v>
      </c>
      <c r="J708" t="s">
        <v>5737</v>
      </c>
      <c r="K708">
        <v>60</v>
      </c>
      <c r="L708" t="str" cm="1">
        <f t="array" ref="L708">_xlfn.IFS(
 K708&lt;=50,"≤50",
 AND(K708&gt;=51,K708&lt;=100),"51–100",
 AND(K708&gt;=101,K708&lt;=250),"101–250",
 AND(K708&gt;=251,K708&lt;=500),"251–500",
 AND(K708&gt;=501,K708&lt;=1000),"501–1000",
 K708&gt;=1001,"1001+"
)</f>
        <v>51–100</v>
      </c>
    </row>
    <row r="709" spans="1:12" x14ac:dyDescent="0.3">
      <c r="A709" t="s">
        <v>1376</v>
      </c>
      <c r="B709" t="s">
        <v>9</v>
      </c>
      <c r="C709" t="s">
        <v>5780</v>
      </c>
      <c r="D709" t="s">
        <v>1377</v>
      </c>
      <c r="E709" t="s">
        <v>15</v>
      </c>
      <c r="F709" t="s">
        <v>5770</v>
      </c>
      <c r="J709" t="s">
        <v>5737</v>
      </c>
      <c r="K709">
        <v>60</v>
      </c>
      <c r="L709" t="str" cm="1">
        <f t="array" ref="L709">_xlfn.IFS(
 K709&lt;=50,"≤50",
 AND(K709&gt;=51,K709&lt;=100),"51–100",
 AND(K709&gt;=101,K709&lt;=250),"101–250",
 AND(K709&gt;=251,K709&lt;=500),"251–500",
 AND(K709&gt;=501,K709&lt;=1000),"501–1000",
 K709&gt;=1001,"1001+"
)</f>
        <v>51–100</v>
      </c>
    </row>
    <row r="710" spans="1:12" x14ac:dyDescent="0.3">
      <c r="A710" t="s">
        <v>1378</v>
      </c>
      <c r="B710" t="s">
        <v>9</v>
      </c>
      <c r="C710" t="s">
        <v>5780</v>
      </c>
      <c r="D710" t="s">
        <v>1379</v>
      </c>
      <c r="E710" t="s">
        <v>15</v>
      </c>
      <c r="F710" t="s">
        <v>16</v>
      </c>
      <c r="G710" t="s">
        <v>1380</v>
      </c>
      <c r="J710" t="s">
        <v>5737</v>
      </c>
      <c r="K710">
        <v>60</v>
      </c>
      <c r="L710" t="str" cm="1">
        <f t="array" ref="L710">_xlfn.IFS(
 K710&lt;=50,"≤50",
 AND(K710&gt;=51,K710&lt;=100),"51–100",
 AND(K710&gt;=101,K710&lt;=250),"101–250",
 AND(K710&gt;=251,K710&lt;=500),"251–500",
 AND(K710&gt;=501,K710&lt;=1000),"501–1000",
 K710&gt;=1001,"1001+"
)</f>
        <v>51–100</v>
      </c>
    </row>
    <row r="711" spans="1:12" x14ac:dyDescent="0.3">
      <c r="A711" t="s">
        <v>1381</v>
      </c>
      <c r="B711" t="s">
        <v>13</v>
      </c>
      <c r="C711" t="s">
        <v>5777</v>
      </c>
      <c r="D711" t="s">
        <v>1382</v>
      </c>
      <c r="E711" t="s">
        <v>15</v>
      </c>
      <c r="F711" t="s">
        <v>20</v>
      </c>
      <c r="G711" t="s">
        <v>1383</v>
      </c>
      <c r="J711" t="s">
        <v>5737</v>
      </c>
      <c r="K711">
        <v>60</v>
      </c>
      <c r="L711" t="str" cm="1">
        <f t="array" ref="L711">_xlfn.IFS(
 K711&lt;=50,"≤50",
 AND(K711&gt;=51,K711&lt;=100),"51–100",
 AND(K711&gt;=101,K711&lt;=250),"101–250",
 AND(K711&gt;=251,K711&lt;=500),"251–500",
 AND(K711&gt;=501,K711&lt;=1000),"501–1000",
 K711&gt;=1001,"1001+"
)</f>
        <v>51–100</v>
      </c>
    </row>
    <row r="712" spans="1:12" x14ac:dyDescent="0.3">
      <c r="A712" t="s">
        <v>1384</v>
      </c>
      <c r="B712" t="s">
        <v>13</v>
      </c>
      <c r="C712" t="s">
        <v>5777</v>
      </c>
      <c r="D712" t="s">
        <v>1385</v>
      </c>
      <c r="F712" t="s">
        <v>20</v>
      </c>
      <c r="G712" t="s">
        <v>21</v>
      </c>
      <c r="J712" t="s">
        <v>5737</v>
      </c>
      <c r="K712">
        <v>60</v>
      </c>
      <c r="L712" t="str" cm="1">
        <f t="array" ref="L712">_xlfn.IFS(
 K712&lt;=50,"≤50",
 AND(K712&gt;=51,K712&lt;=100),"51–100",
 AND(K712&gt;=101,K712&lt;=250),"101–250",
 AND(K712&gt;=251,K712&lt;=500),"251–500",
 AND(K712&gt;=501,K712&lt;=1000),"501–1000",
 K712&gt;=1001,"1001+"
)</f>
        <v>51–100</v>
      </c>
    </row>
    <row r="713" spans="1:12" x14ac:dyDescent="0.3">
      <c r="A713" t="s">
        <v>1386</v>
      </c>
      <c r="B713" t="s">
        <v>9</v>
      </c>
      <c r="C713" t="s">
        <v>5780</v>
      </c>
      <c r="D713" t="s">
        <v>1387</v>
      </c>
      <c r="E713" t="s">
        <v>15</v>
      </c>
      <c r="F713" t="s">
        <v>16</v>
      </c>
      <c r="G713" t="s">
        <v>88</v>
      </c>
      <c r="J713" t="s">
        <v>5744</v>
      </c>
      <c r="K713">
        <v>60</v>
      </c>
      <c r="L713" t="str" cm="1">
        <f t="array" ref="L713">_xlfn.IFS(
 K713&lt;=50,"≤50",
 AND(K713&gt;=51,K713&lt;=100),"51–100",
 AND(K713&gt;=101,K713&lt;=250),"101–250",
 AND(K713&gt;=251,K713&lt;=500),"251–500",
 AND(K713&gt;=501,K713&lt;=1000),"501–1000",
 K713&gt;=1001,"1001+"
)</f>
        <v>51–100</v>
      </c>
    </row>
    <row r="714" spans="1:12" x14ac:dyDescent="0.3">
      <c r="A714" t="s">
        <v>1388</v>
      </c>
      <c r="B714" t="s">
        <v>13</v>
      </c>
      <c r="C714" t="s">
        <v>5777</v>
      </c>
      <c r="D714" t="s">
        <v>245</v>
      </c>
      <c r="E714" t="s">
        <v>15</v>
      </c>
      <c r="F714" t="s">
        <v>5770</v>
      </c>
      <c r="J714" t="s">
        <v>5737</v>
      </c>
      <c r="K714">
        <v>60</v>
      </c>
      <c r="L714" t="str" cm="1">
        <f t="array" ref="L714">_xlfn.IFS(
 K714&lt;=50,"≤50",
 AND(K714&gt;=51,K714&lt;=100),"51–100",
 AND(K714&gt;=101,K714&lt;=250),"101–250",
 AND(K714&gt;=251,K714&lt;=500),"251–500",
 AND(K714&gt;=501,K714&lt;=1000),"501–1000",
 K714&gt;=1001,"1001+"
)</f>
        <v>51–100</v>
      </c>
    </row>
    <row r="715" spans="1:12" x14ac:dyDescent="0.3">
      <c r="A715" t="s">
        <v>1389</v>
      </c>
      <c r="B715" t="s">
        <v>13</v>
      </c>
      <c r="C715" t="s">
        <v>5777</v>
      </c>
      <c r="D715" t="s">
        <v>1390</v>
      </c>
      <c r="E715" t="s">
        <v>15</v>
      </c>
      <c r="F715" t="s">
        <v>20</v>
      </c>
      <c r="G715" t="s">
        <v>1391</v>
      </c>
      <c r="J715" t="s">
        <v>5747</v>
      </c>
      <c r="K715">
        <v>60</v>
      </c>
      <c r="L715" t="str" cm="1">
        <f t="array" ref="L715">_xlfn.IFS(
 K715&lt;=50,"≤50",
 AND(K715&gt;=51,K715&lt;=100),"51–100",
 AND(K715&gt;=101,K715&lt;=250),"101–250",
 AND(K715&gt;=251,K715&lt;=500),"251–500",
 AND(K715&gt;=501,K715&lt;=1000),"501–1000",
 K715&gt;=1001,"1001+"
)</f>
        <v>51–100</v>
      </c>
    </row>
    <row r="716" spans="1:12" x14ac:dyDescent="0.3">
      <c r="A716" t="s">
        <v>1392</v>
      </c>
      <c r="B716" t="s">
        <v>13</v>
      </c>
      <c r="C716" t="s">
        <v>5777</v>
      </c>
      <c r="D716" t="s">
        <v>1393</v>
      </c>
      <c r="E716" t="s">
        <v>15</v>
      </c>
      <c r="F716" t="s">
        <v>54</v>
      </c>
      <c r="G716" t="s">
        <v>1394</v>
      </c>
      <c r="J716" t="s">
        <v>5737</v>
      </c>
      <c r="K716">
        <v>60</v>
      </c>
      <c r="L716" t="str" cm="1">
        <f t="array" ref="L716">_xlfn.IFS(
 K716&lt;=50,"≤50",
 AND(K716&gt;=51,K716&lt;=100),"51–100",
 AND(K716&gt;=101,K716&lt;=250),"101–250",
 AND(K716&gt;=251,K716&lt;=500),"251–500",
 AND(K716&gt;=501,K716&lt;=1000),"501–1000",
 K716&gt;=1001,"1001+"
)</f>
        <v>51–100</v>
      </c>
    </row>
    <row r="717" spans="1:12" x14ac:dyDescent="0.3">
      <c r="A717" t="s">
        <v>1395</v>
      </c>
      <c r="B717" t="s">
        <v>11</v>
      </c>
      <c r="C717" t="s">
        <v>5776</v>
      </c>
      <c r="F717" t="s">
        <v>5770</v>
      </c>
      <c r="J717" t="s">
        <v>5737</v>
      </c>
      <c r="K717">
        <v>60</v>
      </c>
      <c r="L717" t="str" cm="1">
        <f t="array" ref="L717">_xlfn.IFS(
 K717&lt;=50,"≤50",
 AND(K717&gt;=51,K717&lt;=100),"51–100",
 AND(K717&gt;=101,K717&lt;=250),"101–250",
 AND(K717&gt;=251,K717&lt;=500),"251–500",
 AND(K717&gt;=501,K717&lt;=1000),"501–1000",
 K717&gt;=1001,"1001+"
)</f>
        <v>51–100</v>
      </c>
    </row>
    <row r="718" spans="1:12" x14ac:dyDescent="0.3">
      <c r="A718" t="s">
        <v>1396</v>
      </c>
      <c r="B718" t="s">
        <v>13</v>
      </c>
      <c r="C718" t="s">
        <v>5777</v>
      </c>
      <c r="D718" t="s">
        <v>231</v>
      </c>
      <c r="F718" t="s">
        <v>5770</v>
      </c>
      <c r="J718" t="s">
        <v>5737</v>
      </c>
      <c r="K718">
        <v>60</v>
      </c>
      <c r="L718" t="str" cm="1">
        <f t="array" ref="L718">_xlfn.IFS(
 K718&lt;=50,"≤50",
 AND(K718&gt;=51,K718&lt;=100),"51–100",
 AND(K718&gt;=101,K718&lt;=250),"101–250",
 AND(K718&gt;=251,K718&lt;=500),"251–500",
 AND(K718&gt;=501,K718&lt;=1000),"501–1000",
 K718&gt;=1001,"1001+"
)</f>
        <v>51–100</v>
      </c>
    </row>
    <row r="719" spans="1:12" x14ac:dyDescent="0.3">
      <c r="A719" t="s">
        <v>1397</v>
      </c>
      <c r="B719" t="s">
        <v>11</v>
      </c>
      <c r="C719" t="s">
        <v>5776</v>
      </c>
      <c r="F719" t="s">
        <v>5770</v>
      </c>
      <c r="J719" t="s">
        <v>5737</v>
      </c>
      <c r="K719">
        <v>60</v>
      </c>
      <c r="L719" t="str" cm="1">
        <f t="array" ref="L719">_xlfn.IFS(
 K719&lt;=50,"≤50",
 AND(K719&gt;=51,K719&lt;=100),"51–100",
 AND(K719&gt;=101,K719&lt;=250),"101–250",
 AND(K719&gt;=251,K719&lt;=500),"251–500",
 AND(K719&gt;=501,K719&lt;=1000),"501–1000",
 K719&gt;=1001,"1001+"
)</f>
        <v>51–100</v>
      </c>
    </row>
    <row r="720" spans="1:12" x14ac:dyDescent="0.3">
      <c r="A720" t="s">
        <v>1398</v>
      </c>
      <c r="B720" t="s">
        <v>11</v>
      </c>
      <c r="C720" t="s">
        <v>5776</v>
      </c>
      <c r="F720" t="s">
        <v>5770</v>
      </c>
      <c r="J720" t="s">
        <v>5744</v>
      </c>
      <c r="K720">
        <v>60</v>
      </c>
      <c r="L720" t="str" cm="1">
        <f t="array" ref="L720">_xlfn.IFS(
 K720&lt;=50,"≤50",
 AND(K720&gt;=51,K720&lt;=100),"51–100",
 AND(K720&gt;=101,K720&lt;=250),"101–250",
 AND(K720&gt;=251,K720&lt;=500),"251–500",
 AND(K720&gt;=501,K720&lt;=1000),"501–1000",
 K720&gt;=1001,"1001+"
)</f>
        <v>51–100</v>
      </c>
    </row>
    <row r="721" spans="1:12" x14ac:dyDescent="0.3">
      <c r="A721" t="s">
        <v>1399</v>
      </c>
      <c r="B721" t="s">
        <v>9</v>
      </c>
      <c r="C721" t="s">
        <v>5780</v>
      </c>
      <c r="D721" t="s">
        <v>1400</v>
      </c>
      <c r="F721" t="s">
        <v>5770</v>
      </c>
      <c r="J721" t="s">
        <v>5753</v>
      </c>
      <c r="K721">
        <v>60</v>
      </c>
      <c r="L721" t="str" cm="1">
        <f t="array" ref="L721">_xlfn.IFS(
 K721&lt;=50,"≤50",
 AND(K721&gt;=51,K721&lt;=100),"51–100",
 AND(K721&gt;=101,K721&lt;=250),"101–250",
 AND(K721&gt;=251,K721&lt;=500),"251–500",
 AND(K721&gt;=501,K721&lt;=1000),"501–1000",
 K721&gt;=1001,"1001+"
)</f>
        <v>51–100</v>
      </c>
    </row>
    <row r="722" spans="1:12" x14ac:dyDescent="0.3">
      <c r="A722" t="s">
        <v>1401</v>
      </c>
      <c r="B722" t="s">
        <v>197</v>
      </c>
      <c r="C722" t="s">
        <v>5774</v>
      </c>
      <c r="D722" t="s">
        <v>1402</v>
      </c>
      <c r="E722" t="s">
        <v>15</v>
      </c>
      <c r="F722" t="s">
        <v>20</v>
      </c>
      <c r="G722" t="s">
        <v>1403</v>
      </c>
      <c r="J722" t="s">
        <v>5737</v>
      </c>
      <c r="K722">
        <v>60</v>
      </c>
      <c r="L722" t="str" cm="1">
        <f t="array" ref="L722">_xlfn.IFS(
 K722&lt;=50,"≤50",
 AND(K722&gt;=51,K722&lt;=100),"51–100",
 AND(K722&gt;=101,K722&lt;=250),"101–250",
 AND(K722&gt;=251,K722&lt;=500),"251–500",
 AND(K722&gt;=501,K722&lt;=1000),"501–1000",
 K722&gt;=1001,"1001+"
)</f>
        <v>51–100</v>
      </c>
    </row>
    <row r="723" spans="1:12" x14ac:dyDescent="0.3">
      <c r="A723" t="s">
        <v>1404</v>
      </c>
      <c r="B723" t="s">
        <v>13</v>
      </c>
      <c r="C723" t="s">
        <v>5777</v>
      </c>
      <c r="D723" t="s">
        <v>1405</v>
      </c>
      <c r="E723" t="s">
        <v>15</v>
      </c>
      <c r="F723" t="s">
        <v>5770</v>
      </c>
      <c r="J723" t="s">
        <v>5737</v>
      </c>
      <c r="K723">
        <v>60</v>
      </c>
      <c r="L723" t="str" cm="1">
        <f t="array" ref="L723">_xlfn.IFS(
 K723&lt;=50,"≤50",
 AND(K723&gt;=51,K723&lt;=100),"51–100",
 AND(K723&gt;=101,K723&lt;=250),"101–250",
 AND(K723&gt;=251,K723&lt;=500),"251–500",
 AND(K723&gt;=501,K723&lt;=1000),"501–1000",
 K723&gt;=1001,"1001+"
)</f>
        <v>51–100</v>
      </c>
    </row>
    <row r="724" spans="1:12" x14ac:dyDescent="0.3">
      <c r="A724" t="s">
        <v>1406</v>
      </c>
      <c r="B724" t="s">
        <v>9</v>
      </c>
      <c r="C724" t="s">
        <v>5780</v>
      </c>
      <c r="D724" t="s">
        <v>1407</v>
      </c>
      <c r="E724" t="s">
        <v>15</v>
      </c>
      <c r="F724" t="s">
        <v>20</v>
      </c>
      <c r="G724" t="s">
        <v>1408</v>
      </c>
      <c r="J724" t="s">
        <v>5737</v>
      </c>
      <c r="K724">
        <v>60</v>
      </c>
      <c r="L724" t="str" cm="1">
        <f t="array" ref="L724">_xlfn.IFS(
 K724&lt;=50,"≤50",
 AND(K724&gt;=51,K724&lt;=100),"51–100",
 AND(K724&gt;=101,K724&lt;=250),"101–250",
 AND(K724&gt;=251,K724&lt;=500),"251–500",
 AND(K724&gt;=501,K724&lt;=1000),"501–1000",
 K724&gt;=1001,"1001+"
)</f>
        <v>51–100</v>
      </c>
    </row>
    <row r="725" spans="1:12" x14ac:dyDescent="0.3">
      <c r="A725" t="s">
        <v>1409</v>
      </c>
      <c r="B725" t="s">
        <v>9</v>
      </c>
      <c r="C725" t="s">
        <v>5780</v>
      </c>
      <c r="D725" t="s">
        <v>1410</v>
      </c>
      <c r="E725" t="s">
        <v>15</v>
      </c>
      <c r="F725" t="s">
        <v>54</v>
      </c>
      <c r="G725" t="s">
        <v>1411</v>
      </c>
      <c r="J725" t="s">
        <v>5737</v>
      </c>
      <c r="K725">
        <v>60</v>
      </c>
      <c r="L725" t="str" cm="1">
        <f t="array" ref="L725">_xlfn.IFS(
 K725&lt;=50,"≤50",
 AND(K725&gt;=51,K725&lt;=100),"51–100",
 AND(K725&gt;=101,K725&lt;=250),"101–250",
 AND(K725&gt;=251,K725&lt;=500),"251–500",
 AND(K725&gt;=501,K725&lt;=1000),"501–1000",
 K725&gt;=1001,"1001+"
)</f>
        <v>51–100</v>
      </c>
    </row>
    <row r="726" spans="1:12" x14ac:dyDescent="0.3">
      <c r="A726" t="s">
        <v>1412</v>
      </c>
      <c r="B726" t="s">
        <v>9</v>
      </c>
      <c r="C726" t="s">
        <v>5780</v>
      </c>
      <c r="D726" t="s">
        <v>1413</v>
      </c>
      <c r="E726" t="s">
        <v>15</v>
      </c>
      <c r="F726" t="s">
        <v>20</v>
      </c>
      <c r="G726" t="s">
        <v>1414</v>
      </c>
      <c r="J726" t="s">
        <v>5737</v>
      </c>
      <c r="K726">
        <v>60</v>
      </c>
      <c r="L726" t="str" cm="1">
        <f t="array" ref="L726">_xlfn.IFS(
 K726&lt;=50,"≤50",
 AND(K726&gt;=51,K726&lt;=100),"51–100",
 AND(K726&gt;=101,K726&lt;=250),"101–250",
 AND(K726&gt;=251,K726&lt;=500),"251–500",
 AND(K726&gt;=501,K726&lt;=1000),"501–1000",
 K726&gt;=1001,"1001+"
)</f>
        <v>51–100</v>
      </c>
    </row>
    <row r="727" spans="1:12" x14ac:dyDescent="0.3">
      <c r="A727" t="s">
        <v>1415</v>
      </c>
      <c r="B727" t="s">
        <v>9</v>
      </c>
      <c r="C727" t="s">
        <v>5780</v>
      </c>
      <c r="D727" t="s">
        <v>1416</v>
      </c>
      <c r="E727" t="s">
        <v>15</v>
      </c>
      <c r="F727" t="s">
        <v>20</v>
      </c>
      <c r="G727" t="s">
        <v>1417</v>
      </c>
      <c r="J727" t="s">
        <v>5753</v>
      </c>
      <c r="K727">
        <v>60</v>
      </c>
      <c r="L727" t="str" cm="1">
        <f t="array" ref="L727">_xlfn.IFS(
 K727&lt;=50,"≤50",
 AND(K727&gt;=51,K727&lt;=100),"51–100",
 AND(K727&gt;=101,K727&lt;=250),"101–250",
 AND(K727&gt;=251,K727&lt;=500),"251–500",
 AND(K727&gt;=501,K727&lt;=1000),"501–1000",
 K727&gt;=1001,"1001+"
)</f>
        <v>51–100</v>
      </c>
    </row>
    <row r="728" spans="1:12" x14ac:dyDescent="0.3">
      <c r="A728" t="s">
        <v>1418</v>
      </c>
      <c r="B728" t="s">
        <v>13</v>
      </c>
      <c r="C728" t="s">
        <v>5777</v>
      </c>
      <c r="D728" t="s">
        <v>245</v>
      </c>
      <c r="E728" t="s">
        <v>15</v>
      </c>
      <c r="F728" t="s">
        <v>54</v>
      </c>
      <c r="G728" t="s">
        <v>1419</v>
      </c>
      <c r="J728" t="s">
        <v>5753</v>
      </c>
      <c r="K728">
        <v>60</v>
      </c>
      <c r="L728" t="str" cm="1">
        <f t="array" ref="L728">_xlfn.IFS(
 K728&lt;=50,"≤50",
 AND(K728&gt;=51,K728&lt;=100),"51–100",
 AND(K728&gt;=101,K728&lt;=250),"101–250",
 AND(K728&gt;=251,K728&lt;=500),"251–500",
 AND(K728&gt;=501,K728&lt;=1000),"501–1000",
 K728&gt;=1001,"1001+"
)</f>
        <v>51–100</v>
      </c>
    </row>
    <row r="729" spans="1:12" x14ac:dyDescent="0.3">
      <c r="A729" t="s">
        <v>1420</v>
      </c>
      <c r="B729" t="s">
        <v>9</v>
      </c>
      <c r="C729" t="s">
        <v>5780</v>
      </c>
      <c r="D729" t="s">
        <v>51</v>
      </c>
      <c r="F729" t="s">
        <v>54</v>
      </c>
      <c r="G729" t="s">
        <v>218</v>
      </c>
      <c r="J729" t="s">
        <v>5754</v>
      </c>
      <c r="K729">
        <v>60</v>
      </c>
      <c r="L729" t="str" cm="1">
        <f t="array" ref="L729">_xlfn.IFS(
 K729&lt;=50,"≤50",
 AND(K729&gt;=51,K729&lt;=100),"51–100",
 AND(K729&gt;=101,K729&lt;=250),"101–250",
 AND(K729&gt;=251,K729&lt;=500),"251–500",
 AND(K729&gt;=501,K729&lt;=1000),"501–1000",
 K729&gt;=1001,"1001+"
)</f>
        <v>51–100</v>
      </c>
    </row>
    <row r="730" spans="1:12" x14ac:dyDescent="0.3">
      <c r="A730" t="s">
        <v>1421</v>
      </c>
      <c r="B730" t="s">
        <v>13</v>
      </c>
      <c r="C730" t="s">
        <v>5777</v>
      </c>
      <c r="D730" t="s">
        <v>1422</v>
      </c>
      <c r="F730" t="s">
        <v>20</v>
      </c>
      <c r="G730" t="s">
        <v>1423</v>
      </c>
      <c r="J730" t="s">
        <v>5737</v>
      </c>
      <c r="K730">
        <v>60</v>
      </c>
      <c r="L730" t="str" cm="1">
        <f t="array" ref="L730">_xlfn.IFS(
 K730&lt;=50,"≤50",
 AND(K730&gt;=51,K730&lt;=100),"51–100",
 AND(K730&gt;=101,K730&lt;=250),"101–250",
 AND(K730&gt;=251,K730&lt;=500),"251–500",
 AND(K730&gt;=501,K730&lt;=1000),"501–1000",
 K730&gt;=1001,"1001+"
)</f>
        <v>51–100</v>
      </c>
    </row>
    <row r="731" spans="1:12" x14ac:dyDescent="0.3">
      <c r="A731" t="s">
        <v>1424</v>
      </c>
      <c r="B731" t="s">
        <v>13</v>
      </c>
      <c r="C731" t="s">
        <v>5777</v>
      </c>
      <c r="D731" t="s">
        <v>1422</v>
      </c>
      <c r="E731" t="s">
        <v>15</v>
      </c>
      <c r="F731" t="s">
        <v>20</v>
      </c>
      <c r="G731" t="s">
        <v>1423</v>
      </c>
      <c r="J731" t="s">
        <v>5744</v>
      </c>
      <c r="K731">
        <v>60</v>
      </c>
      <c r="L731" t="str" cm="1">
        <f t="array" ref="L731">_xlfn.IFS(
 K731&lt;=50,"≤50",
 AND(K731&gt;=51,K731&lt;=100),"51–100",
 AND(K731&gt;=101,K731&lt;=250),"101–250",
 AND(K731&gt;=251,K731&lt;=500),"251–500",
 AND(K731&gt;=501,K731&lt;=1000),"501–1000",
 K731&gt;=1001,"1001+"
)</f>
        <v>51–100</v>
      </c>
    </row>
    <row r="732" spans="1:12" x14ac:dyDescent="0.3">
      <c r="A732" t="s">
        <v>1425</v>
      </c>
      <c r="B732" t="s">
        <v>9</v>
      </c>
      <c r="C732" t="s">
        <v>5780</v>
      </c>
      <c r="D732" t="s">
        <v>1426</v>
      </c>
      <c r="E732" t="s">
        <v>15</v>
      </c>
      <c r="F732" t="s">
        <v>54</v>
      </c>
      <c r="G732" t="s">
        <v>1427</v>
      </c>
      <c r="J732" t="s">
        <v>5744</v>
      </c>
      <c r="K732">
        <v>60</v>
      </c>
      <c r="L732" t="str" cm="1">
        <f t="array" ref="L732">_xlfn.IFS(
 K732&lt;=50,"≤50",
 AND(K732&gt;=51,K732&lt;=100),"51–100",
 AND(K732&gt;=101,K732&lt;=250),"101–250",
 AND(K732&gt;=251,K732&lt;=500),"251–500",
 AND(K732&gt;=501,K732&lt;=1000),"501–1000",
 K732&gt;=1001,"1001+"
)</f>
        <v>51–100</v>
      </c>
    </row>
    <row r="733" spans="1:12" x14ac:dyDescent="0.3">
      <c r="A733" t="s">
        <v>1428</v>
      </c>
      <c r="B733" t="s">
        <v>9</v>
      </c>
      <c r="C733" t="s">
        <v>5780</v>
      </c>
      <c r="D733" t="s">
        <v>28</v>
      </c>
      <c r="E733" t="s">
        <v>15</v>
      </c>
      <c r="F733" t="s">
        <v>20</v>
      </c>
      <c r="G733" t="s">
        <v>1429</v>
      </c>
      <c r="J733" t="s">
        <v>5752</v>
      </c>
      <c r="K733">
        <v>60</v>
      </c>
      <c r="L733" t="str" cm="1">
        <f t="array" ref="L733">_xlfn.IFS(
 K733&lt;=50,"≤50",
 AND(K733&gt;=51,K733&lt;=100),"51–100",
 AND(K733&gt;=101,K733&lt;=250),"101–250",
 AND(K733&gt;=251,K733&lt;=500),"251–500",
 AND(K733&gt;=501,K733&lt;=1000),"501–1000",
 K733&gt;=1001,"1001+"
)</f>
        <v>51–100</v>
      </c>
    </row>
    <row r="734" spans="1:12" x14ac:dyDescent="0.3">
      <c r="A734" t="s">
        <v>1430</v>
      </c>
      <c r="B734" t="s">
        <v>9</v>
      </c>
      <c r="C734" t="s">
        <v>5780</v>
      </c>
      <c r="D734" t="s">
        <v>1431</v>
      </c>
      <c r="E734" t="s">
        <v>15</v>
      </c>
      <c r="F734" t="s">
        <v>54</v>
      </c>
      <c r="G734" t="s">
        <v>1432</v>
      </c>
      <c r="J734" t="s">
        <v>5753</v>
      </c>
      <c r="K734">
        <v>60</v>
      </c>
      <c r="L734" t="str" cm="1">
        <f t="array" ref="L734">_xlfn.IFS(
 K734&lt;=50,"≤50",
 AND(K734&gt;=51,K734&lt;=100),"51–100",
 AND(K734&gt;=101,K734&lt;=250),"101–250",
 AND(K734&gt;=251,K734&lt;=500),"251–500",
 AND(K734&gt;=501,K734&lt;=1000),"501–1000",
 K734&gt;=1001,"1001+"
)</f>
        <v>51–100</v>
      </c>
    </row>
    <row r="735" spans="1:12" x14ac:dyDescent="0.3">
      <c r="A735" t="s">
        <v>1433</v>
      </c>
      <c r="B735" t="s">
        <v>11</v>
      </c>
      <c r="C735" t="s">
        <v>5776</v>
      </c>
      <c r="F735" t="s">
        <v>5770</v>
      </c>
      <c r="J735" t="s">
        <v>5737</v>
      </c>
      <c r="K735">
        <v>60</v>
      </c>
      <c r="L735" t="str" cm="1">
        <f t="array" ref="L735">_xlfn.IFS(
 K735&lt;=50,"≤50",
 AND(K735&gt;=51,K735&lt;=100),"51–100",
 AND(K735&gt;=101,K735&lt;=250),"101–250",
 AND(K735&gt;=251,K735&lt;=500),"251–500",
 AND(K735&gt;=501,K735&lt;=1000),"501–1000",
 K735&gt;=1001,"1001+"
)</f>
        <v>51–100</v>
      </c>
    </row>
    <row r="736" spans="1:12" x14ac:dyDescent="0.3">
      <c r="A736" t="s">
        <v>1434</v>
      </c>
      <c r="B736" t="s">
        <v>11</v>
      </c>
      <c r="C736" t="s">
        <v>5776</v>
      </c>
      <c r="F736" t="s">
        <v>5770</v>
      </c>
      <c r="J736" t="s">
        <v>5739</v>
      </c>
      <c r="K736">
        <v>60</v>
      </c>
      <c r="L736" t="str" cm="1">
        <f t="array" ref="L736">_xlfn.IFS(
 K736&lt;=50,"≤50",
 AND(K736&gt;=51,K736&lt;=100),"51–100",
 AND(K736&gt;=101,K736&lt;=250),"101–250",
 AND(K736&gt;=251,K736&lt;=500),"251–500",
 AND(K736&gt;=501,K736&lt;=1000),"501–1000",
 K736&gt;=1001,"1001+"
)</f>
        <v>51–100</v>
      </c>
    </row>
    <row r="737" spans="1:12" x14ac:dyDescent="0.3">
      <c r="A737" t="s">
        <v>1435</v>
      </c>
      <c r="B737" t="s">
        <v>13</v>
      </c>
      <c r="C737" t="s">
        <v>5777</v>
      </c>
      <c r="D737" t="s">
        <v>1436</v>
      </c>
      <c r="E737" t="s">
        <v>15</v>
      </c>
      <c r="F737" t="s">
        <v>20</v>
      </c>
      <c r="G737" t="s">
        <v>117</v>
      </c>
      <c r="J737" t="s">
        <v>5743</v>
      </c>
      <c r="K737">
        <v>60</v>
      </c>
      <c r="L737" t="str" cm="1">
        <f t="array" ref="L737">_xlfn.IFS(
 K737&lt;=50,"≤50",
 AND(K737&gt;=51,K737&lt;=100),"51–100",
 AND(K737&gt;=101,K737&lt;=250),"101–250",
 AND(K737&gt;=251,K737&lt;=500),"251–500",
 AND(K737&gt;=501,K737&lt;=1000),"501–1000",
 K737&gt;=1001,"1001+"
)</f>
        <v>51–100</v>
      </c>
    </row>
    <row r="738" spans="1:12" x14ac:dyDescent="0.3">
      <c r="A738" t="s">
        <v>1437</v>
      </c>
      <c r="B738" t="s">
        <v>9</v>
      </c>
      <c r="C738" t="s">
        <v>5780</v>
      </c>
      <c r="D738" t="s">
        <v>1438</v>
      </c>
      <c r="E738" t="s">
        <v>15</v>
      </c>
      <c r="F738" t="s">
        <v>5770</v>
      </c>
      <c r="J738" t="s">
        <v>5744</v>
      </c>
      <c r="K738">
        <v>60</v>
      </c>
      <c r="L738" t="str" cm="1">
        <f t="array" ref="L738">_xlfn.IFS(
 K738&lt;=50,"≤50",
 AND(K738&gt;=51,K738&lt;=100),"51–100",
 AND(K738&gt;=101,K738&lt;=250),"101–250",
 AND(K738&gt;=251,K738&lt;=500),"251–500",
 AND(K738&gt;=501,K738&lt;=1000),"501–1000",
 K738&gt;=1001,"1001+"
)</f>
        <v>51–100</v>
      </c>
    </row>
    <row r="739" spans="1:12" x14ac:dyDescent="0.3">
      <c r="A739" t="s">
        <v>1439</v>
      </c>
      <c r="B739" t="s">
        <v>9</v>
      </c>
      <c r="C739" t="s">
        <v>5780</v>
      </c>
      <c r="D739" t="s">
        <v>1440</v>
      </c>
      <c r="E739" t="s">
        <v>15</v>
      </c>
      <c r="F739" t="s">
        <v>16</v>
      </c>
      <c r="G739" t="s">
        <v>1441</v>
      </c>
      <c r="J739" t="s">
        <v>5744</v>
      </c>
      <c r="K739">
        <v>60</v>
      </c>
      <c r="L739" t="str" cm="1">
        <f t="array" ref="L739">_xlfn.IFS(
 K739&lt;=50,"≤50",
 AND(K739&gt;=51,K739&lt;=100),"51–100",
 AND(K739&gt;=101,K739&lt;=250),"101–250",
 AND(K739&gt;=251,K739&lt;=500),"251–500",
 AND(K739&gt;=501,K739&lt;=1000),"501–1000",
 K739&gt;=1001,"1001+"
)</f>
        <v>51–100</v>
      </c>
    </row>
    <row r="740" spans="1:12" x14ac:dyDescent="0.3">
      <c r="A740" t="s">
        <v>1442</v>
      </c>
      <c r="B740" t="s">
        <v>9</v>
      </c>
      <c r="C740" t="s">
        <v>5780</v>
      </c>
      <c r="D740" t="s">
        <v>1443</v>
      </c>
      <c r="E740" t="s">
        <v>15</v>
      </c>
      <c r="F740" t="s">
        <v>5770</v>
      </c>
      <c r="J740" t="s">
        <v>5754</v>
      </c>
      <c r="K740">
        <v>60</v>
      </c>
      <c r="L740" t="str" cm="1">
        <f t="array" ref="L740">_xlfn.IFS(
 K740&lt;=50,"≤50",
 AND(K740&gt;=51,K740&lt;=100),"51–100",
 AND(K740&gt;=101,K740&lt;=250),"101–250",
 AND(K740&gt;=251,K740&lt;=500),"251–500",
 AND(K740&gt;=501,K740&lt;=1000),"501–1000",
 K740&gt;=1001,"1001+"
)</f>
        <v>51–100</v>
      </c>
    </row>
    <row r="741" spans="1:12" x14ac:dyDescent="0.3">
      <c r="A741" t="s">
        <v>1444</v>
      </c>
      <c r="B741" t="s">
        <v>9</v>
      </c>
      <c r="C741" t="s">
        <v>5780</v>
      </c>
      <c r="D741" t="s">
        <v>1445</v>
      </c>
      <c r="E741" t="s">
        <v>15</v>
      </c>
      <c r="F741" t="s">
        <v>20</v>
      </c>
      <c r="G741" t="s">
        <v>21</v>
      </c>
      <c r="J741" t="s">
        <v>5758</v>
      </c>
      <c r="K741">
        <v>60</v>
      </c>
      <c r="L741" t="str" cm="1">
        <f t="array" ref="L741">_xlfn.IFS(
 K741&lt;=50,"≤50",
 AND(K741&gt;=51,K741&lt;=100),"51–100",
 AND(K741&gt;=101,K741&lt;=250),"101–250",
 AND(K741&gt;=251,K741&lt;=500),"251–500",
 AND(K741&gt;=501,K741&lt;=1000),"501–1000",
 K741&gt;=1001,"1001+"
)</f>
        <v>51–100</v>
      </c>
    </row>
    <row r="742" spans="1:12" x14ac:dyDescent="0.3">
      <c r="A742" t="s">
        <v>1446</v>
      </c>
      <c r="B742" t="s">
        <v>9</v>
      </c>
      <c r="C742" t="s">
        <v>5780</v>
      </c>
      <c r="D742" t="s">
        <v>28</v>
      </c>
      <c r="F742" t="s">
        <v>20</v>
      </c>
      <c r="G742" t="s">
        <v>135</v>
      </c>
      <c r="J742" t="s">
        <v>5740</v>
      </c>
      <c r="K742">
        <v>60</v>
      </c>
      <c r="L742" t="str" cm="1">
        <f t="array" ref="L742">_xlfn.IFS(
 K742&lt;=50,"≤50",
 AND(K742&gt;=51,K742&lt;=100),"51–100",
 AND(K742&gt;=101,K742&lt;=250),"101–250",
 AND(K742&gt;=251,K742&lt;=500),"251–500",
 AND(K742&gt;=501,K742&lt;=1000),"501–1000",
 K742&gt;=1001,"1001+"
)</f>
        <v>51–100</v>
      </c>
    </row>
    <row r="743" spans="1:12" x14ac:dyDescent="0.3">
      <c r="A743" t="s">
        <v>1447</v>
      </c>
      <c r="B743" t="s">
        <v>9</v>
      </c>
      <c r="C743" t="s">
        <v>5780</v>
      </c>
      <c r="D743" t="s">
        <v>1448</v>
      </c>
      <c r="E743" t="s">
        <v>15</v>
      </c>
      <c r="F743" t="s">
        <v>16</v>
      </c>
      <c r="G743" t="s">
        <v>1449</v>
      </c>
      <c r="J743" t="s">
        <v>5737</v>
      </c>
      <c r="K743">
        <v>60</v>
      </c>
      <c r="L743" t="str" cm="1">
        <f t="array" ref="L743">_xlfn.IFS(
 K743&lt;=50,"≤50",
 AND(K743&gt;=51,K743&lt;=100),"51–100",
 AND(K743&gt;=101,K743&lt;=250),"101–250",
 AND(K743&gt;=251,K743&lt;=500),"251–500",
 AND(K743&gt;=501,K743&lt;=1000),"501–1000",
 K743&gt;=1001,"1001+"
)</f>
        <v>51–100</v>
      </c>
    </row>
    <row r="744" spans="1:12" x14ac:dyDescent="0.3">
      <c r="A744" t="s">
        <v>1450</v>
      </c>
      <c r="B744" t="s">
        <v>9</v>
      </c>
      <c r="C744" t="s">
        <v>5780</v>
      </c>
      <c r="D744" t="s">
        <v>339</v>
      </c>
      <c r="F744" t="s">
        <v>5770</v>
      </c>
      <c r="J744" t="s">
        <v>5745</v>
      </c>
      <c r="K744">
        <v>60</v>
      </c>
      <c r="L744" t="str" cm="1">
        <f t="array" ref="L744">_xlfn.IFS(
 K744&lt;=50,"≤50",
 AND(K744&gt;=51,K744&lt;=100),"51–100",
 AND(K744&gt;=101,K744&lt;=250),"101–250",
 AND(K744&gt;=251,K744&lt;=500),"251–500",
 AND(K744&gt;=501,K744&lt;=1000),"501–1000",
 K744&gt;=1001,"1001+"
)</f>
        <v>51–100</v>
      </c>
    </row>
    <row r="745" spans="1:12" x14ac:dyDescent="0.3">
      <c r="A745" t="s">
        <v>1451</v>
      </c>
      <c r="B745" t="s">
        <v>9</v>
      </c>
      <c r="C745" t="s">
        <v>5780</v>
      </c>
      <c r="D745" t="s">
        <v>1452</v>
      </c>
      <c r="E745" t="s">
        <v>15</v>
      </c>
      <c r="F745" t="s">
        <v>16</v>
      </c>
      <c r="G745" t="s">
        <v>138</v>
      </c>
      <c r="J745" t="s">
        <v>5737</v>
      </c>
      <c r="K745">
        <v>60</v>
      </c>
      <c r="L745" t="str" cm="1">
        <f t="array" ref="L745">_xlfn.IFS(
 K745&lt;=50,"≤50",
 AND(K745&gt;=51,K745&lt;=100),"51–100",
 AND(K745&gt;=101,K745&lt;=250),"101–250",
 AND(K745&gt;=251,K745&lt;=500),"251–500",
 AND(K745&gt;=501,K745&lt;=1000),"501–1000",
 K745&gt;=1001,"1001+"
)</f>
        <v>51–100</v>
      </c>
    </row>
    <row r="746" spans="1:12" x14ac:dyDescent="0.3">
      <c r="A746" t="s">
        <v>1453</v>
      </c>
      <c r="B746" t="s">
        <v>9</v>
      </c>
      <c r="C746" t="s">
        <v>5780</v>
      </c>
      <c r="D746" t="s">
        <v>1454</v>
      </c>
      <c r="E746" t="s">
        <v>15</v>
      </c>
      <c r="F746" t="s">
        <v>54</v>
      </c>
      <c r="G746" t="s">
        <v>1455</v>
      </c>
      <c r="J746" t="s">
        <v>5737</v>
      </c>
      <c r="K746">
        <v>60</v>
      </c>
      <c r="L746" t="str" cm="1">
        <f t="array" ref="L746">_xlfn.IFS(
 K746&lt;=50,"≤50",
 AND(K746&gt;=51,K746&lt;=100),"51–100",
 AND(K746&gt;=101,K746&lt;=250),"101–250",
 AND(K746&gt;=251,K746&lt;=500),"251–500",
 AND(K746&gt;=501,K746&lt;=1000),"501–1000",
 K746&gt;=1001,"1001+"
)</f>
        <v>51–100</v>
      </c>
    </row>
    <row r="747" spans="1:12" x14ac:dyDescent="0.3">
      <c r="A747" t="s">
        <v>1456</v>
      </c>
      <c r="B747" t="s">
        <v>9</v>
      </c>
      <c r="C747" t="s">
        <v>5780</v>
      </c>
      <c r="D747" t="s">
        <v>442</v>
      </c>
      <c r="F747" t="s">
        <v>5770</v>
      </c>
      <c r="J747" t="s">
        <v>5737</v>
      </c>
      <c r="K747">
        <v>60</v>
      </c>
      <c r="L747" t="str" cm="1">
        <f t="array" ref="L747">_xlfn.IFS(
 K747&lt;=50,"≤50",
 AND(K747&gt;=51,K747&lt;=100),"51–100",
 AND(K747&gt;=101,K747&lt;=250),"101–250",
 AND(K747&gt;=251,K747&lt;=500),"251–500",
 AND(K747&gt;=501,K747&lt;=1000),"501–1000",
 K747&gt;=1001,"1001+"
)</f>
        <v>51–100</v>
      </c>
    </row>
    <row r="748" spans="1:12" x14ac:dyDescent="0.3">
      <c r="A748" t="s">
        <v>1457</v>
      </c>
      <c r="B748" t="s">
        <v>13</v>
      </c>
      <c r="C748" t="s">
        <v>5777</v>
      </c>
      <c r="D748" t="s">
        <v>857</v>
      </c>
      <c r="E748" t="s">
        <v>15</v>
      </c>
      <c r="F748" t="s">
        <v>20</v>
      </c>
      <c r="G748" t="s">
        <v>21</v>
      </c>
      <c r="J748" t="s">
        <v>5740</v>
      </c>
      <c r="K748">
        <v>60</v>
      </c>
      <c r="L748" t="str" cm="1">
        <f t="array" ref="L748">_xlfn.IFS(
 K748&lt;=50,"≤50",
 AND(K748&gt;=51,K748&lt;=100),"51–100",
 AND(K748&gt;=101,K748&lt;=250),"101–250",
 AND(K748&gt;=251,K748&lt;=500),"251–500",
 AND(K748&gt;=501,K748&lt;=1000),"501–1000",
 K748&gt;=1001,"1001+"
)</f>
        <v>51–100</v>
      </c>
    </row>
    <row r="749" spans="1:12" x14ac:dyDescent="0.3">
      <c r="A749" t="s">
        <v>1458</v>
      </c>
      <c r="B749" t="s">
        <v>9</v>
      </c>
      <c r="C749" t="s">
        <v>5780</v>
      </c>
      <c r="D749" t="s">
        <v>1459</v>
      </c>
      <c r="E749" t="s">
        <v>15</v>
      </c>
      <c r="F749" t="s">
        <v>54</v>
      </c>
      <c r="G749" t="s">
        <v>1460</v>
      </c>
      <c r="J749" t="s">
        <v>5737</v>
      </c>
      <c r="K749">
        <v>60</v>
      </c>
      <c r="L749" t="str" cm="1">
        <f t="array" ref="L749">_xlfn.IFS(
 K749&lt;=50,"≤50",
 AND(K749&gt;=51,K749&lt;=100),"51–100",
 AND(K749&gt;=101,K749&lt;=250),"101–250",
 AND(K749&gt;=251,K749&lt;=500),"251–500",
 AND(K749&gt;=501,K749&lt;=1000),"501–1000",
 K749&gt;=1001,"1001+"
)</f>
        <v>51–100</v>
      </c>
    </row>
    <row r="750" spans="1:12" x14ac:dyDescent="0.3">
      <c r="A750" t="s">
        <v>1461</v>
      </c>
      <c r="B750" t="s">
        <v>9</v>
      </c>
      <c r="C750" t="s">
        <v>5780</v>
      </c>
      <c r="D750" t="s">
        <v>1462</v>
      </c>
      <c r="F750" t="s">
        <v>20</v>
      </c>
      <c r="G750" t="s">
        <v>1423</v>
      </c>
      <c r="J750" t="s">
        <v>5737</v>
      </c>
      <c r="K750">
        <v>60</v>
      </c>
      <c r="L750" t="str" cm="1">
        <f t="array" ref="L750">_xlfn.IFS(
 K750&lt;=50,"≤50",
 AND(K750&gt;=51,K750&lt;=100),"51–100",
 AND(K750&gt;=101,K750&lt;=250),"101–250",
 AND(K750&gt;=251,K750&lt;=500),"251–500",
 AND(K750&gt;=501,K750&lt;=1000),"501–1000",
 K750&gt;=1001,"1001+"
)</f>
        <v>51–100</v>
      </c>
    </row>
    <row r="751" spans="1:12" x14ac:dyDescent="0.3">
      <c r="A751" t="s">
        <v>1463</v>
      </c>
      <c r="B751" t="s">
        <v>9</v>
      </c>
      <c r="C751" t="s">
        <v>5780</v>
      </c>
      <c r="D751" t="s">
        <v>28</v>
      </c>
      <c r="F751" t="s">
        <v>5770</v>
      </c>
      <c r="J751" t="s">
        <v>5762</v>
      </c>
      <c r="K751">
        <v>60</v>
      </c>
      <c r="L751" t="str" cm="1">
        <f t="array" ref="L751">_xlfn.IFS(
 K751&lt;=50,"≤50",
 AND(K751&gt;=51,K751&lt;=100),"51–100",
 AND(K751&gt;=101,K751&lt;=250),"101–250",
 AND(K751&gt;=251,K751&lt;=500),"251–500",
 AND(K751&gt;=501,K751&lt;=1000),"501–1000",
 K751&gt;=1001,"1001+"
)</f>
        <v>51–100</v>
      </c>
    </row>
    <row r="752" spans="1:12" x14ac:dyDescent="0.3">
      <c r="A752" t="s">
        <v>1464</v>
      </c>
      <c r="B752" t="s">
        <v>9</v>
      </c>
      <c r="C752" t="s">
        <v>5780</v>
      </c>
      <c r="D752" t="s">
        <v>28</v>
      </c>
      <c r="E752" t="s">
        <v>15</v>
      </c>
      <c r="F752" t="s">
        <v>54</v>
      </c>
      <c r="G752" t="s">
        <v>1465</v>
      </c>
      <c r="J752" t="s">
        <v>5748</v>
      </c>
      <c r="K752">
        <v>60</v>
      </c>
      <c r="L752" t="str" cm="1">
        <f t="array" ref="L752">_xlfn.IFS(
 K752&lt;=50,"≤50",
 AND(K752&gt;=51,K752&lt;=100),"51–100",
 AND(K752&gt;=101,K752&lt;=250),"101–250",
 AND(K752&gt;=251,K752&lt;=500),"251–500",
 AND(K752&gt;=501,K752&lt;=1000),"501–1000",
 K752&gt;=1001,"1001+"
)</f>
        <v>51–100</v>
      </c>
    </row>
    <row r="753" spans="1:12" x14ac:dyDescent="0.3">
      <c r="A753" t="s">
        <v>1466</v>
      </c>
      <c r="B753" t="s">
        <v>11</v>
      </c>
      <c r="C753" t="s">
        <v>5776</v>
      </c>
      <c r="F753" t="s">
        <v>5770</v>
      </c>
      <c r="J753" t="s">
        <v>5746</v>
      </c>
      <c r="K753">
        <v>60</v>
      </c>
      <c r="L753" t="str" cm="1">
        <f t="array" ref="L753">_xlfn.IFS(
 K753&lt;=50,"≤50",
 AND(K753&gt;=51,K753&lt;=100),"51–100",
 AND(K753&gt;=101,K753&lt;=250),"101–250",
 AND(K753&gt;=251,K753&lt;=500),"251–500",
 AND(K753&gt;=501,K753&lt;=1000),"501–1000",
 K753&gt;=1001,"1001+"
)</f>
        <v>51–100</v>
      </c>
    </row>
    <row r="754" spans="1:12" x14ac:dyDescent="0.3">
      <c r="A754" t="s">
        <v>1467</v>
      </c>
      <c r="B754" t="s">
        <v>9</v>
      </c>
      <c r="C754" t="s">
        <v>5780</v>
      </c>
      <c r="D754" t="s">
        <v>1468</v>
      </c>
      <c r="F754" t="s">
        <v>5770</v>
      </c>
      <c r="J754" t="s">
        <v>5738</v>
      </c>
      <c r="K754">
        <v>60</v>
      </c>
      <c r="L754" t="str" cm="1">
        <f t="array" ref="L754">_xlfn.IFS(
 K754&lt;=50,"≤50",
 AND(K754&gt;=51,K754&lt;=100),"51–100",
 AND(K754&gt;=101,K754&lt;=250),"101–250",
 AND(K754&gt;=251,K754&lt;=500),"251–500",
 AND(K754&gt;=501,K754&lt;=1000),"501–1000",
 K754&gt;=1001,"1001+"
)</f>
        <v>51–100</v>
      </c>
    </row>
    <row r="755" spans="1:12" x14ac:dyDescent="0.3">
      <c r="A755" t="s">
        <v>1469</v>
      </c>
      <c r="B755" t="s">
        <v>9</v>
      </c>
      <c r="C755" t="s">
        <v>5780</v>
      </c>
      <c r="D755" t="s">
        <v>28</v>
      </c>
      <c r="F755" t="s">
        <v>5770</v>
      </c>
      <c r="J755" t="s">
        <v>5738</v>
      </c>
      <c r="K755">
        <v>60</v>
      </c>
      <c r="L755" t="str" cm="1">
        <f t="array" ref="L755">_xlfn.IFS(
 K755&lt;=50,"≤50",
 AND(K755&gt;=51,K755&lt;=100),"51–100",
 AND(K755&gt;=101,K755&lt;=250),"101–250",
 AND(K755&gt;=251,K755&lt;=500),"251–500",
 AND(K755&gt;=501,K755&lt;=1000),"501–1000",
 K755&gt;=1001,"1001+"
)</f>
        <v>51–100</v>
      </c>
    </row>
    <row r="756" spans="1:12" x14ac:dyDescent="0.3">
      <c r="A756" t="s">
        <v>1470</v>
      </c>
      <c r="B756" t="s">
        <v>9</v>
      </c>
      <c r="C756" t="s">
        <v>5780</v>
      </c>
      <c r="D756" t="s">
        <v>28</v>
      </c>
      <c r="F756" t="s">
        <v>5770</v>
      </c>
      <c r="J756" t="s">
        <v>5738</v>
      </c>
      <c r="K756">
        <v>60</v>
      </c>
      <c r="L756" t="str" cm="1">
        <f t="array" ref="L756">_xlfn.IFS(
 K756&lt;=50,"≤50",
 AND(K756&gt;=51,K756&lt;=100),"51–100",
 AND(K756&gt;=101,K756&lt;=250),"101–250",
 AND(K756&gt;=251,K756&lt;=500),"251–500",
 AND(K756&gt;=501,K756&lt;=1000),"501–1000",
 K756&gt;=1001,"1001+"
)</f>
        <v>51–100</v>
      </c>
    </row>
    <row r="757" spans="1:12" x14ac:dyDescent="0.3">
      <c r="A757" t="s">
        <v>1471</v>
      </c>
      <c r="B757" t="s">
        <v>9</v>
      </c>
      <c r="C757" t="s">
        <v>5780</v>
      </c>
      <c r="D757" t="s">
        <v>28</v>
      </c>
      <c r="F757" t="s">
        <v>5770</v>
      </c>
      <c r="J757" t="s">
        <v>5743</v>
      </c>
      <c r="K757">
        <v>60</v>
      </c>
      <c r="L757" t="str" cm="1">
        <f t="array" ref="L757">_xlfn.IFS(
 K757&lt;=50,"≤50",
 AND(K757&gt;=51,K757&lt;=100),"51–100",
 AND(K757&gt;=101,K757&lt;=250),"101–250",
 AND(K757&gt;=251,K757&lt;=500),"251–500",
 AND(K757&gt;=501,K757&lt;=1000),"501–1000",
 K757&gt;=1001,"1001+"
)</f>
        <v>51–100</v>
      </c>
    </row>
    <row r="758" spans="1:12" x14ac:dyDescent="0.3">
      <c r="A758" t="s">
        <v>1472</v>
      </c>
      <c r="B758" t="s">
        <v>9</v>
      </c>
      <c r="C758" t="s">
        <v>5780</v>
      </c>
      <c r="D758" t="s">
        <v>1473</v>
      </c>
      <c r="F758" t="s">
        <v>5770</v>
      </c>
      <c r="J758" t="s">
        <v>5743</v>
      </c>
      <c r="K758">
        <v>60</v>
      </c>
      <c r="L758" t="str" cm="1">
        <f t="array" ref="L758">_xlfn.IFS(
 K758&lt;=50,"≤50",
 AND(K758&gt;=51,K758&lt;=100),"51–100",
 AND(K758&gt;=101,K758&lt;=250),"101–250",
 AND(K758&gt;=251,K758&lt;=500),"251–500",
 AND(K758&gt;=501,K758&lt;=1000),"501–1000",
 K758&gt;=1001,"1001+"
)</f>
        <v>51–100</v>
      </c>
    </row>
    <row r="759" spans="1:12" x14ac:dyDescent="0.3">
      <c r="A759" t="s">
        <v>1474</v>
      </c>
      <c r="B759" t="s">
        <v>13</v>
      </c>
      <c r="C759" t="s">
        <v>5777</v>
      </c>
      <c r="D759" t="s">
        <v>65</v>
      </c>
      <c r="F759" t="s">
        <v>5770</v>
      </c>
      <c r="J759" t="s">
        <v>5743</v>
      </c>
      <c r="K759">
        <v>60</v>
      </c>
      <c r="L759" t="str" cm="1">
        <f t="array" ref="L759">_xlfn.IFS(
 K759&lt;=50,"≤50",
 AND(K759&gt;=51,K759&lt;=100),"51–100",
 AND(K759&gt;=101,K759&lt;=250),"101–250",
 AND(K759&gt;=251,K759&lt;=500),"251–500",
 AND(K759&gt;=501,K759&lt;=1000),"501–1000",
 K759&gt;=1001,"1001+"
)</f>
        <v>51–100</v>
      </c>
    </row>
    <row r="760" spans="1:12" x14ac:dyDescent="0.3">
      <c r="A760" t="s">
        <v>1475</v>
      </c>
      <c r="B760" t="s">
        <v>11</v>
      </c>
      <c r="C760" t="s">
        <v>5776</v>
      </c>
      <c r="F760" t="s">
        <v>5770</v>
      </c>
      <c r="J760" t="s">
        <v>5743</v>
      </c>
      <c r="K760">
        <v>60</v>
      </c>
      <c r="L760" t="str" cm="1">
        <f t="array" ref="L760">_xlfn.IFS(
 K760&lt;=50,"≤50",
 AND(K760&gt;=51,K760&lt;=100),"51–100",
 AND(K760&gt;=101,K760&lt;=250),"101–250",
 AND(K760&gt;=251,K760&lt;=500),"251–500",
 AND(K760&gt;=501,K760&lt;=1000),"501–1000",
 K760&gt;=1001,"1001+"
)</f>
        <v>51–100</v>
      </c>
    </row>
    <row r="761" spans="1:12" x14ac:dyDescent="0.3">
      <c r="A761" t="s">
        <v>1476</v>
      </c>
      <c r="B761" t="s">
        <v>9</v>
      </c>
      <c r="C761" t="s">
        <v>5780</v>
      </c>
      <c r="D761" t="s">
        <v>28</v>
      </c>
      <c r="E761" t="s">
        <v>15</v>
      </c>
      <c r="F761" t="s">
        <v>16</v>
      </c>
      <c r="G761" t="s">
        <v>1477</v>
      </c>
      <c r="J761" t="s">
        <v>5737</v>
      </c>
      <c r="K761">
        <v>60</v>
      </c>
      <c r="L761" t="str" cm="1">
        <f t="array" ref="L761">_xlfn.IFS(
 K761&lt;=50,"≤50",
 AND(K761&gt;=51,K761&lt;=100),"51–100",
 AND(K761&gt;=101,K761&lt;=250),"101–250",
 AND(K761&gt;=251,K761&lt;=500),"251–500",
 AND(K761&gt;=501,K761&lt;=1000),"501–1000",
 K761&gt;=1001,"1001+"
)</f>
        <v>51–100</v>
      </c>
    </row>
    <row r="762" spans="1:12" x14ac:dyDescent="0.3">
      <c r="A762" t="s">
        <v>1478</v>
      </c>
      <c r="B762" t="s">
        <v>13</v>
      </c>
      <c r="C762" t="s">
        <v>5777</v>
      </c>
      <c r="D762" t="s">
        <v>245</v>
      </c>
      <c r="E762" t="s">
        <v>15</v>
      </c>
      <c r="F762" t="s">
        <v>54</v>
      </c>
      <c r="G762" t="s">
        <v>1479</v>
      </c>
      <c r="J762" t="s">
        <v>5737</v>
      </c>
      <c r="K762">
        <v>60</v>
      </c>
      <c r="L762" t="str" cm="1">
        <f t="array" ref="L762">_xlfn.IFS(
 K762&lt;=50,"≤50",
 AND(K762&gt;=51,K762&lt;=100),"51–100",
 AND(K762&gt;=101,K762&lt;=250),"101–250",
 AND(K762&gt;=251,K762&lt;=500),"251–500",
 AND(K762&gt;=501,K762&lt;=1000),"501–1000",
 K762&gt;=1001,"1001+"
)</f>
        <v>51–100</v>
      </c>
    </row>
    <row r="763" spans="1:12" x14ac:dyDescent="0.3">
      <c r="A763" t="s">
        <v>1480</v>
      </c>
      <c r="B763" t="s">
        <v>9</v>
      </c>
      <c r="C763" t="s">
        <v>5780</v>
      </c>
      <c r="D763" t="s">
        <v>28</v>
      </c>
      <c r="E763" t="s">
        <v>15</v>
      </c>
      <c r="F763" t="s">
        <v>20</v>
      </c>
      <c r="G763" t="s">
        <v>21</v>
      </c>
      <c r="J763" t="s">
        <v>5737</v>
      </c>
      <c r="K763">
        <v>60</v>
      </c>
      <c r="L763" t="str" cm="1">
        <f t="array" ref="L763">_xlfn.IFS(
 K763&lt;=50,"≤50",
 AND(K763&gt;=51,K763&lt;=100),"51–100",
 AND(K763&gt;=101,K763&lt;=250),"101–250",
 AND(K763&gt;=251,K763&lt;=500),"251–500",
 AND(K763&gt;=501,K763&lt;=1000),"501–1000",
 K763&gt;=1001,"1001+"
)</f>
        <v>51–100</v>
      </c>
    </row>
    <row r="764" spans="1:12" x14ac:dyDescent="0.3">
      <c r="A764" t="s">
        <v>1481</v>
      </c>
      <c r="B764" t="s">
        <v>9</v>
      </c>
      <c r="C764" t="s">
        <v>5780</v>
      </c>
      <c r="D764" t="s">
        <v>1482</v>
      </c>
      <c r="F764" t="s">
        <v>5770</v>
      </c>
      <c r="J764" t="s">
        <v>5737</v>
      </c>
      <c r="K764">
        <v>60</v>
      </c>
      <c r="L764" t="str" cm="1">
        <f t="array" ref="L764">_xlfn.IFS(
 K764&lt;=50,"≤50",
 AND(K764&gt;=51,K764&lt;=100),"51–100",
 AND(K764&gt;=101,K764&lt;=250),"101–250",
 AND(K764&gt;=251,K764&lt;=500),"251–500",
 AND(K764&gt;=501,K764&lt;=1000),"501–1000",
 K764&gt;=1001,"1001+"
)</f>
        <v>51–100</v>
      </c>
    </row>
    <row r="765" spans="1:12" x14ac:dyDescent="0.3">
      <c r="A765" t="s">
        <v>1483</v>
      </c>
      <c r="B765" t="s">
        <v>9</v>
      </c>
      <c r="C765" t="s">
        <v>5780</v>
      </c>
      <c r="D765" t="s">
        <v>1484</v>
      </c>
      <c r="F765" t="s">
        <v>5770</v>
      </c>
      <c r="J765" t="s">
        <v>5737</v>
      </c>
      <c r="K765">
        <v>60</v>
      </c>
      <c r="L765" t="str" cm="1">
        <f t="array" ref="L765">_xlfn.IFS(
 K765&lt;=50,"≤50",
 AND(K765&gt;=51,K765&lt;=100),"51–100",
 AND(K765&gt;=101,K765&lt;=250),"101–250",
 AND(K765&gt;=251,K765&lt;=500),"251–500",
 AND(K765&gt;=501,K765&lt;=1000),"501–1000",
 K765&gt;=1001,"1001+"
)</f>
        <v>51–100</v>
      </c>
    </row>
    <row r="766" spans="1:12" x14ac:dyDescent="0.3">
      <c r="A766" t="s">
        <v>1485</v>
      </c>
      <c r="B766" t="s">
        <v>11</v>
      </c>
      <c r="C766" t="s">
        <v>5776</v>
      </c>
      <c r="E766" t="s">
        <v>15</v>
      </c>
      <c r="F766" t="s">
        <v>5770</v>
      </c>
      <c r="J766" t="s">
        <v>5737</v>
      </c>
      <c r="K766">
        <v>60</v>
      </c>
      <c r="L766" t="str" cm="1">
        <f t="array" ref="L766">_xlfn.IFS(
 K766&lt;=50,"≤50",
 AND(K766&gt;=51,K766&lt;=100),"51–100",
 AND(K766&gt;=101,K766&lt;=250),"101–250",
 AND(K766&gt;=251,K766&lt;=500),"251–500",
 AND(K766&gt;=501,K766&lt;=1000),"501–1000",
 K766&gt;=1001,"1001+"
)</f>
        <v>51–100</v>
      </c>
    </row>
    <row r="767" spans="1:12" x14ac:dyDescent="0.3">
      <c r="A767" t="s">
        <v>1486</v>
      </c>
      <c r="B767" t="s">
        <v>9</v>
      </c>
      <c r="C767" t="s">
        <v>5780</v>
      </c>
      <c r="D767" t="s">
        <v>28</v>
      </c>
      <c r="F767" t="s">
        <v>5770</v>
      </c>
      <c r="J767" t="s">
        <v>5737</v>
      </c>
      <c r="K767">
        <v>60</v>
      </c>
      <c r="L767" t="str" cm="1">
        <f t="array" ref="L767">_xlfn.IFS(
 K767&lt;=50,"≤50",
 AND(K767&gt;=51,K767&lt;=100),"51–100",
 AND(K767&gt;=101,K767&lt;=250),"101–250",
 AND(K767&gt;=251,K767&lt;=500),"251–500",
 AND(K767&gt;=501,K767&lt;=1000),"501–1000",
 K767&gt;=1001,"1001+"
)</f>
        <v>51–100</v>
      </c>
    </row>
    <row r="768" spans="1:12" x14ac:dyDescent="0.3">
      <c r="A768" t="s">
        <v>1487</v>
      </c>
      <c r="B768" t="s">
        <v>13</v>
      </c>
      <c r="C768" t="s">
        <v>5777</v>
      </c>
      <c r="D768" t="s">
        <v>245</v>
      </c>
      <c r="F768" t="s">
        <v>5770</v>
      </c>
      <c r="J768" t="s">
        <v>5737</v>
      </c>
      <c r="K768">
        <v>60</v>
      </c>
      <c r="L768" t="str" cm="1">
        <f t="array" ref="L768">_xlfn.IFS(
 K768&lt;=50,"≤50",
 AND(K768&gt;=51,K768&lt;=100),"51–100",
 AND(K768&gt;=101,K768&lt;=250),"101–250",
 AND(K768&gt;=251,K768&lt;=500),"251–500",
 AND(K768&gt;=501,K768&lt;=1000),"501–1000",
 K768&gt;=1001,"1001+"
)</f>
        <v>51–100</v>
      </c>
    </row>
    <row r="769" spans="1:12" x14ac:dyDescent="0.3">
      <c r="A769" t="s">
        <v>1488</v>
      </c>
      <c r="B769" t="s">
        <v>11</v>
      </c>
      <c r="C769" t="s">
        <v>5776</v>
      </c>
      <c r="F769" t="s">
        <v>5770</v>
      </c>
      <c r="J769" t="s">
        <v>5744</v>
      </c>
      <c r="K769">
        <v>60</v>
      </c>
      <c r="L769" t="str" cm="1">
        <f t="array" ref="L769">_xlfn.IFS(
 K769&lt;=50,"≤50",
 AND(K769&gt;=51,K769&lt;=100),"51–100",
 AND(K769&gt;=101,K769&lt;=250),"101–250",
 AND(K769&gt;=251,K769&lt;=500),"251–500",
 AND(K769&gt;=501,K769&lt;=1000),"501–1000",
 K769&gt;=1001,"1001+"
)</f>
        <v>51–100</v>
      </c>
    </row>
    <row r="770" spans="1:12" x14ac:dyDescent="0.3">
      <c r="A770" t="s">
        <v>1489</v>
      </c>
      <c r="B770" t="s">
        <v>9</v>
      </c>
      <c r="C770" t="s">
        <v>5780</v>
      </c>
      <c r="D770" t="s">
        <v>28</v>
      </c>
      <c r="E770" t="s">
        <v>15</v>
      </c>
      <c r="F770" t="s">
        <v>16</v>
      </c>
      <c r="G770" t="s">
        <v>1490</v>
      </c>
      <c r="J770" t="s">
        <v>5744</v>
      </c>
      <c r="K770">
        <v>60</v>
      </c>
      <c r="L770" t="str" cm="1">
        <f t="array" ref="L770">_xlfn.IFS(
 K770&lt;=50,"≤50",
 AND(K770&gt;=51,K770&lt;=100),"51–100",
 AND(K770&gt;=101,K770&lt;=250),"101–250",
 AND(K770&gt;=251,K770&lt;=500),"251–500",
 AND(K770&gt;=501,K770&lt;=1000),"501–1000",
 K770&gt;=1001,"1001+"
)</f>
        <v>51–100</v>
      </c>
    </row>
    <row r="771" spans="1:12" x14ac:dyDescent="0.3">
      <c r="A771" t="s">
        <v>1491</v>
      </c>
      <c r="B771" t="s">
        <v>11</v>
      </c>
      <c r="C771" t="s">
        <v>5776</v>
      </c>
      <c r="F771" t="s">
        <v>5770</v>
      </c>
      <c r="J771" t="s">
        <v>5744</v>
      </c>
      <c r="K771">
        <v>60</v>
      </c>
      <c r="L771" t="str" cm="1">
        <f t="array" ref="L771">_xlfn.IFS(
 K771&lt;=50,"≤50",
 AND(K771&gt;=51,K771&lt;=100),"51–100",
 AND(K771&gt;=101,K771&lt;=250),"101–250",
 AND(K771&gt;=251,K771&lt;=500),"251–500",
 AND(K771&gt;=501,K771&lt;=1000),"501–1000",
 K771&gt;=1001,"1001+"
)</f>
        <v>51–100</v>
      </c>
    </row>
    <row r="772" spans="1:12" x14ac:dyDescent="0.3">
      <c r="A772" t="s">
        <v>1492</v>
      </c>
      <c r="B772" t="s">
        <v>11</v>
      </c>
      <c r="C772" t="s">
        <v>5776</v>
      </c>
      <c r="F772" t="s">
        <v>5770</v>
      </c>
      <c r="J772" t="s">
        <v>5744</v>
      </c>
      <c r="K772">
        <v>60</v>
      </c>
      <c r="L772" t="str" cm="1">
        <f t="array" ref="L772">_xlfn.IFS(
 K772&lt;=50,"≤50",
 AND(K772&gt;=51,K772&lt;=100),"51–100",
 AND(K772&gt;=101,K772&lt;=250),"101–250",
 AND(K772&gt;=251,K772&lt;=500),"251–500",
 AND(K772&gt;=501,K772&lt;=1000),"501–1000",
 K772&gt;=1001,"1001+"
)</f>
        <v>51–100</v>
      </c>
    </row>
    <row r="773" spans="1:12" x14ac:dyDescent="0.3">
      <c r="A773" t="s">
        <v>1493</v>
      </c>
      <c r="B773" t="s">
        <v>9</v>
      </c>
      <c r="C773" t="s">
        <v>5780</v>
      </c>
      <c r="D773" t="s">
        <v>28</v>
      </c>
      <c r="F773" t="s">
        <v>5770</v>
      </c>
      <c r="J773" t="s">
        <v>5751</v>
      </c>
      <c r="K773">
        <v>60</v>
      </c>
      <c r="L773" t="str" cm="1">
        <f t="array" ref="L773">_xlfn.IFS(
 K773&lt;=50,"≤50",
 AND(K773&gt;=51,K773&lt;=100),"51–100",
 AND(K773&gt;=101,K773&lt;=250),"101–250",
 AND(K773&gt;=251,K773&lt;=500),"251–500",
 AND(K773&gt;=501,K773&lt;=1000),"501–1000",
 K773&gt;=1001,"1001+"
)</f>
        <v>51–100</v>
      </c>
    </row>
    <row r="774" spans="1:12" x14ac:dyDescent="0.3">
      <c r="A774" t="s">
        <v>1494</v>
      </c>
      <c r="B774" t="s">
        <v>13</v>
      </c>
      <c r="C774" t="s">
        <v>5777</v>
      </c>
      <c r="D774" t="s">
        <v>1495</v>
      </c>
      <c r="E774" t="s">
        <v>15</v>
      </c>
      <c r="F774" t="s">
        <v>20</v>
      </c>
      <c r="G774" t="s">
        <v>117</v>
      </c>
      <c r="J774" t="s">
        <v>5751</v>
      </c>
      <c r="K774">
        <v>60</v>
      </c>
      <c r="L774" t="str" cm="1">
        <f t="array" ref="L774">_xlfn.IFS(
 K774&lt;=50,"≤50",
 AND(K774&gt;=51,K774&lt;=100),"51–100",
 AND(K774&gt;=101,K774&lt;=250),"101–250",
 AND(K774&gt;=251,K774&lt;=500),"251–500",
 AND(K774&gt;=501,K774&lt;=1000),"501–1000",
 K774&gt;=1001,"1001+"
)</f>
        <v>51–100</v>
      </c>
    </row>
    <row r="775" spans="1:12" x14ac:dyDescent="0.3">
      <c r="A775" t="s">
        <v>1496</v>
      </c>
      <c r="B775" t="s">
        <v>11</v>
      </c>
      <c r="C775" t="s">
        <v>5776</v>
      </c>
      <c r="F775" t="s">
        <v>5770</v>
      </c>
      <c r="J775" t="s">
        <v>5753</v>
      </c>
      <c r="K775">
        <v>60</v>
      </c>
      <c r="L775" t="str" cm="1">
        <f t="array" ref="L775">_xlfn.IFS(
 K775&lt;=50,"≤50",
 AND(K775&gt;=51,K775&lt;=100),"51–100",
 AND(K775&gt;=101,K775&lt;=250),"101–250",
 AND(K775&gt;=251,K775&lt;=500),"251–500",
 AND(K775&gt;=501,K775&lt;=1000),"501–1000",
 K775&gt;=1001,"1001+"
)</f>
        <v>51–100</v>
      </c>
    </row>
    <row r="776" spans="1:12" x14ac:dyDescent="0.3">
      <c r="A776" t="s">
        <v>1497</v>
      </c>
      <c r="B776" t="s">
        <v>11</v>
      </c>
      <c r="C776" t="s">
        <v>5776</v>
      </c>
      <c r="F776" t="s">
        <v>5770</v>
      </c>
      <c r="J776" t="s">
        <v>5753</v>
      </c>
      <c r="K776">
        <v>60</v>
      </c>
      <c r="L776" t="str" cm="1">
        <f t="array" ref="L776">_xlfn.IFS(
 K776&lt;=50,"≤50",
 AND(K776&gt;=51,K776&lt;=100),"51–100",
 AND(K776&gt;=101,K776&lt;=250),"101–250",
 AND(K776&gt;=251,K776&lt;=500),"251–500",
 AND(K776&gt;=501,K776&lt;=1000),"501–1000",
 K776&gt;=1001,"1001+"
)</f>
        <v>51–100</v>
      </c>
    </row>
    <row r="777" spans="1:12" x14ac:dyDescent="0.3">
      <c r="A777" t="s">
        <v>1498</v>
      </c>
      <c r="B777" t="s">
        <v>417</v>
      </c>
      <c r="C777" t="s">
        <v>5778</v>
      </c>
      <c r="D777" t="s">
        <v>1499</v>
      </c>
      <c r="E777" t="s">
        <v>15</v>
      </c>
      <c r="F777" t="s">
        <v>5770</v>
      </c>
      <c r="J777" t="s">
        <v>5754</v>
      </c>
      <c r="K777">
        <v>60</v>
      </c>
      <c r="L777" t="str" cm="1">
        <f t="array" ref="L777">_xlfn.IFS(
 K777&lt;=50,"≤50",
 AND(K777&gt;=51,K777&lt;=100),"51–100",
 AND(K777&gt;=101,K777&lt;=250),"101–250",
 AND(K777&gt;=251,K777&lt;=500),"251–500",
 AND(K777&gt;=501,K777&lt;=1000),"501–1000",
 K777&gt;=1001,"1001+"
)</f>
        <v>51–100</v>
      </c>
    </row>
    <row r="778" spans="1:12" x14ac:dyDescent="0.3">
      <c r="A778" t="s">
        <v>1500</v>
      </c>
      <c r="B778" t="s">
        <v>9</v>
      </c>
      <c r="C778" t="s">
        <v>5780</v>
      </c>
      <c r="D778" t="s">
        <v>28</v>
      </c>
      <c r="E778" t="s">
        <v>15</v>
      </c>
      <c r="F778" t="s">
        <v>5770</v>
      </c>
      <c r="J778" t="s">
        <v>5742</v>
      </c>
      <c r="K778">
        <v>60</v>
      </c>
      <c r="L778" t="str" cm="1">
        <f t="array" ref="L778">_xlfn.IFS(
 K778&lt;=50,"≤50",
 AND(K778&gt;=51,K778&lt;=100),"51–100",
 AND(K778&gt;=101,K778&lt;=250),"101–250",
 AND(K778&gt;=251,K778&lt;=500),"251–500",
 AND(K778&gt;=501,K778&lt;=1000),"501–1000",
 K778&gt;=1001,"1001+"
)</f>
        <v>51–100</v>
      </c>
    </row>
    <row r="779" spans="1:12" x14ac:dyDescent="0.3">
      <c r="A779" t="s">
        <v>1501</v>
      </c>
      <c r="B779" t="s">
        <v>11</v>
      </c>
      <c r="C779" t="s">
        <v>5776</v>
      </c>
      <c r="F779" t="s">
        <v>5770</v>
      </c>
      <c r="J779" t="s">
        <v>5742</v>
      </c>
      <c r="K779">
        <v>60</v>
      </c>
      <c r="L779" t="str" cm="1">
        <f t="array" ref="L779">_xlfn.IFS(
 K779&lt;=50,"≤50",
 AND(K779&gt;=51,K779&lt;=100),"51–100",
 AND(K779&gt;=101,K779&lt;=250),"101–250",
 AND(K779&gt;=251,K779&lt;=500),"251–500",
 AND(K779&gt;=501,K779&lt;=1000),"501–1000",
 K779&gt;=1001,"1001+"
)</f>
        <v>51–100</v>
      </c>
    </row>
    <row r="780" spans="1:12" x14ac:dyDescent="0.3">
      <c r="A780" t="s">
        <v>1502</v>
      </c>
      <c r="B780" t="s">
        <v>9</v>
      </c>
      <c r="C780" t="s">
        <v>5780</v>
      </c>
      <c r="D780" t="s">
        <v>28</v>
      </c>
      <c r="F780" t="s">
        <v>5770</v>
      </c>
      <c r="J780" t="s">
        <v>5757</v>
      </c>
      <c r="K780">
        <v>60</v>
      </c>
      <c r="L780" t="str" cm="1">
        <f t="array" ref="L780">_xlfn.IFS(
 K780&lt;=50,"≤50",
 AND(K780&gt;=51,K780&lt;=100),"51–100",
 AND(K780&gt;=101,K780&lt;=250),"101–250",
 AND(K780&gt;=251,K780&lt;=500),"251–500",
 AND(K780&gt;=501,K780&lt;=1000),"501–1000",
 K780&gt;=1001,"1001+"
)</f>
        <v>51–100</v>
      </c>
    </row>
    <row r="781" spans="1:12" x14ac:dyDescent="0.3">
      <c r="A781" t="s">
        <v>1503</v>
      </c>
      <c r="B781" t="s">
        <v>9</v>
      </c>
      <c r="C781" t="s">
        <v>5780</v>
      </c>
      <c r="D781" t="s">
        <v>28</v>
      </c>
      <c r="F781" t="s">
        <v>5770</v>
      </c>
      <c r="J781" t="s">
        <v>5739</v>
      </c>
      <c r="K781">
        <v>60</v>
      </c>
      <c r="L781" t="str" cm="1">
        <f t="array" ref="L781">_xlfn.IFS(
 K781&lt;=50,"≤50",
 AND(K781&gt;=51,K781&lt;=100),"51–100",
 AND(K781&gt;=101,K781&lt;=250),"101–250",
 AND(K781&gt;=251,K781&lt;=500),"251–500",
 AND(K781&gt;=501,K781&lt;=1000),"501–1000",
 K781&gt;=1001,"1001+"
)</f>
        <v>51–100</v>
      </c>
    </row>
    <row r="782" spans="1:12" x14ac:dyDescent="0.3">
      <c r="A782" t="s">
        <v>1504</v>
      </c>
      <c r="B782" t="s">
        <v>11</v>
      </c>
      <c r="C782" t="s">
        <v>5776</v>
      </c>
      <c r="F782" t="s">
        <v>5770</v>
      </c>
      <c r="J782" t="s">
        <v>5741</v>
      </c>
      <c r="K782">
        <v>60</v>
      </c>
      <c r="L782" t="str" cm="1">
        <f t="array" ref="L782">_xlfn.IFS(
 K782&lt;=50,"≤50",
 AND(K782&gt;=51,K782&lt;=100),"51–100",
 AND(K782&gt;=101,K782&lt;=250),"101–250",
 AND(K782&gt;=251,K782&lt;=500),"251–500",
 AND(K782&gt;=501,K782&lt;=1000),"501–1000",
 K782&gt;=1001,"1001+"
)</f>
        <v>51–100</v>
      </c>
    </row>
    <row r="783" spans="1:12" x14ac:dyDescent="0.3">
      <c r="A783" t="s">
        <v>1505</v>
      </c>
      <c r="B783" t="s">
        <v>9</v>
      </c>
      <c r="C783" t="s">
        <v>5780</v>
      </c>
      <c r="D783" t="s">
        <v>28</v>
      </c>
      <c r="F783" t="s">
        <v>5770</v>
      </c>
      <c r="J783" t="s">
        <v>5741</v>
      </c>
      <c r="K783">
        <v>60</v>
      </c>
      <c r="L783" t="str" cm="1">
        <f t="array" ref="L783">_xlfn.IFS(
 K783&lt;=50,"≤50",
 AND(K783&gt;=51,K783&lt;=100),"51–100",
 AND(K783&gt;=101,K783&lt;=250),"101–250",
 AND(K783&gt;=251,K783&lt;=500),"251–500",
 AND(K783&gt;=501,K783&lt;=1000),"501–1000",
 K783&gt;=1001,"1001+"
)</f>
        <v>51–100</v>
      </c>
    </row>
    <row r="784" spans="1:12" x14ac:dyDescent="0.3">
      <c r="A784" t="s">
        <v>1506</v>
      </c>
      <c r="B784" t="s">
        <v>9</v>
      </c>
      <c r="C784" t="s">
        <v>5780</v>
      </c>
      <c r="D784" t="s">
        <v>28</v>
      </c>
      <c r="F784" t="s">
        <v>5770</v>
      </c>
      <c r="J784" t="s">
        <v>5752</v>
      </c>
      <c r="K784">
        <v>60</v>
      </c>
      <c r="L784" t="str" cm="1">
        <f t="array" ref="L784">_xlfn.IFS(
 K784&lt;=50,"≤50",
 AND(K784&gt;=51,K784&lt;=100),"51–100",
 AND(K784&gt;=101,K784&lt;=250),"101–250",
 AND(K784&gt;=251,K784&lt;=500),"251–500",
 AND(K784&gt;=501,K784&lt;=1000),"501–1000",
 K784&gt;=1001,"1001+"
)</f>
        <v>51–100</v>
      </c>
    </row>
    <row r="785" spans="1:12" x14ac:dyDescent="0.3">
      <c r="A785" t="s">
        <v>1507</v>
      </c>
      <c r="B785" t="s">
        <v>9</v>
      </c>
      <c r="C785" t="s">
        <v>5780</v>
      </c>
      <c r="D785" t="s">
        <v>224</v>
      </c>
      <c r="E785" t="s">
        <v>15</v>
      </c>
      <c r="F785" t="s">
        <v>54</v>
      </c>
      <c r="G785" t="s">
        <v>1508</v>
      </c>
      <c r="J785" t="s">
        <v>5749</v>
      </c>
      <c r="K785">
        <v>60</v>
      </c>
      <c r="L785" t="str" cm="1">
        <f t="array" ref="L785">_xlfn.IFS(
 K785&lt;=50,"≤50",
 AND(K785&gt;=51,K785&lt;=100),"51–100",
 AND(K785&gt;=101,K785&lt;=250),"101–250",
 AND(K785&gt;=251,K785&lt;=500),"251–500",
 AND(K785&gt;=501,K785&lt;=1000),"501–1000",
 K785&gt;=1001,"1001+"
)</f>
        <v>51–100</v>
      </c>
    </row>
    <row r="786" spans="1:12" x14ac:dyDescent="0.3">
      <c r="A786" t="s">
        <v>1509</v>
      </c>
      <c r="B786" t="s">
        <v>9</v>
      </c>
      <c r="C786" t="s">
        <v>5780</v>
      </c>
      <c r="D786" t="s">
        <v>28</v>
      </c>
      <c r="F786" t="s">
        <v>5770</v>
      </c>
      <c r="J786" t="s">
        <v>5759</v>
      </c>
      <c r="K786">
        <v>60</v>
      </c>
      <c r="L786" t="str" cm="1">
        <f t="array" ref="L786">_xlfn.IFS(
 K786&lt;=50,"≤50",
 AND(K786&gt;=51,K786&lt;=100),"51–100",
 AND(K786&gt;=101,K786&lt;=250),"101–250",
 AND(K786&gt;=251,K786&lt;=500),"251–500",
 AND(K786&gt;=501,K786&lt;=1000),"501–1000",
 K786&gt;=1001,"1001+"
)</f>
        <v>51–100</v>
      </c>
    </row>
    <row r="787" spans="1:12" x14ac:dyDescent="0.3">
      <c r="A787" t="s">
        <v>1510</v>
      </c>
      <c r="B787" t="s">
        <v>9</v>
      </c>
      <c r="C787" t="s">
        <v>5780</v>
      </c>
      <c r="D787" t="s">
        <v>1511</v>
      </c>
      <c r="F787" t="s">
        <v>5770</v>
      </c>
      <c r="J787" t="s">
        <v>5745</v>
      </c>
      <c r="K787">
        <v>60</v>
      </c>
      <c r="L787" t="str" cm="1">
        <f t="array" ref="L787">_xlfn.IFS(
 K787&lt;=50,"≤50",
 AND(K787&gt;=51,K787&lt;=100),"51–100",
 AND(K787&gt;=101,K787&lt;=250),"101–250",
 AND(K787&gt;=251,K787&lt;=500),"251–500",
 AND(K787&gt;=501,K787&lt;=1000),"501–1000",
 K787&gt;=1001,"1001+"
)</f>
        <v>51–100</v>
      </c>
    </row>
    <row r="788" spans="1:12" x14ac:dyDescent="0.3">
      <c r="A788" t="s">
        <v>1512</v>
      </c>
      <c r="B788" t="s">
        <v>13</v>
      </c>
      <c r="C788" t="s">
        <v>5777</v>
      </c>
      <c r="D788" t="s">
        <v>1513</v>
      </c>
      <c r="E788" t="s">
        <v>15</v>
      </c>
      <c r="F788" t="s">
        <v>20</v>
      </c>
      <c r="G788" t="s">
        <v>42</v>
      </c>
      <c r="J788" t="s">
        <v>5750</v>
      </c>
      <c r="K788">
        <v>60</v>
      </c>
      <c r="L788" t="str" cm="1">
        <f t="array" ref="L788">_xlfn.IFS(
 K788&lt;=50,"≤50",
 AND(K788&gt;=51,K788&lt;=100),"51–100",
 AND(K788&gt;=101,K788&lt;=250),"101–250",
 AND(K788&gt;=251,K788&lt;=500),"251–500",
 AND(K788&gt;=501,K788&lt;=1000),"501–1000",
 K788&gt;=1001,"1001+"
)</f>
        <v>51–100</v>
      </c>
    </row>
    <row r="789" spans="1:12" x14ac:dyDescent="0.3">
      <c r="A789" t="s">
        <v>1514</v>
      </c>
      <c r="B789" t="s">
        <v>9</v>
      </c>
      <c r="C789" t="s">
        <v>5780</v>
      </c>
      <c r="D789" t="s">
        <v>28</v>
      </c>
      <c r="F789" t="s">
        <v>5770</v>
      </c>
      <c r="J789" t="s">
        <v>5750</v>
      </c>
      <c r="K789">
        <v>60</v>
      </c>
      <c r="L789" t="str" cm="1">
        <f t="array" ref="L789">_xlfn.IFS(
 K789&lt;=50,"≤50",
 AND(K789&gt;=51,K789&lt;=100),"51–100",
 AND(K789&gt;=101,K789&lt;=250),"101–250",
 AND(K789&gt;=251,K789&lt;=500),"251–500",
 AND(K789&gt;=501,K789&lt;=1000),"501–1000",
 K789&gt;=1001,"1001+"
)</f>
        <v>51–100</v>
      </c>
    </row>
    <row r="790" spans="1:12" x14ac:dyDescent="0.3">
      <c r="A790" t="s">
        <v>1515</v>
      </c>
      <c r="B790" t="s">
        <v>11</v>
      </c>
      <c r="C790" t="s">
        <v>5776</v>
      </c>
      <c r="F790" t="s">
        <v>5770</v>
      </c>
      <c r="J790" t="s">
        <v>5747</v>
      </c>
      <c r="K790">
        <v>60</v>
      </c>
      <c r="L790" t="str" cm="1">
        <f t="array" ref="L790">_xlfn.IFS(
 K790&lt;=50,"≤50",
 AND(K790&gt;=51,K790&lt;=100),"51–100",
 AND(K790&gt;=101,K790&lt;=250),"101–250",
 AND(K790&gt;=251,K790&lt;=500),"251–500",
 AND(K790&gt;=501,K790&lt;=1000),"501–1000",
 K790&gt;=1001,"1001+"
)</f>
        <v>51–100</v>
      </c>
    </row>
    <row r="791" spans="1:12" x14ac:dyDescent="0.3">
      <c r="A791" t="s">
        <v>1516</v>
      </c>
      <c r="B791" t="s">
        <v>11</v>
      </c>
      <c r="C791" t="s">
        <v>5776</v>
      </c>
      <c r="E791" t="s">
        <v>15</v>
      </c>
      <c r="F791" t="s">
        <v>5770</v>
      </c>
      <c r="J791" t="s">
        <v>5747</v>
      </c>
      <c r="K791">
        <v>60</v>
      </c>
      <c r="L791" t="str" cm="1">
        <f t="array" ref="L791">_xlfn.IFS(
 K791&lt;=50,"≤50",
 AND(K791&gt;=51,K791&lt;=100),"51–100",
 AND(K791&gt;=101,K791&lt;=250),"101–250",
 AND(K791&gt;=251,K791&lt;=500),"251–500",
 AND(K791&gt;=501,K791&lt;=1000),"501–1000",
 K791&gt;=1001,"1001+"
)</f>
        <v>51–100</v>
      </c>
    </row>
    <row r="792" spans="1:12" x14ac:dyDescent="0.3">
      <c r="A792" t="s">
        <v>1517</v>
      </c>
      <c r="B792" t="s">
        <v>197</v>
      </c>
      <c r="C792" t="s">
        <v>5774</v>
      </c>
      <c r="D792" t="s">
        <v>1518</v>
      </c>
      <c r="F792" t="s">
        <v>5770</v>
      </c>
      <c r="J792" t="s">
        <v>5760</v>
      </c>
      <c r="K792">
        <v>60</v>
      </c>
      <c r="L792" t="str" cm="1">
        <f t="array" ref="L792">_xlfn.IFS(
 K792&lt;=50,"≤50",
 AND(K792&gt;=51,K792&lt;=100),"51–100",
 AND(K792&gt;=101,K792&lt;=250),"101–250",
 AND(K792&gt;=251,K792&lt;=500),"251–500",
 AND(K792&gt;=501,K792&lt;=1000),"501–1000",
 K792&gt;=1001,"1001+"
)</f>
        <v>51–100</v>
      </c>
    </row>
    <row r="793" spans="1:12" x14ac:dyDescent="0.3">
      <c r="A793" t="s">
        <v>1519</v>
      </c>
      <c r="B793" t="s">
        <v>9</v>
      </c>
      <c r="C793" t="s">
        <v>5780</v>
      </c>
      <c r="D793" t="s">
        <v>1520</v>
      </c>
      <c r="F793" t="s">
        <v>5770</v>
      </c>
      <c r="J793" t="s">
        <v>5740</v>
      </c>
      <c r="K793">
        <v>60</v>
      </c>
      <c r="L793" t="str" cm="1">
        <f t="array" ref="L793">_xlfn.IFS(
 K793&lt;=50,"≤50",
 AND(K793&gt;=51,K793&lt;=100),"51–100",
 AND(K793&gt;=101,K793&lt;=250),"101–250",
 AND(K793&gt;=251,K793&lt;=500),"251–500",
 AND(K793&gt;=501,K793&lt;=1000),"501–1000",
 K793&gt;=1001,"1001+"
)</f>
        <v>51–100</v>
      </c>
    </row>
    <row r="794" spans="1:12" x14ac:dyDescent="0.3">
      <c r="A794" t="s">
        <v>1521</v>
      </c>
      <c r="B794" t="s">
        <v>11</v>
      </c>
      <c r="C794" t="s">
        <v>5776</v>
      </c>
      <c r="F794" t="s">
        <v>5770</v>
      </c>
      <c r="J794" t="s">
        <v>5745</v>
      </c>
      <c r="K794">
        <v>60</v>
      </c>
      <c r="L794" t="str" cm="1">
        <f t="array" ref="L794">_xlfn.IFS(
 K794&lt;=50,"≤50",
 AND(K794&gt;=51,K794&lt;=100),"51–100",
 AND(K794&gt;=101,K794&lt;=250),"101–250",
 AND(K794&gt;=251,K794&lt;=500),"251–500",
 AND(K794&gt;=501,K794&lt;=1000),"501–1000",
 K794&gt;=1001,"1001+"
)</f>
        <v>51–100</v>
      </c>
    </row>
    <row r="795" spans="1:12" x14ac:dyDescent="0.3">
      <c r="A795" t="s">
        <v>1522</v>
      </c>
      <c r="B795" t="s">
        <v>9</v>
      </c>
      <c r="C795" t="s">
        <v>5780</v>
      </c>
      <c r="D795" t="s">
        <v>1523</v>
      </c>
      <c r="F795" t="s">
        <v>5770</v>
      </c>
      <c r="J795" t="s">
        <v>5746</v>
      </c>
      <c r="K795">
        <v>60</v>
      </c>
      <c r="L795" t="str" cm="1">
        <f t="array" ref="L795">_xlfn.IFS(
 K795&lt;=50,"≤50",
 AND(K795&gt;=51,K795&lt;=100),"51–100",
 AND(K795&gt;=101,K795&lt;=250),"101–250",
 AND(K795&gt;=251,K795&lt;=500),"251–500",
 AND(K795&gt;=501,K795&lt;=1000),"501–1000",
 K795&gt;=1001,"1001+"
)</f>
        <v>51–100</v>
      </c>
    </row>
    <row r="796" spans="1:12" x14ac:dyDescent="0.3">
      <c r="A796" t="s">
        <v>1524</v>
      </c>
      <c r="B796" t="s">
        <v>11</v>
      </c>
      <c r="C796" t="s">
        <v>5776</v>
      </c>
      <c r="F796" t="s">
        <v>5770</v>
      </c>
      <c r="J796" t="s">
        <v>5738</v>
      </c>
      <c r="K796">
        <v>60</v>
      </c>
      <c r="L796" t="str" cm="1">
        <f t="array" ref="L796">_xlfn.IFS(
 K796&lt;=50,"≤50",
 AND(K796&gt;=51,K796&lt;=100),"51–100",
 AND(K796&gt;=101,K796&lt;=250),"101–250",
 AND(K796&gt;=251,K796&lt;=500),"251–500",
 AND(K796&gt;=501,K796&lt;=1000),"501–1000",
 K796&gt;=1001,"1001+"
)</f>
        <v>51–100</v>
      </c>
    </row>
    <row r="797" spans="1:12" x14ac:dyDescent="0.3">
      <c r="A797" t="s">
        <v>1525</v>
      </c>
      <c r="B797" t="s">
        <v>9</v>
      </c>
      <c r="C797" t="s">
        <v>5780</v>
      </c>
      <c r="D797" t="s">
        <v>1526</v>
      </c>
      <c r="E797" t="s">
        <v>15</v>
      </c>
      <c r="F797" t="s">
        <v>16</v>
      </c>
      <c r="G797" t="s">
        <v>1527</v>
      </c>
      <c r="J797" t="s">
        <v>5738</v>
      </c>
      <c r="K797">
        <v>60</v>
      </c>
      <c r="L797" t="str" cm="1">
        <f t="array" ref="L797">_xlfn.IFS(
 K797&lt;=50,"≤50",
 AND(K797&gt;=51,K797&lt;=100),"51–100",
 AND(K797&gt;=101,K797&lt;=250),"101–250",
 AND(K797&gt;=251,K797&lt;=500),"251–500",
 AND(K797&gt;=501,K797&lt;=1000),"501–1000",
 K797&gt;=1001,"1001+"
)</f>
        <v>51–100</v>
      </c>
    </row>
    <row r="798" spans="1:12" x14ac:dyDescent="0.3">
      <c r="A798" t="s">
        <v>1528</v>
      </c>
      <c r="B798" t="s">
        <v>11</v>
      </c>
      <c r="C798" t="s">
        <v>5776</v>
      </c>
      <c r="F798" t="s">
        <v>5770</v>
      </c>
      <c r="J798" t="s">
        <v>5738</v>
      </c>
      <c r="K798">
        <v>60</v>
      </c>
      <c r="L798" t="str" cm="1">
        <f t="array" ref="L798">_xlfn.IFS(
 K798&lt;=50,"≤50",
 AND(K798&gt;=51,K798&lt;=100),"51–100",
 AND(K798&gt;=101,K798&lt;=250),"101–250",
 AND(K798&gt;=251,K798&lt;=500),"251–500",
 AND(K798&gt;=501,K798&lt;=1000),"501–1000",
 K798&gt;=1001,"1001+"
)</f>
        <v>51–100</v>
      </c>
    </row>
    <row r="799" spans="1:12" x14ac:dyDescent="0.3">
      <c r="A799" t="s">
        <v>1529</v>
      </c>
      <c r="B799" t="s">
        <v>9</v>
      </c>
      <c r="C799" t="s">
        <v>5780</v>
      </c>
      <c r="D799" t="s">
        <v>1530</v>
      </c>
      <c r="E799" t="s">
        <v>15</v>
      </c>
      <c r="F799" t="s">
        <v>20</v>
      </c>
      <c r="G799" t="s">
        <v>1531</v>
      </c>
      <c r="J799" t="s">
        <v>5738</v>
      </c>
      <c r="K799">
        <v>60</v>
      </c>
      <c r="L799" t="str" cm="1">
        <f t="array" ref="L799">_xlfn.IFS(
 K799&lt;=50,"≤50",
 AND(K799&gt;=51,K799&lt;=100),"51–100",
 AND(K799&gt;=101,K799&lt;=250),"101–250",
 AND(K799&gt;=251,K799&lt;=500),"251–500",
 AND(K799&gt;=501,K799&lt;=1000),"501–1000",
 K799&gt;=1001,"1001+"
)</f>
        <v>51–100</v>
      </c>
    </row>
    <row r="800" spans="1:12" x14ac:dyDescent="0.3">
      <c r="A800" t="s">
        <v>1532</v>
      </c>
      <c r="B800" t="s">
        <v>11</v>
      </c>
      <c r="C800" t="s">
        <v>5776</v>
      </c>
      <c r="F800" t="s">
        <v>5770</v>
      </c>
      <c r="J800" t="s">
        <v>5737</v>
      </c>
      <c r="K800">
        <v>60</v>
      </c>
      <c r="L800" t="str" cm="1">
        <f t="array" ref="L800">_xlfn.IFS(
 K800&lt;=50,"≤50",
 AND(K800&gt;=51,K800&lt;=100),"51–100",
 AND(K800&gt;=101,K800&lt;=250),"101–250",
 AND(K800&gt;=251,K800&lt;=500),"251–500",
 AND(K800&gt;=501,K800&lt;=1000),"501–1000",
 K800&gt;=1001,"1001+"
)</f>
        <v>51–100</v>
      </c>
    </row>
    <row r="801" spans="1:12" x14ac:dyDescent="0.3">
      <c r="A801" t="s">
        <v>1533</v>
      </c>
      <c r="B801" t="s">
        <v>9</v>
      </c>
      <c r="C801" t="s">
        <v>5780</v>
      </c>
      <c r="D801" t="s">
        <v>1534</v>
      </c>
      <c r="E801" t="s">
        <v>15</v>
      </c>
      <c r="F801" t="s">
        <v>16</v>
      </c>
      <c r="G801" t="s">
        <v>1535</v>
      </c>
      <c r="J801" t="s">
        <v>5737</v>
      </c>
      <c r="K801">
        <v>60</v>
      </c>
      <c r="L801" t="str" cm="1">
        <f t="array" ref="L801">_xlfn.IFS(
 K801&lt;=50,"≤50",
 AND(K801&gt;=51,K801&lt;=100),"51–100",
 AND(K801&gt;=101,K801&lt;=250),"101–250",
 AND(K801&gt;=251,K801&lt;=500),"251–500",
 AND(K801&gt;=501,K801&lt;=1000),"501–1000",
 K801&gt;=1001,"1001+"
)</f>
        <v>51–100</v>
      </c>
    </row>
    <row r="802" spans="1:12" x14ac:dyDescent="0.3">
      <c r="A802" t="s">
        <v>1536</v>
      </c>
      <c r="B802" t="s">
        <v>9</v>
      </c>
      <c r="C802" t="s">
        <v>5780</v>
      </c>
      <c r="D802" t="s">
        <v>28</v>
      </c>
      <c r="F802" t="s">
        <v>5770</v>
      </c>
      <c r="J802" t="s">
        <v>5751</v>
      </c>
      <c r="K802">
        <v>60</v>
      </c>
      <c r="L802" t="str" cm="1">
        <f t="array" ref="L802">_xlfn.IFS(
 K802&lt;=50,"≤50",
 AND(K802&gt;=51,K802&lt;=100),"51–100",
 AND(K802&gt;=101,K802&lt;=250),"101–250",
 AND(K802&gt;=251,K802&lt;=500),"251–500",
 AND(K802&gt;=501,K802&lt;=1000),"501–1000",
 K802&gt;=1001,"1001+"
)</f>
        <v>51–100</v>
      </c>
    </row>
    <row r="803" spans="1:12" x14ac:dyDescent="0.3">
      <c r="A803" t="s">
        <v>1537</v>
      </c>
      <c r="B803" t="s">
        <v>9</v>
      </c>
      <c r="C803" t="s">
        <v>5780</v>
      </c>
      <c r="D803" t="s">
        <v>28</v>
      </c>
      <c r="F803" t="s">
        <v>20</v>
      </c>
      <c r="G803" t="s">
        <v>1538</v>
      </c>
      <c r="J803" t="s">
        <v>5751</v>
      </c>
      <c r="K803">
        <v>60</v>
      </c>
      <c r="L803" t="str" cm="1">
        <f t="array" ref="L803">_xlfn.IFS(
 K803&lt;=50,"≤50",
 AND(K803&gt;=51,K803&lt;=100),"51–100",
 AND(K803&gt;=101,K803&lt;=250),"101–250",
 AND(K803&gt;=251,K803&lt;=500),"251–500",
 AND(K803&gt;=501,K803&lt;=1000),"501–1000",
 K803&gt;=1001,"1001+"
)</f>
        <v>51–100</v>
      </c>
    </row>
    <row r="804" spans="1:12" x14ac:dyDescent="0.3">
      <c r="A804" t="s">
        <v>1539</v>
      </c>
      <c r="B804" t="s">
        <v>9</v>
      </c>
      <c r="C804" t="s">
        <v>5780</v>
      </c>
      <c r="D804" t="s">
        <v>1540</v>
      </c>
      <c r="E804" t="s">
        <v>15</v>
      </c>
      <c r="F804" t="s">
        <v>16</v>
      </c>
      <c r="G804" t="s">
        <v>360</v>
      </c>
      <c r="J804" t="s">
        <v>5751</v>
      </c>
      <c r="K804">
        <v>60</v>
      </c>
      <c r="L804" t="str" cm="1">
        <f t="array" ref="L804">_xlfn.IFS(
 K804&lt;=50,"≤50",
 AND(K804&gt;=51,K804&lt;=100),"51–100",
 AND(K804&gt;=101,K804&lt;=250),"101–250",
 AND(K804&gt;=251,K804&lt;=500),"251–500",
 AND(K804&gt;=501,K804&lt;=1000),"501–1000",
 K804&gt;=1001,"1001+"
)</f>
        <v>51–100</v>
      </c>
    </row>
    <row r="805" spans="1:12" x14ac:dyDescent="0.3">
      <c r="A805" t="s">
        <v>1541</v>
      </c>
      <c r="B805" t="s">
        <v>9</v>
      </c>
      <c r="C805" t="s">
        <v>5780</v>
      </c>
      <c r="D805" t="s">
        <v>339</v>
      </c>
      <c r="F805" t="s">
        <v>5770</v>
      </c>
      <c r="J805" t="s">
        <v>5755</v>
      </c>
      <c r="K805">
        <v>60</v>
      </c>
      <c r="L805" t="str" cm="1">
        <f t="array" ref="L805">_xlfn.IFS(
 K805&lt;=50,"≤50",
 AND(K805&gt;=51,K805&lt;=100),"51–100",
 AND(K805&gt;=101,K805&lt;=250),"101–250",
 AND(K805&gt;=251,K805&lt;=500),"251–500",
 AND(K805&gt;=501,K805&lt;=1000),"501–1000",
 K805&gt;=1001,"1001+"
)</f>
        <v>51–100</v>
      </c>
    </row>
    <row r="806" spans="1:12" x14ac:dyDescent="0.3">
      <c r="A806" t="s">
        <v>1542</v>
      </c>
      <c r="B806" t="s">
        <v>9</v>
      </c>
      <c r="C806" t="s">
        <v>5780</v>
      </c>
      <c r="D806" t="s">
        <v>1543</v>
      </c>
      <c r="E806" t="s">
        <v>15</v>
      </c>
      <c r="F806" t="s">
        <v>5770</v>
      </c>
      <c r="J806" t="s">
        <v>5742</v>
      </c>
      <c r="K806">
        <v>60</v>
      </c>
      <c r="L806" t="str" cm="1">
        <f t="array" ref="L806">_xlfn.IFS(
 K806&lt;=50,"≤50",
 AND(K806&gt;=51,K806&lt;=100),"51–100",
 AND(K806&gt;=101,K806&lt;=250),"101–250",
 AND(K806&gt;=251,K806&lt;=500),"251–500",
 AND(K806&gt;=501,K806&lt;=1000),"501–1000",
 K806&gt;=1001,"1001+"
)</f>
        <v>51–100</v>
      </c>
    </row>
    <row r="807" spans="1:12" x14ac:dyDescent="0.3">
      <c r="A807" t="s">
        <v>1544</v>
      </c>
      <c r="B807" t="s">
        <v>9</v>
      </c>
      <c r="C807" t="s">
        <v>5780</v>
      </c>
      <c r="D807" t="s">
        <v>28</v>
      </c>
      <c r="F807" t="s">
        <v>5770</v>
      </c>
      <c r="J807" t="s">
        <v>5741</v>
      </c>
      <c r="K807">
        <v>60</v>
      </c>
      <c r="L807" t="str" cm="1">
        <f t="array" ref="L807">_xlfn.IFS(
 K807&lt;=50,"≤50",
 AND(K807&gt;=51,K807&lt;=100),"51–100",
 AND(K807&gt;=101,K807&lt;=250),"101–250",
 AND(K807&gt;=251,K807&lt;=500),"251–500",
 AND(K807&gt;=501,K807&lt;=1000),"501–1000",
 K807&gt;=1001,"1001+"
)</f>
        <v>51–100</v>
      </c>
    </row>
    <row r="808" spans="1:12" x14ac:dyDescent="0.3">
      <c r="A808" t="s">
        <v>1545</v>
      </c>
      <c r="B808" t="s">
        <v>9</v>
      </c>
      <c r="C808" t="s">
        <v>5780</v>
      </c>
      <c r="D808" t="s">
        <v>1546</v>
      </c>
      <c r="F808" t="s">
        <v>5770</v>
      </c>
      <c r="J808" t="s">
        <v>5752</v>
      </c>
      <c r="K808">
        <v>60</v>
      </c>
      <c r="L808" t="str" cm="1">
        <f t="array" ref="L808">_xlfn.IFS(
 K808&lt;=50,"≤50",
 AND(K808&gt;=51,K808&lt;=100),"51–100",
 AND(K808&gt;=101,K808&lt;=250),"101–250",
 AND(K808&gt;=251,K808&lt;=500),"251–500",
 AND(K808&gt;=501,K808&lt;=1000),"501–1000",
 K808&gt;=1001,"1001+"
)</f>
        <v>51–100</v>
      </c>
    </row>
    <row r="809" spans="1:12" x14ac:dyDescent="0.3">
      <c r="A809" t="s">
        <v>1547</v>
      </c>
      <c r="B809" t="s">
        <v>9</v>
      </c>
      <c r="C809" t="s">
        <v>5780</v>
      </c>
      <c r="D809" t="s">
        <v>28</v>
      </c>
      <c r="F809" t="s">
        <v>5770</v>
      </c>
      <c r="J809" t="s">
        <v>5750</v>
      </c>
      <c r="K809">
        <v>60</v>
      </c>
      <c r="L809" t="str" cm="1">
        <f t="array" ref="L809">_xlfn.IFS(
 K809&lt;=50,"≤50",
 AND(K809&gt;=51,K809&lt;=100),"51–100",
 AND(K809&gt;=101,K809&lt;=250),"101–250",
 AND(K809&gt;=251,K809&lt;=500),"251–500",
 AND(K809&gt;=501,K809&lt;=1000),"501–1000",
 K809&gt;=1001,"1001+"
)</f>
        <v>51–100</v>
      </c>
    </row>
    <row r="810" spans="1:12" x14ac:dyDescent="0.3">
      <c r="A810" t="s">
        <v>1548</v>
      </c>
      <c r="B810" t="s">
        <v>9</v>
      </c>
      <c r="C810" t="s">
        <v>5780</v>
      </c>
      <c r="D810" t="s">
        <v>1549</v>
      </c>
      <c r="E810" t="s">
        <v>15</v>
      </c>
      <c r="F810" t="s">
        <v>5770</v>
      </c>
      <c r="J810" t="s">
        <v>5750</v>
      </c>
      <c r="K810">
        <v>60</v>
      </c>
      <c r="L810" t="str" cm="1">
        <f t="array" ref="L810">_xlfn.IFS(
 K810&lt;=50,"≤50",
 AND(K810&gt;=51,K810&lt;=100),"51–100",
 AND(K810&gt;=101,K810&lt;=250),"101–250",
 AND(K810&gt;=251,K810&lt;=500),"251–500",
 AND(K810&gt;=501,K810&lt;=1000),"501–1000",
 K810&gt;=1001,"1001+"
)</f>
        <v>51–100</v>
      </c>
    </row>
    <row r="811" spans="1:12" x14ac:dyDescent="0.3">
      <c r="A811" t="s">
        <v>1550</v>
      </c>
      <c r="B811" t="s">
        <v>11</v>
      </c>
      <c r="C811" t="s">
        <v>5776</v>
      </c>
      <c r="F811" t="s">
        <v>5770</v>
      </c>
      <c r="J811" t="s">
        <v>5760</v>
      </c>
      <c r="K811">
        <v>60</v>
      </c>
      <c r="L811" t="str" cm="1">
        <f t="array" ref="L811">_xlfn.IFS(
 K811&lt;=50,"≤50",
 AND(K811&gt;=51,K811&lt;=100),"51–100",
 AND(K811&gt;=101,K811&lt;=250),"101–250",
 AND(K811&gt;=251,K811&lt;=500),"251–500",
 AND(K811&gt;=501,K811&lt;=1000),"501–1000",
 K811&gt;=1001,"1001+"
)</f>
        <v>51–100</v>
      </c>
    </row>
    <row r="812" spans="1:12" x14ac:dyDescent="0.3">
      <c r="A812" t="s">
        <v>1551</v>
      </c>
      <c r="B812" t="s">
        <v>9</v>
      </c>
      <c r="C812" t="s">
        <v>5780</v>
      </c>
      <c r="D812" t="s">
        <v>28</v>
      </c>
      <c r="E812" t="s">
        <v>15</v>
      </c>
      <c r="F812" t="s">
        <v>16</v>
      </c>
      <c r="G812" t="s">
        <v>1552</v>
      </c>
      <c r="J812" t="s">
        <v>5760</v>
      </c>
      <c r="K812">
        <v>60</v>
      </c>
      <c r="L812" t="str" cm="1">
        <f t="array" ref="L812">_xlfn.IFS(
 K812&lt;=50,"≤50",
 AND(K812&gt;=51,K812&lt;=100),"51–100",
 AND(K812&gt;=101,K812&lt;=250),"101–250",
 AND(K812&gt;=251,K812&lt;=500),"251–500",
 AND(K812&gt;=501,K812&lt;=1000),"501–1000",
 K812&gt;=1001,"1001+"
)</f>
        <v>51–100</v>
      </c>
    </row>
    <row r="813" spans="1:12" x14ac:dyDescent="0.3">
      <c r="A813" t="s">
        <v>1553</v>
      </c>
      <c r="B813" t="s">
        <v>13</v>
      </c>
      <c r="C813" t="s">
        <v>5777</v>
      </c>
      <c r="D813" t="s">
        <v>1554</v>
      </c>
      <c r="F813" t="s">
        <v>5770</v>
      </c>
      <c r="J813" t="s">
        <v>5740</v>
      </c>
      <c r="K813">
        <v>60</v>
      </c>
      <c r="L813" t="str" cm="1">
        <f t="array" ref="L813">_xlfn.IFS(
 K813&lt;=50,"≤50",
 AND(K813&gt;=51,K813&lt;=100),"51–100",
 AND(K813&gt;=101,K813&lt;=250),"101–250",
 AND(K813&gt;=251,K813&lt;=500),"251–500",
 AND(K813&gt;=501,K813&lt;=1000),"501–1000",
 K813&gt;=1001,"1001+"
)</f>
        <v>51–100</v>
      </c>
    </row>
    <row r="814" spans="1:12" x14ac:dyDescent="0.3">
      <c r="A814" t="s">
        <v>1555</v>
      </c>
      <c r="B814" t="s">
        <v>11</v>
      </c>
      <c r="C814" t="s">
        <v>5776</v>
      </c>
      <c r="F814" t="s">
        <v>5770</v>
      </c>
      <c r="J814" t="s">
        <v>5740</v>
      </c>
      <c r="K814">
        <v>60</v>
      </c>
      <c r="L814" t="str" cm="1">
        <f t="array" ref="L814">_xlfn.IFS(
 K814&lt;=50,"≤50",
 AND(K814&gt;=51,K814&lt;=100),"51–100",
 AND(K814&gt;=101,K814&lt;=250),"101–250",
 AND(K814&gt;=251,K814&lt;=500),"251–500",
 AND(K814&gt;=501,K814&lt;=1000),"501–1000",
 K814&gt;=1001,"1001+"
)</f>
        <v>51–100</v>
      </c>
    </row>
    <row r="815" spans="1:12" x14ac:dyDescent="0.3">
      <c r="A815" t="s">
        <v>1556</v>
      </c>
      <c r="B815" t="s">
        <v>11</v>
      </c>
      <c r="C815" t="s">
        <v>5776</v>
      </c>
      <c r="F815" t="s">
        <v>5770</v>
      </c>
      <c r="J815" t="s">
        <v>5740</v>
      </c>
      <c r="K815">
        <v>60</v>
      </c>
      <c r="L815" t="str" cm="1">
        <f t="array" ref="L815">_xlfn.IFS(
 K815&lt;=50,"≤50",
 AND(K815&gt;=51,K815&lt;=100),"51–100",
 AND(K815&gt;=101,K815&lt;=250),"101–250",
 AND(K815&gt;=251,K815&lt;=500),"251–500",
 AND(K815&gt;=501,K815&lt;=1000),"501–1000",
 K815&gt;=1001,"1001+"
)</f>
        <v>51–100</v>
      </c>
    </row>
    <row r="816" spans="1:12" x14ac:dyDescent="0.3">
      <c r="A816" t="s">
        <v>1557</v>
      </c>
      <c r="B816" t="s">
        <v>9</v>
      </c>
      <c r="C816" t="s">
        <v>5780</v>
      </c>
      <c r="D816" t="s">
        <v>1558</v>
      </c>
      <c r="F816" t="s">
        <v>5770</v>
      </c>
      <c r="J816" t="s">
        <v>5761</v>
      </c>
      <c r="K816">
        <v>60</v>
      </c>
      <c r="L816" t="str" cm="1">
        <f t="array" ref="L816">_xlfn.IFS(
 K816&lt;=50,"≤50",
 AND(K816&gt;=51,K816&lt;=100),"51–100",
 AND(K816&gt;=101,K816&lt;=250),"101–250",
 AND(K816&gt;=251,K816&lt;=500),"251–500",
 AND(K816&gt;=501,K816&lt;=1000),"501–1000",
 K816&gt;=1001,"1001+"
)</f>
        <v>51–100</v>
      </c>
    </row>
    <row r="817" spans="1:12" x14ac:dyDescent="0.3">
      <c r="A817" t="s">
        <v>1559</v>
      </c>
      <c r="B817" t="s">
        <v>9</v>
      </c>
      <c r="C817" t="s">
        <v>5780</v>
      </c>
      <c r="D817" t="s">
        <v>1560</v>
      </c>
      <c r="F817" t="s">
        <v>20</v>
      </c>
      <c r="G817" t="s">
        <v>1561</v>
      </c>
      <c r="J817" t="s">
        <v>5738</v>
      </c>
      <c r="K817">
        <v>60</v>
      </c>
      <c r="L817" t="str" cm="1">
        <f t="array" ref="L817">_xlfn.IFS(
 K817&lt;=50,"≤50",
 AND(K817&gt;=51,K817&lt;=100),"51–100",
 AND(K817&gt;=101,K817&lt;=250),"101–250",
 AND(K817&gt;=251,K817&lt;=500),"251–500",
 AND(K817&gt;=501,K817&lt;=1000),"501–1000",
 K817&gt;=1001,"1001+"
)</f>
        <v>51–100</v>
      </c>
    </row>
    <row r="818" spans="1:12" x14ac:dyDescent="0.3">
      <c r="A818" t="s">
        <v>1562</v>
      </c>
      <c r="B818" t="s">
        <v>9</v>
      </c>
      <c r="C818" t="s">
        <v>5780</v>
      </c>
      <c r="D818" t="s">
        <v>1563</v>
      </c>
      <c r="E818" t="s">
        <v>15</v>
      </c>
      <c r="F818" t="s">
        <v>16</v>
      </c>
      <c r="G818" t="s">
        <v>1564</v>
      </c>
      <c r="J818" t="s">
        <v>5737</v>
      </c>
      <c r="K818">
        <v>60</v>
      </c>
      <c r="L818" t="str" cm="1">
        <f t="array" ref="L818">_xlfn.IFS(
 K818&lt;=50,"≤50",
 AND(K818&gt;=51,K818&lt;=100),"51–100",
 AND(K818&gt;=101,K818&lt;=250),"101–250",
 AND(K818&gt;=251,K818&lt;=500),"251–500",
 AND(K818&gt;=501,K818&lt;=1000),"501–1000",
 K818&gt;=1001,"1001+"
)</f>
        <v>51–100</v>
      </c>
    </row>
    <row r="819" spans="1:12" x14ac:dyDescent="0.3">
      <c r="A819" t="s">
        <v>1565</v>
      </c>
      <c r="B819" t="s">
        <v>9</v>
      </c>
      <c r="C819" t="s">
        <v>5780</v>
      </c>
      <c r="D819" t="s">
        <v>1566</v>
      </c>
      <c r="E819" t="s">
        <v>15</v>
      </c>
      <c r="F819" t="s">
        <v>16</v>
      </c>
      <c r="G819" t="s">
        <v>1567</v>
      </c>
      <c r="J819" t="s">
        <v>5752</v>
      </c>
      <c r="K819">
        <v>60</v>
      </c>
      <c r="L819" t="str" cm="1">
        <f t="array" ref="L819">_xlfn.IFS(
 K819&lt;=50,"≤50",
 AND(K819&gt;=51,K819&lt;=100),"51–100",
 AND(K819&gt;=101,K819&lt;=250),"101–250",
 AND(K819&gt;=251,K819&lt;=500),"251–500",
 AND(K819&gt;=501,K819&lt;=1000),"501–1000",
 K819&gt;=1001,"1001+"
)</f>
        <v>51–100</v>
      </c>
    </row>
    <row r="820" spans="1:12" x14ac:dyDescent="0.3">
      <c r="A820" t="s">
        <v>1568</v>
      </c>
      <c r="B820" t="s">
        <v>9</v>
      </c>
      <c r="C820" t="s">
        <v>5780</v>
      </c>
      <c r="D820" t="s">
        <v>1569</v>
      </c>
      <c r="E820" t="s">
        <v>15</v>
      </c>
      <c r="F820" t="s">
        <v>54</v>
      </c>
      <c r="G820" t="s">
        <v>1570</v>
      </c>
      <c r="J820" t="s">
        <v>5747</v>
      </c>
      <c r="K820">
        <v>60</v>
      </c>
      <c r="L820" t="str" cm="1">
        <f t="array" ref="L820">_xlfn.IFS(
 K820&lt;=50,"≤50",
 AND(K820&gt;=51,K820&lt;=100),"51–100",
 AND(K820&gt;=101,K820&lt;=250),"101–250",
 AND(K820&gt;=251,K820&lt;=500),"251–500",
 AND(K820&gt;=501,K820&lt;=1000),"501–1000",
 K820&gt;=1001,"1001+"
)</f>
        <v>51–100</v>
      </c>
    </row>
    <row r="821" spans="1:12" x14ac:dyDescent="0.3">
      <c r="A821" t="s">
        <v>1571</v>
      </c>
      <c r="B821" t="s">
        <v>9</v>
      </c>
      <c r="C821" t="s">
        <v>5780</v>
      </c>
      <c r="D821" t="s">
        <v>1572</v>
      </c>
      <c r="E821" t="s">
        <v>15</v>
      </c>
      <c r="F821" t="s">
        <v>16</v>
      </c>
      <c r="G821" t="s">
        <v>1573</v>
      </c>
      <c r="J821" t="s">
        <v>5753</v>
      </c>
      <c r="K821">
        <v>60</v>
      </c>
      <c r="L821" t="str" cm="1">
        <f t="array" ref="L821">_xlfn.IFS(
 K821&lt;=50,"≤50",
 AND(K821&gt;=51,K821&lt;=100),"51–100",
 AND(K821&gt;=101,K821&lt;=250),"101–250",
 AND(K821&gt;=251,K821&lt;=500),"251–500",
 AND(K821&gt;=501,K821&lt;=1000),"501–1000",
 K821&gt;=1001,"1001+"
)</f>
        <v>51–100</v>
      </c>
    </row>
    <row r="822" spans="1:12" x14ac:dyDescent="0.3">
      <c r="A822" t="s">
        <v>1574</v>
      </c>
      <c r="B822" t="s">
        <v>13</v>
      </c>
      <c r="C822" t="s">
        <v>5777</v>
      </c>
      <c r="D822" t="s">
        <v>314</v>
      </c>
      <c r="F822" t="s">
        <v>5770</v>
      </c>
      <c r="J822" t="s">
        <v>5750</v>
      </c>
      <c r="K822">
        <v>60</v>
      </c>
      <c r="L822" t="str" cm="1">
        <f t="array" ref="L822">_xlfn.IFS(
 K822&lt;=50,"≤50",
 AND(K822&gt;=51,K822&lt;=100),"51–100",
 AND(K822&gt;=101,K822&lt;=250),"101–250",
 AND(K822&gt;=251,K822&lt;=500),"251–500",
 AND(K822&gt;=501,K822&lt;=1000),"501–1000",
 K822&gt;=1001,"1001+"
)</f>
        <v>51–100</v>
      </c>
    </row>
    <row r="823" spans="1:12" x14ac:dyDescent="0.3">
      <c r="A823" t="s">
        <v>1575</v>
      </c>
      <c r="B823" t="s">
        <v>9</v>
      </c>
      <c r="C823" t="s">
        <v>5780</v>
      </c>
      <c r="D823" t="s">
        <v>1576</v>
      </c>
      <c r="F823" t="s">
        <v>20</v>
      </c>
      <c r="G823" t="s">
        <v>1577</v>
      </c>
      <c r="J823" t="s">
        <v>5738</v>
      </c>
      <c r="K823">
        <v>60</v>
      </c>
      <c r="L823" t="str" cm="1">
        <f t="array" ref="L823">_xlfn.IFS(
 K823&lt;=50,"≤50",
 AND(K823&gt;=51,K823&lt;=100),"51–100",
 AND(K823&gt;=101,K823&lt;=250),"101–250",
 AND(K823&gt;=251,K823&lt;=500),"251–500",
 AND(K823&gt;=501,K823&lt;=1000),"501–1000",
 K823&gt;=1001,"1001+"
)</f>
        <v>51–100</v>
      </c>
    </row>
    <row r="824" spans="1:12" x14ac:dyDescent="0.3">
      <c r="A824" t="s">
        <v>1578</v>
      </c>
      <c r="B824" t="s">
        <v>9</v>
      </c>
      <c r="C824" t="s">
        <v>5780</v>
      </c>
      <c r="D824" t="s">
        <v>28</v>
      </c>
      <c r="F824" t="s">
        <v>5770</v>
      </c>
      <c r="J824" t="s">
        <v>5738</v>
      </c>
      <c r="K824">
        <v>60</v>
      </c>
      <c r="L824" t="str" cm="1">
        <f t="array" ref="L824">_xlfn.IFS(
 K824&lt;=50,"≤50",
 AND(K824&gt;=51,K824&lt;=100),"51–100",
 AND(K824&gt;=101,K824&lt;=250),"101–250",
 AND(K824&gt;=251,K824&lt;=500),"251–500",
 AND(K824&gt;=501,K824&lt;=1000),"501–1000",
 K824&gt;=1001,"1001+"
)</f>
        <v>51–100</v>
      </c>
    </row>
    <row r="825" spans="1:12" x14ac:dyDescent="0.3">
      <c r="A825" t="s">
        <v>1579</v>
      </c>
      <c r="B825" t="s">
        <v>11</v>
      </c>
      <c r="C825" t="s">
        <v>5776</v>
      </c>
      <c r="F825" t="s">
        <v>5770</v>
      </c>
      <c r="J825" t="s">
        <v>5751</v>
      </c>
      <c r="K825">
        <v>60</v>
      </c>
      <c r="L825" t="str" cm="1">
        <f t="array" ref="L825">_xlfn.IFS(
 K825&lt;=50,"≤50",
 AND(K825&gt;=51,K825&lt;=100),"51–100",
 AND(K825&gt;=101,K825&lt;=250),"101–250",
 AND(K825&gt;=251,K825&lt;=500),"251–500",
 AND(K825&gt;=501,K825&lt;=1000),"501–1000",
 K825&gt;=1001,"1001+"
)</f>
        <v>51–100</v>
      </c>
    </row>
    <row r="826" spans="1:12" x14ac:dyDescent="0.3">
      <c r="A826" t="s">
        <v>1580</v>
      </c>
      <c r="B826" t="s">
        <v>11</v>
      </c>
      <c r="C826" t="s">
        <v>5776</v>
      </c>
      <c r="F826" t="s">
        <v>5770</v>
      </c>
      <c r="J826" t="s">
        <v>5737</v>
      </c>
      <c r="K826">
        <v>60</v>
      </c>
      <c r="L826" t="str" cm="1">
        <f t="array" ref="L826">_xlfn.IFS(
 K826&lt;=50,"≤50",
 AND(K826&gt;=51,K826&lt;=100),"51–100",
 AND(K826&gt;=101,K826&lt;=250),"101–250",
 AND(K826&gt;=251,K826&lt;=500),"251–500",
 AND(K826&gt;=501,K826&lt;=1000),"501–1000",
 K826&gt;=1001,"1001+"
)</f>
        <v>51–100</v>
      </c>
    </row>
    <row r="827" spans="1:12" x14ac:dyDescent="0.3">
      <c r="A827" t="s">
        <v>1581</v>
      </c>
      <c r="B827" t="s">
        <v>9</v>
      </c>
      <c r="C827" t="s">
        <v>5780</v>
      </c>
      <c r="D827" t="s">
        <v>28</v>
      </c>
      <c r="F827" t="s">
        <v>5770</v>
      </c>
      <c r="J827" t="s">
        <v>5744</v>
      </c>
      <c r="K827">
        <v>60</v>
      </c>
      <c r="L827" t="str" cm="1">
        <f t="array" ref="L827">_xlfn.IFS(
 K827&lt;=50,"≤50",
 AND(K827&gt;=51,K827&lt;=100),"51–100",
 AND(K827&gt;=101,K827&lt;=250),"101–250",
 AND(K827&gt;=251,K827&lt;=500),"251–500",
 AND(K827&gt;=501,K827&lt;=1000),"501–1000",
 K827&gt;=1001,"1001+"
)</f>
        <v>51–100</v>
      </c>
    </row>
    <row r="828" spans="1:12" x14ac:dyDescent="0.3">
      <c r="A828" t="s">
        <v>1582</v>
      </c>
      <c r="B828" t="s">
        <v>9</v>
      </c>
      <c r="C828" t="s">
        <v>5780</v>
      </c>
      <c r="D828" t="s">
        <v>1319</v>
      </c>
      <c r="F828" t="s">
        <v>5770</v>
      </c>
      <c r="J828" t="s">
        <v>5743</v>
      </c>
      <c r="K828">
        <v>60</v>
      </c>
      <c r="L828" t="str" cm="1">
        <f t="array" ref="L828">_xlfn.IFS(
 K828&lt;=50,"≤50",
 AND(K828&gt;=51,K828&lt;=100),"51–100",
 AND(K828&gt;=101,K828&lt;=250),"101–250",
 AND(K828&gt;=251,K828&lt;=500),"251–500",
 AND(K828&gt;=501,K828&lt;=1000),"501–1000",
 K828&gt;=1001,"1001+"
)</f>
        <v>51–100</v>
      </c>
    </row>
    <row r="829" spans="1:12" x14ac:dyDescent="0.3">
      <c r="A829" t="s">
        <v>1583</v>
      </c>
      <c r="B829" t="s">
        <v>13</v>
      </c>
      <c r="C829" t="s">
        <v>5777</v>
      </c>
      <c r="D829" t="s">
        <v>1584</v>
      </c>
      <c r="F829" t="s">
        <v>20</v>
      </c>
      <c r="G829" t="s">
        <v>1585</v>
      </c>
      <c r="J829" t="s">
        <v>5737</v>
      </c>
      <c r="K829">
        <v>60</v>
      </c>
      <c r="L829" t="str" cm="1">
        <f t="array" ref="L829">_xlfn.IFS(
 K829&lt;=50,"≤50",
 AND(K829&gt;=51,K829&lt;=100),"51–100",
 AND(K829&gt;=101,K829&lt;=250),"101–250",
 AND(K829&gt;=251,K829&lt;=500),"251–500",
 AND(K829&gt;=501,K829&lt;=1000),"501–1000",
 K829&gt;=1001,"1001+"
)</f>
        <v>51–100</v>
      </c>
    </row>
    <row r="830" spans="1:12" x14ac:dyDescent="0.3">
      <c r="A830" t="s">
        <v>1586</v>
      </c>
      <c r="B830" t="s">
        <v>9</v>
      </c>
      <c r="C830" t="s">
        <v>5780</v>
      </c>
      <c r="D830" t="s">
        <v>1587</v>
      </c>
      <c r="F830" t="s">
        <v>5770</v>
      </c>
      <c r="J830" t="s">
        <v>5737</v>
      </c>
      <c r="K830">
        <v>60</v>
      </c>
      <c r="L830" t="str" cm="1">
        <f t="array" ref="L830">_xlfn.IFS(
 K830&lt;=50,"≤50",
 AND(K830&gt;=51,K830&lt;=100),"51–100",
 AND(K830&gt;=101,K830&lt;=250),"101–250",
 AND(K830&gt;=251,K830&lt;=500),"251–500",
 AND(K830&gt;=501,K830&lt;=1000),"501–1000",
 K830&gt;=1001,"1001+"
)</f>
        <v>51–100</v>
      </c>
    </row>
    <row r="831" spans="1:12" x14ac:dyDescent="0.3">
      <c r="A831" t="s">
        <v>1588</v>
      </c>
      <c r="B831" t="s">
        <v>9</v>
      </c>
      <c r="C831" t="s">
        <v>5780</v>
      </c>
      <c r="D831" t="s">
        <v>679</v>
      </c>
      <c r="E831" t="s">
        <v>15</v>
      </c>
      <c r="F831" t="s">
        <v>20</v>
      </c>
      <c r="G831" t="s">
        <v>21</v>
      </c>
      <c r="J831" t="s">
        <v>5750</v>
      </c>
      <c r="K831">
        <v>60</v>
      </c>
      <c r="L831" t="str" cm="1">
        <f t="array" ref="L831">_xlfn.IFS(
 K831&lt;=50,"≤50",
 AND(K831&gt;=51,K831&lt;=100),"51–100",
 AND(K831&gt;=101,K831&lt;=250),"101–250",
 AND(K831&gt;=251,K831&lt;=500),"251–500",
 AND(K831&gt;=501,K831&lt;=1000),"501–1000",
 K831&gt;=1001,"1001+"
)</f>
        <v>51–100</v>
      </c>
    </row>
    <row r="832" spans="1:12" x14ac:dyDescent="0.3">
      <c r="A832" t="s">
        <v>1589</v>
      </c>
      <c r="B832" t="s">
        <v>13</v>
      </c>
      <c r="C832" t="s">
        <v>5777</v>
      </c>
      <c r="D832" t="s">
        <v>1590</v>
      </c>
      <c r="F832" t="s">
        <v>5770</v>
      </c>
      <c r="J832" t="s">
        <v>5737</v>
      </c>
      <c r="K832">
        <v>60</v>
      </c>
      <c r="L832" t="str" cm="1">
        <f t="array" ref="L832">_xlfn.IFS(
 K832&lt;=50,"≤50",
 AND(K832&gt;=51,K832&lt;=100),"51–100",
 AND(K832&gt;=101,K832&lt;=250),"101–250",
 AND(K832&gt;=251,K832&lt;=500),"251–500",
 AND(K832&gt;=501,K832&lt;=1000),"501–1000",
 K832&gt;=1001,"1001+"
)</f>
        <v>51–100</v>
      </c>
    </row>
    <row r="833" spans="1:12" x14ac:dyDescent="0.3">
      <c r="A833" t="s">
        <v>1591</v>
      </c>
      <c r="B833" t="s">
        <v>13</v>
      </c>
      <c r="C833" t="s">
        <v>5777</v>
      </c>
      <c r="D833" t="s">
        <v>1592</v>
      </c>
      <c r="E833" t="s">
        <v>15</v>
      </c>
      <c r="F833" t="s">
        <v>54</v>
      </c>
      <c r="G833" t="s">
        <v>1593</v>
      </c>
      <c r="J833" t="s">
        <v>5737</v>
      </c>
      <c r="K833">
        <v>60</v>
      </c>
      <c r="L833" t="str" cm="1">
        <f t="array" ref="L833">_xlfn.IFS(
 K833&lt;=50,"≤50",
 AND(K833&gt;=51,K833&lt;=100),"51–100",
 AND(K833&gt;=101,K833&lt;=250),"101–250",
 AND(K833&gt;=251,K833&lt;=500),"251–500",
 AND(K833&gt;=501,K833&lt;=1000),"501–1000",
 K833&gt;=1001,"1001+"
)</f>
        <v>51–100</v>
      </c>
    </row>
    <row r="834" spans="1:12" x14ac:dyDescent="0.3">
      <c r="A834" t="s">
        <v>1594</v>
      </c>
      <c r="B834" t="s">
        <v>9</v>
      </c>
      <c r="C834" t="s">
        <v>5780</v>
      </c>
      <c r="D834" t="s">
        <v>28</v>
      </c>
      <c r="F834" t="s">
        <v>20</v>
      </c>
      <c r="G834" t="s">
        <v>21</v>
      </c>
      <c r="J834" t="s">
        <v>5760</v>
      </c>
      <c r="K834">
        <v>60</v>
      </c>
      <c r="L834" t="str" cm="1">
        <f t="array" ref="L834">_xlfn.IFS(
 K834&lt;=50,"≤50",
 AND(K834&gt;=51,K834&lt;=100),"51–100",
 AND(K834&gt;=101,K834&lt;=250),"101–250",
 AND(K834&gt;=251,K834&lt;=500),"251–500",
 AND(K834&gt;=501,K834&lt;=1000),"501–1000",
 K834&gt;=1001,"1001+"
)</f>
        <v>51–100</v>
      </c>
    </row>
    <row r="835" spans="1:12" x14ac:dyDescent="0.3">
      <c r="A835" t="s">
        <v>1595</v>
      </c>
      <c r="B835" t="s">
        <v>9</v>
      </c>
      <c r="C835" t="s">
        <v>5780</v>
      </c>
      <c r="D835" t="s">
        <v>1596</v>
      </c>
      <c r="E835" t="s">
        <v>15</v>
      </c>
      <c r="F835" t="s">
        <v>54</v>
      </c>
      <c r="G835" t="s">
        <v>1597</v>
      </c>
      <c r="J835" t="s">
        <v>5737</v>
      </c>
      <c r="K835">
        <v>60</v>
      </c>
      <c r="L835" t="str" cm="1">
        <f t="array" ref="L835">_xlfn.IFS(
 K835&lt;=50,"≤50",
 AND(K835&gt;=51,K835&lt;=100),"51–100",
 AND(K835&gt;=101,K835&lt;=250),"101–250",
 AND(K835&gt;=251,K835&lt;=500),"251–500",
 AND(K835&gt;=501,K835&lt;=1000),"501–1000",
 K835&gt;=1001,"1001+"
)</f>
        <v>51–100</v>
      </c>
    </row>
    <row r="836" spans="1:12" x14ac:dyDescent="0.3">
      <c r="A836" t="s">
        <v>1598</v>
      </c>
      <c r="B836" t="s">
        <v>11</v>
      </c>
      <c r="C836" t="s">
        <v>5776</v>
      </c>
      <c r="F836" t="s">
        <v>5770</v>
      </c>
      <c r="J836" t="s">
        <v>5738</v>
      </c>
      <c r="K836">
        <v>60</v>
      </c>
      <c r="L836" t="str" cm="1">
        <f t="array" ref="L836">_xlfn.IFS(
 K836&lt;=50,"≤50",
 AND(K836&gt;=51,K836&lt;=100),"51–100",
 AND(K836&gt;=101,K836&lt;=250),"101–250",
 AND(K836&gt;=251,K836&lt;=500),"251–500",
 AND(K836&gt;=501,K836&lt;=1000),"501–1000",
 K836&gt;=1001,"1001+"
)</f>
        <v>51–100</v>
      </c>
    </row>
    <row r="837" spans="1:12" x14ac:dyDescent="0.3">
      <c r="A837" t="s">
        <v>1599</v>
      </c>
      <c r="B837" t="s">
        <v>9</v>
      </c>
      <c r="C837" t="s">
        <v>5780</v>
      </c>
      <c r="D837" t="s">
        <v>1600</v>
      </c>
      <c r="E837" t="s">
        <v>15</v>
      </c>
      <c r="F837" t="s">
        <v>20</v>
      </c>
      <c r="G837" t="s">
        <v>135</v>
      </c>
      <c r="J837" t="s">
        <v>5737</v>
      </c>
      <c r="K837">
        <v>60</v>
      </c>
      <c r="L837" t="str" cm="1">
        <f t="array" ref="L837">_xlfn.IFS(
 K837&lt;=50,"≤50",
 AND(K837&gt;=51,K837&lt;=100),"51–100",
 AND(K837&gt;=101,K837&lt;=250),"101–250",
 AND(K837&gt;=251,K837&lt;=500),"251–500",
 AND(K837&gt;=501,K837&lt;=1000),"501–1000",
 K837&gt;=1001,"1001+"
)</f>
        <v>51–100</v>
      </c>
    </row>
    <row r="838" spans="1:12" x14ac:dyDescent="0.3">
      <c r="A838" t="s">
        <v>1601</v>
      </c>
      <c r="B838" t="s">
        <v>9</v>
      </c>
      <c r="C838" t="s">
        <v>5780</v>
      </c>
      <c r="D838" t="s">
        <v>1602</v>
      </c>
      <c r="E838" t="s">
        <v>15</v>
      </c>
      <c r="F838" t="s">
        <v>20</v>
      </c>
      <c r="G838" t="s">
        <v>1603</v>
      </c>
      <c r="J838" t="s">
        <v>5737</v>
      </c>
      <c r="K838">
        <v>60</v>
      </c>
      <c r="L838" t="str" cm="1">
        <f t="array" ref="L838">_xlfn.IFS(
 K838&lt;=50,"≤50",
 AND(K838&gt;=51,K838&lt;=100),"51–100",
 AND(K838&gt;=101,K838&lt;=250),"101–250",
 AND(K838&gt;=251,K838&lt;=500),"251–500",
 AND(K838&gt;=501,K838&lt;=1000),"501–1000",
 K838&gt;=1001,"1001+"
)</f>
        <v>51–100</v>
      </c>
    </row>
    <row r="839" spans="1:12" x14ac:dyDescent="0.3">
      <c r="A839" t="s">
        <v>1604</v>
      </c>
      <c r="B839" t="s">
        <v>9</v>
      </c>
      <c r="C839" t="s">
        <v>5780</v>
      </c>
      <c r="D839" t="s">
        <v>1605</v>
      </c>
      <c r="F839" t="s">
        <v>20</v>
      </c>
      <c r="G839" t="s">
        <v>1606</v>
      </c>
      <c r="J839" t="s">
        <v>5745</v>
      </c>
      <c r="K839">
        <v>60</v>
      </c>
      <c r="L839" t="str" cm="1">
        <f t="array" ref="L839">_xlfn.IFS(
 K839&lt;=50,"≤50",
 AND(K839&gt;=51,K839&lt;=100),"51–100",
 AND(K839&gt;=101,K839&lt;=250),"101–250",
 AND(K839&gt;=251,K839&lt;=500),"251–500",
 AND(K839&gt;=501,K839&lt;=1000),"501–1000",
 K839&gt;=1001,"1001+"
)</f>
        <v>51–100</v>
      </c>
    </row>
    <row r="840" spans="1:12" x14ac:dyDescent="0.3">
      <c r="A840" t="s">
        <v>1607</v>
      </c>
      <c r="B840" t="s">
        <v>9</v>
      </c>
      <c r="C840" t="s">
        <v>5780</v>
      </c>
      <c r="D840" t="s">
        <v>28</v>
      </c>
      <c r="F840" t="s">
        <v>5770</v>
      </c>
      <c r="J840" t="s">
        <v>5762</v>
      </c>
      <c r="K840">
        <v>60</v>
      </c>
      <c r="L840" t="str" cm="1">
        <f t="array" ref="L840">_xlfn.IFS(
 K840&lt;=50,"≤50",
 AND(K840&gt;=51,K840&lt;=100),"51–100",
 AND(K840&gt;=101,K840&lt;=250),"101–250",
 AND(K840&gt;=251,K840&lt;=500),"251–500",
 AND(K840&gt;=501,K840&lt;=1000),"501–1000",
 K840&gt;=1001,"1001+"
)</f>
        <v>51–100</v>
      </c>
    </row>
    <row r="841" spans="1:12" x14ac:dyDescent="0.3">
      <c r="A841" t="s">
        <v>1608</v>
      </c>
      <c r="B841" t="s">
        <v>9</v>
      </c>
      <c r="C841" t="s">
        <v>5780</v>
      </c>
      <c r="D841" t="s">
        <v>442</v>
      </c>
      <c r="E841" t="s">
        <v>15</v>
      </c>
      <c r="F841" t="s">
        <v>5770</v>
      </c>
      <c r="J841" t="s">
        <v>5738</v>
      </c>
      <c r="K841">
        <v>60</v>
      </c>
      <c r="L841" t="str" cm="1">
        <f t="array" ref="L841">_xlfn.IFS(
 K841&lt;=50,"≤50",
 AND(K841&gt;=51,K841&lt;=100),"51–100",
 AND(K841&gt;=101,K841&lt;=250),"101–250",
 AND(K841&gt;=251,K841&lt;=500),"251–500",
 AND(K841&gt;=501,K841&lt;=1000),"501–1000",
 K841&gt;=1001,"1001+"
)</f>
        <v>51–100</v>
      </c>
    </row>
    <row r="842" spans="1:12" x14ac:dyDescent="0.3">
      <c r="A842" t="s">
        <v>1609</v>
      </c>
      <c r="B842" t="s">
        <v>11</v>
      </c>
      <c r="C842" t="s">
        <v>5776</v>
      </c>
      <c r="F842" t="s">
        <v>16</v>
      </c>
      <c r="G842" t="s">
        <v>288</v>
      </c>
      <c r="J842" t="s">
        <v>5742</v>
      </c>
      <c r="K842">
        <v>60</v>
      </c>
      <c r="L842" t="str" cm="1">
        <f t="array" ref="L842">_xlfn.IFS(
 K842&lt;=50,"≤50",
 AND(K842&gt;=51,K842&lt;=100),"51–100",
 AND(K842&gt;=101,K842&lt;=250),"101–250",
 AND(K842&gt;=251,K842&lt;=500),"251–500",
 AND(K842&gt;=501,K842&lt;=1000),"501–1000",
 K842&gt;=1001,"1001+"
)</f>
        <v>51–100</v>
      </c>
    </row>
    <row r="843" spans="1:12" x14ac:dyDescent="0.3">
      <c r="A843" t="s">
        <v>1610</v>
      </c>
      <c r="B843" t="s">
        <v>9</v>
      </c>
      <c r="C843" t="s">
        <v>5780</v>
      </c>
      <c r="D843" t="s">
        <v>28</v>
      </c>
      <c r="F843" t="s">
        <v>5770</v>
      </c>
      <c r="J843" t="s">
        <v>5749</v>
      </c>
      <c r="K843">
        <v>60</v>
      </c>
      <c r="L843" t="str" cm="1">
        <f t="array" ref="L843">_xlfn.IFS(
 K843&lt;=50,"≤50",
 AND(K843&gt;=51,K843&lt;=100),"51–100",
 AND(K843&gt;=101,K843&lt;=250),"101–250",
 AND(K843&gt;=251,K843&lt;=500),"251–500",
 AND(K843&gt;=501,K843&lt;=1000),"501–1000",
 K843&gt;=1001,"1001+"
)</f>
        <v>51–100</v>
      </c>
    </row>
    <row r="844" spans="1:12" x14ac:dyDescent="0.3">
      <c r="A844" t="s">
        <v>1611</v>
      </c>
      <c r="B844" t="s">
        <v>9</v>
      </c>
      <c r="C844" t="s">
        <v>5780</v>
      </c>
      <c r="D844" t="s">
        <v>301</v>
      </c>
      <c r="E844" t="s">
        <v>15</v>
      </c>
      <c r="F844" t="s">
        <v>5770</v>
      </c>
      <c r="J844" t="s">
        <v>5745</v>
      </c>
      <c r="K844">
        <v>60</v>
      </c>
      <c r="L844" t="str" cm="1">
        <f t="array" ref="L844">_xlfn.IFS(
 K844&lt;=50,"≤50",
 AND(K844&gt;=51,K844&lt;=100),"51–100",
 AND(K844&gt;=101,K844&lt;=250),"101–250",
 AND(K844&gt;=251,K844&lt;=500),"251–500",
 AND(K844&gt;=501,K844&lt;=1000),"501–1000",
 K844&gt;=1001,"1001+"
)</f>
        <v>51–100</v>
      </c>
    </row>
    <row r="845" spans="1:12" x14ac:dyDescent="0.3">
      <c r="A845" t="s">
        <v>1612</v>
      </c>
      <c r="B845" t="s">
        <v>9</v>
      </c>
      <c r="C845" t="s">
        <v>5780</v>
      </c>
      <c r="D845" t="s">
        <v>1613</v>
      </c>
      <c r="F845" t="s">
        <v>20</v>
      </c>
      <c r="G845" t="s">
        <v>1614</v>
      </c>
      <c r="J845" t="s">
        <v>5753</v>
      </c>
      <c r="K845">
        <v>60</v>
      </c>
      <c r="L845" t="str" cm="1">
        <f t="array" ref="L845">_xlfn.IFS(
 K845&lt;=50,"≤50",
 AND(K845&gt;=51,K845&lt;=100),"51–100",
 AND(K845&gt;=101,K845&lt;=250),"101–250",
 AND(K845&gt;=251,K845&lt;=500),"251–500",
 AND(K845&gt;=501,K845&lt;=1000),"501–1000",
 K845&gt;=1001,"1001+"
)</f>
        <v>51–100</v>
      </c>
    </row>
    <row r="846" spans="1:12" x14ac:dyDescent="0.3">
      <c r="A846" t="s">
        <v>1615</v>
      </c>
      <c r="B846" t="s">
        <v>11</v>
      </c>
      <c r="C846" t="s">
        <v>5776</v>
      </c>
      <c r="F846" t="s">
        <v>5770</v>
      </c>
      <c r="J846" t="s">
        <v>5759</v>
      </c>
      <c r="K846">
        <v>60</v>
      </c>
      <c r="L846" t="str" cm="1">
        <f t="array" ref="L846">_xlfn.IFS(
 K846&lt;=50,"≤50",
 AND(K846&gt;=51,K846&lt;=100),"51–100",
 AND(K846&gt;=101,K846&lt;=250),"101–250",
 AND(K846&gt;=251,K846&lt;=500),"251–500",
 AND(K846&gt;=501,K846&lt;=1000),"501–1000",
 K846&gt;=1001,"1001+"
)</f>
        <v>51–100</v>
      </c>
    </row>
    <row r="847" spans="1:12" x14ac:dyDescent="0.3">
      <c r="A847" t="s">
        <v>1616</v>
      </c>
      <c r="B847" t="s">
        <v>9</v>
      </c>
      <c r="C847" t="s">
        <v>5780</v>
      </c>
      <c r="D847" t="s">
        <v>1617</v>
      </c>
      <c r="E847" t="s">
        <v>15</v>
      </c>
      <c r="F847" t="s">
        <v>16</v>
      </c>
      <c r="G847" t="s">
        <v>138</v>
      </c>
      <c r="J847" t="s">
        <v>5737</v>
      </c>
      <c r="K847">
        <v>60</v>
      </c>
      <c r="L847" t="str" cm="1">
        <f t="array" ref="L847">_xlfn.IFS(
 K847&lt;=50,"≤50",
 AND(K847&gt;=51,K847&lt;=100),"51–100",
 AND(K847&gt;=101,K847&lt;=250),"101–250",
 AND(K847&gt;=251,K847&lt;=500),"251–500",
 AND(K847&gt;=501,K847&lt;=1000),"501–1000",
 K847&gt;=1001,"1001+"
)</f>
        <v>51–100</v>
      </c>
    </row>
    <row r="848" spans="1:12" x14ac:dyDescent="0.3">
      <c r="A848" t="s">
        <v>1618</v>
      </c>
      <c r="B848" t="s">
        <v>417</v>
      </c>
      <c r="C848" t="s">
        <v>5778</v>
      </c>
      <c r="D848" t="s">
        <v>1619</v>
      </c>
      <c r="F848" t="s">
        <v>5770</v>
      </c>
      <c r="J848" t="s">
        <v>5737</v>
      </c>
      <c r="K848">
        <v>60</v>
      </c>
      <c r="L848" t="str" cm="1">
        <f t="array" ref="L848">_xlfn.IFS(
 K848&lt;=50,"≤50",
 AND(K848&gt;=51,K848&lt;=100),"51–100",
 AND(K848&gt;=101,K848&lt;=250),"101–250",
 AND(K848&gt;=251,K848&lt;=500),"251–500",
 AND(K848&gt;=501,K848&lt;=1000),"501–1000",
 K848&gt;=1001,"1001+"
)</f>
        <v>51–100</v>
      </c>
    </row>
    <row r="849" spans="1:12" x14ac:dyDescent="0.3">
      <c r="A849" t="s">
        <v>1620</v>
      </c>
      <c r="B849" t="s">
        <v>9</v>
      </c>
      <c r="C849" t="s">
        <v>5780</v>
      </c>
      <c r="D849" t="s">
        <v>1621</v>
      </c>
      <c r="F849" t="s">
        <v>5770</v>
      </c>
      <c r="J849" t="s">
        <v>5737</v>
      </c>
      <c r="K849">
        <v>60</v>
      </c>
      <c r="L849" t="str" cm="1">
        <f t="array" ref="L849">_xlfn.IFS(
 K849&lt;=50,"≤50",
 AND(K849&gt;=51,K849&lt;=100),"51–100",
 AND(K849&gt;=101,K849&lt;=250),"101–250",
 AND(K849&gt;=251,K849&lt;=500),"251–500",
 AND(K849&gt;=501,K849&lt;=1000),"501–1000",
 K849&gt;=1001,"1001+"
)</f>
        <v>51–100</v>
      </c>
    </row>
    <row r="850" spans="1:12" x14ac:dyDescent="0.3">
      <c r="A850" t="s">
        <v>1622</v>
      </c>
      <c r="B850" t="s">
        <v>9</v>
      </c>
      <c r="C850" t="s">
        <v>5780</v>
      </c>
      <c r="D850" t="s">
        <v>28</v>
      </c>
      <c r="F850" t="s">
        <v>5770</v>
      </c>
      <c r="J850" t="s">
        <v>5753</v>
      </c>
      <c r="K850">
        <v>60</v>
      </c>
      <c r="L850" t="str" cm="1">
        <f t="array" ref="L850">_xlfn.IFS(
 K850&lt;=50,"≤50",
 AND(K850&gt;=51,K850&lt;=100),"51–100",
 AND(K850&gt;=101,K850&lt;=250),"101–250",
 AND(K850&gt;=251,K850&lt;=500),"251–500",
 AND(K850&gt;=501,K850&lt;=1000),"501–1000",
 K850&gt;=1001,"1001+"
)</f>
        <v>51–100</v>
      </c>
    </row>
    <row r="851" spans="1:12" x14ac:dyDescent="0.3">
      <c r="A851" t="s">
        <v>1623</v>
      </c>
      <c r="B851" t="s">
        <v>9</v>
      </c>
      <c r="C851" t="s">
        <v>5780</v>
      </c>
      <c r="D851" t="s">
        <v>1624</v>
      </c>
      <c r="F851" t="s">
        <v>5770</v>
      </c>
      <c r="J851" t="s">
        <v>5737</v>
      </c>
      <c r="K851">
        <v>60</v>
      </c>
      <c r="L851" t="str" cm="1">
        <f t="array" ref="L851">_xlfn.IFS(
 K851&lt;=50,"≤50",
 AND(K851&gt;=51,K851&lt;=100),"51–100",
 AND(K851&gt;=101,K851&lt;=250),"101–250",
 AND(K851&gt;=251,K851&lt;=500),"251–500",
 AND(K851&gt;=501,K851&lt;=1000),"501–1000",
 K851&gt;=1001,"1001+"
)</f>
        <v>51–100</v>
      </c>
    </row>
    <row r="852" spans="1:12" x14ac:dyDescent="0.3">
      <c r="A852" t="s">
        <v>1625</v>
      </c>
      <c r="B852" t="s">
        <v>9</v>
      </c>
      <c r="C852" t="s">
        <v>5780</v>
      </c>
      <c r="D852" t="s">
        <v>1626</v>
      </c>
      <c r="E852" t="s">
        <v>15</v>
      </c>
      <c r="F852" t="s">
        <v>54</v>
      </c>
      <c r="G852" t="s">
        <v>1627</v>
      </c>
      <c r="J852" t="s">
        <v>5742</v>
      </c>
      <c r="K852">
        <v>60</v>
      </c>
      <c r="L852" t="str" cm="1">
        <f t="array" ref="L852">_xlfn.IFS(
 K852&lt;=50,"≤50",
 AND(K852&gt;=51,K852&lt;=100),"51–100",
 AND(K852&gt;=101,K852&lt;=250),"101–250",
 AND(K852&gt;=251,K852&lt;=500),"251–500",
 AND(K852&gt;=501,K852&lt;=1000),"501–1000",
 K852&gt;=1001,"1001+"
)</f>
        <v>51–100</v>
      </c>
    </row>
    <row r="853" spans="1:12" x14ac:dyDescent="0.3">
      <c r="A853" t="s">
        <v>1628</v>
      </c>
      <c r="B853" t="s">
        <v>13</v>
      </c>
      <c r="C853" t="s">
        <v>5777</v>
      </c>
      <c r="D853" t="s">
        <v>1629</v>
      </c>
      <c r="F853" t="s">
        <v>54</v>
      </c>
      <c r="G853" t="s">
        <v>1630</v>
      </c>
      <c r="J853" t="s">
        <v>5737</v>
      </c>
      <c r="K853">
        <v>60</v>
      </c>
      <c r="L853" t="str" cm="1">
        <f t="array" ref="L853">_xlfn.IFS(
 K853&lt;=50,"≤50",
 AND(K853&gt;=51,K853&lt;=100),"51–100",
 AND(K853&gt;=101,K853&lt;=250),"101–250",
 AND(K853&gt;=251,K853&lt;=500),"251–500",
 AND(K853&gt;=501,K853&lt;=1000),"501–1000",
 K853&gt;=1001,"1001+"
)</f>
        <v>51–100</v>
      </c>
    </row>
    <row r="854" spans="1:12" x14ac:dyDescent="0.3">
      <c r="A854" t="s">
        <v>1631</v>
      </c>
      <c r="B854" t="s">
        <v>13</v>
      </c>
      <c r="C854" t="s">
        <v>5777</v>
      </c>
      <c r="D854" t="s">
        <v>1632</v>
      </c>
      <c r="F854" t="s">
        <v>54</v>
      </c>
      <c r="G854" t="s">
        <v>588</v>
      </c>
      <c r="J854" t="s">
        <v>5738</v>
      </c>
      <c r="K854">
        <v>60</v>
      </c>
      <c r="L854" t="str" cm="1">
        <f t="array" ref="L854">_xlfn.IFS(
 K854&lt;=50,"≤50",
 AND(K854&gt;=51,K854&lt;=100),"51–100",
 AND(K854&gt;=101,K854&lt;=250),"101–250",
 AND(K854&gt;=251,K854&lt;=500),"251–500",
 AND(K854&gt;=501,K854&lt;=1000),"501–1000",
 K854&gt;=1001,"1001+"
)</f>
        <v>51–100</v>
      </c>
    </row>
    <row r="855" spans="1:12" x14ac:dyDescent="0.3">
      <c r="A855" t="s">
        <v>1633</v>
      </c>
      <c r="B855" t="s">
        <v>13</v>
      </c>
      <c r="C855" t="s">
        <v>5777</v>
      </c>
      <c r="D855" t="s">
        <v>1634</v>
      </c>
      <c r="E855" t="s">
        <v>15</v>
      </c>
      <c r="F855" t="s">
        <v>16</v>
      </c>
      <c r="G855" t="s">
        <v>1635</v>
      </c>
      <c r="J855" t="s">
        <v>5738</v>
      </c>
      <c r="K855">
        <v>60</v>
      </c>
      <c r="L855" t="str" cm="1">
        <f t="array" ref="L855">_xlfn.IFS(
 K855&lt;=50,"≤50",
 AND(K855&gt;=51,K855&lt;=100),"51–100",
 AND(K855&gt;=101,K855&lt;=250),"101–250",
 AND(K855&gt;=251,K855&lt;=500),"251–500",
 AND(K855&gt;=501,K855&lt;=1000),"501–1000",
 K855&gt;=1001,"1001+"
)</f>
        <v>51–100</v>
      </c>
    </row>
    <row r="856" spans="1:12" x14ac:dyDescent="0.3">
      <c r="A856" t="s">
        <v>1636</v>
      </c>
      <c r="B856" t="s">
        <v>9</v>
      </c>
      <c r="C856" t="s">
        <v>5780</v>
      </c>
      <c r="D856" t="s">
        <v>1637</v>
      </c>
      <c r="E856" t="s">
        <v>15</v>
      </c>
      <c r="F856" t="s">
        <v>54</v>
      </c>
      <c r="G856" t="s">
        <v>1638</v>
      </c>
      <c r="J856" t="s">
        <v>5738</v>
      </c>
      <c r="K856">
        <v>60</v>
      </c>
      <c r="L856" t="str" cm="1">
        <f t="array" ref="L856">_xlfn.IFS(
 K856&lt;=50,"≤50",
 AND(K856&gt;=51,K856&lt;=100),"51–100",
 AND(K856&gt;=101,K856&lt;=250),"101–250",
 AND(K856&gt;=251,K856&lt;=500),"251–500",
 AND(K856&gt;=501,K856&lt;=1000),"501–1000",
 K856&gt;=1001,"1001+"
)</f>
        <v>51–100</v>
      </c>
    </row>
    <row r="857" spans="1:12" x14ac:dyDescent="0.3">
      <c r="A857" t="s">
        <v>1639</v>
      </c>
      <c r="B857" t="s">
        <v>9</v>
      </c>
      <c r="C857" t="s">
        <v>5780</v>
      </c>
      <c r="D857" t="s">
        <v>1640</v>
      </c>
      <c r="F857" t="s">
        <v>20</v>
      </c>
      <c r="G857" t="s">
        <v>21</v>
      </c>
      <c r="J857" t="s">
        <v>5738</v>
      </c>
      <c r="K857">
        <v>60</v>
      </c>
      <c r="L857" t="str" cm="1">
        <f t="array" ref="L857">_xlfn.IFS(
 K857&lt;=50,"≤50",
 AND(K857&gt;=51,K857&lt;=100),"51–100",
 AND(K857&gt;=101,K857&lt;=250),"101–250",
 AND(K857&gt;=251,K857&lt;=500),"251–500",
 AND(K857&gt;=501,K857&lt;=1000),"501–1000",
 K857&gt;=1001,"1001+"
)</f>
        <v>51–100</v>
      </c>
    </row>
    <row r="858" spans="1:12" x14ac:dyDescent="0.3">
      <c r="A858" t="s">
        <v>1641</v>
      </c>
      <c r="B858" t="s">
        <v>9</v>
      </c>
      <c r="C858" t="s">
        <v>5780</v>
      </c>
      <c r="D858" t="s">
        <v>1642</v>
      </c>
      <c r="E858" t="s">
        <v>15</v>
      </c>
      <c r="F858" t="s">
        <v>54</v>
      </c>
      <c r="G858" t="s">
        <v>1643</v>
      </c>
      <c r="J858" t="s">
        <v>5737</v>
      </c>
      <c r="K858">
        <v>60</v>
      </c>
      <c r="L858" t="str" cm="1">
        <f t="array" ref="L858">_xlfn.IFS(
 K858&lt;=50,"≤50",
 AND(K858&gt;=51,K858&lt;=100),"51–100",
 AND(K858&gt;=101,K858&lt;=250),"101–250",
 AND(K858&gt;=251,K858&lt;=500),"251–500",
 AND(K858&gt;=501,K858&lt;=1000),"501–1000",
 K858&gt;=1001,"1001+"
)</f>
        <v>51–100</v>
      </c>
    </row>
    <row r="859" spans="1:12" x14ac:dyDescent="0.3">
      <c r="A859" t="s">
        <v>1644</v>
      </c>
      <c r="B859" t="s">
        <v>9</v>
      </c>
      <c r="C859" t="s">
        <v>5780</v>
      </c>
      <c r="D859" t="s">
        <v>1645</v>
      </c>
      <c r="F859" t="s">
        <v>5770</v>
      </c>
      <c r="J859" t="s">
        <v>5738</v>
      </c>
      <c r="K859">
        <v>60</v>
      </c>
      <c r="L859" t="str" cm="1">
        <f t="array" ref="L859">_xlfn.IFS(
 K859&lt;=50,"≤50",
 AND(K859&gt;=51,K859&lt;=100),"51–100",
 AND(K859&gt;=101,K859&lt;=250),"101–250",
 AND(K859&gt;=251,K859&lt;=500),"251–500",
 AND(K859&gt;=501,K859&lt;=1000),"501–1000",
 K859&gt;=1001,"1001+"
)</f>
        <v>51–100</v>
      </c>
    </row>
    <row r="860" spans="1:12" x14ac:dyDescent="0.3">
      <c r="A860" t="s">
        <v>1646</v>
      </c>
      <c r="B860" t="s">
        <v>11</v>
      </c>
      <c r="C860" t="s">
        <v>5776</v>
      </c>
      <c r="F860" t="s">
        <v>5770</v>
      </c>
      <c r="J860" t="s">
        <v>5760</v>
      </c>
      <c r="K860">
        <v>60</v>
      </c>
      <c r="L860" t="str" cm="1">
        <f t="array" ref="L860">_xlfn.IFS(
 K860&lt;=50,"≤50",
 AND(K860&gt;=51,K860&lt;=100),"51–100",
 AND(K860&gt;=101,K860&lt;=250),"101–250",
 AND(K860&gt;=251,K860&lt;=500),"251–500",
 AND(K860&gt;=501,K860&lt;=1000),"501–1000",
 K860&gt;=1001,"1001+"
)</f>
        <v>51–100</v>
      </c>
    </row>
    <row r="861" spans="1:12" x14ac:dyDescent="0.3">
      <c r="A861" t="s">
        <v>1647</v>
      </c>
      <c r="B861" t="s">
        <v>9</v>
      </c>
      <c r="C861" t="s">
        <v>5780</v>
      </c>
      <c r="D861" t="s">
        <v>1648</v>
      </c>
      <c r="E861" t="s">
        <v>15</v>
      </c>
      <c r="F861" t="s">
        <v>20</v>
      </c>
      <c r="G861" t="s">
        <v>135</v>
      </c>
      <c r="J861" t="s">
        <v>5737</v>
      </c>
      <c r="K861">
        <v>60</v>
      </c>
      <c r="L861" t="str" cm="1">
        <f t="array" ref="L861">_xlfn.IFS(
 K861&lt;=50,"≤50",
 AND(K861&gt;=51,K861&lt;=100),"51–100",
 AND(K861&gt;=101,K861&lt;=250),"101–250",
 AND(K861&gt;=251,K861&lt;=500),"251–500",
 AND(K861&gt;=501,K861&lt;=1000),"501–1000",
 K861&gt;=1001,"1001+"
)</f>
        <v>51–100</v>
      </c>
    </row>
    <row r="862" spans="1:12" x14ac:dyDescent="0.3">
      <c r="A862" t="s">
        <v>1649</v>
      </c>
      <c r="B862" t="s">
        <v>9</v>
      </c>
      <c r="C862" t="s">
        <v>5780</v>
      </c>
      <c r="D862" t="s">
        <v>1650</v>
      </c>
      <c r="E862" t="s">
        <v>15</v>
      </c>
      <c r="F862" t="s">
        <v>20</v>
      </c>
      <c r="G862" t="s">
        <v>1651</v>
      </c>
      <c r="J862" t="s">
        <v>5744</v>
      </c>
      <c r="K862">
        <v>60</v>
      </c>
      <c r="L862" t="str" cm="1">
        <f t="array" ref="L862">_xlfn.IFS(
 K862&lt;=50,"≤50",
 AND(K862&gt;=51,K862&lt;=100),"51–100",
 AND(K862&gt;=101,K862&lt;=250),"101–250",
 AND(K862&gt;=251,K862&lt;=500),"251–500",
 AND(K862&gt;=501,K862&lt;=1000),"501–1000",
 K862&gt;=1001,"1001+"
)</f>
        <v>51–100</v>
      </c>
    </row>
    <row r="863" spans="1:12" x14ac:dyDescent="0.3">
      <c r="A863" t="s">
        <v>1652</v>
      </c>
      <c r="B863" t="s">
        <v>9</v>
      </c>
      <c r="C863" t="s">
        <v>5780</v>
      </c>
      <c r="D863" t="s">
        <v>1653</v>
      </c>
      <c r="E863" t="s">
        <v>15</v>
      </c>
      <c r="F863" t="s">
        <v>20</v>
      </c>
      <c r="G863" t="s">
        <v>1654</v>
      </c>
      <c r="J863" t="s">
        <v>5753</v>
      </c>
      <c r="K863">
        <v>60</v>
      </c>
      <c r="L863" t="str" cm="1">
        <f t="array" ref="L863">_xlfn.IFS(
 K863&lt;=50,"≤50",
 AND(K863&gt;=51,K863&lt;=100),"51–100",
 AND(K863&gt;=101,K863&lt;=250),"101–250",
 AND(K863&gt;=251,K863&lt;=500),"251–500",
 AND(K863&gt;=501,K863&lt;=1000),"501–1000",
 K863&gt;=1001,"1001+"
)</f>
        <v>51–100</v>
      </c>
    </row>
    <row r="864" spans="1:12" x14ac:dyDescent="0.3">
      <c r="A864" t="s">
        <v>1655</v>
      </c>
      <c r="B864" t="s">
        <v>9</v>
      </c>
      <c r="C864" t="s">
        <v>5780</v>
      </c>
      <c r="D864" t="s">
        <v>28</v>
      </c>
      <c r="E864" t="s">
        <v>15</v>
      </c>
      <c r="F864" t="s">
        <v>5770</v>
      </c>
      <c r="J864" t="s">
        <v>5752</v>
      </c>
      <c r="K864">
        <v>60</v>
      </c>
      <c r="L864" t="str" cm="1">
        <f t="array" ref="L864">_xlfn.IFS(
 K864&lt;=50,"≤50",
 AND(K864&gt;=51,K864&lt;=100),"51–100",
 AND(K864&gt;=101,K864&lt;=250),"101–250",
 AND(K864&gt;=251,K864&lt;=500),"251–500",
 AND(K864&gt;=501,K864&lt;=1000),"501–1000",
 K864&gt;=1001,"1001+"
)</f>
        <v>51–100</v>
      </c>
    </row>
    <row r="865" spans="1:12" x14ac:dyDescent="0.3">
      <c r="A865" t="s">
        <v>1656</v>
      </c>
      <c r="B865" t="s">
        <v>9</v>
      </c>
      <c r="C865" t="s">
        <v>5780</v>
      </c>
      <c r="D865" t="s">
        <v>1657</v>
      </c>
      <c r="F865" t="s">
        <v>5770</v>
      </c>
      <c r="J865" t="s">
        <v>5752</v>
      </c>
      <c r="K865">
        <v>60</v>
      </c>
      <c r="L865" t="str" cm="1">
        <f t="array" ref="L865">_xlfn.IFS(
 K865&lt;=50,"≤50",
 AND(K865&gt;=51,K865&lt;=100),"51–100",
 AND(K865&gt;=101,K865&lt;=250),"101–250",
 AND(K865&gt;=251,K865&lt;=500),"251–500",
 AND(K865&gt;=501,K865&lt;=1000),"501–1000",
 K865&gt;=1001,"1001+"
)</f>
        <v>51–100</v>
      </c>
    </row>
    <row r="866" spans="1:12" x14ac:dyDescent="0.3">
      <c r="A866" t="s">
        <v>1658</v>
      </c>
      <c r="B866" t="s">
        <v>9</v>
      </c>
      <c r="C866" t="s">
        <v>5780</v>
      </c>
      <c r="D866" t="s">
        <v>1659</v>
      </c>
      <c r="E866" t="s">
        <v>15</v>
      </c>
      <c r="F866" t="s">
        <v>54</v>
      </c>
      <c r="G866" t="s">
        <v>1660</v>
      </c>
      <c r="J866" t="s">
        <v>5737</v>
      </c>
      <c r="K866">
        <v>60</v>
      </c>
      <c r="L866" t="str" cm="1">
        <f t="array" ref="L866">_xlfn.IFS(
 K866&lt;=50,"≤50",
 AND(K866&gt;=51,K866&lt;=100),"51–100",
 AND(K866&gt;=101,K866&lt;=250),"101–250",
 AND(K866&gt;=251,K866&lt;=500),"251–500",
 AND(K866&gt;=501,K866&lt;=1000),"501–1000",
 K866&gt;=1001,"1001+"
)</f>
        <v>51–100</v>
      </c>
    </row>
    <row r="867" spans="1:12" x14ac:dyDescent="0.3">
      <c r="A867" t="s">
        <v>1661</v>
      </c>
      <c r="B867" t="s">
        <v>9</v>
      </c>
      <c r="C867" t="s">
        <v>5780</v>
      </c>
      <c r="D867" t="s">
        <v>129</v>
      </c>
      <c r="F867" t="s">
        <v>5770</v>
      </c>
      <c r="J867" t="s">
        <v>5754</v>
      </c>
      <c r="K867">
        <v>60</v>
      </c>
      <c r="L867" t="str" cm="1">
        <f t="array" ref="L867">_xlfn.IFS(
 K867&lt;=50,"≤50",
 AND(K867&gt;=51,K867&lt;=100),"51–100",
 AND(K867&gt;=101,K867&lt;=250),"101–250",
 AND(K867&gt;=251,K867&lt;=500),"251–500",
 AND(K867&gt;=501,K867&lt;=1000),"501–1000",
 K867&gt;=1001,"1001+"
)</f>
        <v>51–100</v>
      </c>
    </row>
    <row r="868" spans="1:12" x14ac:dyDescent="0.3">
      <c r="A868" t="s">
        <v>1662</v>
      </c>
      <c r="B868" t="s">
        <v>9</v>
      </c>
      <c r="C868" t="s">
        <v>5780</v>
      </c>
      <c r="D868" t="s">
        <v>1663</v>
      </c>
      <c r="E868" t="s">
        <v>15</v>
      </c>
      <c r="F868" t="s">
        <v>54</v>
      </c>
      <c r="G868" t="s">
        <v>1664</v>
      </c>
      <c r="J868" t="s">
        <v>5738</v>
      </c>
      <c r="K868">
        <v>60</v>
      </c>
      <c r="L868" t="str" cm="1">
        <f t="array" ref="L868">_xlfn.IFS(
 K868&lt;=50,"≤50",
 AND(K868&gt;=51,K868&lt;=100),"51–100",
 AND(K868&gt;=101,K868&lt;=250),"101–250",
 AND(K868&gt;=251,K868&lt;=500),"251–500",
 AND(K868&gt;=501,K868&lt;=1000),"501–1000",
 K868&gt;=1001,"1001+"
)</f>
        <v>51–100</v>
      </c>
    </row>
    <row r="869" spans="1:12" x14ac:dyDescent="0.3">
      <c r="A869" t="s">
        <v>1665</v>
      </c>
      <c r="B869" t="s">
        <v>9</v>
      </c>
      <c r="C869" t="s">
        <v>5780</v>
      </c>
      <c r="D869" t="s">
        <v>1666</v>
      </c>
      <c r="E869" t="s">
        <v>15</v>
      </c>
      <c r="F869" t="s">
        <v>5770</v>
      </c>
      <c r="J869" t="s">
        <v>5738</v>
      </c>
      <c r="K869">
        <v>60</v>
      </c>
      <c r="L869" t="str" cm="1">
        <f t="array" ref="L869">_xlfn.IFS(
 K869&lt;=50,"≤50",
 AND(K869&gt;=51,K869&lt;=100),"51–100",
 AND(K869&gt;=101,K869&lt;=250),"101–250",
 AND(K869&gt;=251,K869&lt;=500),"251–500",
 AND(K869&gt;=501,K869&lt;=1000),"501–1000",
 K869&gt;=1001,"1001+"
)</f>
        <v>51–100</v>
      </c>
    </row>
    <row r="870" spans="1:12" x14ac:dyDescent="0.3">
      <c r="A870" t="s">
        <v>1667</v>
      </c>
      <c r="B870" t="s">
        <v>197</v>
      </c>
      <c r="C870" t="s">
        <v>5774</v>
      </c>
      <c r="D870" t="s">
        <v>1668</v>
      </c>
      <c r="E870" t="s">
        <v>15</v>
      </c>
      <c r="F870" t="s">
        <v>16</v>
      </c>
      <c r="G870" t="s">
        <v>1669</v>
      </c>
      <c r="J870" t="s">
        <v>5737</v>
      </c>
      <c r="K870">
        <v>60</v>
      </c>
      <c r="L870" t="str" cm="1">
        <f t="array" ref="L870">_xlfn.IFS(
 K870&lt;=50,"≤50",
 AND(K870&gt;=51,K870&lt;=100),"51–100",
 AND(K870&gt;=101,K870&lt;=250),"101–250",
 AND(K870&gt;=251,K870&lt;=500),"251–500",
 AND(K870&gt;=501,K870&lt;=1000),"501–1000",
 K870&gt;=1001,"1001+"
)</f>
        <v>51–100</v>
      </c>
    </row>
    <row r="871" spans="1:12" x14ac:dyDescent="0.3">
      <c r="A871" t="s">
        <v>1670</v>
      </c>
      <c r="B871" t="s">
        <v>13</v>
      </c>
      <c r="C871" t="s">
        <v>5777</v>
      </c>
      <c r="D871" t="s">
        <v>1671</v>
      </c>
      <c r="F871" t="s">
        <v>5770</v>
      </c>
      <c r="J871" t="s">
        <v>5737</v>
      </c>
      <c r="K871">
        <v>60</v>
      </c>
      <c r="L871" t="str" cm="1">
        <f t="array" ref="L871">_xlfn.IFS(
 K871&lt;=50,"≤50",
 AND(K871&gt;=51,K871&lt;=100),"51–100",
 AND(K871&gt;=101,K871&lt;=250),"101–250",
 AND(K871&gt;=251,K871&lt;=500),"251–500",
 AND(K871&gt;=501,K871&lt;=1000),"501–1000",
 K871&gt;=1001,"1001+"
)</f>
        <v>51–100</v>
      </c>
    </row>
    <row r="872" spans="1:12" x14ac:dyDescent="0.3">
      <c r="A872" t="s">
        <v>1672</v>
      </c>
      <c r="B872" t="s">
        <v>9</v>
      </c>
      <c r="C872" t="s">
        <v>5780</v>
      </c>
      <c r="D872" t="s">
        <v>1673</v>
      </c>
      <c r="E872" t="s">
        <v>15</v>
      </c>
      <c r="F872" t="s">
        <v>16</v>
      </c>
      <c r="G872" t="s">
        <v>1674</v>
      </c>
      <c r="J872" t="s">
        <v>5737</v>
      </c>
      <c r="K872">
        <v>60</v>
      </c>
      <c r="L872" t="str" cm="1">
        <f t="array" ref="L872">_xlfn.IFS(
 K872&lt;=50,"≤50",
 AND(K872&gt;=51,K872&lt;=100),"51–100",
 AND(K872&gt;=101,K872&lt;=250),"101–250",
 AND(K872&gt;=251,K872&lt;=500),"251–500",
 AND(K872&gt;=501,K872&lt;=1000),"501–1000",
 K872&gt;=1001,"1001+"
)</f>
        <v>51–100</v>
      </c>
    </row>
    <row r="873" spans="1:12" x14ac:dyDescent="0.3">
      <c r="A873" t="s">
        <v>1675</v>
      </c>
      <c r="B873" t="s">
        <v>9</v>
      </c>
      <c r="C873" t="s">
        <v>5780</v>
      </c>
      <c r="D873" t="s">
        <v>51</v>
      </c>
      <c r="F873" t="s">
        <v>54</v>
      </c>
      <c r="G873" t="s">
        <v>1284</v>
      </c>
      <c r="J873" t="s">
        <v>5761</v>
      </c>
      <c r="K873">
        <v>60</v>
      </c>
      <c r="L873" t="str" cm="1">
        <f t="array" ref="L873">_xlfn.IFS(
 K873&lt;=50,"≤50",
 AND(K873&gt;=51,K873&lt;=100),"51–100",
 AND(K873&gt;=101,K873&lt;=250),"101–250",
 AND(K873&gt;=251,K873&lt;=500),"251–500",
 AND(K873&gt;=501,K873&lt;=1000),"501–1000",
 K873&gt;=1001,"1001+"
)</f>
        <v>51–100</v>
      </c>
    </row>
    <row r="874" spans="1:12" x14ac:dyDescent="0.3">
      <c r="A874" t="s">
        <v>1676</v>
      </c>
      <c r="B874" t="s">
        <v>9</v>
      </c>
      <c r="C874" t="s">
        <v>5780</v>
      </c>
      <c r="D874" t="s">
        <v>51</v>
      </c>
      <c r="E874" t="s">
        <v>15</v>
      </c>
      <c r="F874" t="s">
        <v>54</v>
      </c>
      <c r="G874" t="s">
        <v>588</v>
      </c>
      <c r="J874" t="s">
        <v>5737</v>
      </c>
      <c r="K874">
        <v>60</v>
      </c>
      <c r="L874" t="str" cm="1">
        <f t="array" ref="L874">_xlfn.IFS(
 K874&lt;=50,"≤50",
 AND(K874&gt;=51,K874&lt;=100),"51–100",
 AND(K874&gt;=101,K874&lt;=250),"101–250",
 AND(K874&gt;=251,K874&lt;=500),"251–500",
 AND(K874&gt;=501,K874&lt;=1000),"501–1000",
 K874&gt;=1001,"1001+"
)</f>
        <v>51–100</v>
      </c>
    </row>
    <row r="875" spans="1:12" x14ac:dyDescent="0.3">
      <c r="A875" t="s">
        <v>1677</v>
      </c>
      <c r="B875" t="s">
        <v>11</v>
      </c>
      <c r="C875" t="s">
        <v>5776</v>
      </c>
      <c r="F875" t="s">
        <v>5770</v>
      </c>
      <c r="J875" t="s">
        <v>5737</v>
      </c>
      <c r="K875">
        <v>60</v>
      </c>
      <c r="L875" t="str" cm="1">
        <f t="array" ref="L875">_xlfn.IFS(
 K875&lt;=50,"≤50",
 AND(K875&gt;=51,K875&lt;=100),"51–100",
 AND(K875&gt;=101,K875&lt;=250),"101–250",
 AND(K875&gt;=251,K875&lt;=500),"251–500",
 AND(K875&gt;=501,K875&lt;=1000),"501–1000",
 K875&gt;=1001,"1001+"
)</f>
        <v>51–100</v>
      </c>
    </row>
    <row r="876" spans="1:12" x14ac:dyDescent="0.3">
      <c r="A876" t="s">
        <v>1678</v>
      </c>
      <c r="B876" t="s">
        <v>9</v>
      </c>
      <c r="C876" t="s">
        <v>5780</v>
      </c>
      <c r="D876" t="s">
        <v>28</v>
      </c>
      <c r="F876" t="s">
        <v>5770</v>
      </c>
      <c r="J876" t="s">
        <v>5751</v>
      </c>
      <c r="K876">
        <v>60</v>
      </c>
      <c r="L876" t="str" cm="1">
        <f t="array" ref="L876">_xlfn.IFS(
 K876&lt;=50,"≤50",
 AND(K876&gt;=51,K876&lt;=100),"51–100",
 AND(K876&gt;=101,K876&lt;=250),"101–250",
 AND(K876&gt;=251,K876&lt;=500),"251–500",
 AND(K876&gt;=501,K876&lt;=1000),"501–1000",
 K876&gt;=1001,"1001+"
)</f>
        <v>51–100</v>
      </c>
    </row>
    <row r="877" spans="1:12" x14ac:dyDescent="0.3">
      <c r="A877" t="s">
        <v>1679</v>
      </c>
      <c r="B877" t="s">
        <v>9</v>
      </c>
      <c r="C877" t="s">
        <v>5780</v>
      </c>
      <c r="D877" t="s">
        <v>1680</v>
      </c>
      <c r="F877" t="s">
        <v>16</v>
      </c>
      <c r="G877" t="s">
        <v>1681</v>
      </c>
      <c r="J877" t="s">
        <v>5742</v>
      </c>
      <c r="K877">
        <v>60</v>
      </c>
      <c r="L877" t="str" cm="1">
        <f t="array" ref="L877">_xlfn.IFS(
 K877&lt;=50,"≤50",
 AND(K877&gt;=51,K877&lt;=100),"51–100",
 AND(K877&gt;=101,K877&lt;=250),"101–250",
 AND(K877&gt;=251,K877&lt;=500),"251–500",
 AND(K877&gt;=501,K877&lt;=1000),"501–1000",
 K877&gt;=1001,"1001+"
)</f>
        <v>51–100</v>
      </c>
    </row>
    <row r="878" spans="1:12" x14ac:dyDescent="0.3">
      <c r="A878" t="s">
        <v>1682</v>
      </c>
      <c r="B878" t="s">
        <v>13</v>
      </c>
      <c r="C878" t="s">
        <v>5777</v>
      </c>
      <c r="D878" t="s">
        <v>1683</v>
      </c>
      <c r="F878" t="s">
        <v>5770</v>
      </c>
      <c r="J878" t="s">
        <v>5738</v>
      </c>
      <c r="K878">
        <v>60</v>
      </c>
      <c r="L878" t="str" cm="1">
        <f t="array" ref="L878">_xlfn.IFS(
 K878&lt;=50,"≤50",
 AND(K878&gt;=51,K878&lt;=100),"51–100",
 AND(K878&gt;=101,K878&lt;=250),"101–250",
 AND(K878&gt;=251,K878&lt;=500),"251–500",
 AND(K878&gt;=501,K878&lt;=1000),"501–1000",
 K878&gt;=1001,"1001+"
)</f>
        <v>51–100</v>
      </c>
    </row>
    <row r="879" spans="1:12" x14ac:dyDescent="0.3">
      <c r="A879" t="s">
        <v>1684</v>
      </c>
      <c r="B879" t="s">
        <v>9</v>
      </c>
      <c r="C879" t="s">
        <v>5780</v>
      </c>
      <c r="D879" t="s">
        <v>1685</v>
      </c>
      <c r="E879" t="s">
        <v>15</v>
      </c>
      <c r="F879" t="s">
        <v>20</v>
      </c>
      <c r="G879" t="s">
        <v>337</v>
      </c>
      <c r="J879" t="s">
        <v>5753</v>
      </c>
      <c r="K879">
        <v>60</v>
      </c>
      <c r="L879" t="str" cm="1">
        <f t="array" ref="L879">_xlfn.IFS(
 K879&lt;=50,"≤50",
 AND(K879&gt;=51,K879&lt;=100),"51–100",
 AND(K879&gt;=101,K879&lt;=250),"101–250",
 AND(K879&gt;=251,K879&lt;=500),"251–500",
 AND(K879&gt;=501,K879&lt;=1000),"501–1000",
 K879&gt;=1001,"1001+"
)</f>
        <v>51–100</v>
      </c>
    </row>
    <row r="880" spans="1:12" x14ac:dyDescent="0.3">
      <c r="A880" t="s">
        <v>1686</v>
      </c>
      <c r="B880" t="s">
        <v>9</v>
      </c>
      <c r="C880" t="s">
        <v>5780</v>
      </c>
      <c r="D880" t="s">
        <v>1687</v>
      </c>
      <c r="F880" t="s">
        <v>5770</v>
      </c>
      <c r="J880" t="s">
        <v>5737</v>
      </c>
      <c r="K880">
        <v>60</v>
      </c>
      <c r="L880" t="str" cm="1">
        <f t="array" ref="L880">_xlfn.IFS(
 K880&lt;=50,"≤50",
 AND(K880&gt;=51,K880&lt;=100),"51–100",
 AND(K880&gt;=101,K880&lt;=250),"101–250",
 AND(K880&gt;=251,K880&lt;=500),"251–500",
 AND(K880&gt;=501,K880&lt;=1000),"501–1000",
 K880&gt;=1001,"1001+"
)</f>
        <v>51–100</v>
      </c>
    </row>
    <row r="881" spans="1:12" x14ac:dyDescent="0.3">
      <c r="A881" t="s">
        <v>1688</v>
      </c>
      <c r="B881" t="s">
        <v>9</v>
      </c>
      <c r="C881" t="s">
        <v>5780</v>
      </c>
      <c r="D881" t="s">
        <v>1689</v>
      </c>
      <c r="E881" t="s">
        <v>15</v>
      </c>
      <c r="F881" t="s">
        <v>20</v>
      </c>
      <c r="G881" t="s">
        <v>1690</v>
      </c>
      <c r="J881" t="s">
        <v>5738</v>
      </c>
      <c r="K881">
        <v>60</v>
      </c>
      <c r="L881" t="str" cm="1">
        <f t="array" ref="L881">_xlfn.IFS(
 K881&lt;=50,"≤50",
 AND(K881&gt;=51,K881&lt;=100),"51–100",
 AND(K881&gt;=101,K881&lt;=250),"101–250",
 AND(K881&gt;=251,K881&lt;=500),"251–500",
 AND(K881&gt;=501,K881&lt;=1000),"501–1000",
 K881&gt;=1001,"1001+"
)</f>
        <v>51–100</v>
      </c>
    </row>
    <row r="882" spans="1:12" x14ac:dyDescent="0.3">
      <c r="A882" t="s">
        <v>1691</v>
      </c>
      <c r="B882" t="s">
        <v>9</v>
      </c>
      <c r="C882" t="s">
        <v>5780</v>
      </c>
      <c r="D882" t="s">
        <v>1692</v>
      </c>
      <c r="E882" t="s">
        <v>15</v>
      </c>
      <c r="F882" t="s">
        <v>20</v>
      </c>
      <c r="G882" t="s">
        <v>36</v>
      </c>
      <c r="J882" t="s">
        <v>5737</v>
      </c>
      <c r="K882">
        <v>60</v>
      </c>
      <c r="L882" t="str" cm="1">
        <f t="array" ref="L882">_xlfn.IFS(
 K882&lt;=50,"≤50",
 AND(K882&gt;=51,K882&lt;=100),"51–100",
 AND(K882&gt;=101,K882&lt;=250),"101–250",
 AND(K882&gt;=251,K882&lt;=500),"251–500",
 AND(K882&gt;=501,K882&lt;=1000),"501–1000",
 K882&gt;=1001,"1001+"
)</f>
        <v>51–100</v>
      </c>
    </row>
    <row r="883" spans="1:12" x14ac:dyDescent="0.3">
      <c r="A883" t="s">
        <v>1693</v>
      </c>
      <c r="B883" t="s">
        <v>9</v>
      </c>
      <c r="C883" t="s">
        <v>5780</v>
      </c>
      <c r="D883" t="s">
        <v>1694</v>
      </c>
      <c r="F883" t="s">
        <v>5770</v>
      </c>
      <c r="J883" t="s">
        <v>5750</v>
      </c>
      <c r="K883">
        <v>60</v>
      </c>
      <c r="L883" t="str" cm="1">
        <f t="array" ref="L883">_xlfn.IFS(
 K883&lt;=50,"≤50",
 AND(K883&gt;=51,K883&lt;=100),"51–100",
 AND(K883&gt;=101,K883&lt;=250),"101–250",
 AND(K883&gt;=251,K883&lt;=500),"251–500",
 AND(K883&gt;=501,K883&lt;=1000),"501–1000",
 K883&gt;=1001,"1001+"
)</f>
        <v>51–100</v>
      </c>
    </row>
    <row r="884" spans="1:12" x14ac:dyDescent="0.3">
      <c r="A884" t="s">
        <v>1695</v>
      </c>
      <c r="B884" t="s">
        <v>197</v>
      </c>
      <c r="C884" t="s">
        <v>5774</v>
      </c>
      <c r="D884" t="s">
        <v>707</v>
      </c>
      <c r="F884" t="s">
        <v>5770</v>
      </c>
      <c r="J884" t="s">
        <v>5752</v>
      </c>
      <c r="K884">
        <v>60</v>
      </c>
      <c r="L884" t="str" cm="1">
        <f t="array" ref="L884">_xlfn.IFS(
 K884&lt;=50,"≤50",
 AND(K884&gt;=51,K884&lt;=100),"51–100",
 AND(K884&gt;=101,K884&lt;=250),"101–250",
 AND(K884&gt;=251,K884&lt;=500),"251–500",
 AND(K884&gt;=501,K884&lt;=1000),"501–1000",
 K884&gt;=1001,"1001+"
)</f>
        <v>51–100</v>
      </c>
    </row>
    <row r="885" spans="1:12" x14ac:dyDescent="0.3">
      <c r="A885" t="s">
        <v>1696</v>
      </c>
      <c r="B885" t="s">
        <v>9</v>
      </c>
      <c r="C885" t="s">
        <v>5780</v>
      </c>
      <c r="D885" t="s">
        <v>1697</v>
      </c>
      <c r="E885" t="s">
        <v>15</v>
      </c>
      <c r="F885" t="s">
        <v>54</v>
      </c>
      <c r="G885" t="s">
        <v>1698</v>
      </c>
      <c r="J885" t="s">
        <v>5737</v>
      </c>
      <c r="K885">
        <v>60</v>
      </c>
      <c r="L885" t="str" cm="1">
        <f t="array" ref="L885">_xlfn.IFS(
 K885&lt;=50,"≤50",
 AND(K885&gt;=51,K885&lt;=100),"51–100",
 AND(K885&gt;=101,K885&lt;=250),"101–250",
 AND(K885&gt;=251,K885&lt;=500),"251–500",
 AND(K885&gt;=501,K885&lt;=1000),"501–1000",
 K885&gt;=1001,"1001+"
)</f>
        <v>51–100</v>
      </c>
    </row>
    <row r="886" spans="1:12" x14ac:dyDescent="0.3">
      <c r="A886" t="s">
        <v>1699</v>
      </c>
      <c r="B886" t="s">
        <v>9</v>
      </c>
      <c r="C886" t="s">
        <v>5780</v>
      </c>
      <c r="D886" t="s">
        <v>1700</v>
      </c>
      <c r="E886" t="s">
        <v>15</v>
      </c>
      <c r="F886" t="s">
        <v>16</v>
      </c>
      <c r="G886" t="s">
        <v>1701</v>
      </c>
      <c r="J886" t="s">
        <v>5737</v>
      </c>
      <c r="K886">
        <v>60</v>
      </c>
      <c r="L886" t="str" cm="1">
        <f t="array" ref="L886">_xlfn.IFS(
 K886&lt;=50,"≤50",
 AND(K886&gt;=51,K886&lt;=100),"51–100",
 AND(K886&gt;=101,K886&lt;=250),"101–250",
 AND(K886&gt;=251,K886&lt;=500),"251–500",
 AND(K886&gt;=501,K886&lt;=1000),"501–1000",
 K886&gt;=1001,"1001+"
)</f>
        <v>51–100</v>
      </c>
    </row>
    <row r="887" spans="1:12" x14ac:dyDescent="0.3">
      <c r="A887" t="s">
        <v>1702</v>
      </c>
      <c r="B887" t="s">
        <v>13</v>
      </c>
      <c r="C887" t="s">
        <v>5777</v>
      </c>
      <c r="D887" t="s">
        <v>1703</v>
      </c>
      <c r="F887" t="s">
        <v>5770</v>
      </c>
      <c r="J887" t="s">
        <v>5737</v>
      </c>
      <c r="K887">
        <v>60</v>
      </c>
      <c r="L887" t="str" cm="1">
        <f t="array" ref="L887">_xlfn.IFS(
 K887&lt;=50,"≤50",
 AND(K887&gt;=51,K887&lt;=100),"51–100",
 AND(K887&gt;=101,K887&lt;=250),"101–250",
 AND(K887&gt;=251,K887&lt;=500),"251–500",
 AND(K887&gt;=501,K887&lt;=1000),"501–1000",
 K887&gt;=1001,"1001+"
)</f>
        <v>51–100</v>
      </c>
    </row>
    <row r="888" spans="1:12" x14ac:dyDescent="0.3">
      <c r="A888" t="s">
        <v>1704</v>
      </c>
      <c r="B888" t="s">
        <v>13</v>
      </c>
      <c r="C888" t="s">
        <v>5777</v>
      </c>
      <c r="D888" t="s">
        <v>1705</v>
      </c>
      <c r="E888" t="s">
        <v>15</v>
      </c>
      <c r="F888" t="s">
        <v>16</v>
      </c>
      <c r="G888" t="s">
        <v>1706</v>
      </c>
      <c r="J888" t="s">
        <v>5737</v>
      </c>
      <c r="K888">
        <v>60</v>
      </c>
      <c r="L888" t="str" cm="1">
        <f t="array" ref="L888">_xlfn.IFS(
 K888&lt;=50,"≤50",
 AND(K888&gt;=51,K888&lt;=100),"51–100",
 AND(K888&gt;=101,K888&lt;=250),"101–250",
 AND(K888&gt;=251,K888&lt;=500),"251–500",
 AND(K888&gt;=501,K888&lt;=1000),"501–1000",
 K888&gt;=1001,"1001+"
)</f>
        <v>51–100</v>
      </c>
    </row>
    <row r="889" spans="1:12" x14ac:dyDescent="0.3">
      <c r="A889" t="s">
        <v>1707</v>
      </c>
      <c r="B889" t="s">
        <v>11</v>
      </c>
      <c r="C889" t="s">
        <v>5776</v>
      </c>
      <c r="F889" t="s">
        <v>5770</v>
      </c>
      <c r="J889" t="s">
        <v>5738</v>
      </c>
      <c r="K889">
        <v>60</v>
      </c>
      <c r="L889" t="str" cm="1">
        <f t="array" ref="L889">_xlfn.IFS(
 K889&lt;=50,"≤50",
 AND(K889&gt;=51,K889&lt;=100),"51–100",
 AND(K889&gt;=101,K889&lt;=250),"101–250",
 AND(K889&gt;=251,K889&lt;=500),"251–500",
 AND(K889&gt;=501,K889&lt;=1000),"501–1000",
 K889&gt;=1001,"1001+"
)</f>
        <v>51–100</v>
      </c>
    </row>
    <row r="890" spans="1:12" x14ac:dyDescent="0.3">
      <c r="A890" t="s">
        <v>1708</v>
      </c>
      <c r="B890" t="s">
        <v>13</v>
      </c>
      <c r="C890" t="s">
        <v>5777</v>
      </c>
      <c r="D890" t="s">
        <v>1709</v>
      </c>
      <c r="E890" t="s">
        <v>15</v>
      </c>
      <c r="F890" t="s">
        <v>20</v>
      </c>
      <c r="G890" t="s">
        <v>117</v>
      </c>
      <c r="J890" t="s">
        <v>5753</v>
      </c>
      <c r="K890">
        <v>60</v>
      </c>
      <c r="L890" t="str" cm="1">
        <f t="array" ref="L890">_xlfn.IFS(
 K890&lt;=50,"≤50",
 AND(K890&gt;=51,K890&lt;=100),"51–100",
 AND(K890&gt;=101,K890&lt;=250),"101–250",
 AND(K890&gt;=251,K890&lt;=500),"251–500",
 AND(K890&gt;=501,K890&lt;=1000),"501–1000",
 K890&gt;=1001,"1001+"
)</f>
        <v>51–100</v>
      </c>
    </row>
    <row r="891" spans="1:12" x14ac:dyDescent="0.3">
      <c r="A891" t="s">
        <v>1710</v>
      </c>
      <c r="B891" t="s">
        <v>9</v>
      </c>
      <c r="C891" t="s">
        <v>5780</v>
      </c>
      <c r="D891" t="s">
        <v>1711</v>
      </c>
      <c r="F891" t="s">
        <v>54</v>
      </c>
      <c r="G891" t="s">
        <v>1712</v>
      </c>
      <c r="J891" t="s">
        <v>5737</v>
      </c>
      <c r="K891">
        <v>60</v>
      </c>
      <c r="L891" t="str" cm="1">
        <f t="array" ref="L891">_xlfn.IFS(
 K891&lt;=50,"≤50",
 AND(K891&gt;=51,K891&lt;=100),"51–100",
 AND(K891&gt;=101,K891&lt;=250),"101–250",
 AND(K891&gt;=251,K891&lt;=500),"251–500",
 AND(K891&gt;=501,K891&lt;=1000),"501–1000",
 K891&gt;=1001,"1001+"
)</f>
        <v>51–100</v>
      </c>
    </row>
    <row r="892" spans="1:12" x14ac:dyDescent="0.3">
      <c r="A892" t="s">
        <v>1713</v>
      </c>
      <c r="B892" t="s">
        <v>13</v>
      </c>
      <c r="C892" t="s">
        <v>5777</v>
      </c>
      <c r="D892" t="s">
        <v>1714</v>
      </c>
      <c r="F892" t="s">
        <v>20</v>
      </c>
      <c r="G892" t="s">
        <v>21</v>
      </c>
      <c r="J892" t="s">
        <v>5738</v>
      </c>
      <c r="K892">
        <v>60</v>
      </c>
      <c r="L892" t="str" cm="1">
        <f t="array" ref="L892">_xlfn.IFS(
 K892&lt;=50,"≤50",
 AND(K892&gt;=51,K892&lt;=100),"51–100",
 AND(K892&gt;=101,K892&lt;=250),"101–250",
 AND(K892&gt;=251,K892&lt;=500),"251–500",
 AND(K892&gt;=501,K892&lt;=1000),"501–1000",
 K892&gt;=1001,"1001+"
)</f>
        <v>51–100</v>
      </c>
    </row>
    <row r="893" spans="1:12" x14ac:dyDescent="0.3">
      <c r="A893" t="s">
        <v>1715</v>
      </c>
      <c r="B893" t="s">
        <v>9</v>
      </c>
      <c r="C893" t="s">
        <v>5780</v>
      </c>
      <c r="D893" t="s">
        <v>28</v>
      </c>
      <c r="E893" t="s">
        <v>15</v>
      </c>
      <c r="F893" t="s">
        <v>20</v>
      </c>
      <c r="G893" t="s">
        <v>1716</v>
      </c>
      <c r="J893" t="s">
        <v>5738</v>
      </c>
      <c r="K893">
        <v>60</v>
      </c>
      <c r="L893" t="str" cm="1">
        <f t="array" ref="L893">_xlfn.IFS(
 K893&lt;=50,"≤50",
 AND(K893&gt;=51,K893&lt;=100),"51–100",
 AND(K893&gt;=101,K893&lt;=250),"101–250",
 AND(K893&gt;=251,K893&lt;=500),"251–500",
 AND(K893&gt;=501,K893&lt;=1000),"501–1000",
 K893&gt;=1001,"1001+"
)</f>
        <v>51–100</v>
      </c>
    </row>
    <row r="894" spans="1:12" x14ac:dyDescent="0.3">
      <c r="A894" t="s">
        <v>1717</v>
      </c>
      <c r="B894" t="s">
        <v>9</v>
      </c>
      <c r="C894" t="s">
        <v>5780</v>
      </c>
      <c r="D894" t="s">
        <v>1718</v>
      </c>
      <c r="E894" t="s">
        <v>15</v>
      </c>
      <c r="F894" t="s">
        <v>54</v>
      </c>
      <c r="G894" t="s">
        <v>1719</v>
      </c>
      <c r="J894" t="s">
        <v>5737</v>
      </c>
      <c r="K894">
        <v>60</v>
      </c>
      <c r="L894" t="str" cm="1">
        <f t="array" ref="L894">_xlfn.IFS(
 K894&lt;=50,"≤50",
 AND(K894&gt;=51,K894&lt;=100),"51–100",
 AND(K894&gt;=101,K894&lt;=250),"101–250",
 AND(K894&gt;=251,K894&lt;=500),"251–500",
 AND(K894&gt;=501,K894&lt;=1000),"501–1000",
 K894&gt;=1001,"1001+"
)</f>
        <v>51–100</v>
      </c>
    </row>
    <row r="895" spans="1:12" x14ac:dyDescent="0.3">
      <c r="A895" t="s">
        <v>1720</v>
      </c>
      <c r="B895" t="s">
        <v>13</v>
      </c>
      <c r="C895" t="s">
        <v>5777</v>
      </c>
      <c r="D895" t="s">
        <v>1721</v>
      </c>
      <c r="E895" t="s">
        <v>15</v>
      </c>
      <c r="F895" t="s">
        <v>5770</v>
      </c>
      <c r="J895" t="s">
        <v>5746</v>
      </c>
      <c r="K895">
        <v>60</v>
      </c>
      <c r="L895" t="str" cm="1">
        <f t="array" ref="L895">_xlfn.IFS(
 K895&lt;=50,"≤50",
 AND(K895&gt;=51,K895&lt;=100),"51–100",
 AND(K895&gt;=101,K895&lt;=250),"101–250",
 AND(K895&gt;=251,K895&lt;=500),"251–500",
 AND(K895&gt;=501,K895&lt;=1000),"501–1000",
 K895&gt;=1001,"1001+"
)</f>
        <v>51–100</v>
      </c>
    </row>
    <row r="896" spans="1:12" x14ac:dyDescent="0.3">
      <c r="A896" t="s">
        <v>1722</v>
      </c>
      <c r="B896" t="s">
        <v>13</v>
      </c>
      <c r="C896" t="s">
        <v>5777</v>
      </c>
      <c r="D896" t="s">
        <v>1723</v>
      </c>
      <c r="E896" t="s">
        <v>15</v>
      </c>
      <c r="F896" t="s">
        <v>16</v>
      </c>
      <c r="G896" t="s">
        <v>1724</v>
      </c>
      <c r="J896" t="s">
        <v>5744</v>
      </c>
      <c r="K896">
        <v>60</v>
      </c>
      <c r="L896" t="str" cm="1">
        <f t="array" ref="L896">_xlfn.IFS(
 K896&lt;=50,"≤50",
 AND(K896&gt;=51,K896&lt;=100),"51–100",
 AND(K896&gt;=101,K896&lt;=250),"101–250",
 AND(K896&gt;=251,K896&lt;=500),"251–500",
 AND(K896&gt;=501,K896&lt;=1000),"501–1000",
 K896&gt;=1001,"1001+"
)</f>
        <v>51–100</v>
      </c>
    </row>
    <row r="897" spans="1:12" x14ac:dyDescent="0.3">
      <c r="A897" t="s">
        <v>1725</v>
      </c>
      <c r="B897" t="s">
        <v>9</v>
      </c>
      <c r="C897" t="s">
        <v>5780</v>
      </c>
      <c r="D897" t="s">
        <v>28</v>
      </c>
      <c r="F897" t="s">
        <v>5770</v>
      </c>
      <c r="J897" t="s">
        <v>5742</v>
      </c>
      <c r="K897">
        <v>60</v>
      </c>
      <c r="L897" t="str" cm="1">
        <f t="array" ref="L897">_xlfn.IFS(
 K897&lt;=50,"≤50",
 AND(K897&gt;=51,K897&lt;=100),"51–100",
 AND(K897&gt;=101,K897&lt;=250),"101–250",
 AND(K897&gt;=251,K897&lt;=500),"251–500",
 AND(K897&gt;=501,K897&lt;=1000),"501–1000",
 K897&gt;=1001,"1001+"
)</f>
        <v>51–100</v>
      </c>
    </row>
    <row r="898" spans="1:12" x14ac:dyDescent="0.3">
      <c r="A898" t="s">
        <v>1726</v>
      </c>
      <c r="B898" t="s">
        <v>9</v>
      </c>
      <c r="C898" t="s">
        <v>5780</v>
      </c>
      <c r="D898" t="s">
        <v>1727</v>
      </c>
      <c r="E898" t="s">
        <v>15</v>
      </c>
      <c r="F898" t="s">
        <v>16</v>
      </c>
      <c r="G898" t="s">
        <v>1728</v>
      </c>
      <c r="J898" t="s">
        <v>5750</v>
      </c>
      <c r="K898">
        <v>60</v>
      </c>
      <c r="L898" t="str" cm="1">
        <f t="array" ref="L898">_xlfn.IFS(
 K898&lt;=50,"≤50",
 AND(K898&gt;=51,K898&lt;=100),"51–100",
 AND(K898&gt;=101,K898&lt;=250),"101–250",
 AND(K898&gt;=251,K898&lt;=500),"251–500",
 AND(K898&gt;=501,K898&lt;=1000),"501–1000",
 K898&gt;=1001,"1001+"
)</f>
        <v>51–100</v>
      </c>
    </row>
    <row r="899" spans="1:12" x14ac:dyDescent="0.3">
      <c r="A899" t="s">
        <v>1729</v>
      </c>
      <c r="B899" t="s">
        <v>11</v>
      </c>
      <c r="C899" t="s">
        <v>5776</v>
      </c>
      <c r="F899" t="s">
        <v>5770</v>
      </c>
      <c r="J899" t="s">
        <v>5740</v>
      </c>
      <c r="K899">
        <v>60</v>
      </c>
      <c r="L899" t="str" cm="1">
        <f t="array" ref="L899">_xlfn.IFS(
 K899&lt;=50,"≤50",
 AND(K899&gt;=51,K899&lt;=100),"51–100",
 AND(K899&gt;=101,K899&lt;=250),"101–250",
 AND(K899&gt;=251,K899&lt;=500),"251–500",
 AND(K899&gt;=501,K899&lt;=1000),"501–1000",
 K899&gt;=1001,"1001+"
)</f>
        <v>51–100</v>
      </c>
    </row>
    <row r="900" spans="1:12" x14ac:dyDescent="0.3">
      <c r="A900" t="s">
        <v>1730</v>
      </c>
      <c r="B900" t="s">
        <v>11</v>
      </c>
      <c r="C900" t="s">
        <v>5776</v>
      </c>
      <c r="F900" t="s">
        <v>5770</v>
      </c>
      <c r="J900" t="s">
        <v>5738</v>
      </c>
      <c r="K900">
        <v>60</v>
      </c>
      <c r="L900" t="str" cm="1">
        <f t="array" ref="L900">_xlfn.IFS(
 K900&lt;=50,"≤50",
 AND(K900&gt;=51,K900&lt;=100),"51–100",
 AND(K900&gt;=101,K900&lt;=250),"101–250",
 AND(K900&gt;=251,K900&lt;=500),"251–500",
 AND(K900&gt;=501,K900&lt;=1000),"501–1000",
 K900&gt;=1001,"1001+"
)</f>
        <v>51–100</v>
      </c>
    </row>
    <row r="901" spans="1:12" x14ac:dyDescent="0.3">
      <c r="A901" t="s">
        <v>1731</v>
      </c>
      <c r="B901" t="s">
        <v>9</v>
      </c>
      <c r="C901" t="s">
        <v>5780</v>
      </c>
      <c r="D901" t="s">
        <v>1732</v>
      </c>
      <c r="E901" t="s">
        <v>15</v>
      </c>
      <c r="F901" t="s">
        <v>20</v>
      </c>
      <c r="G901" t="s">
        <v>1733</v>
      </c>
      <c r="J901" t="s">
        <v>5737</v>
      </c>
      <c r="K901">
        <v>60</v>
      </c>
      <c r="L901" t="str" cm="1">
        <f t="array" ref="L901">_xlfn.IFS(
 K901&lt;=50,"≤50",
 AND(K901&gt;=51,K901&lt;=100),"51–100",
 AND(K901&gt;=101,K901&lt;=250),"101–250",
 AND(K901&gt;=251,K901&lt;=500),"251–500",
 AND(K901&gt;=501,K901&lt;=1000),"501–1000",
 K901&gt;=1001,"1001+"
)</f>
        <v>51–100</v>
      </c>
    </row>
    <row r="902" spans="1:12" x14ac:dyDescent="0.3">
      <c r="A902" t="s">
        <v>1734</v>
      </c>
      <c r="B902" t="s">
        <v>11</v>
      </c>
      <c r="C902" t="s">
        <v>5776</v>
      </c>
      <c r="F902" t="s">
        <v>5770</v>
      </c>
      <c r="J902" t="s">
        <v>5737</v>
      </c>
      <c r="K902">
        <v>60</v>
      </c>
      <c r="L902" t="str" cm="1">
        <f t="array" ref="L902">_xlfn.IFS(
 K902&lt;=50,"≤50",
 AND(K902&gt;=51,K902&lt;=100),"51–100",
 AND(K902&gt;=101,K902&lt;=250),"101–250",
 AND(K902&gt;=251,K902&lt;=500),"251–500",
 AND(K902&gt;=501,K902&lt;=1000),"501–1000",
 K902&gt;=1001,"1001+"
)</f>
        <v>51–100</v>
      </c>
    </row>
    <row r="903" spans="1:12" x14ac:dyDescent="0.3">
      <c r="A903" t="s">
        <v>1735</v>
      </c>
      <c r="B903" t="s">
        <v>13</v>
      </c>
      <c r="C903" t="s">
        <v>5777</v>
      </c>
      <c r="D903" t="s">
        <v>1736</v>
      </c>
      <c r="E903" t="s">
        <v>15</v>
      </c>
      <c r="F903" t="s">
        <v>20</v>
      </c>
      <c r="G903" t="s">
        <v>1737</v>
      </c>
      <c r="J903" t="s">
        <v>5737</v>
      </c>
      <c r="K903">
        <v>60</v>
      </c>
      <c r="L903" t="str" cm="1">
        <f t="array" ref="L903">_xlfn.IFS(
 K903&lt;=50,"≤50",
 AND(K903&gt;=51,K903&lt;=100),"51–100",
 AND(K903&gt;=101,K903&lt;=250),"101–250",
 AND(K903&gt;=251,K903&lt;=500),"251–500",
 AND(K903&gt;=501,K903&lt;=1000),"501–1000",
 K903&gt;=1001,"1001+"
)</f>
        <v>51–100</v>
      </c>
    </row>
    <row r="904" spans="1:12" x14ac:dyDescent="0.3">
      <c r="A904" t="s">
        <v>1738</v>
      </c>
      <c r="B904" t="s">
        <v>9</v>
      </c>
      <c r="C904" t="s">
        <v>5780</v>
      </c>
      <c r="D904" t="s">
        <v>1739</v>
      </c>
      <c r="E904" t="s">
        <v>15</v>
      </c>
      <c r="F904" t="s">
        <v>16</v>
      </c>
      <c r="G904" t="s">
        <v>1740</v>
      </c>
      <c r="J904" t="s">
        <v>5737</v>
      </c>
      <c r="K904">
        <v>60</v>
      </c>
      <c r="L904" t="str" cm="1">
        <f t="array" ref="L904">_xlfn.IFS(
 K904&lt;=50,"≤50",
 AND(K904&gt;=51,K904&lt;=100),"51–100",
 AND(K904&gt;=101,K904&lt;=250),"101–250",
 AND(K904&gt;=251,K904&lt;=500),"251–500",
 AND(K904&gt;=501,K904&lt;=1000),"501–1000",
 K904&gt;=1001,"1001+"
)</f>
        <v>51–100</v>
      </c>
    </row>
    <row r="905" spans="1:12" x14ac:dyDescent="0.3">
      <c r="A905" t="s">
        <v>1741</v>
      </c>
      <c r="B905" t="s">
        <v>9</v>
      </c>
      <c r="C905" t="s">
        <v>5780</v>
      </c>
      <c r="D905" t="s">
        <v>1742</v>
      </c>
      <c r="E905" t="s">
        <v>15</v>
      </c>
      <c r="F905" t="s">
        <v>16</v>
      </c>
      <c r="G905" t="s">
        <v>1743</v>
      </c>
      <c r="J905" t="s">
        <v>5753</v>
      </c>
      <c r="K905">
        <v>60</v>
      </c>
      <c r="L905" t="str" cm="1">
        <f t="array" ref="L905">_xlfn.IFS(
 K905&lt;=50,"≤50",
 AND(K905&gt;=51,K905&lt;=100),"51–100",
 AND(K905&gt;=101,K905&lt;=250),"101–250",
 AND(K905&gt;=251,K905&lt;=500),"251–500",
 AND(K905&gt;=501,K905&lt;=1000),"501–1000",
 K905&gt;=1001,"1001+"
)</f>
        <v>51–100</v>
      </c>
    </row>
    <row r="906" spans="1:12" x14ac:dyDescent="0.3">
      <c r="A906" t="s">
        <v>1744</v>
      </c>
      <c r="B906" t="s">
        <v>9</v>
      </c>
      <c r="C906" t="s">
        <v>5780</v>
      </c>
      <c r="D906" t="s">
        <v>1745</v>
      </c>
      <c r="F906" t="s">
        <v>20</v>
      </c>
      <c r="G906" t="s">
        <v>1023</v>
      </c>
      <c r="J906" t="s">
        <v>5737</v>
      </c>
      <c r="K906">
        <v>60</v>
      </c>
      <c r="L906" t="str" cm="1">
        <f t="array" ref="L906">_xlfn.IFS(
 K906&lt;=50,"≤50",
 AND(K906&gt;=51,K906&lt;=100),"51–100",
 AND(K906&gt;=101,K906&lt;=250),"101–250",
 AND(K906&gt;=251,K906&lt;=500),"251–500",
 AND(K906&gt;=501,K906&lt;=1000),"501–1000",
 K906&gt;=1001,"1001+"
)</f>
        <v>51–100</v>
      </c>
    </row>
    <row r="907" spans="1:12" x14ac:dyDescent="0.3">
      <c r="A907" t="s">
        <v>1746</v>
      </c>
      <c r="B907" t="s">
        <v>13</v>
      </c>
      <c r="C907" t="s">
        <v>5777</v>
      </c>
      <c r="D907" t="s">
        <v>1747</v>
      </c>
      <c r="E907" t="s">
        <v>15</v>
      </c>
      <c r="F907" t="s">
        <v>20</v>
      </c>
      <c r="G907" t="s">
        <v>1748</v>
      </c>
      <c r="J907" t="s">
        <v>5751</v>
      </c>
      <c r="K907">
        <v>60</v>
      </c>
      <c r="L907" t="str" cm="1">
        <f t="array" ref="L907">_xlfn.IFS(
 K907&lt;=50,"≤50",
 AND(K907&gt;=51,K907&lt;=100),"51–100",
 AND(K907&gt;=101,K907&lt;=250),"101–250",
 AND(K907&gt;=251,K907&lt;=500),"251–500",
 AND(K907&gt;=501,K907&lt;=1000),"501–1000",
 K907&gt;=1001,"1001+"
)</f>
        <v>51–100</v>
      </c>
    </row>
    <row r="908" spans="1:12" x14ac:dyDescent="0.3">
      <c r="A908" t="s">
        <v>1749</v>
      </c>
      <c r="B908" t="s">
        <v>9</v>
      </c>
      <c r="C908" t="s">
        <v>5780</v>
      </c>
      <c r="D908" t="s">
        <v>1750</v>
      </c>
      <c r="E908" t="s">
        <v>15</v>
      </c>
      <c r="F908" t="s">
        <v>5769</v>
      </c>
      <c r="G908" t="s">
        <v>1751</v>
      </c>
      <c r="J908" t="s">
        <v>5751</v>
      </c>
      <c r="K908">
        <v>60</v>
      </c>
      <c r="L908" t="str" cm="1">
        <f t="array" ref="L908">_xlfn.IFS(
 K908&lt;=50,"≤50",
 AND(K908&gt;=51,K908&lt;=100),"51–100",
 AND(K908&gt;=101,K908&lt;=250),"101–250",
 AND(K908&gt;=251,K908&lt;=500),"251–500",
 AND(K908&gt;=501,K908&lt;=1000),"501–1000",
 K908&gt;=1001,"1001+"
)</f>
        <v>51–100</v>
      </c>
    </row>
    <row r="909" spans="1:12" x14ac:dyDescent="0.3">
      <c r="A909" t="s">
        <v>1752</v>
      </c>
      <c r="B909" t="s">
        <v>9</v>
      </c>
      <c r="C909" t="s">
        <v>5780</v>
      </c>
      <c r="D909" t="s">
        <v>28</v>
      </c>
      <c r="E909" t="s">
        <v>15</v>
      </c>
      <c r="F909" t="s">
        <v>54</v>
      </c>
      <c r="G909" t="s">
        <v>553</v>
      </c>
      <c r="J909" t="s">
        <v>5744</v>
      </c>
      <c r="K909">
        <v>60</v>
      </c>
      <c r="L909" t="str" cm="1">
        <f t="array" ref="L909">_xlfn.IFS(
 K909&lt;=50,"≤50",
 AND(K909&gt;=51,K909&lt;=100),"51–100",
 AND(K909&gt;=101,K909&lt;=250),"101–250",
 AND(K909&gt;=251,K909&lt;=500),"251–500",
 AND(K909&gt;=501,K909&lt;=1000),"501–1000",
 K909&gt;=1001,"1001+"
)</f>
        <v>51–100</v>
      </c>
    </row>
    <row r="910" spans="1:12" x14ac:dyDescent="0.3">
      <c r="A910" t="s">
        <v>1753</v>
      </c>
      <c r="B910" t="s">
        <v>9</v>
      </c>
      <c r="C910" t="s">
        <v>5780</v>
      </c>
      <c r="D910" t="s">
        <v>1754</v>
      </c>
      <c r="E910" t="s">
        <v>15</v>
      </c>
      <c r="F910" t="s">
        <v>16</v>
      </c>
      <c r="G910" t="s">
        <v>1755</v>
      </c>
      <c r="J910" t="s">
        <v>5737</v>
      </c>
      <c r="K910">
        <v>60</v>
      </c>
      <c r="L910" t="str" cm="1">
        <f t="array" ref="L910">_xlfn.IFS(
 K910&lt;=50,"≤50",
 AND(K910&gt;=51,K910&lt;=100),"51–100",
 AND(K910&gt;=101,K910&lt;=250),"101–250",
 AND(K910&gt;=251,K910&lt;=500),"251–500",
 AND(K910&gt;=501,K910&lt;=1000),"501–1000",
 K910&gt;=1001,"1001+"
)</f>
        <v>51–100</v>
      </c>
    </row>
    <row r="911" spans="1:12" x14ac:dyDescent="0.3">
      <c r="A911" t="s">
        <v>1756</v>
      </c>
      <c r="B911" t="s">
        <v>9</v>
      </c>
      <c r="C911" t="s">
        <v>5780</v>
      </c>
      <c r="D911" t="s">
        <v>1757</v>
      </c>
      <c r="F911" t="s">
        <v>5770</v>
      </c>
      <c r="J911" t="s">
        <v>5738</v>
      </c>
      <c r="K911">
        <v>60</v>
      </c>
      <c r="L911" t="str" cm="1">
        <f t="array" ref="L911">_xlfn.IFS(
 K911&lt;=50,"≤50",
 AND(K911&gt;=51,K911&lt;=100),"51–100",
 AND(K911&gt;=101,K911&lt;=250),"101–250",
 AND(K911&gt;=251,K911&lt;=500),"251–500",
 AND(K911&gt;=501,K911&lt;=1000),"501–1000",
 K911&gt;=1001,"1001+"
)</f>
        <v>51–100</v>
      </c>
    </row>
    <row r="912" spans="1:12" x14ac:dyDescent="0.3">
      <c r="A912" t="s">
        <v>1758</v>
      </c>
      <c r="B912" t="s">
        <v>13</v>
      </c>
      <c r="C912" t="s">
        <v>5777</v>
      </c>
      <c r="D912" t="s">
        <v>369</v>
      </c>
      <c r="F912" t="s">
        <v>20</v>
      </c>
      <c r="G912" t="s">
        <v>135</v>
      </c>
      <c r="J912" t="s">
        <v>5738</v>
      </c>
      <c r="K912">
        <v>60</v>
      </c>
      <c r="L912" t="str" cm="1">
        <f t="array" ref="L912">_xlfn.IFS(
 K912&lt;=50,"≤50",
 AND(K912&gt;=51,K912&lt;=100),"51–100",
 AND(K912&gt;=101,K912&lt;=250),"101–250",
 AND(K912&gt;=251,K912&lt;=500),"251–500",
 AND(K912&gt;=501,K912&lt;=1000),"501–1000",
 K912&gt;=1001,"1001+"
)</f>
        <v>51–100</v>
      </c>
    </row>
    <row r="913" spans="1:12" x14ac:dyDescent="0.3">
      <c r="A913" t="s">
        <v>1759</v>
      </c>
      <c r="B913" t="s">
        <v>13</v>
      </c>
      <c r="C913" t="s">
        <v>5777</v>
      </c>
      <c r="D913" t="s">
        <v>1760</v>
      </c>
      <c r="F913" t="s">
        <v>5770</v>
      </c>
      <c r="J913" t="s">
        <v>5738</v>
      </c>
      <c r="K913">
        <v>60</v>
      </c>
      <c r="L913" t="str" cm="1">
        <f t="array" ref="L913">_xlfn.IFS(
 K913&lt;=50,"≤50",
 AND(K913&gt;=51,K913&lt;=100),"51–100",
 AND(K913&gt;=101,K913&lt;=250),"101–250",
 AND(K913&gt;=251,K913&lt;=500),"251–500",
 AND(K913&gt;=501,K913&lt;=1000),"501–1000",
 K913&gt;=1001,"1001+"
)</f>
        <v>51–100</v>
      </c>
    </row>
    <row r="914" spans="1:12" x14ac:dyDescent="0.3">
      <c r="A914" t="s">
        <v>1761</v>
      </c>
      <c r="B914" t="s">
        <v>13</v>
      </c>
      <c r="C914" t="s">
        <v>5777</v>
      </c>
      <c r="D914" t="s">
        <v>1762</v>
      </c>
      <c r="E914" t="s">
        <v>15</v>
      </c>
      <c r="F914" t="s">
        <v>20</v>
      </c>
      <c r="G914" t="s">
        <v>117</v>
      </c>
      <c r="J914" t="s">
        <v>5743</v>
      </c>
      <c r="K914">
        <v>60</v>
      </c>
      <c r="L914" t="str" cm="1">
        <f t="array" ref="L914">_xlfn.IFS(
 K914&lt;=50,"≤50",
 AND(K914&gt;=51,K914&lt;=100),"51–100",
 AND(K914&gt;=101,K914&lt;=250),"101–250",
 AND(K914&gt;=251,K914&lt;=500),"251–500",
 AND(K914&gt;=501,K914&lt;=1000),"501–1000",
 K914&gt;=1001,"1001+"
)</f>
        <v>51–100</v>
      </c>
    </row>
    <row r="915" spans="1:12" x14ac:dyDescent="0.3">
      <c r="A915" t="s">
        <v>1763</v>
      </c>
      <c r="B915" t="s">
        <v>9</v>
      </c>
      <c r="C915" t="s">
        <v>5780</v>
      </c>
      <c r="D915" t="s">
        <v>28</v>
      </c>
      <c r="F915" t="s">
        <v>5770</v>
      </c>
      <c r="J915" t="s">
        <v>5737</v>
      </c>
      <c r="K915">
        <v>60</v>
      </c>
      <c r="L915" t="str" cm="1">
        <f t="array" ref="L915">_xlfn.IFS(
 K915&lt;=50,"≤50",
 AND(K915&gt;=51,K915&lt;=100),"51–100",
 AND(K915&gt;=101,K915&lt;=250),"101–250",
 AND(K915&gt;=251,K915&lt;=500),"251–500",
 AND(K915&gt;=501,K915&lt;=1000),"501–1000",
 K915&gt;=1001,"1001+"
)</f>
        <v>51–100</v>
      </c>
    </row>
    <row r="916" spans="1:12" x14ac:dyDescent="0.3">
      <c r="A916" t="s">
        <v>1764</v>
      </c>
      <c r="B916" t="s">
        <v>11</v>
      </c>
      <c r="C916" t="s">
        <v>5776</v>
      </c>
      <c r="F916" t="s">
        <v>5770</v>
      </c>
      <c r="J916" t="s">
        <v>5754</v>
      </c>
      <c r="K916">
        <v>60</v>
      </c>
      <c r="L916" t="str" cm="1">
        <f t="array" ref="L916">_xlfn.IFS(
 K916&lt;=50,"≤50",
 AND(K916&gt;=51,K916&lt;=100),"51–100",
 AND(K916&gt;=101,K916&lt;=250),"101–250",
 AND(K916&gt;=251,K916&lt;=500),"251–500",
 AND(K916&gt;=501,K916&lt;=1000),"501–1000",
 K916&gt;=1001,"1001+"
)</f>
        <v>51–100</v>
      </c>
    </row>
    <row r="917" spans="1:12" x14ac:dyDescent="0.3">
      <c r="A917" t="s">
        <v>1765</v>
      </c>
      <c r="B917" t="s">
        <v>13</v>
      </c>
      <c r="C917" t="s">
        <v>5777</v>
      </c>
      <c r="D917" t="s">
        <v>65</v>
      </c>
      <c r="F917" t="s">
        <v>5770</v>
      </c>
      <c r="J917" t="s">
        <v>5737</v>
      </c>
      <c r="K917">
        <v>60</v>
      </c>
      <c r="L917" t="str" cm="1">
        <f t="array" ref="L917">_xlfn.IFS(
 K917&lt;=50,"≤50",
 AND(K917&gt;=51,K917&lt;=100),"51–100",
 AND(K917&gt;=101,K917&lt;=250),"101–250",
 AND(K917&gt;=251,K917&lt;=500),"251–500",
 AND(K917&gt;=501,K917&lt;=1000),"501–1000",
 K917&gt;=1001,"1001+"
)</f>
        <v>51–100</v>
      </c>
    </row>
    <row r="918" spans="1:12" x14ac:dyDescent="0.3">
      <c r="A918" t="s">
        <v>1766</v>
      </c>
      <c r="B918" t="s">
        <v>11</v>
      </c>
      <c r="C918" t="s">
        <v>5776</v>
      </c>
      <c r="F918" t="s">
        <v>5770</v>
      </c>
      <c r="J918" t="s">
        <v>5737</v>
      </c>
      <c r="K918">
        <v>60</v>
      </c>
      <c r="L918" t="str" cm="1">
        <f t="array" ref="L918">_xlfn.IFS(
 K918&lt;=50,"≤50",
 AND(K918&gt;=51,K918&lt;=100),"51–100",
 AND(K918&gt;=101,K918&lt;=250),"101–250",
 AND(K918&gt;=251,K918&lt;=500),"251–500",
 AND(K918&gt;=501,K918&lt;=1000),"501–1000",
 K918&gt;=1001,"1001+"
)</f>
        <v>51–100</v>
      </c>
    </row>
    <row r="919" spans="1:12" x14ac:dyDescent="0.3">
      <c r="A919" t="s">
        <v>1767</v>
      </c>
      <c r="B919" t="s">
        <v>197</v>
      </c>
      <c r="C919" t="s">
        <v>5774</v>
      </c>
      <c r="D919" t="s">
        <v>1768</v>
      </c>
      <c r="E919" t="s">
        <v>15</v>
      </c>
      <c r="F919" t="s">
        <v>16</v>
      </c>
      <c r="G919" t="s">
        <v>1769</v>
      </c>
      <c r="J919" t="s">
        <v>5742</v>
      </c>
      <c r="K919">
        <v>60</v>
      </c>
      <c r="L919" t="str" cm="1">
        <f t="array" ref="L919">_xlfn.IFS(
 K919&lt;=50,"≤50",
 AND(K919&gt;=51,K919&lt;=100),"51–100",
 AND(K919&gt;=101,K919&lt;=250),"101–250",
 AND(K919&gt;=251,K919&lt;=500),"251–500",
 AND(K919&gt;=501,K919&lt;=1000),"501–1000",
 K919&gt;=1001,"1001+"
)</f>
        <v>51–100</v>
      </c>
    </row>
    <row r="920" spans="1:12" x14ac:dyDescent="0.3">
      <c r="A920" t="s">
        <v>1770</v>
      </c>
      <c r="B920" t="s">
        <v>9</v>
      </c>
      <c r="C920" t="s">
        <v>5780</v>
      </c>
      <c r="D920" t="s">
        <v>28</v>
      </c>
      <c r="F920" t="s">
        <v>5770</v>
      </c>
      <c r="J920" t="s">
        <v>5737</v>
      </c>
      <c r="K920">
        <v>60</v>
      </c>
      <c r="L920" t="str" cm="1">
        <f t="array" ref="L920">_xlfn.IFS(
 K920&lt;=50,"≤50",
 AND(K920&gt;=51,K920&lt;=100),"51–100",
 AND(K920&gt;=101,K920&lt;=250),"101–250",
 AND(K920&gt;=251,K920&lt;=500),"251–500",
 AND(K920&gt;=501,K920&lt;=1000),"501–1000",
 K920&gt;=1001,"1001+"
)</f>
        <v>51–100</v>
      </c>
    </row>
    <row r="921" spans="1:12" x14ac:dyDescent="0.3">
      <c r="A921" t="s">
        <v>1771</v>
      </c>
      <c r="B921" t="s">
        <v>13</v>
      </c>
      <c r="C921" t="s">
        <v>5777</v>
      </c>
      <c r="D921" t="s">
        <v>1772</v>
      </c>
      <c r="E921" t="s">
        <v>15</v>
      </c>
      <c r="F921" t="s">
        <v>16</v>
      </c>
      <c r="G921" t="s">
        <v>138</v>
      </c>
      <c r="J921" t="s">
        <v>5737</v>
      </c>
      <c r="K921">
        <v>60</v>
      </c>
      <c r="L921" t="str" cm="1">
        <f t="array" ref="L921">_xlfn.IFS(
 K921&lt;=50,"≤50",
 AND(K921&gt;=51,K921&lt;=100),"51–100",
 AND(K921&gt;=101,K921&lt;=250),"101–250",
 AND(K921&gt;=251,K921&lt;=500),"251–500",
 AND(K921&gt;=501,K921&lt;=1000),"501–1000",
 K921&gt;=1001,"1001+"
)</f>
        <v>51–100</v>
      </c>
    </row>
    <row r="922" spans="1:12" x14ac:dyDescent="0.3">
      <c r="A922" t="s">
        <v>1773</v>
      </c>
      <c r="B922" t="s">
        <v>9</v>
      </c>
      <c r="C922" t="s">
        <v>5780</v>
      </c>
      <c r="D922" t="s">
        <v>28</v>
      </c>
      <c r="F922" t="s">
        <v>5770</v>
      </c>
      <c r="J922" t="s">
        <v>5737</v>
      </c>
      <c r="K922">
        <v>60</v>
      </c>
      <c r="L922" t="str" cm="1">
        <f t="array" ref="L922">_xlfn.IFS(
 K922&lt;=50,"≤50",
 AND(K922&gt;=51,K922&lt;=100),"51–100",
 AND(K922&gt;=101,K922&lt;=250),"101–250",
 AND(K922&gt;=251,K922&lt;=500),"251–500",
 AND(K922&gt;=501,K922&lt;=1000),"501–1000",
 K922&gt;=1001,"1001+"
)</f>
        <v>51–100</v>
      </c>
    </row>
    <row r="923" spans="1:12" x14ac:dyDescent="0.3">
      <c r="A923" t="s">
        <v>1774</v>
      </c>
      <c r="B923" t="s">
        <v>9</v>
      </c>
      <c r="C923" t="s">
        <v>5780</v>
      </c>
      <c r="D923" t="s">
        <v>1775</v>
      </c>
      <c r="E923" t="s">
        <v>15</v>
      </c>
      <c r="F923" t="s">
        <v>54</v>
      </c>
      <c r="G923" t="s">
        <v>1776</v>
      </c>
      <c r="J923" t="s">
        <v>5737</v>
      </c>
      <c r="K923">
        <v>60</v>
      </c>
      <c r="L923" t="str" cm="1">
        <f t="array" ref="L923">_xlfn.IFS(
 K923&lt;=50,"≤50",
 AND(K923&gt;=51,K923&lt;=100),"51–100",
 AND(K923&gt;=101,K923&lt;=250),"101–250",
 AND(K923&gt;=251,K923&lt;=500),"251–500",
 AND(K923&gt;=501,K923&lt;=1000),"501–1000",
 K923&gt;=1001,"1001+"
)</f>
        <v>51–100</v>
      </c>
    </row>
    <row r="924" spans="1:12" x14ac:dyDescent="0.3">
      <c r="A924" t="s">
        <v>1777</v>
      </c>
      <c r="B924" t="s">
        <v>11</v>
      </c>
      <c r="C924" t="s">
        <v>5776</v>
      </c>
      <c r="F924" t="s">
        <v>5770</v>
      </c>
      <c r="J924" t="s">
        <v>5751</v>
      </c>
      <c r="K924">
        <v>60</v>
      </c>
      <c r="L924" t="str" cm="1">
        <f t="array" ref="L924">_xlfn.IFS(
 K924&lt;=50,"≤50",
 AND(K924&gt;=51,K924&lt;=100),"51–100",
 AND(K924&gt;=101,K924&lt;=250),"101–250",
 AND(K924&gt;=251,K924&lt;=500),"251–500",
 AND(K924&gt;=501,K924&lt;=1000),"501–1000",
 K924&gt;=1001,"1001+"
)</f>
        <v>51–100</v>
      </c>
    </row>
    <row r="925" spans="1:12" x14ac:dyDescent="0.3">
      <c r="A925" t="s">
        <v>1778</v>
      </c>
      <c r="B925" t="s">
        <v>9</v>
      </c>
      <c r="C925" t="s">
        <v>5780</v>
      </c>
      <c r="D925" t="s">
        <v>1779</v>
      </c>
      <c r="E925" t="s">
        <v>15</v>
      </c>
      <c r="F925" t="s">
        <v>20</v>
      </c>
      <c r="G925" t="s">
        <v>1780</v>
      </c>
      <c r="J925" t="s">
        <v>5753</v>
      </c>
      <c r="K925">
        <v>60</v>
      </c>
      <c r="L925" t="str" cm="1">
        <f t="array" ref="L925">_xlfn.IFS(
 K925&lt;=50,"≤50",
 AND(K925&gt;=51,K925&lt;=100),"51–100",
 AND(K925&gt;=101,K925&lt;=250),"101–250",
 AND(K925&gt;=251,K925&lt;=500),"251–500",
 AND(K925&gt;=501,K925&lt;=1000),"501–1000",
 K925&gt;=1001,"1001+"
)</f>
        <v>51–100</v>
      </c>
    </row>
    <row r="926" spans="1:12" x14ac:dyDescent="0.3">
      <c r="A926" t="s">
        <v>1781</v>
      </c>
      <c r="B926" t="s">
        <v>9</v>
      </c>
      <c r="C926" t="s">
        <v>5780</v>
      </c>
      <c r="D926" t="s">
        <v>1782</v>
      </c>
      <c r="E926" t="s">
        <v>15</v>
      </c>
      <c r="F926" t="s">
        <v>54</v>
      </c>
      <c r="G926" t="s">
        <v>801</v>
      </c>
      <c r="J926" t="s">
        <v>5737</v>
      </c>
      <c r="K926">
        <v>60</v>
      </c>
      <c r="L926" t="str" cm="1">
        <f t="array" ref="L926">_xlfn.IFS(
 K926&lt;=50,"≤50",
 AND(K926&gt;=51,K926&lt;=100),"51–100",
 AND(K926&gt;=101,K926&lt;=250),"101–250",
 AND(K926&gt;=251,K926&lt;=500),"251–500",
 AND(K926&gt;=501,K926&lt;=1000),"501–1000",
 K926&gt;=1001,"1001+"
)</f>
        <v>51–100</v>
      </c>
    </row>
    <row r="927" spans="1:12" x14ac:dyDescent="0.3">
      <c r="A927" t="s">
        <v>1783</v>
      </c>
      <c r="B927" t="s">
        <v>9</v>
      </c>
      <c r="C927" t="s">
        <v>5780</v>
      </c>
      <c r="D927" t="s">
        <v>1784</v>
      </c>
      <c r="E927" t="s">
        <v>15</v>
      </c>
      <c r="F927" t="s">
        <v>54</v>
      </c>
      <c r="G927" t="s">
        <v>1065</v>
      </c>
      <c r="J927" t="s">
        <v>5737</v>
      </c>
      <c r="K927">
        <v>60</v>
      </c>
      <c r="L927" t="str" cm="1">
        <f t="array" ref="L927">_xlfn.IFS(
 K927&lt;=50,"≤50",
 AND(K927&gt;=51,K927&lt;=100),"51–100",
 AND(K927&gt;=101,K927&lt;=250),"101–250",
 AND(K927&gt;=251,K927&lt;=500),"251–500",
 AND(K927&gt;=501,K927&lt;=1000),"501–1000",
 K927&gt;=1001,"1001+"
)</f>
        <v>51–100</v>
      </c>
    </row>
    <row r="928" spans="1:12" x14ac:dyDescent="0.3">
      <c r="A928" t="s">
        <v>1785</v>
      </c>
      <c r="B928" t="s">
        <v>13</v>
      </c>
      <c r="C928" t="s">
        <v>5777</v>
      </c>
      <c r="D928" t="s">
        <v>1786</v>
      </c>
      <c r="F928" t="s">
        <v>5770</v>
      </c>
      <c r="J928" t="s">
        <v>5745</v>
      </c>
      <c r="K928">
        <v>60</v>
      </c>
      <c r="L928" t="str" cm="1">
        <f t="array" ref="L928">_xlfn.IFS(
 K928&lt;=50,"≤50",
 AND(K928&gt;=51,K928&lt;=100),"51–100",
 AND(K928&gt;=101,K928&lt;=250),"101–250",
 AND(K928&gt;=251,K928&lt;=500),"251–500",
 AND(K928&gt;=501,K928&lt;=1000),"501–1000",
 K928&gt;=1001,"1001+"
)</f>
        <v>51–100</v>
      </c>
    </row>
    <row r="929" spans="1:12" x14ac:dyDescent="0.3">
      <c r="A929" t="s">
        <v>1787</v>
      </c>
      <c r="B929" t="s">
        <v>9</v>
      </c>
      <c r="C929" t="s">
        <v>5780</v>
      </c>
      <c r="D929" t="s">
        <v>1788</v>
      </c>
      <c r="F929" t="s">
        <v>54</v>
      </c>
      <c r="G929" t="s">
        <v>1789</v>
      </c>
      <c r="H929" t="s">
        <v>15</v>
      </c>
      <c r="I929" t="s">
        <v>1790</v>
      </c>
      <c r="J929" t="s">
        <v>5752</v>
      </c>
      <c r="K929">
        <v>60</v>
      </c>
      <c r="L929" t="str" cm="1">
        <f t="array" ref="L929">_xlfn.IFS(
 K929&lt;=50,"≤50",
 AND(K929&gt;=51,K929&lt;=100),"51–100",
 AND(K929&gt;=101,K929&lt;=250),"101–250",
 AND(K929&gt;=251,K929&lt;=500),"251–500",
 AND(K929&gt;=501,K929&lt;=1000),"501–1000",
 K929&gt;=1001,"1001+"
)</f>
        <v>51–100</v>
      </c>
    </row>
    <row r="930" spans="1:12" x14ac:dyDescent="0.3">
      <c r="A930" t="s">
        <v>1791</v>
      </c>
      <c r="B930" t="s">
        <v>9</v>
      </c>
      <c r="C930" t="s">
        <v>5780</v>
      </c>
      <c r="D930" t="s">
        <v>28</v>
      </c>
      <c r="F930" t="s">
        <v>5770</v>
      </c>
      <c r="J930" t="s">
        <v>5753</v>
      </c>
      <c r="K930">
        <v>60</v>
      </c>
      <c r="L930" t="str" cm="1">
        <f t="array" ref="L930">_xlfn.IFS(
 K930&lt;=50,"≤50",
 AND(K930&gt;=51,K930&lt;=100),"51–100",
 AND(K930&gt;=101,K930&lt;=250),"101–250",
 AND(K930&gt;=251,K930&lt;=500),"251–500",
 AND(K930&gt;=501,K930&lt;=1000),"501–1000",
 K930&gt;=1001,"1001+"
)</f>
        <v>51–100</v>
      </c>
    </row>
    <row r="931" spans="1:12" x14ac:dyDescent="0.3">
      <c r="A931" t="s">
        <v>1792</v>
      </c>
      <c r="B931" t="s">
        <v>9</v>
      </c>
      <c r="C931" t="s">
        <v>5780</v>
      </c>
      <c r="D931" t="s">
        <v>1793</v>
      </c>
      <c r="E931" t="s">
        <v>15</v>
      </c>
      <c r="F931" t="s">
        <v>5770</v>
      </c>
      <c r="J931" t="s">
        <v>5737</v>
      </c>
      <c r="K931">
        <v>60</v>
      </c>
      <c r="L931" t="str" cm="1">
        <f t="array" ref="L931">_xlfn.IFS(
 K931&lt;=50,"≤50",
 AND(K931&gt;=51,K931&lt;=100),"51–100",
 AND(K931&gt;=101,K931&lt;=250),"101–250",
 AND(K931&gt;=251,K931&lt;=500),"251–500",
 AND(K931&gt;=501,K931&lt;=1000),"501–1000",
 K931&gt;=1001,"1001+"
)</f>
        <v>51–100</v>
      </c>
    </row>
    <row r="932" spans="1:12" x14ac:dyDescent="0.3">
      <c r="A932" t="s">
        <v>1794</v>
      </c>
      <c r="B932" t="s">
        <v>9</v>
      </c>
      <c r="C932" t="s">
        <v>5780</v>
      </c>
      <c r="D932" t="s">
        <v>691</v>
      </c>
      <c r="E932" t="s">
        <v>15</v>
      </c>
      <c r="F932" t="s">
        <v>16</v>
      </c>
      <c r="G932" t="s">
        <v>692</v>
      </c>
      <c r="J932" t="s">
        <v>5737</v>
      </c>
      <c r="K932">
        <v>60</v>
      </c>
      <c r="L932" t="str" cm="1">
        <f t="array" ref="L932">_xlfn.IFS(
 K932&lt;=50,"≤50",
 AND(K932&gt;=51,K932&lt;=100),"51–100",
 AND(K932&gt;=101,K932&lt;=250),"101–250",
 AND(K932&gt;=251,K932&lt;=500),"251–500",
 AND(K932&gt;=501,K932&lt;=1000),"501–1000",
 K932&gt;=1001,"1001+"
)</f>
        <v>51–100</v>
      </c>
    </row>
    <row r="933" spans="1:12" x14ac:dyDescent="0.3">
      <c r="A933" t="s">
        <v>1795</v>
      </c>
      <c r="B933" t="s">
        <v>9</v>
      </c>
      <c r="C933" t="s">
        <v>5780</v>
      </c>
      <c r="D933" t="s">
        <v>1796</v>
      </c>
      <c r="F933" t="s">
        <v>5770</v>
      </c>
      <c r="J933" t="s">
        <v>5754</v>
      </c>
      <c r="K933">
        <v>60</v>
      </c>
      <c r="L933" t="str" cm="1">
        <f t="array" ref="L933">_xlfn.IFS(
 K933&lt;=50,"≤50",
 AND(K933&gt;=51,K933&lt;=100),"51–100",
 AND(K933&gt;=101,K933&lt;=250),"101–250",
 AND(K933&gt;=251,K933&lt;=500),"251–500",
 AND(K933&gt;=501,K933&lt;=1000),"501–1000",
 K933&gt;=1001,"1001+"
)</f>
        <v>51–100</v>
      </c>
    </row>
    <row r="934" spans="1:12" x14ac:dyDescent="0.3">
      <c r="A934" t="s">
        <v>1797</v>
      </c>
      <c r="B934" t="s">
        <v>9</v>
      </c>
      <c r="C934" t="s">
        <v>5780</v>
      </c>
      <c r="D934" t="s">
        <v>28</v>
      </c>
      <c r="E934" t="s">
        <v>15</v>
      </c>
      <c r="F934" t="s">
        <v>20</v>
      </c>
      <c r="G934" t="s">
        <v>21</v>
      </c>
      <c r="J934" t="s">
        <v>5755</v>
      </c>
      <c r="K934">
        <v>60</v>
      </c>
      <c r="L934" t="str" cm="1">
        <f t="array" ref="L934">_xlfn.IFS(
 K934&lt;=50,"≤50",
 AND(K934&gt;=51,K934&lt;=100),"51–100",
 AND(K934&gt;=101,K934&lt;=250),"101–250",
 AND(K934&gt;=251,K934&lt;=500),"251–500",
 AND(K934&gt;=501,K934&lt;=1000),"501–1000",
 K934&gt;=1001,"1001+"
)</f>
        <v>51–100</v>
      </c>
    </row>
    <row r="935" spans="1:12" x14ac:dyDescent="0.3">
      <c r="A935" t="s">
        <v>1798</v>
      </c>
      <c r="B935" t="s">
        <v>11</v>
      </c>
      <c r="C935" t="s">
        <v>5776</v>
      </c>
      <c r="F935" t="s">
        <v>5770</v>
      </c>
      <c r="J935" t="s">
        <v>5742</v>
      </c>
      <c r="K935">
        <v>60</v>
      </c>
      <c r="L935" t="str" cm="1">
        <f t="array" ref="L935">_xlfn.IFS(
 K935&lt;=50,"≤50",
 AND(K935&gt;=51,K935&lt;=100),"51–100",
 AND(K935&gt;=101,K935&lt;=250),"101–250",
 AND(K935&gt;=251,K935&lt;=500),"251–500",
 AND(K935&gt;=501,K935&lt;=1000),"501–1000",
 K935&gt;=1001,"1001+"
)</f>
        <v>51–100</v>
      </c>
    </row>
    <row r="936" spans="1:12" x14ac:dyDescent="0.3">
      <c r="A936" t="s">
        <v>1799</v>
      </c>
      <c r="B936" t="s">
        <v>13</v>
      </c>
      <c r="C936" t="s">
        <v>5777</v>
      </c>
      <c r="D936" t="s">
        <v>1800</v>
      </c>
      <c r="E936" t="s">
        <v>15</v>
      </c>
      <c r="F936" t="s">
        <v>20</v>
      </c>
      <c r="G936" t="s">
        <v>1801</v>
      </c>
      <c r="J936" t="s">
        <v>5742</v>
      </c>
      <c r="K936">
        <v>60</v>
      </c>
      <c r="L936" t="str" cm="1">
        <f t="array" ref="L936">_xlfn.IFS(
 K936&lt;=50,"≤50",
 AND(K936&gt;=51,K936&lt;=100),"51–100",
 AND(K936&gt;=101,K936&lt;=250),"101–250",
 AND(K936&gt;=251,K936&lt;=500),"251–500",
 AND(K936&gt;=501,K936&lt;=1000),"501–1000",
 K936&gt;=1001,"1001+"
)</f>
        <v>51–100</v>
      </c>
    </row>
    <row r="937" spans="1:12" x14ac:dyDescent="0.3">
      <c r="A937" t="s">
        <v>1802</v>
      </c>
      <c r="B937" t="s">
        <v>9</v>
      </c>
      <c r="C937" t="s">
        <v>5780</v>
      </c>
      <c r="D937" t="s">
        <v>28</v>
      </c>
      <c r="F937" t="s">
        <v>5770</v>
      </c>
      <c r="J937" t="s">
        <v>5738</v>
      </c>
      <c r="K937">
        <v>60</v>
      </c>
      <c r="L937" t="str" cm="1">
        <f t="array" ref="L937">_xlfn.IFS(
 K937&lt;=50,"≤50",
 AND(K937&gt;=51,K937&lt;=100),"51–100",
 AND(K937&gt;=101,K937&lt;=250),"101–250",
 AND(K937&gt;=251,K937&lt;=500),"251–500",
 AND(K937&gt;=501,K937&lt;=1000),"501–1000",
 K937&gt;=1001,"1001+"
)</f>
        <v>51–100</v>
      </c>
    </row>
    <row r="938" spans="1:12" x14ac:dyDescent="0.3">
      <c r="A938" t="s">
        <v>1803</v>
      </c>
      <c r="B938" t="s">
        <v>11</v>
      </c>
      <c r="C938" t="s">
        <v>5776</v>
      </c>
      <c r="F938" t="s">
        <v>5770</v>
      </c>
      <c r="J938" t="s">
        <v>5738</v>
      </c>
      <c r="K938">
        <v>60</v>
      </c>
      <c r="L938" t="str" cm="1">
        <f t="array" ref="L938">_xlfn.IFS(
 K938&lt;=50,"≤50",
 AND(K938&gt;=51,K938&lt;=100),"51–100",
 AND(K938&gt;=101,K938&lt;=250),"101–250",
 AND(K938&gt;=251,K938&lt;=500),"251–500",
 AND(K938&gt;=501,K938&lt;=1000),"501–1000",
 K938&gt;=1001,"1001+"
)</f>
        <v>51–100</v>
      </c>
    </row>
    <row r="939" spans="1:12" x14ac:dyDescent="0.3">
      <c r="A939" t="s">
        <v>1804</v>
      </c>
      <c r="B939" t="s">
        <v>9</v>
      </c>
      <c r="C939" t="s">
        <v>5780</v>
      </c>
      <c r="D939" t="s">
        <v>1805</v>
      </c>
      <c r="E939" t="s">
        <v>15</v>
      </c>
      <c r="F939" t="s">
        <v>54</v>
      </c>
      <c r="G939" t="s">
        <v>302</v>
      </c>
      <c r="J939" t="s">
        <v>5737</v>
      </c>
      <c r="K939">
        <v>60</v>
      </c>
      <c r="L939" t="str" cm="1">
        <f t="array" ref="L939">_xlfn.IFS(
 K939&lt;=50,"≤50",
 AND(K939&gt;=51,K939&lt;=100),"51–100",
 AND(K939&gt;=101,K939&lt;=250),"101–250",
 AND(K939&gt;=251,K939&lt;=500),"251–500",
 AND(K939&gt;=501,K939&lt;=1000),"501–1000",
 K939&gt;=1001,"1001+"
)</f>
        <v>51–100</v>
      </c>
    </row>
    <row r="940" spans="1:12" x14ac:dyDescent="0.3">
      <c r="A940" t="s">
        <v>1806</v>
      </c>
      <c r="B940" t="s">
        <v>11</v>
      </c>
      <c r="C940" t="s">
        <v>5776</v>
      </c>
      <c r="F940" t="s">
        <v>5770</v>
      </c>
      <c r="J940" t="s">
        <v>5742</v>
      </c>
      <c r="K940">
        <v>60</v>
      </c>
      <c r="L940" t="str" cm="1">
        <f t="array" ref="L940">_xlfn.IFS(
 K940&lt;=50,"≤50",
 AND(K940&gt;=51,K940&lt;=100),"51–100",
 AND(K940&gt;=101,K940&lt;=250),"101–250",
 AND(K940&gt;=251,K940&lt;=500),"251–500",
 AND(K940&gt;=501,K940&lt;=1000),"501–1000",
 K940&gt;=1001,"1001+"
)</f>
        <v>51–100</v>
      </c>
    </row>
    <row r="941" spans="1:12" x14ac:dyDescent="0.3">
      <c r="A941" t="s">
        <v>1807</v>
      </c>
      <c r="B941" t="s">
        <v>11</v>
      </c>
      <c r="C941" t="s">
        <v>5776</v>
      </c>
      <c r="F941" t="s">
        <v>5770</v>
      </c>
      <c r="J941" t="s">
        <v>5759</v>
      </c>
      <c r="K941">
        <v>60</v>
      </c>
      <c r="L941" t="str" cm="1">
        <f t="array" ref="L941">_xlfn.IFS(
 K941&lt;=50,"≤50",
 AND(K941&gt;=51,K941&lt;=100),"51–100",
 AND(K941&gt;=101,K941&lt;=250),"101–250",
 AND(K941&gt;=251,K941&lt;=500),"251–500",
 AND(K941&gt;=501,K941&lt;=1000),"501–1000",
 K941&gt;=1001,"1001+"
)</f>
        <v>51–100</v>
      </c>
    </row>
    <row r="942" spans="1:12" x14ac:dyDescent="0.3">
      <c r="A942" t="s">
        <v>1808</v>
      </c>
      <c r="B942" t="s">
        <v>13</v>
      </c>
      <c r="C942" t="s">
        <v>5777</v>
      </c>
      <c r="D942" t="s">
        <v>1809</v>
      </c>
      <c r="F942" t="s">
        <v>5770</v>
      </c>
      <c r="J942" t="s">
        <v>5745</v>
      </c>
      <c r="K942">
        <v>60</v>
      </c>
      <c r="L942" t="str" cm="1">
        <f t="array" ref="L942">_xlfn.IFS(
 K942&lt;=50,"≤50",
 AND(K942&gt;=51,K942&lt;=100),"51–100",
 AND(K942&gt;=101,K942&lt;=250),"101–250",
 AND(K942&gt;=251,K942&lt;=500),"251–500",
 AND(K942&gt;=501,K942&lt;=1000),"501–1000",
 K942&gt;=1001,"1001+"
)</f>
        <v>51–100</v>
      </c>
    </row>
    <row r="943" spans="1:12" x14ac:dyDescent="0.3">
      <c r="A943" t="s">
        <v>1810</v>
      </c>
      <c r="B943" t="s">
        <v>9</v>
      </c>
      <c r="C943" t="s">
        <v>5780</v>
      </c>
      <c r="D943" t="s">
        <v>28</v>
      </c>
      <c r="E943" t="s">
        <v>15</v>
      </c>
      <c r="F943" t="s">
        <v>16</v>
      </c>
      <c r="G943" t="s">
        <v>88</v>
      </c>
      <c r="J943" t="s">
        <v>5745</v>
      </c>
      <c r="K943">
        <v>60</v>
      </c>
      <c r="L943" t="str" cm="1">
        <f t="array" ref="L943">_xlfn.IFS(
 K943&lt;=50,"≤50",
 AND(K943&gt;=51,K943&lt;=100),"51–100",
 AND(K943&gt;=101,K943&lt;=250),"101–250",
 AND(K943&gt;=251,K943&lt;=500),"251–500",
 AND(K943&gt;=501,K943&lt;=1000),"501–1000",
 K943&gt;=1001,"1001+"
)</f>
        <v>51–100</v>
      </c>
    </row>
    <row r="944" spans="1:12" x14ac:dyDescent="0.3">
      <c r="A944" t="s">
        <v>1811</v>
      </c>
      <c r="B944" t="s">
        <v>9</v>
      </c>
      <c r="C944" t="s">
        <v>5780</v>
      </c>
      <c r="D944" t="s">
        <v>1812</v>
      </c>
      <c r="E944" t="s">
        <v>15</v>
      </c>
      <c r="F944" t="s">
        <v>20</v>
      </c>
      <c r="G944" t="s">
        <v>21</v>
      </c>
      <c r="J944" t="s">
        <v>5737</v>
      </c>
      <c r="K944">
        <v>60</v>
      </c>
      <c r="L944" t="str" cm="1">
        <f t="array" ref="L944">_xlfn.IFS(
 K944&lt;=50,"≤50",
 AND(K944&gt;=51,K944&lt;=100),"51–100",
 AND(K944&gt;=101,K944&lt;=250),"101–250",
 AND(K944&gt;=251,K944&lt;=500),"251–500",
 AND(K944&gt;=501,K944&lt;=1000),"501–1000",
 K944&gt;=1001,"1001+"
)</f>
        <v>51–100</v>
      </c>
    </row>
    <row r="945" spans="1:12" x14ac:dyDescent="0.3">
      <c r="A945" t="s">
        <v>1813</v>
      </c>
      <c r="B945" t="s">
        <v>11</v>
      </c>
      <c r="C945" t="s">
        <v>5776</v>
      </c>
      <c r="F945" t="s">
        <v>5770</v>
      </c>
      <c r="J945" t="s">
        <v>5737</v>
      </c>
      <c r="K945">
        <v>60</v>
      </c>
      <c r="L945" t="str" cm="1">
        <f t="array" ref="L945">_xlfn.IFS(
 K945&lt;=50,"≤50",
 AND(K945&gt;=51,K945&lt;=100),"51–100",
 AND(K945&gt;=101,K945&lt;=250),"101–250",
 AND(K945&gt;=251,K945&lt;=500),"251–500",
 AND(K945&gt;=501,K945&lt;=1000),"501–1000",
 K945&gt;=1001,"1001+"
)</f>
        <v>51–100</v>
      </c>
    </row>
    <row r="946" spans="1:12" x14ac:dyDescent="0.3">
      <c r="A946" t="s">
        <v>1814</v>
      </c>
      <c r="B946" t="s">
        <v>9</v>
      </c>
      <c r="C946" t="s">
        <v>5780</v>
      </c>
      <c r="D946" t="s">
        <v>1815</v>
      </c>
      <c r="E946" t="s">
        <v>15</v>
      </c>
      <c r="F946" t="s">
        <v>20</v>
      </c>
      <c r="G946" t="s">
        <v>135</v>
      </c>
      <c r="J946" t="s">
        <v>5737</v>
      </c>
      <c r="K946">
        <v>60</v>
      </c>
      <c r="L946" t="str" cm="1">
        <f t="array" ref="L946">_xlfn.IFS(
 K946&lt;=50,"≤50",
 AND(K946&gt;=51,K946&lt;=100),"51–100",
 AND(K946&gt;=101,K946&lt;=250),"101–250",
 AND(K946&gt;=251,K946&lt;=500),"251–500",
 AND(K946&gt;=501,K946&lt;=1000),"501–1000",
 K946&gt;=1001,"1001+"
)</f>
        <v>51–100</v>
      </c>
    </row>
    <row r="947" spans="1:12" x14ac:dyDescent="0.3">
      <c r="A947" t="s">
        <v>1816</v>
      </c>
      <c r="B947" t="s">
        <v>9</v>
      </c>
      <c r="C947" t="s">
        <v>5780</v>
      </c>
      <c r="D947" t="s">
        <v>28</v>
      </c>
      <c r="F947" t="s">
        <v>5770</v>
      </c>
      <c r="J947" t="s">
        <v>5737</v>
      </c>
      <c r="K947">
        <v>60</v>
      </c>
      <c r="L947" t="str" cm="1">
        <f t="array" ref="L947">_xlfn.IFS(
 K947&lt;=50,"≤50",
 AND(K947&gt;=51,K947&lt;=100),"51–100",
 AND(K947&gt;=101,K947&lt;=250),"101–250",
 AND(K947&gt;=251,K947&lt;=500),"251–500",
 AND(K947&gt;=501,K947&lt;=1000),"501–1000",
 K947&gt;=1001,"1001+"
)</f>
        <v>51–100</v>
      </c>
    </row>
    <row r="948" spans="1:12" x14ac:dyDescent="0.3">
      <c r="A948" t="s">
        <v>1817</v>
      </c>
      <c r="B948" t="s">
        <v>9</v>
      </c>
      <c r="C948" t="s">
        <v>5780</v>
      </c>
      <c r="D948" t="s">
        <v>28</v>
      </c>
      <c r="E948" t="s">
        <v>15</v>
      </c>
      <c r="F948" t="s">
        <v>20</v>
      </c>
      <c r="G948" t="s">
        <v>117</v>
      </c>
      <c r="J948" t="s">
        <v>5744</v>
      </c>
      <c r="K948">
        <v>60</v>
      </c>
      <c r="L948" t="str" cm="1">
        <f t="array" ref="L948">_xlfn.IFS(
 K948&lt;=50,"≤50",
 AND(K948&gt;=51,K948&lt;=100),"51–100",
 AND(K948&gt;=101,K948&lt;=250),"101–250",
 AND(K948&gt;=251,K948&lt;=500),"251–500",
 AND(K948&gt;=501,K948&lt;=1000),"501–1000",
 K948&gt;=1001,"1001+"
)</f>
        <v>51–100</v>
      </c>
    </row>
    <row r="949" spans="1:12" x14ac:dyDescent="0.3">
      <c r="A949" t="s">
        <v>1818</v>
      </c>
      <c r="B949" t="s">
        <v>11</v>
      </c>
      <c r="C949" t="s">
        <v>5776</v>
      </c>
      <c r="F949" t="s">
        <v>5770</v>
      </c>
      <c r="J949" t="s">
        <v>5751</v>
      </c>
      <c r="K949">
        <v>60</v>
      </c>
      <c r="L949" t="str" cm="1">
        <f t="array" ref="L949">_xlfn.IFS(
 K949&lt;=50,"≤50",
 AND(K949&gt;=51,K949&lt;=100),"51–100",
 AND(K949&gt;=101,K949&lt;=250),"101–250",
 AND(K949&gt;=251,K949&lt;=500),"251–500",
 AND(K949&gt;=501,K949&lt;=1000),"501–1000",
 K949&gt;=1001,"1001+"
)</f>
        <v>51–100</v>
      </c>
    </row>
    <row r="950" spans="1:12" x14ac:dyDescent="0.3">
      <c r="A950" t="s">
        <v>1819</v>
      </c>
      <c r="B950" t="s">
        <v>11</v>
      </c>
      <c r="C950" t="s">
        <v>5776</v>
      </c>
      <c r="F950" t="s">
        <v>5770</v>
      </c>
      <c r="J950" t="s">
        <v>5744</v>
      </c>
      <c r="K950">
        <v>60</v>
      </c>
      <c r="L950" t="str" cm="1">
        <f t="array" ref="L950">_xlfn.IFS(
 K950&lt;=50,"≤50",
 AND(K950&gt;=51,K950&lt;=100),"51–100",
 AND(K950&gt;=101,K950&lt;=250),"101–250",
 AND(K950&gt;=251,K950&lt;=500),"251–500",
 AND(K950&gt;=501,K950&lt;=1000),"501–1000",
 K950&gt;=1001,"1001+"
)</f>
        <v>51–100</v>
      </c>
    </row>
    <row r="951" spans="1:12" x14ac:dyDescent="0.3">
      <c r="A951" t="s">
        <v>1820</v>
      </c>
      <c r="B951" t="s">
        <v>9</v>
      </c>
      <c r="C951" t="s">
        <v>5780</v>
      </c>
      <c r="D951" t="s">
        <v>51</v>
      </c>
      <c r="F951" t="s">
        <v>5770</v>
      </c>
      <c r="J951" t="s">
        <v>5742</v>
      </c>
      <c r="K951">
        <v>60</v>
      </c>
      <c r="L951" t="str" cm="1">
        <f t="array" ref="L951">_xlfn.IFS(
 K951&lt;=50,"≤50",
 AND(K951&gt;=51,K951&lt;=100),"51–100",
 AND(K951&gt;=101,K951&lt;=250),"101–250",
 AND(K951&gt;=251,K951&lt;=500),"251–500",
 AND(K951&gt;=501,K951&lt;=1000),"501–1000",
 K951&gt;=1001,"1001+"
)</f>
        <v>51–100</v>
      </c>
    </row>
    <row r="952" spans="1:12" x14ac:dyDescent="0.3">
      <c r="A952" t="s">
        <v>1821</v>
      </c>
      <c r="B952" t="s">
        <v>13</v>
      </c>
      <c r="C952" t="s">
        <v>5777</v>
      </c>
      <c r="D952" t="s">
        <v>1822</v>
      </c>
      <c r="E952" t="s">
        <v>15</v>
      </c>
      <c r="F952" t="s">
        <v>16</v>
      </c>
      <c r="G952" t="s">
        <v>1823</v>
      </c>
      <c r="J952" t="s">
        <v>5762</v>
      </c>
      <c r="K952">
        <v>60</v>
      </c>
      <c r="L952" t="str" cm="1">
        <f t="array" ref="L952">_xlfn.IFS(
 K952&lt;=50,"≤50",
 AND(K952&gt;=51,K952&lt;=100),"51–100",
 AND(K952&gt;=101,K952&lt;=250),"101–250",
 AND(K952&gt;=251,K952&lt;=500),"251–500",
 AND(K952&gt;=501,K952&lt;=1000),"501–1000",
 K952&gt;=1001,"1001+"
)</f>
        <v>51–100</v>
      </c>
    </row>
    <row r="953" spans="1:12" x14ac:dyDescent="0.3">
      <c r="A953" t="s">
        <v>1824</v>
      </c>
      <c r="B953" t="s">
        <v>9</v>
      </c>
      <c r="C953" t="s">
        <v>5780</v>
      </c>
      <c r="D953" t="s">
        <v>1825</v>
      </c>
      <c r="F953" t="s">
        <v>20</v>
      </c>
      <c r="G953" t="s">
        <v>1826</v>
      </c>
      <c r="J953" t="s">
        <v>5737</v>
      </c>
      <c r="K953">
        <v>60</v>
      </c>
      <c r="L953" t="str" cm="1">
        <f t="array" ref="L953">_xlfn.IFS(
 K953&lt;=50,"≤50",
 AND(K953&gt;=51,K953&lt;=100),"51–100",
 AND(K953&gt;=101,K953&lt;=250),"101–250",
 AND(K953&gt;=251,K953&lt;=500),"251–500",
 AND(K953&gt;=501,K953&lt;=1000),"501–1000",
 K953&gt;=1001,"1001+"
)</f>
        <v>51–100</v>
      </c>
    </row>
    <row r="954" spans="1:12" x14ac:dyDescent="0.3">
      <c r="A954" t="s">
        <v>1827</v>
      </c>
      <c r="B954" t="s">
        <v>11</v>
      </c>
      <c r="C954" t="s">
        <v>5776</v>
      </c>
      <c r="F954" t="s">
        <v>5770</v>
      </c>
      <c r="J954" t="s">
        <v>5737</v>
      </c>
      <c r="K954">
        <v>60</v>
      </c>
      <c r="L954" t="str" cm="1">
        <f t="array" ref="L954">_xlfn.IFS(
 K954&lt;=50,"≤50",
 AND(K954&gt;=51,K954&lt;=100),"51–100",
 AND(K954&gt;=101,K954&lt;=250),"101–250",
 AND(K954&gt;=251,K954&lt;=500),"251–500",
 AND(K954&gt;=501,K954&lt;=1000),"501–1000",
 K954&gt;=1001,"1001+"
)</f>
        <v>51–100</v>
      </c>
    </row>
    <row r="955" spans="1:12" x14ac:dyDescent="0.3">
      <c r="A955" t="s">
        <v>1828</v>
      </c>
      <c r="B955" t="s">
        <v>13</v>
      </c>
      <c r="C955" t="s">
        <v>5777</v>
      </c>
      <c r="D955" t="s">
        <v>1829</v>
      </c>
      <c r="F955" t="s">
        <v>20</v>
      </c>
      <c r="G955" t="s">
        <v>135</v>
      </c>
      <c r="J955" t="s">
        <v>5762</v>
      </c>
      <c r="K955">
        <v>60</v>
      </c>
      <c r="L955" t="str" cm="1">
        <f t="array" ref="L955">_xlfn.IFS(
 K955&lt;=50,"≤50",
 AND(K955&gt;=51,K955&lt;=100),"51–100",
 AND(K955&gt;=101,K955&lt;=250),"101–250",
 AND(K955&gt;=251,K955&lt;=500),"251–500",
 AND(K955&gt;=501,K955&lt;=1000),"501–1000",
 K955&gt;=1001,"1001+"
)</f>
        <v>51–100</v>
      </c>
    </row>
    <row r="956" spans="1:12" x14ac:dyDescent="0.3">
      <c r="A956" t="s">
        <v>1830</v>
      </c>
      <c r="B956" t="s">
        <v>11</v>
      </c>
      <c r="C956" t="s">
        <v>5776</v>
      </c>
      <c r="F956" t="s">
        <v>5770</v>
      </c>
      <c r="J956" t="s">
        <v>5737</v>
      </c>
      <c r="K956">
        <v>60</v>
      </c>
      <c r="L956" t="str" cm="1">
        <f t="array" ref="L956">_xlfn.IFS(
 K956&lt;=50,"≤50",
 AND(K956&gt;=51,K956&lt;=100),"51–100",
 AND(K956&gt;=101,K956&lt;=250),"101–250",
 AND(K956&gt;=251,K956&lt;=500),"251–500",
 AND(K956&gt;=501,K956&lt;=1000),"501–1000",
 K956&gt;=1001,"1001+"
)</f>
        <v>51–100</v>
      </c>
    </row>
    <row r="957" spans="1:12" x14ac:dyDescent="0.3">
      <c r="A957" t="s">
        <v>1831</v>
      </c>
      <c r="B957" t="s">
        <v>13</v>
      </c>
      <c r="C957" t="s">
        <v>5777</v>
      </c>
      <c r="D957" t="s">
        <v>1832</v>
      </c>
      <c r="F957" t="s">
        <v>20</v>
      </c>
      <c r="G957" t="s">
        <v>21</v>
      </c>
      <c r="J957" t="s">
        <v>5750</v>
      </c>
      <c r="K957">
        <v>60</v>
      </c>
      <c r="L957" t="str" cm="1">
        <f t="array" ref="L957">_xlfn.IFS(
 K957&lt;=50,"≤50",
 AND(K957&gt;=51,K957&lt;=100),"51–100",
 AND(K957&gt;=101,K957&lt;=250),"101–250",
 AND(K957&gt;=251,K957&lt;=500),"251–500",
 AND(K957&gt;=501,K957&lt;=1000),"501–1000",
 K957&gt;=1001,"1001+"
)</f>
        <v>51–100</v>
      </c>
    </row>
    <row r="958" spans="1:12" x14ac:dyDescent="0.3">
      <c r="A958" t="s">
        <v>1833</v>
      </c>
      <c r="B958" t="s">
        <v>13</v>
      </c>
      <c r="C958" t="s">
        <v>5777</v>
      </c>
      <c r="D958" t="s">
        <v>211</v>
      </c>
      <c r="F958" t="s">
        <v>5770</v>
      </c>
      <c r="J958" t="s">
        <v>5740</v>
      </c>
      <c r="K958">
        <v>60</v>
      </c>
      <c r="L958" t="str" cm="1">
        <f t="array" ref="L958">_xlfn.IFS(
 K958&lt;=50,"≤50",
 AND(K958&gt;=51,K958&lt;=100),"51–100",
 AND(K958&gt;=101,K958&lt;=250),"101–250",
 AND(K958&gt;=251,K958&lt;=500),"251–500",
 AND(K958&gt;=501,K958&lt;=1000),"501–1000",
 K958&gt;=1001,"1001+"
)</f>
        <v>51–100</v>
      </c>
    </row>
    <row r="959" spans="1:12" x14ac:dyDescent="0.3">
      <c r="A959" t="s">
        <v>1834</v>
      </c>
      <c r="B959" t="s">
        <v>13</v>
      </c>
      <c r="C959" t="s">
        <v>5777</v>
      </c>
      <c r="D959" t="s">
        <v>573</v>
      </c>
      <c r="E959" t="s">
        <v>15</v>
      </c>
      <c r="F959" t="s">
        <v>20</v>
      </c>
      <c r="G959" t="s">
        <v>1835</v>
      </c>
      <c r="J959" t="s">
        <v>5753</v>
      </c>
      <c r="K959">
        <v>60</v>
      </c>
      <c r="L959" t="str" cm="1">
        <f t="array" ref="L959">_xlfn.IFS(
 K959&lt;=50,"≤50",
 AND(K959&gt;=51,K959&lt;=100),"51–100",
 AND(K959&gt;=101,K959&lt;=250),"101–250",
 AND(K959&gt;=251,K959&lt;=500),"251–500",
 AND(K959&gt;=501,K959&lt;=1000),"501–1000",
 K959&gt;=1001,"1001+"
)</f>
        <v>51–100</v>
      </c>
    </row>
    <row r="960" spans="1:12" x14ac:dyDescent="0.3">
      <c r="A960" t="s">
        <v>1836</v>
      </c>
      <c r="B960" t="s">
        <v>11</v>
      </c>
      <c r="C960" t="s">
        <v>5776</v>
      </c>
      <c r="F960" t="s">
        <v>5770</v>
      </c>
      <c r="J960" t="s">
        <v>5753</v>
      </c>
      <c r="K960">
        <v>60</v>
      </c>
      <c r="L960" t="str" cm="1">
        <f t="array" ref="L960">_xlfn.IFS(
 K960&lt;=50,"≤50",
 AND(K960&gt;=51,K960&lt;=100),"51–100",
 AND(K960&gt;=101,K960&lt;=250),"101–250",
 AND(K960&gt;=251,K960&lt;=500),"251–500",
 AND(K960&gt;=501,K960&lt;=1000),"501–1000",
 K960&gt;=1001,"1001+"
)</f>
        <v>51–100</v>
      </c>
    </row>
    <row r="961" spans="1:12" x14ac:dyDescent="0.3">
      <c r="A961" t="s">
        <v>1837</v>
      </c>
      <c r="B961" t="s">
        <v>9</v>
      </c>
      <c r="C961" t="s">
        <v>5780</v>
      </c>
      <c r="D961" t="s">
        <v>1838</v>
      </c>
      <c r="E961" t="s">
        <v>15</v>
      </c>
      <c r="F961" t="s">
        <v>54</v>
      </c>
      <c r="G961" t="s">
        <v>1839</v>
      </c>
      <c r="J961" t="s">
        <v>5737</v>
      </c>
      <c r="K961">
        <v>60</v>
      </c>
      <c r="L961" t="str" cm="1">
        <f t="array" ref="L961">_xlfn.IFS(
 K961&lt;=50,"≤50",
 AND(K961&gt;=51,K961&lt;=100),"51–100",
 AND(K961&gt;=101,K961&lt;=250),"101–250",
 AND(K961&gt;=251,K961&lt;=500),"251–500",
 AND(K961&gt;=501,K961&lt;=1000),"501–1000",
 K961&gt;=1001,"1001+"
)</f>
        <v>51–100</v>
      </c>
    </row>
    <row r="962" spans="1:12" x14ac:dyDescent="0.3">
      <c r="A962" t="s">
        <v>1840</v>
      </c>
      <c r="B962" t="s">
        <v>13</v>
      </c>
      <c r="C962" t="s">
        <v>5777</v>
      </c>
      <c r="D962" t="s">
        <v>1841</v>
      </c>
      <c r="F962" t="s">
        <v>20</v>
      </c>
      <c r="G962" t="s">
        <v>1842</v>
      </c>
      <c r="J962" t="s">
        <v>5737</v>
      </c>
      <c r="K962">
        <v>60</v>
      </c>
      <c r="L962" t="str" cm="1">
        <f t="array" ref="L962">_xlfn.IFS(
 K962&lt;=50,"≤50",
 AND(K962&gt;=51,K962&lt;=100),"51–100",
 AND(K962&gt;=101,K962&lt;=250),"101–250",
 AND(K962&gt;=251,K962&lt;=500),"251–500",
 AND(K962&gt;=501,K962&lt;=1000),"501–1000",
 K962&gt;=1001,"1001+"
)</f>
        <v>51–100</v>
      </c>
    </row>
    <row r="963" spans="1:12" x14ac:dyDescent="0.3">
      <c r="A963" t="s">
        <v>1843</v>
      </c>
      <c r="B963" t="s">
        <v>13</v>
      </c>
      <c r="C963" t="s">
        <v>5777</v>
      </c>
      <c r="D963" t="s">
        <v>1844</v>
      </c>
      <c r="F963" t="s">
        <v>20</v>
      </c>
      <c r="G963" t="s">
        <v>135</v>
      </c>
      <c r="J963" t="s">
        <v>5754</v>
      </c>
      <c r="K963">
        <v>60</v>
      </c>
      <c r="L963" t="str" cm="1">
        <f t="array" ref="L963">_xlfn.IFS(
 K963&lt;=50,"≤50",
 AND(K963&gt;=51,K963&lt;=100),"51–100",
 AND(K963&gt;=101,K963&lt;=250),"101–250",
 AND(K963&gt;=251,K963&lt;=500),"251–500",
 AND(K963&gt;=501,K963&lt;=1000),"501–1000",
 K963&gt;=1001,"1001+"
)</f>
        <v>51–100</v>
      </c>
    </row>
    <row r="964" spans="1:12" x14ac:dyDescent="0.3">
      <c r="A964" t="s">
        <v>1845</v>
      </c>
      <c r="B964" t="s">
        <v>9</v>
      </c>
      <c r="C964" t="s">
        <v>5780</v>
      </c>
      <c r="D964" t="s">
        <v>28</v>
      </c>
      <c r="E964" t="s">
        <v>15</v>
      </c>
      <c r="F964" t="s">
        <v>16</v>
      </c>
      <c r="G964" t="s">
        <v>45</v>
      </c>
      <c r="J964" t="s">
        <v>5738</v>
      </c>
      <c r="K964">
        <v>60</v>
      </c>
      <c r="L964" t="str" cm="1">
        <f t="array" ref="L964">_xlfn.IFS(
 K964&lt;=50,"≤50",
 AND(K964&gt;=51,K964&lt;=100),"51–100",
 AND(K964&gt;=101,K964&lt;=250),"101–250",
 AND(K964&gt;=251,K964&lt;=500),"251–500",
 AND(K964&gt;=501,K964&lt;=1000),"501–1000",
 K964&gt;=1001,"1001+"
)</f>
        <v>51–100</v>
      </c>
    </row>
    <row r="965" spans="1:12" x14ac:dyDescent="0.3">
      <c r="A965" t="s">
        <v>1846</v>
      </c>
      <c r="B965" t="s">
        <v>9</v>
      </c>
      <c r="C965" t="s">
        <v>5780</v>
      </c>
      <c r="D965" t="s">
        <v>28</v>
      </c>
      <c r="E965" t="s">
        <v>15</v>
      </c>
      <c r="F965" t="s">
        <v>5770</v>
      </c>
      <c r="J965" t="s">
        <v>5737</v>
      </c>
      <c r="K965">
        <v>60</v>
      </c>
      <c r="L965" t="str" cm="1">
        <f t="array" ref="L965">_xlfn.IFS(
 K965&lt;=50,"≤50",
 AND(K965&gt;=51,K965&lt;=100),"51–100",
 AND(K965&gt;=101,K965&lt;=250),"101–250",
 AND(K965&gt;=251,K965&lt;=500),"251–500",
 AND(K965&gt;=501,K965&lt;=1000),"501–1000",
 K965&gt;=1001,"1001+"
)</f>
        <v>51–100</v>
      </c>
    </row>
    <row r="966" spans="1:12" x14ac:dyDescent="0.3">
      <c r="A966" t="s">
        <v>1847</v>
      </c>
      <c r="B966" t="s">
        <v>9</v>
      </c>
      <c r="C966" t="s">
        <v>5780</v>
      </c>
      <c r="D966" t="s">
        <v>1848</v>
      </c>
      <c r="F966" t="s">
        <v>5770</v>
      </c>
      <c r="J966" t="s">
        <v>5739</v>
      </c>
      <c r="K966">
        <v>60</v>
      </c>
      <c r="L966" t="str" cm="1">
        <f t="array" ref="L966">_xlfn.IFS(
 K966&lt;=50,"≤50",
 AND(K966&gt;=51,K966&lt;=100),"51–100",
 AND(K966&gt;=101,K966&lt;=250),"101–250",
 AND(K966&gt;=251,K966&lt;=500),"251–500",
 AND(K966&gt;=501,K966&lt;=1000),"501–1000",
 K966&gt;=1001,"1001+"
)</f>
        <v>51–100</v>
      </c>
    </row>
    <row r="967" spans="1:12" x14ac:dyDescent="0.3">
      <c r="A967" t="s">
        <v>1849</v>
      </c>
      <c r="B967" t="s">
        <v>9</v>
      </c>
      <c r="C967" t="s">
        <v>5780</v>
      </c>
      <c r="D967" t="s">
        <v>1850</v>
      </c>
      <c r="E967" t="s">
        <v>15</v>
      </c>
      <c r="F967" t="s">
        <v>20</v>
      </c>
      <c r="G967" t="s">
        <v>1851</v>
      </c>
      <c r="J967" t="s">
        <v>5737</v>
      </c>
      <c r="K967">
        <v>60</v>
      </c>
      <c r="L967" t="str" cm="1">
        <f t="array" ref="L967">_xlfn.IFS(
 K967&lt;=50,"≤50",
 AND(K967&gt;=51,K967&lt;=100),"51–100",
 AND(K967&gt;=101,K967&lt;=250),"101–250",
 AND(K967&gt;=251,K967&lt;=500),"251–500",
 AND(K967&gt;=501,K967&lt;=1000),"501–1000",
 K967&gt;=1001,"1001+"
)</f>
        <v>51–100</v>
      </c>
    </row>
    <row r="968" spans="1:12" x14ac:dyDescent="0.3">
      <c r="A968" t="s">
        <v>1852</v>
      </c>
      <c r="B968" t="s">
        <v>11</v>
      </c>
      <c r="C968" t="s">
        <v>5776</v>
      </c>
      <c r="F968" t="s">
        <v>5770</v>
      </c>
      <c r="J968" t="s">
        <v>5744</v>
      </c>
      <c r="K968">
        <v>60</v>
      </c>
      <c r="L968" t="str" cm="1">
        <f t="array" ref="L968">_xlfn.IFS(
 K968&lt;=50,"≤50",
 AND(K968&gt;=51,K968&lt;=100),"51–100",
 AND(K968&gt;=101,K968&lt;=250),"101–250",
 AND(K968&gt;=251,K968&lt;=500),"251–500",
 AND(K968&gt;=501,K968&lt;=1000),"501–1000",
 K968&gt;=1001,"1001+"
)</f>
        <v>51–100</v>
      </c>
    </row>
    <row r="969" spans="1:12" x14ac:dyDescent="0.3">
      <c r="A969" t="s">
        <v>1853</v>
      </c>
      <c r="B969" t="s">
        <v>9</v>
      </c>
      <c r="C969" t="s">
        <v>5780</v>
      </c>
      <c r="D969" t="s">
        <v>1854</v>
      </c>
      <c r="F969" t="s">
        <v>5770</v>
      </c>
      <c r="J969" t="s">
        <v>5745</v>
      </c>
      <c r="K969">
        <v>60</v>
      </c>
      <c r="L969" t="str" cm="1">
        <f t="array" ref="L969">_xlfn.IFS(
 K969&lt;=50,"≤50",
 AND(K969&gt;=51,K969&lt;=100),"51–100",
 AND(K969&gt;=101,K969&lt;=250),"101–250",
 AND(K969&gt;=251,K969&lt;=500),"251–500",
 AND(K969&gt;=501,K969&lt;=1000),"501–1000",
 K969&gt;=1001,"1001+"
)</f>
        <v>51–100</v>
      </c>
    </row>
    <row r="970" spans="1:12" x14ac:dyDescent="0.3">
      <c r="A970" t="s">
        <v>1855</v>
      </c>
      <c r="B970" t="s">
        <v>9</v>
      </c>
      <c r="C970" t="s">
        <v>5780</v>
      </c>
      <c r="D970" t="s">
        <v>28</v>
      </c>
      <c r="E970" t="s">
        <v>15</v>
      </c>
      <c r="F970" t="s">
        <v>5770</v>
      </c>
      <c r="J970" t="s">
        <v>5737</v>
      </c>
      <c r="K970">
        <v>60</v>
      </c>
      <c r="L970" t="str" cm="1">
        <f t="array" ref="L970">_xlfn.IFS(
 K970&lt;=50,"≤50",
 AND(K970&gt;=51,K970&lt;=100),"51–100",
 AND(K970&gt;=101,K970&lt;=250),"101–250",
 AND(K970&gt;=251,K970&lt;=500),"251–500",
 AND(K970&gt;=501,K970&lt;=1000),"501–1000",
 K970&gt;=1001,"1001+"
)</f>
        <v>51–100</v>
      </c>
    </row>
    <row r="971" spans="1:12" x14ac:dyDescent="0.3">
      <c r="A971" t="s">
        <v>1856</v>
      </c>
      <c r="B971" t="s">
        <v>9</v>
      </c>
      <c r="C971" t="s">
        <v>5780</v>
      </c>
      <c r="D971" t="s">
        <v>1857</v>
      </c>
      <c r="E971" t="s">
        <v>15</v>
      </c>
      <c r="F971" t="s">
        <v>16</v>
      </c>
      <c r="G971" t="s">
        <v>1858</v>
      </c>
      <c r="H971" t="s">
        <v>15</v>
      </c>
      <c r="I971" t="s">
        <v>1859</v>
      </c>
      <c r="J971" t="s">
        <v>5737</v>
      </c>
      <c r="K971">
        <v>60</v>
      </c>
      <c r="L971" t="str" cm="1">
        <f t="array" ref="L971">_xlfn.IFS(
 K971&lt;=50,"≤50",
 AND(K971&gt;=51,K971&lt;=100),"51–100",
 AND(K971&gt;=101,K971&lt;=250),"101–250",
 AND(K971&gt;=251,K971&lt;=500),"251–500",
 AND(K971&gt;=501,K971&lt;=1000),"501–1000",
 K971&gt;=1001,"1001+"
)</f>
        <v>51–100</v>
      </c>
    </row>
    <row r="972" spans="1:12" x14ac:dyDescent="0.3">
      <c r="A972" t="s">
        <v>1860</v>
      </c>
      <c r="B972" t="s">
        <v>9</v>
      </c>
      <c r="C972" t="s">
        <v>5780</v>
      </c>
      <c r="D972" t="s">
        <v>28</v>
      </c>
      <c r="F972" t="s">
        <v>5770</v>
      </c>
      <c r="J972" t="s">
        <v>5737</v>
      </c>
      <c r="K972">
        <v>60</v>
      </c>
      <c r="L972" t="str" cm="1">
        <f t="array" ref="L972">_xlfn.IFS(
 K972&lt;=50,"≤50",
 AND(K972&gt;=51,K972&lt;=100),"51–100",
 AND(K972&gt;=101,K972&lt;=250),"101–250",
 AND(K972&gt;=251,K972&lt;=500),"251–500",
 AND(K972&gt;=501,K972&lt;=1000),"501–1000",
 K972&gt;=1001,"1001+"
)</f>
        <v>51–100</v>
      </c>
    </row>
    <row r="973" spans="1:12" x14ac:dyDescent="0.3">
      <c r="A973" t="s">
        <v>1861</v>
      </c>
      <c r="B973" t="s">
        <v>9</v>
      </c>
      <c r="C973" t="s">
        <v>5780</v>
      </c>
      <c r="D973" t="s">
        <v>28</v>
      </c>
      <c r="F973" t="s">
        <v>20</v>
      </c>
      <c r="G973" t="s">
        <v>135</v>
      </c>
      <c r="J973" t="s">
        <v>5738</v>
      </c>
      <c r="K973">
        <v>60</v>
      </c>
      <c r="L973" t="str" cm="1">
        <f t="array" ref="L973">_xlfn.IFS(
 K973&lt;=50,"≤50",
 AND(K973&gt;=51,K973&lt;=100),"51–100",
 AND(K973&gt;=101,K973&lt;=250),"101–250",
 AND(K973&gt;=251,K973&lt;=500),"251–500",
 AND(K973&gt;=501,K973&lt;=1000),"501–1000",
 K973&gt;=1001,"1001+"
)</f>
        <v>51–100</v>
      </c>
    </row>
    <row r="974" spans="1:12" x14ac:dyDescent="0.3">
      <c r="A974" t="s">
        <v>1862</v>
      </c>
      <c r="B974" t="s">
        <v>9</v>
      </c>
      <c r="C974" t="s">
        <v>5780</v>
      </c>
      <c r="D974" t="s">
        <v>1863</v>
      </c>
      <c r="E974" t="s">
        <v>15</v>
      </c>
      <c r="F974" t="s">
        <v>5770</v>
      </c>
      <c r="J974" t="s">
        <v>5756</v>
      </c>
      <c r="K974">
        <v>60</v>
      </c>
      <c r="L974" t="str" cm="1">
        <f t="array" ref="L974">_xlfn.IFS(
 K974&lt;=50,"≤50",
 AND(K974&gt;=51,K974&lt;=100),"51–100",
 AND(K974&gt;=101,K974&lt;=250),"101–250",
 AND(K974&gt;=251,K974&lt;=500),"251–500",
 AND(K974&gt;=501,K974&lt;=1000),"501–1000",
 K974&gt;=1001,"1001+"
)</f>
        <v>51–100</v>
      </c>
    </row>
    <row r="975" spans="1:12" x14ac:dyDescent="0.3">
      <c r="A975" t="s">
        <v>1864</v>
      </c>
      <c r="B975" t="s">
        <v>9</v>
      </c>
      <c r="C975" t="s">
        <v>5780</v>
      </c>
      <c r="D975" t="s">
        <v>1865</v>
      </c>
      <c r="E975" t="s">
        <v>15</v>
      </c>
      <c r="F975" t="s">
        <v>5770</v>
      </c>
      <c r="J975" t="s">
        <v>5737</v>
      </c>
      <c r="K975">
        <v>60</v>
      </c>
      <c r="L975" t="str" cm="1">
        <f t="array" ref="L975">_xlfn.IFS(
 K975&lt;=50,"≤50",
 AND(K975&gt;=51,K975&lt;=100),"51–100",
 AND(K975&gt;=101,K975&lt;=250),"101–250",
 AND(K975&gt;=251,K975&lt;=500),"251–500",
 AND(K975&gt;=501,K975&lt;=1000),"501–1000",
 K975&gt;=1001,"1001+"
)</f>
        <v>51–100</v>
      </c>
    </row>
    <row r="976" spans="1:12" x14ac:dyDescent="0.3">
      <c r="A976" t="s">
        <v>1866</v>
      </c>
      <c r="B976" t="s">
        <v>9</v>
      </c>
      <c r="C976" t="s">
        <v>5780</v>
      </c>
      <c r="D976" t="s">
        <v>1867</v>
      </c>
      <c r="F976" t="s">
        <v>54</v>
      </c>
      <c r="G976" t="s">
        <v>1868</v>
      </c>
      <c r="J976" t="s">
        <v>5744</v>
      </c>
      <c r="K976">
        <v>60</v>
      </c>
      <c r="L976" t="str" cm="1">
        <f t="array" ref="L976">_xlfn.IFS(
 K976&lt;=50,"≤50",
 AND(K976&gt;=51,K976&lt;=100),"51–100",
 AND(K976&gt;=101,K976&lt;=250),"101–250",
 AND(K976&gt;=251,K976&lt;=500),"251–500",
 AND(K976&gt;=501,K976&lt;=1000),"501–1000",
 K976&gt;=1001,"1001+"
)</f>
        <v>51–100</v>
      </c>
    </row>
    <row r="977" spans="1:12" x14ac:dyDescent="0.3">
      <c r="A977" t="s">
        <v>1869</v>
      </c>
      <c r="B977" t="s">
        <v>11</v>
      </c>
      <c r="C977" t="s">
        <v>5776</v>
      </c>
      <c r="F977" t="s">
        <v>5770</v>
      </c>
      <c r="J977" t="s">
        <v>5738</v>
      </c>
      <c r="K977">
        <v>60</v>
      </c>
      <c r="L977" t="str" cm="1">
        <f t="array" ref="L977">_xlfn.IFS(
 K977&lt;=50,"≤50",
 AND(K977&gt;=51,K977&lt;=100),"51–100",
 AND(K977&gt;=101,K977&lt;=250),"101–250",
 AND(K977&gt;=251,K977&lt;=500),"251–500",
 AND(K977&gt;=501,K977&lt;=1000),"501–1000",
 K977&gt;=1001,"1001+"
)</f>
        <v>51–100</v>
      </c>
    </row>
    <row r="978" spans="1:12" x14ac:dyDescent="0.3">
      <c r="A978" t="s">
        <v>1870</v>
      </c>
      <c r="B978" t="s">
        <v>9</v>
      </c>
      <c r="C978" t="s">
        <v>5780</v>
      </c>
      <c r="D978" t="s">
        <v>1871</v>
      </c>
      <c r="E978" t="s">
        <v>15</v>
      </c>
      <c r="F978" t="s">
        <v>5770</v>
      </c>
      <c r="J978" t="s">
        <v>5740</v>
      </c>
      <c r="K978">
        <v>60</v>
      </c>
      <c r="L978" t="str" cm="1">
        <f t="array" ref="L978">_xlfn.IFS(
 K978&lt;=50,"≤50",
 AND(K978&gt;=51,K978&lt;=100),"51–100",
 AND(K978&gt;=101,K978&lt;=250),"101–250",
 AND(K978&gt;=251,K978&lt;=500),"251–500",
 AND(K978&gt;=501,K978&lt;=1000),"501–1000",
 K978&gt;=1001,"1001+"
)</f>
        <v>51–100</v>
      </c>
    </row>
    <row r="979" spans="1:12" x14ac:dyDescent="0.3">
      <c r="A979" t="s">
        <v>1872</v>
      </c>
      <c r="B979" t="s">
        <v>9</v>
      </c>
      <c r="C979" t="s">
        <v>5780</v>
      </c>
      <c r="D979" t="s">
        <v>1873</v>
      </c>
      <c r="F979" t="s">
        <v>54</v>
      </c>
      <c r="G979" t="s">
        <v>1874</v>
      </c>
      <c r="J979" t="s">
        <v>5737</v>
      </c>
      <c r="K979">
        <v>60</v>
      </c>
      <c r="L979" t="str" cm="1">
        <f t="array" ref="L979">_xlfn.IFS(
 K979&lt;=50,"≤50",
 AND(K979&gt;=51,K979&lt;=100),"51–100",
 AND(K979&gt;=101,K979&lt;=250),"101–250",
 AND(K979&gt;=251,K979&lt;=500),"251–500",
 AND(K979&gt;=501,K979&lt;=1000),"501–1000",
 K979&gt;=1001,"1001+"
)</f>
        <v>51–100</v>
      </c>
    </row>
    <row r="980" spans="1:12" x14ac:dyDescent="0.3">
      <c r="A980" t="s">
        <v>1875</v>
      </c>
      <c r="B980" t="s">
        <v>13</v>
      </c>
      <c r="C980" t="s">
        <v>5777</v>
      </c>
      <c r="D980" t="s">
        <v>1876</v>
      </c>
      <c r="E980" t="s">
        <v>15</v>
      </c>
      <c r="F980" t="s">
        <v>54</v>
      </c>
      <c r="G980" t="s">
        <v>1877</v>
      </c>
      <c r="J980" t="s">
        <v>5737</v>
      </c>
      <c r="K980">
        <v>60</v>
      </c>
      <c r="L980" t="str" cm="1">
        <f t="array" ref="L980">_xlfn.IFS(
 K980&lt;=50,"≤50",
 AND(K980&gt;=51,K980&lt;=100),"51–100",
 AND(K980&gt;=101,K980&lt;=250),"101–250",
 AND(K980&gt;=251,K980&lt;=500),"251–500",
 AND(K980&gt;=501,K980&lt;=1000),"501–1000",
 K980&gt;=1001,"1001+"
)</f>
        <v>51–100</v>
      </c>
    </row>
    <row r="981" spans="1:12" x14ac:dyDescent="0.3">
      <c r="A981" t="s">
        <v>1878</v>
      </c>
      <c r="B981" t="s">
        <v>9</v>
      </c>
      <c r="C981" t="s">
        <v>5780</v>
      </c>
      <c r="D981" t="s">
        <v>28</v>
      </c>
      <c r="E981" t="s">
        <v>15</v>
      </c>
      <c r="F981" t="s">
        <v>54</v>
      </c>
      <c r="G981" t="s">
        <v>1879</v>
      </c>
      <c r="J981" t="s">
        <v>5737</v>
      </c>
      <c r="K981">
        <v>60</v>
      </c>
      <c r="L981" t="str" cm="1">
        <f t="array" ref="L981">_xlfn.IFS(
 K981&lt;=50,"≤50",
 AND(K981&gt;=51,K981&lt;=100),"51–100",
 AND(K981&gt;=101,K981&lt;=250),"101–250",
 AND(K981&gt;=251,K981&lt;=500),"251–500",
 AND(K981&gt;=501,K981&lt;=1000),"501–1000",
 K981&gt;=1001,"1001+"
)</f>
        <v>51–100</v>
      </c>
    </row>
    <row r="982" spans="1:12" x14ac:dyDescent="0.3">
      <c r="A982" t="s">
        <v>1880</v>
      </c>
      <c r="B982" t="s">
        <v>13</v>
      </c>
      <c r="C982" t="s">
        <v>5777</v>
      </c>
      <c r="D982" t="s">
        <v>1881</v>
      </c>
      <c r="F982" t="s">
        <v>5770</v>
      </c>
      <c r="J982" t="s">
        <v>5737</v>
      </c>
      <c r="K982">
        <v>60</v>
      </c>
      <c r="L982" t="str" cm="1">
        <f t="array" ref="L982">_xlfn.IFS(
 K982&lt;=50,"≤50",
 AND(K982&gt;=51,K982&lt;=100),"51–100",
 AND(K982&gt;=101,K982&lt;=250),"101–250",
 AND(K982&gt;=251,K982&lt;=500),"251–500",
 AND(K982&gt;=501,K982&lt;=1000),"501–1000",
 K982&gt;=1001,"1001+"
)</f>
        <v>51–100</v>
      </c>
    </row>
    <row r="983" spans="1:12" x14ac:dyDescent="0.3">
      <c r="A983" t="s">
        <v>1882</v>
      </c>
      <c r="B983" t="s">
        <v>9</v>
      </c>
      <c r="C983" t="s">
        <v>5780</v>
      </c>
      <c r="D983" t="s">
        <v>28</v>
      </c>
      <c r="F983" t="s">
        <v>5770</v>
      </c>
      <c r="J983" t="s">
        <v>5737</v>
      </c>
      <c r="K983">
        <v>60</v>
      </c>
      <c r="L983" t="str" cm="1">
        <f t="array" ref="L983">_xlfn.IFS(
 K983&lt;=50,"≤50",
 AND(K983&gt;=51,K983&lt;=100),"51–100",
 AND(K983&gt;=101,K983&lt;=250),"101–250",
 AND(K983&gt;=251,K983&lt;=500),"251–500",
 AND(K983&gt;=501,K983&lt;=1000),"501–1000",
 K983&gt;=1001,"1001+"
)</f>
        <v>51–100</v>
      </c>
    </row>
    <row r="984" spans="1:12" x14ac:dyDescent="0.3">
      <c r="A984" t="s">
        <v>1883</v>
      </c>
      <c r="B984" t="s">
        <v>9</v>
      </c>
      <c r="C984" t="s">
        <v>5780</v>
      </c>
      <c r="D984" t="s">
        <v>1884</v>
      </c>
      <c r="E984" t="s">
        <v>15</v>
      </c>
      <c r="F984" t="s">
        <v>54</v>
      </c>
      <c r="G984" t="s">
        <v>1885</v>
      </c>
      <c r="J984" t="s">
        <v>5737</v>
      </c>
      <c r="K984">
        <v>60</v>
      </c>
      <c r="L984" t="str" cm="1">
        <f t="array" ref="L984">_xlfn.IFS(
 K984&lt;=50,"≤50",
 AND(K984&gt;=51,K984&lt;=100),"51–100",
 AND(K984&gt;=101,K984&lt;=250),"101–250",
 AND(K984&gt;=251,K984&lt;=500),"251–500",
 AND(K984&gt;=501,K984&lt;=1000),"501–1000",
 K984&gt;=1001,"1001+"
)</f>
        <v>51–100</v>
      </c>
    </row>
    <row r="985" spans="1:12" x14ac:dyDescent="0.3">
      <c r="A985" t="s">
        <v>1886</v>
      </c>
      <c r="B985" t="s">
        <v>9</v>
      </c>
      <c r="C985" t="s">
        <v>5780</v>
      </c>
      <c r="D985" t="s">
        <v>1887</v>
      </c>
      <c r="F985" t="s">
        <v>20</v>
      </c>
      <c r="G985" t="s">
        <v>21</v>
      </c>
      <c r="J985" t="s">
        <v>5748</v>
      </c>
      <c r="K985">
        <v>60</v>
      </c>
      <c r="L985" t="str" cm="1">
        <f t="array" ref="L985">_xlfn.IFS(
 K985&lt;=50,"≤50",
 AND(K985&gt;=51,K985&lt;=100),"51–100",
 AND(K985&gt;=101,K985&lt;=250),"101–250",
 AND(K985&gt;=251,K985&lt;=500),"251–500",
 AND(K985&gt;=501,K985&lt;=1000),"501–1000",
 K985&gt;=1001,"1001+"
)</f>
        <v>51–100</v>
      </c>
    </row>
    <row r="986" spans="1:12" x14ac:dyDescent="0.3">
      <c r="A986" t="s">
        <v>1888</v>
      </c>
      <c r="B986" t="s">
        <v>417</v>
      </c>
      <c r="C986" t="s">
        <v>5778</v>
      </c>
      <c r="D986" t="s">
        <v>1889</v>
      </c>
      <c r="E986" t="s">
        <v>15</v>
      </c>
      <c r="F986" t="s">
        <v>54</v>
      </c>
      <c r="G986" t="s">
        <v>1890</v>
      </c>
      <c r="J986" t="s">
        <v>5738</v>
      </c>
      <c r="K986">
        <v>60</v>
      </c>
      <c r="L986" t="str" cm="1">
        <f t="array" ref="L986">_xlfn.IFS(
 K986&lt;=50,"≤50",
 AND(K986&gt;=51,K986&lt;=100),"51–100",
 AND(K986&gt;=101,K986&lt;=250),"101–250",
 AND(K986&gt;=251,K986&lt;=500),"251–500",
 AND(K986&gt;=501,K986&lt;=1000),"501–1000",
 K986&gt;=1001,"1001+"
)</f>
        <v>51–100</v>
      </c>
    </row>
    <row r="987" spans="1:12" x14ac:dyDescent="0.3">
      <c r="A987" t="s">
        <v>1891</v>
      </c>
      <c r="B987" t="s">
        <v>9</v>
      </c>
      <c r="C987" t="s">
        <v>5780</v>
      </c>
      <c r="D987" t="s">
        <v>1892</v>
      </c>
      <c r="E987" t="s">
        <v>15</v>
      </c>
      <c r="F987" t="s">
        <v>54</v>
      </c>
      <c r="G987" t="s">
        <v>1893</v>
      </c>
      <c r="J987" t="s">
        <v>5738</v>
      </c>
      <c r="K987">
        <v>60</v>
      </c>
      <c r="L987" t="str" cm="1">
        <f t="array" ref="L987">_xlfn.IFS(
 K987&lt;=50,"≤50",
 AND(K987&gt;=51,K987&lt;=100),"51–100",
 AND(K987&gt;=101,K987&lt;=250),"101–250",
 AND(K987&gt;=251,K987&lt;=500),"251–500",
 AND(K987&gt;=501,K987&lt;=1000),"501–1000",
 K987&gt;=1001,"1001+"
)</f>
        <v>51–100</v>
      </c>
    </row>
    <row r="988" spans="1:12" x14ac:dyDescent="0.3">
      <c r="A988" t="s">
        <v>1894</v>
      </c>
      <c r="B988" t="s">
        <v>9</v>
      </c>
      <c r="C988" t="s">
        <v>5780</v>
      </c>
      <c r="D988" t="s">
        <v>28</v>
      </c>
      <c r="F988" t="s">
        <v>20</v>
      </c>
      <c r="G988" t="s">
        <v>21</v>
      </c>
      <c r="J988" t="s">
        <v>5738</v>
      </c>
      <c r="K988">
        <v>60</v>
      </c>
      <c r="L988" t="str" cm="1">
        <f t="array" ref="L988">_xlfn.IFS(
 K988&lt;=50,"≤50",
 AND(K988&gt;=51,K988&lt;=100),"51–100",
 AND(K988&gt;=101,K988&lt;=250),"101–250",
 AND(K988&gt;=251,K988&lt;=500),"251–500",
 AND(K988&gt;=501,K988&lt;=1000),"501–1000",
 K988&gt;=1001,"1001+"
)</f>
        <v>51–100</v>
      </c>
    </row>
    <row r="989" spans="1:12" x14ac:dyDescent="0.3">
      <c r="A989" t="s">
        <v>1895</v>
      </c>
      <c r="B989" t="s">
        <v>9</v>
      </c>
      <c r="C989" t="s">
        <v>5780</v>
      </c>
      <c r="D989" t="s">
        <v>1896</v>
      </c>
      <c r="E989" t="s">
        <v>15</v>
      </c>
      <c r="F989" t="s">
        <v>5770</v>
      </c>
      <c r="J989" t="s">
        <v>5737</v>
      </c>
      <c r="K989">
        <v>60</v>
      </c>
      <c r="L989" t="str" cm="1">
        <f t="array" ref="L989">_xlfn.IFS(
 K989&lt;=50,"≤50",
 AND(K989&gt;=51,K989&lt;=100),"51–100",
 AND(K989&gt;=101,K989&lt;=250),"101–250",
 AND(K989&gt;=251,K989&lt;=500),"251–500",
 AND(K989&gt;=501,K989&lt;=1000),"501–1000",
 K989&gt;=1001,"1001+"
)</f>
        <v>51–100</v>
      </c>
    </row>
    <row r="990" spans="1:12" x14ac:dyDescent="0.3">
      <c r="A990" t="s">
        <v>1897</v>
      </c>
      <c r="B990" t="s">
        <v>13</v>
      </c>
      <c r="C990" t="s">
        <v>5777</v>
      </c>
      <c r="D990" t="s">
        <v>112</v>
      </c>
      <c r="E990" t="s">
        <v>15</v>
      </c>
      <c r="F990" t="s">
        <v>54</v>
      </c>
      <c r="G990" t="s">
        <v>113</v>
      </c>
      <c r="J990" t="s">
        <v>5737</v>
      </c>
      <c r="K990">
        <v>60</v>
      </c>
      <c r="L990" t="str" cm="1">
        <f t="array" ref="L990">_xlfn.IFS(
 K990&lt;=50,"≤50",
 AND(K990&gt;=51,K990&lt;=100),"51–100",
 AND(K990&gt;=101,K990&lt;=250),"101–250",
 AND(K990&gt;=251,K990&lt;=500),"251–500",
 AND(K990&gt;=501,K990&lt;=1000),"501–1000",
 K990&gt;=1001,"1001+"
)</f>
        <v>51–100</v>
      </c>
    </row>
    <row r="991" spans="1:12" x14ac:dyDescent="0.3">
      <c r="A991" t="s">
        <v>1898</v>
      </c>
      <c r="B991" t="s">
        <v>9</v>
      </c>
      <c r="C991" t="s">
        <v>5780</v>
      </c>
      <c r="D991" t="s">
        <v>1899</v>
      </c>
      <c r="F991" t="s">
        <v>54</v>
      </c>
      <c r="G991" t="s">
        <v>1900</v>
      </c>
      <c r="J991" t="s">
        <v>5737</v>
      </c>
      <c r="K991">
        <v>60</v>
      </c>
      <c r="L991" t="str" cm="1">
        <f t="array" ref="L991">_xlfn.IFS(
 K991&lt;=50,"≤50",
 AND(K991&gt;=51,K991&lt;=100),"51–100",
 AND(K991&gt;=101,K991&lt;=250),"101–250",
 AND(K991&gt;=251,K991&lt;=500),"251–500",
 AND(K991&gt;=501,K991&lt;=1000),"501–1000",
 K991&gt;=1001,"1001+"
)</f>
        <v>51–100</v>
      </c>
    </row>
    <row r="992" spans="1:12" x14ac:dyDescent="0.3">
      <c r="A992" t="s">
        <v>1901</v>
      </c>
      <c r="B992" t="s">
        <v>9</v>
      </c>
      <c r="C992" t="s">
        <v>5780</v>
      </c>
      <c r="D992" t="s">
        <v>1902</v>
      </c>
      <c r="E992" t="s">
        <v>15</v>
      </c>
      <c r="F992" t="s">
        <v>16</v>
      </c>
      <c r="G992" t="s">
        <v>1903</v>
      </c>
      <c r="J992" t="s">
        <v>5737</v>
      </c>
      <c r="K992">
        <v>60</v>
      </c>
      <c r="L992" t="str" cm="1">
        <f t="array" ref="L992">_xlfn.IFS(
 K992&lt;=50,"≤50",
 AND(K992&gt;=51,K992&lt;=100),"51–100",
 AND(K992&gt;=101,K992&lt;=250),"101–250",
 AND(K992&gt;=251,K992&lt;=500),"251–500",
 AND(K992&gt;=501,K992&lt;=1000),"501–1000",
 K992&gt;=1001,"1001+"
)</f>
        <v>51–100</v>
      </c>
    </row>
    <row r="993" spans="1:12" x14ac:dyDescent="0.3">
      <c r="A993" t="s">
        <v>1904</v>
      </c>
      <c r="B993" t="s">
        <v>11</v>
      </c>
      <c r="C993" t="s">
        <v>5776</v>
      </c>
      <c r="F993" t="s">
        <v>5770</v>
      </c>
      <c r="J993" t="s">
        <v>5737</v>
      </c>
      <c r="K993">
        <v>60</v>
      </c>
      <c r="L993" t="str" cm="1">
        <f t="array" ref="L993">_xlfn.IFS(
 K993&lt;=50,"≤50",
 AND(K993&gt;=51,K993&lt;=100),"51–100",
 AND(K993&gt;=101,K993&lt;=250),"101–250",
 AND(K993&gt;=251,K993&lt;=500),"251–500",
 AND(K993&gt;=501,K993&lt;=1000),"501–1000",
 K993&gt;=1001,"1001+"
)</f>
        <v>51–100</v>
      </c>
    </row>
    <row r="994" spans="1:12" x14ac:dyDescent="0.3">
      <c r="A994" t="s">
        <v>1905</v>
      </c>
      <c r="B994" t="s">
        <v>9</v>
      </c>
      <c r="C994" t="s">
        <v>5780</v>
      </c>
      <c r="D994" t="s">
        <v>1906</v>
      </c>
      <c r="E994" t="s">
        <v>15</v>
      </c>
      <c r="F994" t="s">
        <v>16</v>
      </c>
      <c r="G994" t="s">
        <v>88</v>
      </c>
      <c r="J994" t="s">
        <v>5744</v>
      </c>
      <c r="K994">
        <v>60</v>
      </c>
      <c r="L994" t="str" cm="1">
        <f t="array" ref="L994">_xlfn.IFS(
 K994&lt;=50,"≤50",
 AND(K994&gt;=51,K994&lt;=100),"51–100",
 AND(K994&gt;=101,K994&lt;=250),"101–250",
 AND(K994&gt;=251,K994&lt;=500),"251–500",
 AND(K994&gt;=501,K994&lt;=1000),"501–1000",
 K994&gt;=1001,"1001+"
)</f>
        <v>51–100</v>
      </c>
    </row>
    <row r="995" spans="1:12" x14ac:dyDescent="0.3">
      <c r="A995" t="s">
        <v>1907</v>
      </c>
      <c r="B995" t="s">
        <v>13</v>
      </c>
      <c r="C995" t="s">
        <v>5777</v>
      </c>
      <c r="D995" t="s">
        <v>1747</v>
      </c>
      <c r="E995" t="s">
        <v>15</v>
      </c>
      <c r="F995" t="s">
        <v>20</v>
      </c>
      <c r="G995" t="s">
        <v>1908</v>
      </c>
      <c r="J995" t="s">
        <v>5751</v>
      </c>
      <c r="K995">
        <v>60</v>
      </c>
      <c r="L995" t="str" cm="1">
        <f t="array" ref="L995">_xlfn.IFS(
 K995&lt;=50,"≤50",
 AND(K995&gt;=51,K995&lt;=100),"51–100",
 AND(K995&gt;=101,K995&lt;=250),"101–250",
 AND(K995&gt;=251,K995&lt;=500),"251–500",
 AND(K995&gt;=501,K995&lt;=1000),"501–1000",
 K995&gt;=1001,"1001+"
)</f>
        <v>51–100</v>
      </c>
    </row>
    <row r="996" spans="1:12" x14ac:dyDescent="0.3">
      <c r="A996" t="s">
        <v>1909</v>
      </c>
      <c r="B996" t="s">
        <v>9</v>
      </c>
      <c r="C996" t="s">
        <v>5780</v>
      </c>
      <c r="D996" t="s">
        <v>28</v>
      </c>
      <c r="F996" t="s">
        <v>5770</v>
      </c>
      <c r="J996" t="s">
        <v>5757</v>
      </c>
      <c r="K996">
        <v>60</v>
      </c>
      <c r="L996" t="str" cm="1">
        <f t="array" ref="L996">_xlfn.IFS(
 K996&lt;=50,"≤50",
 AND(K996&gt;=51,K996&lt;=100),"51–100",
 AND(K996&gt;=101,K996&lt;=250),"101–250",
 AND(K996&gt;=251,K996&lt;=500),"251–500",
 AND(K996&gt;=501,K996&lt;=1000),"501–1000",
 K996&gt;=1001,"1001+"
)</f>
        <v>51–100</v>
      </c>
    </row>
    <row r="997" spans="1:12" x14ac:dyDescent="0.3">
      <c r="A997" t="s">
        <v>1910</v>
      </c>
      <c r="B997" t="s">
        <v>13</v>
      </c>
      <c r="C997" t="s">
        <v>5777</v>
      </c>
      <c r="D997" t="s">
        <v>1911</v>
      </c>
      <c r="F997" t="s">
        <v>5770</v>
      </c>
      <c r="J997" t="s">
        <v>5747</v>
      </c>
      <c r="K997">
        <v>60</v>
      </c>
      <c r="L997" t="str" cm="1">
        <f t="array" ref="L997">_xlfn.IFS(
 K997&lt;=50,"≤50",
 AND(K997&gt;=51,K997&lt;=100),"51–100",
 AND(K997&gt;=101,K997&lt;=250),"101–250",
 AND(K997&gt;=251,K997&lt;=500),"251–500",
 AND(K997&gt;=501,K997&lt;=1000),"501–1000",
 K997&gt;=1001,"1001+"
)</f>
        <v>51–100</v>
      </c>
    </row>
    <row r="998" spans="1:12" x14ac:dyDescent="0.3">
      <c r="A998" t="s">
        <v>1912</v>
      </c>
      <c r="B998" t="s">
        <v>13</v>
      </c>
      <c r="C998" t="s">
        <v>5777</v>
      </c>
      <c r="D998" t="s">
        <v>1913</v>
      </c>
      <c r="E998" t="s">
        <v>15</v>
      </c>
      <c r="F998" t="s">
        <v>5770</v>
      </c>
      <c r="J998" t="s">
        <v>5760</v>
      </c>
      <c r="K998">
        <v>60</v>
      </c>
      <c r="L998" t="str" cm="1">
        <f t="array" ref="L998">_xlfn.IFS(
 K998&lt;=50,"≤50",
 AND(K998&gt;=51,K998&lt;=100),"51–100",
 AND(K998&gt;=101,K998&lt;=250),"101–250",
 AND(K998&gt;=251,K998&lt;=500),"251–500",
 AND(K998&gt;=501,K998&lt;=1000),"501–1000",
 K998&gt;=1001,"1001+"
)</f>
        <v>51–100</v>
      </c>
    </row>
    <row r="999" spans="1:12" x14ac:dyDescent="0.3">
      <c r="A999" t="s">
        <v>1914</v>
      </c>
      <c r="B999" t="s">
        <v>13</v>
      </c>
      <c r="C999" t="s">
        <v>5777</v>
      </c>
      <c r="D999" t="s">
        <v>1915</v>
      </c>
      <c r="F999" t="s">
        <v>5770</v>
      </c>
      <c r="J999" t="s">
        <v>5762</v>
      </c>
      <c r="K999">
        <v>61</v>
      </c>
      <c r="L999" t="str" cm="1">
        <f t="array" ref="L999">_xlfn.IFS(
 K999&lt;=50,"≤50",
 AND(K999&gt;=51,K999&lt;=100),"51–100",
 AND(K999&gt;=101,K999&lt;=250),"101–250",
 AND(K999&gt;=251,K999&lt;=500),"251–500",
 AND(K999&gt;=501,K999&lt;=1000),"501–1000",
 K999&gt;=1001,"1001+"
)</f>
        <v>51–100</v>
      </c>
    </row>
    <row r="1000" spans="1:12" x14ac:dyDescent="0.3">
      <c r="A1000" t="s">
        <v>1916</v>
      </c>
      <c r="B1000" t="s">
        <v>9</v>
      </c>
      <c r="C1000" t="s">
        <v>5780</v>
      </c>
      <c r="D1000" t="s">
        <v>1917</v>
      </c>
      <c r="E1000" t="s">
        <v>15</v>
      </c>
      <c r="F1000" t="s">
        <v>16</v>
      </c>
      <c r="G1000" t="s">
        <v>817</v>
      </c>
      <c r="J1000" t="s">
        <v>5744</v>
      </c>
      <c r="K1000">
        <v>61</v>
      </c>
      <c r="L1000" t="str" cm="1">
        <f t="array" ref="L1000">_xlfn.IFS(
 K1000&lt;=50,"≤50",
 AND(K1000&gt;=51,K1000&lt;=100),"51–100",
 AND(K1000&gt;=101,K1000&lt;=250),"101–250",
 AND(K1000&gt;=251,K1000&lt;=500),"251–500",
 AND(K1000&gt;=501,K1000&lt;=1000),"501–1000",
 K1000&gt;=1001,"1001+"
)</f>
        <v>51–100</v>
      </c>
    </row>
    <row r="1001" spans="1:12" x14ac:dyDescent="0.3">
      <c r="A1001" t="s">
        <v>1918</v>
      </c>
      <c r="B1001" t="s">
        <v>9</v>
      </c>
      <c r="C1001" t="s">
        <v>5780</v>
      </c>
      <c r="D1001" t="s">
        <v>1919</v>
      </c>
      <c r="F1001" t="s">
        <v>5770</v>
      </c>
      <c r="J1001" t="s">
        <v>5740</v>
      </c>
      <c r="K1001">
        <v>61</v>
      </c>
      <c r="L1001" t="str" cm="1">
        <f t="array" ref="L1001">_xlfn.IFS(
 K1001&lt;=50,"≤50",
 AND(K1001&gt;=51,K1001&lt;=100),"51–100",
 AND(K1001&gt;=101,K1001&lt;=250),"101–250",
 AND(K1001&gt;=251,K1001&lt;=500),"251–500",
 AND(K1001&gt;=501,K1001&lt;=1000),"501–1000",
 K1001&gt;=1001,"1001+"
)</f>
        <v>51–100</v>
      </c>
    </row>
    <row r="1002" spans="1:12" x14ac:dyDescent="0.3">
      <c r="A1002" t="s">
        <v>1920</v>
      </c>
      <c r="B1002" t="s">
        <v>9</v>
      </c>
      <c r="C1002" t="s">
        <v>5780</v>
      </c>
      <c r="D1002" t="s">
        <v>1921</v>
      </c>
      <c r="F1002" t="s">
        <v>20</v>
      </c>
      <c r="G1002" t="s">
        <v>1922</v>
      </c>
      <c r="J1002" t="s">
        <v>5737</v>
      </c>
      <c r="K1002">
        <v>62</v>
      </c>
      <c r="L1002" t="str" cm="1">
        <f t="array" ref="L1002">_xlfn.IFS(
 K1002&lt;=50,"≤50",
 AND(K1002&gt;=51,K1002&lt;=100),"51–100",
 AND(K1002&gt;=101,K1002&lt;=250),"101–250",
 AND(K1002&gt;=251,K1002&lt;=500),"251–500",
 AND(K1002&gt;=501,K1002&lt;=1000),"501–1000",
 K1002&gt;=1001,"1001+"
)</f>
        <v>51–100</v>
      </c>
    </row>
    <row r="1003" spans="1:12" x14ac:dyDescent="0.3">
      <c r="A1003" t="s">
        <v>1923</v>
      </c>
      <c r="B1003" t="s">
        <v>9</v>
      </c>
      <c r="C1003" t="s">
        <v>5780</v>
      </c>
      <c r="D1003" t="s">
        <v>1924</v>
      </c>
      <c r="E1003" t="s">
        <v>15</v>
      </c>
      <c r="F1003" t="s">
        <v>54</v>
      </c>
      <c r="G1003" t="s">
        <v>1925</v>
      </c>
      <c r="J1003" t="s">
        <v>5737</v>
      </c>
      <c r="K1003">
        <v>62</v>
      </c>
      <c r="L1003" t="str" cm="1">
        <f t="array" ref="L1003">_xlfn.IFS(
 K1003&lt;=50,"≤50",
 AND(K1003&gt;=51,K1003&lt;=100),"51–100",
 AND(K1003&gt;=101,K1003&lt;=250),"101–250",
 AND(K1003&gt;=251,K1003&lt;=500),"251–500",
 AND(K1003&gt;=501,K1003&lt;=1000),"501–1000",
 K1003&gt;=1001,"1001+"
)</f>
        <v>51–100</v>
      </c>
    </row>
    <row r="1004" spans="1:12" x14ac:dyDescent="0.3">
      <c r="A1004" t="s">
        <v>1926</v>
      </c>
      <c r="B1004" t="s">
        <v>13</v>
      </c>
      <c r="C1004" t="s">
        <v>5777</v>
      </c>
      <c r="D1004" t="s">
        <v>1927</v>
      </c>
      <c r="E1004" t="s">
        <v>15</v>
      </c>
      <c r="F1004" t="s">
        <v>54</v>
      </c>
      <c r="G1004" t="s">
        <v>1928</v>
      </c>
      <c r="J1004" t="s">
        <v>5737</v>
      </c>
      <c r="K1004">
        <v>62</v>
      </c>
      <c r="L1004" t="str" cm="1">
        <f t="array" ref="L1004">_xlfn.IFS(
 K1004&lt;=50,"≤50",
 AND(K1004&gt;=51,K1004&lt;=100),"51–100",
 AND(K1004&gt;=101,K1004&lt;=250),"101–250",
 AND(K1004&gt;=251,K1004&lt;=500),"251–500",
 AND(K1004&gt;=501,K1004&lt;=1000),"501–1000",
 K1004&gt;=1001,"1001+"
)</f>
        <v>51–100</v>
      </c>
    </row>
    <row r="1005" spans="1:12" x14ac:dyDescent="0.3">
      <c r="A1005" t="s">
        <v>1929</v>
      </c>
      <c r="B1005" t="s">
        <v>9</v>
      </c>
      <c r="C1005" t="s">
        <v>5780</v>
      </c>
      <c r="D1005" t="s">
        <v>1930</v>
      </c>
      <c r="F1005" t="s">
        <v>20</v>
      </c>
      <c r="G1005" t="s">
        <v>21</v>
      </c>
      <c r="J1005" t="s">
        <v>5750</v>
      </c>
      <c r="K1005">
        <v>62</v>
      </c>
      <c r="L1005" t="str" cm="1">
        <f t="array" ref="L1005">_xlfn.IFS(
 K1005&lt;=50,"≤50",
 AND(K1005&gt;=51,K1005&lt;=100),"51–100",
 AND(K1005&gt;=101,K1005&lt;=250),"101–250",
 AND(K1005&gt;=251,K1005&lt;=500),"251–500",
 AND(K1005&gt;=501,K1005&lt;=1000),"501–1000",
 K1005&gt;=1001,"1001+"
)</f>
        <v>51–100</v>
      </c>
    </row>
    <row r="1006" spans="1:12" x14ac:dyDescent="0.3">
      <c r="A1006" t="s">
        <v>1931</v>
      </c>
      <c r="B1006" t="s">
        <v>9</v>
      </c>
      <c r="C1006" t="s">
        <v>5780</v>
      </c>
      <c r="D1006" t="s">
        <v>1932</v>
      </c>
      <c r="E1006" t="s">
        <v>15</v>
      </c>
      <c r="F1006" t="s">
        <v>5770</v>
      </c>
      <c r="J1006" t="s">
        <v>5762</v>
      </c>
      <c r="K1006">
        <v>63</v>
      </c>
      <c r="L1006" t="str" cm="1">
        <f t="array" ref="L1006">_xlfn.IFS(
 K1006&lt;=50,"≤50",
 AND(K1006&gt;=51,K1006&lt;=100),"51–100",
 AND(K1006&gt;=101,K1006&lt;=250),"101–250",
 AND(K1006&gt;=251,K1006&lt;=500),"251–500",
 AND(K1006&gt;=501,K1006&lt;=1000),"501–1000",
 K1006&gt;=1001,"1001+"
)</f>
        <v>51–100</v>
      </c>
    </row>
    <row r="1007" spans="1:12" x14ac:dyDescent="0.3">
      <c r="A1007" t="s">
        <v>1933</v>
      </c>
      <c r="B1007" t="s">
        <v>13</v>
      </c>
      <c r="C1007" t="s">
        <v>5777</v>
      </c>
      <c r="D1007" t="s">
        <v>1934</v>
      </c>
      <c r="F1007" t="s">
        <v>5770</v>
      </c>
      <c r="J1007" t="s">
        <v>5737</v>
      </c>
      <c r="K1007">
        <v>63</v>
      </c>
      <c r="L1007" t="str" cm="1">
        <f t="array" ref="L1007">_xlfn.IFS(
 K1007&lt;=50,"≤50",
 AND(K1007&gt;=51,K1007&lt;=100),"51–100",
 AND(K1007&gt;=101,K1007&lt;=250),"101–250",
 AND(K1007&gt;=251,K1007&lt;=500),"251–500",
 AND(K1007&gt;=501,K1007&lt;=1000),"501–1000",
 K1007&gt;=1001,"1001+"
)</f>
        <v>51–100</v>
      </c>
    </row>
    <row r="1008" spans="1:12" x14ac:dyDescent="0.3">
      <c r="A1008" t="s">
        <v>1935</v>
      </c>
      <c r="B1008" t="s">
        <v>13</v>
      </c>
      <c r="C1008" t="s">
        <v>5777</v>
      </c>
      <c r="D1008" t="s">
        <v>1936</v>
      </c>
      <c r="F1008" t="s">
        <v>5770</v>
      </c>
      <c r="J1008" t="s">
        <v>5742</v>
      </c>
      <c r="K1008">
        <v>63</v>
      </c>
      <c r="L1008" t="str" cm="1">
        <f t="array" ref="L1008">_xlfn.IFS(
 K1008&lt;=50,"≤50",
 AND(K1008&gt;=51,K1008&lt;=100),"51–100",
 AND(K1008&gt;=101,K1008&lt;=250),"101–250",
 AND(K1008&gt;=251,K1008&lt;=500),"251–500",
 AND(K1008&gt;=501,K1008&lt;=1000),"501–1000",
 K1008&gt;=1001,"1001+"
)</f>
        <v>51–100</v>
      </c>
    </row>
    <row r="1009" spans="1:12" x14ac:dyDescent="0.3">
      <c r="A1009" t="s">
        <v>1937</v>
      </c>
      <c r="B1009" t="s">
        <v>9</v>
      </c>
      <c r="C1009" t="s">
        <v>5780</v>
      </c>
      <c r="D1009" t="s">
        <v>1938</v>
      </c>
      <c r="F1009" t="s">
        <v>20</v>
      </c>
      <c r="G1009" t="s">
        <v>21</v>
      </c>
      <c r="J1009" t="s">
        <v>5737</v>
      </c>
      <c r="K1009">
        <v>63</v>
      </c>
      <c r="L1009" t="str" cm="1">
        <f t="array" ref="L1009">_xlfn.IFS(
 K1009&lt;=50,"≤50",
 AND(K1009&gt;=51,K1009&lt;=100),"51–100",
 AND(K1009&gt;=101,K1009&lt;=250),"101–250",
 AND(K1009&gt;=251,K1009&lt;=500),"251–500",
 AND(K1009&gt;=501,K1009&lt;=1000),"501–1000",
 K1009&gt;=1001,"1001+"
)</f>
        <v>51–100</v>
      </c>
    </row>
    <row r="1010" spans="1:12" x14ac:dyDescent="0.3">
      <c r="A1010" t="s">
        <v>1939</v>
      </c>
      <c r="B1010" t="s">
        <v>11</v>
      </c>
      <c r="C1010" t="s">
        <v>5776</v>
      </c>
      <c r="F1010" t="s">
        <v>5770</v>
      </c>
      <c r="J1010" t="s">
        <v>5737</v>
      </c>
      <c r="K1010">
        <v>64</v>
      </c>
      <c r="L1010" t="str" cm="1">
        <f t="array" ref="L1010">_xlfn.IFS(
 K1010&lt;=50,"≤50",
 AND(K1010&gt;=51,K1010&lt;=100),"51–100",
 AND(K1010&gt;=101,K1010&lt;=250),"101–250",
 AND(K1010&gt;=251,K1010&lt;=500),"251–500",
 AND(K1010&gt;=501,K1010&lt;=1000),"501–1000",
 K1010&gt;=1001,"1001+"
)</f>
        <v>51–100</v>
      </c>
    </row>
    <row r="1011" spans="1:12" x14ac:dyDescent="0.3">
      <c r="A1011" t="s">
        <v>1940</v>
      </c>
      <c r="B1011" t="s">
        <v>11</v>
      </c>
      <c r="C1011" t="s">
        <v>5776</v>
      </c>
      <c r="F1011" t="s">
        <v>5770</v>
      </c>
      <c r="J1011" t="s">
        <v>5737</v>
      </c>
      <c r="K1011">
        <v>64</v>
      </c>
      <c r="L1011" t="str" cm="1">
        <f t="array" ref="L1011">_xlfn.IFS(
 K1011&lt;=50,"≤50",
 AND(K1011&gt;=51,K1011&lt;=100),"51–100",
 AND(K1011&gt;=101,K1011&lt;=250),"101–250",
 AND(K1011&gt;=251,K1011&lt;=500),"251–500",
 AND(K1011&gt;=501,K1011&lt;=1000),"501–1000",
 K1011&gt;=1001,"1001+"
)</f>
        <v>51–100</v>
      </c>
    </row>
    <row r="1012" spans="1:12" x14ac:dyDescent="0.3">
      <c r="A1012" t="s">
        <v>1941</v>
      </c>
      <c r="B1012" t="s">
        <v>9</v>
      </c>
      <c r="C1012" t="s">
        <v>5780</v>
      </c>
      <c r="D1012" t="s">
        <v>1942</v>
      </c>
      <c r="E1012" t="s">
        <v>15</v>
      </c>
      <c r="F1012" t="s">
        <v>5770</v>
      </c>
      <c r="J1012" t="s">
        <v>5737</v>
      </c>
      <c r="K1012">
        <v>64</v>
      </c>
      <c r="L1012" t="str" cm="1">
        <f t="array" ref="L1012">_xlfn.IFS(
 K1012&lt;=50,"≤50",
 AND(K1012&gt;=51,K1012&lt;=100),"51–100",
 AND(K1012&gt;=101,K1012&lt;=250),"101–250",
 AND(K1012&gt;=251,K1012&lt;=500),"251–500",
 AND(K1012&gt;=501,K1012&lt;=1000),"501–1000",
 K1012&gt;=1001,"1001+"
)</f>
        <v>51–100</v>
      </c>
    </row>
    <row r="1013" spans="1:12" x14ac:dyDescent="0.3">
      <c r="A1013" t="s">
        <v>1943</v>
      </c>
      <c r="B1013" t="s">
        <v>9</v>
      </c>
      <c r="C1013" t="s">
        <v>5780</v>
      </c>
      <c r="D1013" t="s">
        <v>461</v>
      </c>
      <c r="F1013" t="s">
        <v>5770</v>
      </c>
      <c r="J1013" t="s">
        <v>5754</v>
      </c>
      <c r="K1013">
        <v>64</v>
      </c>
      <c r="L1013" t="str" cm="1">
        <f t="array" ref="L1013">_xlfn.IFS(
 K1013&lt;=50,"≤50",
 AND(K1013&gt;=51,K1013&lt;=100),"51–100",
 AND(K1013&gt;=101,K1013&lt;=250),"101–250",
 AND(K1013&gt;=251,K1013&lt;=500),"251–500",
 AND(K1013&gt;=501,K1013&lt;=1000),"501–1000",
 K1013&gt;=1001,"1001+"
)</f>
        <v>51–100</v>
      </c>
    </row>
    <row r="1014" spans="1:12" x14ac:dyDescent="0.3">
      <c r="A1014" t="s">
        <v>1944</v>
      </c>
      <c r="B1014" t="s">
        <v>9</v>
      </c>
      <c r="C1014" t="s">
        <v>5780</v>
      </c>
      <c r="D1014" t="s">
        <v>1945</v>
      </c>
      <c r="E1014" t="s">
        <v>15</v>
      </c>
      <c r="F1014" t="s">
        <v>20</v>
      </c>
      <c r="G1014" t="s">
        <v>21</v>
      </c>
      <c r="J1014" t="s">
        <v>5751</v>
      </c>
      <c r="K1014">
        <v>64</v>
      </c>
      <c r="L1014" t="str" cm="1">
        <f t="array" ref="L1014">_xlfn.IFS(
 K1014&lt;=50,"≤50",
 AND(K1014&gt;=51,K1014&lt;=100),"51–100",
 AND(K1014&gt;=101,K1014&lt;=250),"101–250",
 AND(K1014&gt;=251,K1014&lt;=500),"251–500",
 AND(K1014&gt;=501,K1014&lt;=1000),"501–1000",
 K1014&gt;=1001,"1001+"
)</f>
        <v>51–100</v>
      </c>
    </row>
    <row r="1015" spans="1:12" x14ac:dyDescent="0.3">
      <c r="A1015" t="s">
        <v>1946</v>
      </c>
      <c r="B1015" t="s">
        <v>11</v>
      </c>
      <c r="C1015" t="s">
        <v>5776</v>
      </c>
      <c r="F1015" t="s">
        <v>5770</v>
      </c>
      <c r="J1015" t="s">
        <v>5737</v>
      </c>
      <c r="K1015">
        <v>65</v>
      </c>
      <c r="L1015" t="str" cm="1">
        <f t="array" ref="L1015">_xlfn.IFS(
 K1015&lt;=50,"≤50",
 AND(K1015&gt;=51,K1015&lt;=100),"51–100",
 AND(K1015&gt;=101,K1015&lt;=250),"101–250",
 AND(K1015&gt;=251,K1015&lt;=500),"251–500",
 AND(K1015&gt;=501,K1015&lt;=1000),"501–1000",
 K1015&gt;=1001,"1001+"
)</f>
        <v>51–100</v>
      </c>
    </row>
    <row r="1016" spans="1:12" x14ac:dyDescent="0.3">
      <c r="A1016" t="s">
        <v>1947</v>
      </c>
      <c r="B1016" t="s">
        <v>11</v>
      </c>
      <c r="C1016" t="s">
        <v>5776</v>
      </c>
      <c r="F1016" t="s">
        <v>5770</v>
      </c>
      <c r="J1016" t="s">
        <v>5737</v>
      </c>
      <c r="K1016">
        <v>65</v>
      </c>
      <c r="L1016" t="str" cm="1">
        <f t="array" ref="L1016">_xlfn.IFS(
 K1016&lt;=50,"≤50",
 AND(K1016&gt;=51,K1016&lt;=100),"51–100",
 AND(K1016&gt;=101,K1016&lt;=250),"101–250",
 AND(K1016&gt;=251,K1016&lt;=500),"251–500",
 AND(K1016&gt;=501,K1016&lt;=1000),"501–1000",
 K1016&gt;=1001,"1001+"
)</f>
        <v>51–100</v>
      </c>
    </row>
    <row r="1017" spans="1:12" x14ac:dyDescent="0.3">
      <c r="A1017" t="s">
        <v>1948</v>
      </c>
      <c r="B1017" t="s">
        <v>9</v>
      </c>
      <c r="C1017" t="s">
        <v>5780</v>
      </c>
      <c r="D1017" t="s">
        <v>1949</v>
      </c>
      <c r="F1017" t="s">
        <v>5770</v>
      </c>
      <c r="J1017" t="s">
        <v>5745</v>
      </c>
      <c r="K1017">
        <v>65</v>
      </c>
      <c r="L1017" t="str" cm="1">
        <f t="array" ref="L1017">_xlfn.IFS(
 K1017&lt;=50,"≤50",
 AND(K1017&gt;=51,K1017&lt;=100),"51–100",
 AND(K1017&gt;=101,K1017&lt;=250),"101–250",
 AND(K1017&gt;=251,K1017&lt;=500),"251–500",
 AND(K1017&gt;=501,K1017&lt;=1000),"501–1000",
 K1017&gt;=1001,"1001+"
)</f>
        <v>51–100</v>
      </c>
    </row>
    <row r="1018" spans="1:12" x14ac:dyDescent="0.3">
      <c r="A1018" t="s">
        <v>1950</v>
      </c>
      <c r="B1018" t="s">
        <v>9</v>
      </c>
      <c r="C1018" t="s">
        <v>5780</v>
      </c>
      <c r="D1018" t="s">
        <v>1951</v>
      </c>
      <c r="F1018" t="s">
        <v>20</v>
      </c>
      <c r="G1018" t="s">
        <v>21</v>
      </c>
      <c r="J1018" t="s">
        <v>5742</v>
      </c>
      <c r="K1018">
        <v>65</v>
      </c>
      <c r="L1018" t="str" cm="1">
        <f t="array" ref="L1018">_xlfn.IFS(
 K1018&lt;=50,"≤50",
 AND(K1018&gt;=51,K1018&lt;=100),"51–100",
 AND(K1018&gt;=101,K1018&lt;=250),"101–250",
 AND(K1018&gt;=251,K1018&lt;=500),"251–500",
 AND(K1018&gt;=501,K1018&lt;=1000),"501–1000",
 K1018&gt;=1001,"1001+"
)</f>
        <v>51–100</v>
      </c>
    </row>
    <row r="1019" spans="1:12" x14ac:dyDescent="0.3">
      <c r="A1019" t="s">
        <v>1952</v>
      </c>
      <c r="B1019" t="s">
        <v>9</v>
      </c>
      <c r="C1019" t="s">
        <v>5780</v>
      </c>
      <c r="D1019" t="s">
        <v>28</v>
      </c>
      <c r="F1019" t="s">
        <v>5770</v>
      </c>
      <c r="J1019" t="s">
        <v>5738</v>
      </c>
      <c r="K1019">
        <v>65</v>
      </c>
      <c r="L1019" t="str" cm="1">
        <f t="array" ref="L1019">_xlfn.IFS(
 K1019&lt;=50,"≤50",
 AND(K1019&gt;=51,K1019&lt;=100),"51–100",
 AND(K1019&gt;=101,K1019&lt;=250),"101–250",
 AND(K1019&gt;=251,K1019&lt;=500),"251–500",
 AND(K1019&gt;=501,K1019&lt;=1000),"501–1000",
 K1019&gt;=1001,"1001+"
)</f>
        <v>51–100</v>
      </c>
    </row>
    <row r="1020" spans="1:12" x14ac:dyDescent="0.3">
      <c r="A1020" t="s">
        <v>1953</v>
      </c>
      <c r="B1020" t="s">
        <v>13</v>
      </c>
      <c r="C1020" t="s">
        <v>5777</v>
      </c>
      <c r="D1020" t="s">
        <v>1954</v>
      </c>
      <c r="E1020" t="s">
        <v>15</v>
      </c>
      <c r="F1020" t="s">
        <v>16</v>
      </c>
      <c r="G1020" t="s">
        <v>1955</v>
      </c>
      <c r="J1020" t="s">
        <v>5738</v>
      </c>
      <c r="K1020">
        <v>65</v>
      </c>
      <c r="L1020" t="str" cm="1">
        <f t="array" ref="L1020">_xlfn.IFS(
 K1020&lt;=50,"≤50",
 AND(K1020&gt;=51,K1020&lt;=100),"51–100",
 AND(K1020&gt;=101,K1020&lt;=250),"101–250",
 AND(K1020&gt;=251,K1020&lt;=500),"251–500",
 AND(K1020&gt;=501,K1020&lt;=1000),"501–1000",
 K1020&gt;=1001,"1001+"
)</f>
        <v>51–100</v>
      </c>
    </row>
    <row r="1021" spans="1:12" x14ac:dyDescent="0.3">
      <c r="A1021" t="s">
        <v>1956</v>
      </c>
      <c r="B1021" t="s">
        <v>9</v>
      </c>
      <c r="C1021" t="s">
        <v>5780</v>
      </c>
      <c r="D1021" t="s">
        <v>1957</v>
      </c>
      <c r="E1021" t="s">
        <v>15</v>
      </c>
      <c r="F1021" t="s">
        <v>20</v>
      </c>
      <c r="G1021" t="s">
        <v>1958</v>
      </c>
      <c r="J1021" t="s">
        <v>5740</v>
      </c>
      <c r="K1021">
        <v>65</v>
      </c>
      <c r="L1021" t="str" cm="1">
        <f t="array" ref="L1021">_xlfn.IFS(
 K1021&lt;=50,"≤50",
 AND(K1021&gt;=51,K1021&lt;=100),"51–100",
 AND(K1021&gt;=101,K1021&lt;=250),"101–250",
 AND(K1021&gt;=251,K1021&lt;=500),"251–500",
 AND(K1021&gt;=501,K1021&lt;=1000),"501–1000",
 K1021&gt;=1001,"1001+"
)</f>
        <v>51–100</v>
      </c>
    </row>
    <row r="1022" spans="1:12" x14ac:dyDescent="0.3">
      <c r="A1022" t="s">
        <v>1959</v>
      </c>
      <c r="B1022" t="s">
        <v>13</v>
      </c>
      <c r="C1022" t="s">
        <v>5777</v>
      </c>
      <c r="D1022" t="s">
        <v>1960</v>
      </c>
      <c r="F1022" t="s">
        <v>5770</v>
      </c>
      <c r="J1022" t="s">
        <v>5746</v>
      </c>
      <c r="K1022">
        <v>65</v>
      </c>
      <c r="L1022" t="str" cm="1">
        <f t="array" ref="L1022">_xlfn.IFS(
 K1022&lt;=50,"≤50",
 AND(K1022&gt;=51,K1022&lt;=100),"51–100",
 AND(K1022&gt;=101,K1022&lt;=250),"101–250",
 AND(K1022&gt;=251,K1022&lt;=500),"251–500",
 AND(K1022&gt;=501,K1022&lt;=1000),"501–1000",
 K1022&gt;=1001,"1001+"
)</f>
        <v>51–100</v>
      </c>
    </row>
    <row r="1023" spans="1:12" x14ac:dyDescent="0.3">
      <c r="A1023" t="s">
        <v>1961</v>
      </c>
      <c r="B1023" t="s">
        <v>13</v>
      </c>
      <c r="C1023" t="s">
        <v>5777</v>
      </c>
      <c r="D1023" t="s">
        <v>1962</v>
      </c>
      <c r="F1023" t="s">
        <v>5770</v>
      </c>
      <c r="J1023" t="s">
        <v>5738</v>
      </c>
      <c r="K1023">
        <v>65</v>
      </c>
      <c r="L1023" t="str" cm="1">
        <f t="array" ref="L1023">_xlfn.IFS(
 K1023&lt;=50,"≤50",
 AND(K1023&gt;=51,K1023&lt;=100),"51–100",
 AND(K1023&gt;=101,K1023&lt;=250),"101–250",
 AND(K1023&gt;=251,K1023&lt;=500),"251–500",
 AND(K1023&gt;=501,K1023&lt;=1000),"501–1000",
 K1023&gt;=1001,"1001+"
)</f>
        <v>51–100</v>
      </c>
    </row>
    <row r="1024" spans="1:12" x14ac:dyDescent="0.3">
      <c r="A1024" t="s">
        <v>1963</v>
      </c>
      <c r="B1024" t="s">
        <v>9</v>
      </c>
      <c r="C1024" t="s">
        <v>5780</v>
      </c>
      <c r="D1024" t="s">
        <v>28</v>
      </c>
      <c r="E1024" t="s">
        <v>15</v>
      </c>
      <c r="F1024" t="s">
        <v>54</v>
      </c>
      <c r="G1024" t="s">
        <v>971</v>
      </c>
      <c r="J1024" t="s">
        <v>5738</v>
      </c>
      <c r="K1024">
        <v>65</v>
      </c>
      <c r="L1024" t="str" cm="1">
        <f t="array" ref="L1024">_xlfn.IFS(
 K1024&lt;=50,"≤50",
 AND(K1024&gt;=51,K1024&lt;=100),"51–100",
 AND(K1024&gt;=101,K1024&lt;=250),"101–250",
 AND(K1024&gt;=251,K1024&lt;=500),"251–500",
 AND(K1024&gt;=501,K1024&lt;=1000),"501–1000",
 K1024&gt;=1001,"1001+"
)</f>
        <v>51–100</v>
      </c>
    </row>
    <row r="1025" spans="1:12" x14ac:dyDescent="0.3">
      <c r="A1025" t="s">
        <v>1964</v>
      </c>
      <c r="B1025" t="s">
        <v>11</v>
      </c>
      <c r="C1025" t="s">
        <v>5776</v>
      </c>
      <c r="F1025" t="s">
        <v>5770</v>
      </c>
      <c r="J1025" t="s">
        <v>5738</v>
      </c>
      <c r="K1025">
        <v>65</v>
      </c>
      <c r="L1025" t="str" cm="1">
        <f t="array" ref="L1025">_xlfn.IFS(
 K1025&lt;=50,"≤50",
 AND(K1025&gt;=51,K1025&lt;=100),"51–100",
 AND(K1025&gt;=101,K1025&lt;=250),"101–250",
 AND(K1025&gt;=251,K1025&lt;=500),"251–500",
 AND(K1025&gt;=501,K1025&lt;=1000),"501–1000",
 K1025&gt;=1001,"1001+"
)</f>
        <v>51–100</v>
      </c>
    </row>
    <row r="1026" spans="1:12" x14ac:dyDescent="0.3">
      <c r="A1026" t="s">
        <v>1965</v>
      </c>
      <c r="B1026" t="s">
        <v>11</v>
      </c>
      <c r="C1026" t="s">
        <v>5776</v>
      </c>
      <c r="E1026" t="s">
        <v>15</v>
      </c>
      <c r="F1026" t="s">
        <v>5770</v>
      </c>
      <c r="J1026" t="s">
        <v>5737</v>
      </c>
      <c r="K1026">
        <v>65</v>
      </c>
      <c r="L1026" t="str" cm="1">
        <f t="array" ref="L1026">_xlfn.IFS(
 K1026&lt;=50,"≤50",
 AND(K1026&gt;=51,K1026&lt;=100),"51–100",
 AND(K1026&gt;=101,K1026&lt;=250),"101–250",
 AND(K1026&gt;=251,K1026&lt;=500),"251–500",
 AND(K1026&gt;=501,K1026&lt;=1000),"501–1000",
 K1026&gt;=1001,"1001+"
)</f>
        <v>51–100</v>
      </c>
    </row>
    <row r="1027" spans="1:12" x14ac:dyDescent="0.3">
      <c r="A1027" t="s">
        <v>1966</v>
      </c>
      <c r="B1027" t="s">
        <v>13</v>
      </c>
      <c r="C1027" t="s">
        <v>5777</v>
      </c>
      <c r="D1027" t="s">
        <v>1967</v>
      </c>
      <c r="F1027" t="s">
        <v>5770</v>
      </c>
      <c r="J1027" t="s">
        <v>5737</v>
      </c>
      <c r="K1027">
        <v>65</v>
      </c>
      <c r="L1027" t="str" cm="1">
        <f t="array" ref="L1027">_xlfn.IFS(
 K1027&lt;=50,"≤50",
 AND(K1027&gt;=51,K1027&lt;=100),"51–100",
 AND(K1027&gt;=101,K1027&lt;=250),"101–250",
 AND(K1027&gt;=251,K1027&lt;=500),"251–500",
 AND(K1027&gt;=501,K1027&lt;=1000),"501–1000",
 K1027&gt;=1001,"1001+"
)</f>
        <v>51–100</v>
      </c>
    </row>
    <row r="1028" spans="1:12" x14ac:dyDescent="0.3">
      <c r="A1028" t="s">
        <v>1968</v>
      </c>
      <c r="B1028" t="s">
        <v>13</v>
      </c>
      <c r="C1028" t="s">
        <v>5777</v>
      </c>
      <c r="D1028" t="s">
        <v>1969</v>
      </c>
      <c r="E1028" t="s">
        <v>15</v>
      </c>
      <c r="F1028" t="s">
        <v>20</v>
      </c>
      <c r="G1028" t="s">
        <v>135</v>
      </c>
      <c r="J1028" t="s">
        <v>5737</v>
      </c>
      <c r="K1028">
        <v>65</v>
      </c>
      <c r="L1028" t="str" cm="1">
        <f t="array" ref="L1028">_xlfn.IFS(
 K1028&lt;=50,"≤50",
 AND(K1028&gt;=51,K1028&lt;=100),"51–100",
 AND(K1028&gt;=101,K1028&lt;=250),"101–250",
 AND(K1028&gt;=251,K1028&lt;=500),"251–500",
 AND(K1028&gt;=501,K1028&lt;=1000),"501–1000",
 K1028&gt;=1001,"1001+"
)</f>
        <v>51–100</v>
      </c>
    </row>
    <row r="1029" spans="1:12" x14ac:dyDescent="0.3">
      <c r="A1029" t="s">
        <v>1970</v>
      </c>
      <c r="B1029" t="s">
        <v>13</v>
      </c>
      <c r="C1029" t="s">
        <v>5777</v>
      </c>
      <c r="D1029" t="s">
        <v>1971</v>
      </c>
      <c r="E1029" t="s">
        <v>15</v>
      </c>
      <c r="F1029" t="s">
        <v>5770</v>
      </c>
      <c r="J1029" t="s">
        <v>5737</v>
      </c>
      <c r="K1029">
        <v>65</v>
      </c>
      <c r="L1029" t="str" cm="1">
        <f t="array" ref="L1029">_xlfn.IFS(
 K1029&lt;=50,"≤50",
 AND(K1029&gt;=51,K1029&lt;=100),"51–100",
 AND(K1029&gt;=101,K1029&lt;=250),"101–250",
 AND(K1029&gt;=251,K1029&lt;=500),"251–500",
 AND(K1029&gt;=501,K1029&lt;=1000),"501–1000",
 K1029&gt;=1001,"1001+"
)</f>
        <v>51–100</v>
      </c>
    </row>
    <row r="1030" spans="1:12" x14ac:dyDescent="0.3">
      <c r="A1030" t="s">
        <v>1972</v>
      </c>
      <c r="B1030" t="s">
        <v>13</v>
      </c>
      <c r="C1030" t="s">
        <v>5777</v>
      </c>
      <c r="D1030" t="s">
        <v>1973</v>
      </c>
      <c r="E1030" t="s">
        <v>15</v>
      </c>
      <c r="F1030" t="s">
        <v>20</v>
      </c>
      <c r="G1030" t="s">
        <v>1974</v>
      </c>
      <c r="J1030" t="s">
        <v>5753</v>
      </c>
      <c r="K1030">
        <v>65</v>
      </c>
      <c r="L1030" t="str" cm="1">
        <f t="array" ref="L1030">_xlfn.IFS(
 K1030&lt;=50,"≤50",
 AND(K1030&gt;=51,K1030&lt;=100),"51–100",
 AND(K1030&gt;=101,K1030&lt;=250),"101–250",
 AND(K1030&gt;=251,K1030&lt;=500),"251–500",
 AND(K1030&gt;=501,K1030&lt;=1000),"501–1000",
 K1030&gt;=1001,"1001+"
)</f>
        <v>51–100</v>
      </c>
    </row>
    <row r="1031" spans="1:12" x14ac:dyDescent="0.3">
      <c r="A1031" t="s">
        <v>1975</v>
      </c>
      <c r="B1031" t="s">
        <v>11</v>
      </c>
      <c r="C1031" t="s">
        <v>5776</v>
      </c>
      <c r="F1031" t="s">
        <v>5770</v>
      </c>
      <c r="J1031" t="s">
        <v>5753</v>
      </c>
      <c r="K1031">
        <v>65</v>
      </c>
      <c r="L1031" t="str" cm="1">
        <f t="array" ref="L1031">_xlfn.IFS(
 K1031&lt;=50,"≤50",
 AND(K1031&gt;=51,K1031&lt;=100),"51–100",
 AND(K1031&gt;=101,K1031&lt;=250),"101–250",
 AND(K1031&gt;=251,K1031&lt;=500),"251–500",
 AND(K1031&gt;=501,K1031&lt;=1000),"501–1000",
 K1031&gt;=1001,"1001+"
)</f>
        <v>51–100</v>
      </c>
    </row>
    <row r="1032" spans="1:12" x14ac:dyDescent="0.3">
      <c r="A1032" t="s">
        <v>1976</v>
      </c>
      <c r="B1032" t="s">
        <v>9</v>
      </c>
      <c r="C1032" t="s">
        <v>5780</v>
      </c>
      <c r="D1032" t="s">
        <v>28</v>
      </c>
      <c r="E1032" t="s">
        <v>15</v>
      </c>
      <c r="F1032" t="s">
        <v>5770</v>
      </c>
      <c r="J1032" t="s">
        <v>5753</v>
      </c>
      <c r="K1032">
        <v>65</v>
      </c>
      <c r="L1032" t="str" cm="1">
        <f t="array" ref="L1032">_xlfn.IFS(
 K1032&lt;=50,"≤50",
 AND(K1032&gt;=51,K1032&lt;=100),"51–100",
 AND(K1032&gt;=101,K1032&lt;=250),"101–250",
 AND(K1032&gt;=251,K1032&lt;=500),"251–500",
 AND(K1032&gt;=501,K1032&lt;=1000),"501–1000",
 K1032&gt;=1001,"1001+"
)</f>
        <v>51–100</v>
      </c>
    </row>
    <row r="1033" spans="1:12" x14ac:dyDescent="0.3">
      <c r="A1033" t="s">
        <v>1977</v>
      </c>
      <c r="B1033" t="s">
        <v>9</v>
      </c>
      <c r="C1033" t="s">
        <v>5780</v>
      </c>
      <c r="D1033" t="s">
        <v>28</v>
      </c>
      <c r="F1033" t="s">
        <v>5770</v>
      </c>
      <c r="J1033" t="s">
        <v>5754</v>
      </c>
      <c r="K1033">
        <v>65</v>
      </c>
      <c r="L1033" t="str" cm="1">
        <f t="array" ref="L1033">_xlfn.IFS(
 K1033&lt;=50,"≤50",
 AND(K1033&gt;=51,K1033&lt;=100),"51–100",
 AND(K1033&gt;=101,K1033&lt;=250),"101–250",
 AND(K1033&gt;=251,K1033&lt;=500),"251–500",
 AND(K1033&gt;=501,K1033&lt;=1000),"501–1000",
 K1033&gt;=1001,"1001+"
)</f>
        <v>51–100</v>
      </c>
    </row>
    <row r="1034" spans="1:12" x14ac:dyDescent="0.3">
      <c r="A1034" t="s">
        <v>1978</v>
      </c>
      <c r="B1034" t="s">
        <v>13</v>
      </c>
      <c r="C1034" t="s">
        <v>5777</v>
      </c>
      <c r="D1034" t="s">
        <v>1979</v>
      </c>
      <c r="E1034" t="s">
        <v>15</v>
      </c>
      <c r="F1034" t="s">
        <v>5770</v>
      </c>
      <c r="J1034" t="s">
        <v>5752</v>
      </c>
      <c r="K1034">
        <v>65</v>
      </c>
      <c r="L1034" t="str" cm="1">
        <f t="array" ref="L1034">_xlfn.IFS(
 K1034&lt;=50,"≤50",
 AND(K1034&gt;=51,K1034&lt;=100),"51–100",
 AND(K1034&gt;=101,K1034&lt;=250),"101–250",
 AND(K1034&gt;=251,K1034&lt;=500),"251–500",
 AND(K1034&gt;=501,K1034&lt;=1000),"501–1000",
 K1034&gt;=1001,"1001+"
)</f>
        <v>51–100</v>
      </c>
    </row>
    <row r="1035" spans="1:12" x14ac:dyDescent="0.3">
      <c r="A1035" t="s">
        <v>1980</v>
      </c>
      <c r="B1035" t="s">
        <v>13</v>
      </c>
      <c r="C1035" t="s">
        <v>5777</v>
      </c>
      <c r="D1035" t="s">
        <v>245</v>
      </c>
      <c r="E1035" t="s">
        <v>15</v>
      </c>
      <c r="F1035" t="s">
        <v>5770</v>
      </c>
      <c r="J1035" t="s">
        <v>5749</v>
      </c>
      <c r="K1035">
        <v>65</v>
      </c>
      <c r="L1035" t="str" cm="1">
        <f t="array" ref="L1035">_xlfn.IFS(
 K1035&lt;=50,"≤50",
 AND(K1035&gt;=51,K1035&lt;=100),"51–100",
 AND(K1035&gt;=101,K1035&lt;=250),"101–250",
 AND(K1035&gt;=251,K1035&lt;=500),"251–500",
 AND(K1035&gt;=501,K1035&lt;=1000),"501–1000",
 K1035&gt;=1001,"1001+"
)</f>
        <v>51–100</v>
      </c>
    </row>
    <row r="1036" spans="1:12" x14ac:dyDescent="0.3">
      <c r="A1036" t="s">
        <v>1981</v>
      </c>
      <c r="B1036" t="s">
        <v>9</v>
      </c>
      <c r="C1036" t="s">
        <v>5780</v>
      </c>
      <c r="D1036" t="s">
        <v>28</v>
      </c>
      <c r="F1036" t="s">
        <v>5770</v>
      </c>
      <c r="J1036" t="s">
        <v>5758</v>
      </c>
      <c r="K1036">
        <v>65</v>
      </c>
      <c r="L1036" t="str" cm="1">
        <f t="array" ref="L1036">_xlfn.IFS(
 K1036&lt;=50,"≤50",
 AND(K1036&gt;=51,K1036&lt;=100),"51–100",
 AND(K1036&gt;=101,K1036&lt;=250),"101–250",
 AND(K1036&gt;=251,K1036&lt;=500),"251–500",
 AND(K1036&gt;=501,K1036&lt;=1000),"501–1000",
 K1036&gt;=1001,"1001+"
)</f>
        <v>51–100</v>
      </c>
    </row>
    <row r="1037" spans="1:12" x14ac:dyDescent="0.3">
      <c r="A1037" t="s">
        <v>1982</v>
      </c>
      <c r="B1037" t="s">
        <v>13</v>
      </c>
      <c r="C1037" t="s">
        <v>5777</v>
      </c>
      <c r="D1037" t="s">
        <v>1983</v>
      </c>
      <c r="E1037" t="s">
        <v>15</v>
      </c>
      <c r="F1037" t="s">
        <v>54</v>
      </c>
      <c r="G1037" t="s">
        <v>1984</v>
      </c>
      <c r="J1037" t="s">
        <v>5745</v>
      </c>
      <c r="K1037">
        <v>65</v>
      </c>
      <c r="L1037" t="str" cm="1">
        <f t="array" ref="L1037">_xlfn.IFS(
 K1037&lt;=50,"≤50",
 AND(K1037&gt;=51,K1037&lt;=100),"51–100",
 AND(K1037&gt;=101,K1037&lt;=250),"101–250",
 AND(K1037&gt;=251,K1037&lt;=500),"251–500",
 AND(K1037&gt;=501,K1037&lt;=1000),"501–1000",
 K1037&gt;=1001,"1001+"
)</f>
        <v>51–100</v>
      </c>
    </row>
    <row r="1038" spans="1:12" x14ac:dyDescent="0.3">
      <c r="A1038" t="s">
        <v>1985</v>
      </c>
      <c r="B1038" t="s">
        <v>9</v>
      </c>
      <c r="C1038" t="s">
        <v>5780</v>
      </c>
      <c r="D1038" t="s">
        <v>28</v>
      </c>
      <c r="F1038" t="s">
        <v>5770</v>
      </c>
      <c r="J1038" t="s">
        <v>5747</v>
      </c>
      <c r="K1038">
        <v>65</v>
      </c>
      <c r="L1038" t="str" cm="1">
        <f t="array" ref="L1038">_xlfn.IFS(
 K1038&lt;=50,"≤50",
 AND(K1038&gt;=51,K1038&lt;=100),"51–100",
 AND(K1038&gt;=101,K1038&lt;=250),"101–250",
 AND(K1038&gt;=251,K1038&lt;=500),"251–500",
 AND(K1038&gt;=501,K1038&lt;=1000),"501–1000",
 K1038&gt;=1001,"1001+"
)</f>
        <v>51–100</v>
      </c>
    </row>
    <row r="1039" spans="1:12" x14ac:dyDescent="0.3">
      <c r="A1039" t="s">
        <v>1986</v>
      </c>
      <c r="B1039" t="s">
        <v>9</v>
      </c>
      <c r="C1039" t="s">
        <v>5780</v>
      </c>
      <c r="D1039" t="s">
        <v>28</v>
      </c>
      <c r="E1039" t="s">
        <v>15</v>
      </c>
      <c r="F1039" t="s">
        <v>5770</v>
      </c>
      <c r="J1039" t="s">
        <v>5760</v>
      </c>
      <c r="K1039">
        <v>65</v>
      </c>
      <c r="L1039" t="str" cm="1">
        <f t="array" ref="L1039">_xlfn.IFS(
 K1039&lt;=50,"≤50",
 AND(K1039&gt;=51,K1039&lt;=100),"51–100",
 AND(K1039&gt;=101,K1039&lt;=250),"101–250",
 AND(K1039&gt;=251,K1039&lt;=500),"251–500",
 AND(K1039&gt;=501,K1039&lt;=1000),"501–1000",
 K1039&gt;=1001,"1001+"
)</f>
        <v>51–100</v>
      </c>
    </row>
    <row r="1040" spans="1:12" x14ac:dyDescent="0.3">
      <c r="A1040" t="s">
        <v>1987</v>
      </c>
      <c r="B1040" t="s">
        <v>13</v>
      </c>
      <c r="C1040" t="s">
        <v>5777</v>
      </c>
      <c r="D1040" t="s">
        <v>235</v>
      </c>
      <c r="F1040" t="s">
        <v>5770</v>
      </c>
      <c r="J1040" t="s">
        <v>5761</v>
      </c>
      <c r="K1040">
        <v>65</v>
      </c>
      <c r="L1040" t="str" cm="1">
        <f t="array" ref="L1040">_xlfn.IFS(
 K1040&lt;=50,"≤50",
 AND(K1040&gt;=51,K1040&lt;=100),"51–100",
 AND(K1040&gt;=101,K1040&lt;=250),"101–250",
 AND(K1040&gt;=251,K1040&lt;=500),"251–500",
 AND(K1040&gt;=501,K1040&lt;=1000),"501–1000",
 K1040&gt;=1001,"1001+"
)</f>
        <v>51–100</v>
      </c>
    </row>
    <row r="1041" spans="1:12" x14ac:dyDescent="0.3">
      <c r="A1041" t="s">
        <v>1988</v>
      </c>
      <c r="B1041" t="s">
        <v>9</v>
      </c>
      <c r="C1041" t="s">
        <v>5780</v>
      </c>
      <c r="D1041" t="s">
        <v>1989</v>
      </c>
      <c r="E1041" t="s">
        <v>15</v>
      </c>
      <c r="F1041" t="s">
        <v>5770</v>
      </c>
      <c r="J1041" t="s">
        <v>5737</v>
      </c>
      <c r="K1041">
        <v>65</v>
      </c>
      <c r="L1041" t="str" cm="1">
        <f t="array" ref="L1041">_xlfn.IFS(
 K1041&lt;=50,"≤50",
 AND(K1041&gt;=51,K1041&lt;=100),"51–100",
 AND(K1041&gt;=101,K1041&lt;=250),"101–250",
 AND(K1041&gt;=251,K1041&lt;=500),"251–500",
 AND(K1041&gt;=501,K1041&lt;=1000),"501–1000",
 K1041&gt;=1001,"1001+"
)</f>
        <v>51–100</v>
      </c>
    </row>
    <row r="1042" spans="1:12" x14ac:dyDescent="0.3">
      <c r="A1042" t="s">
        <v>1990</v>
      </c>
      <c r="B1042" t="s">
        <v>11</v>
      </c>
      <c r="C1042" t="s">
        <v>5776</v>
      </c>
      <c r="F1042" t="s">
        <v>5770</v>
      </c>
      <c r="J1042" t="s">
        <v>5737</v>
      </c>
      <c r="K1042">
        <v>65</v>
      </c>
      <c r="L1042" t="str" cm="1">
        <f t="array" ref="L1042">_xlfn.IFS(
 K1042&lt;=50,"≤50",
 AND(K1042&gt;=51,K1042&lt;=100),"51–100",
 AND(K1042&gt;=101,K1042&lt;=250),"101–250",
 AND(K1042&gt;=251,K1042&lt;=500),"251–500",
 AND(K1042&gt;=501,K1042&lt;=1000),"501–1000",
 K1042&gt;=1001,"1001+"
)</f>
        <v>51–100</v>
      </c>
    </row>
    <row r="1043" spans="1:12" x14ac:dyDescent="0.3">
      <c r="A1043" t="s">
        <v>1991</v>
      </c>
      <c r="B1043" t="s">
        <v>9</v>
      </c>
      <c r="C1043" t="s">
        <v>5780</v>
      </c>
      <c r="D1043" t="s">
        <v>1992</v>
      </c>
      <c r="E1043" t="s">
        <v>15</v>
      </c>
      <c r="F1043" t="s">
        <v>16</v>
      </c>
      <c r="G1043" t="s">
        <v>1993</v>
      </c>
      <c r="J1043" t="s">
        <v>5737</v>
      </c>
      <c r="K1043">
        <v>65</v>
      </c>
      <c r="L1043" t="str" cm="1">
        <f t="array" ref="L1043">_xlfn.IFS(
 K1043&lt;=50,"≤50",
 AND(K1043&gt;=51,K1043&lt;=100),"51–100",
 AND(K1043&gt;=101,K1043&lt;=250),"101–250",
 AND(K1043&gt;=251,K1043&lt;=500),"251–500",
 AND(K1043&gt;=501,K1043&lt;=1000),"501–1000",
 K1043&gt;=1001,"1001+"
)</f>
        <v>51–100</v>
      </c>
    </row>
    <row r="1044" spans="1:12" x14ac:dyDescent="0.3">
      <c r="A1044" t="s">
        <v>1994</v>
      </c>
      <c r="B1044" t="s">
        <v>13</v>
      </c>
      <c r="C1044" t="s">
        <v>5777</v>
      </c>
      <c r="D1044" t="s">
        <v>1995</v>
      </c>
      <c r="E1044" t="s">
        <v>15</v>
      </c>
      <c r="F1044" t="s">
        <v>16</v>
      </c>
      <c r="G1044" t="s">
        <v>1996</v>
      </c>
      <c r="J1044" t="s">
        <v>5751</v>
      </c>
      <c r="K1044">
        <v>65</v>
      </c>
      <c r="L1044" t="str" cm="1">
        <f t="array" ref="L1044">_xlfn.IFS(
 K1044&lt;=50,"≤50",
 AND(K1044&gt;=51,K1044&lt;=100),"51–100",
 AND(K1044&gt;=101,K1044&lt;=250),"101–250",
 AND(K1044&gt;=251,K1044&lt;=500),"251–500",
 AND(K1044&gt;=501,K1044&lt;=1000),"501–1000",
 K1044&gt;=1001,"1001+"
)</f>
        <v>51–100</v>
      </c>
    </row>
    <row r="1045" spans="1:12" x14ac:dyDescent="0.3">
      <c r="A1045" t="s">
        <v>1997</v>
      </c>
      <c r="B1045" t="s">
        <v>9</v>
      </c>
      <c r="C1045" t="s">
        <v>5780</v>
      </c>
      <c r="D1045" t="s">
        <v>51</v>
      </c>
      <c r="F1045" t="s">
        <v>5770</v>
      </c>
      <c r="J1045" t="s">
        <v>5737</v>
      </c>
      <c r="K1045">
        <v>65</v>
      </c>
      <c r="L1045" t="str" cm="1">
        <f t="array" ref="L1045">_xlfn.IFS(
 K1045&lt;=50,"≤50",
 AND(K1045&gt;=51,K1045&lt;=100),"51–100",
 AND(K1045&gt;=101,K1045&lt;=250),"101–250",
 AND(K1045&gt;=251,K1045&lt;=500),"251–500",
 AND(K1045&gt;=501,K1045&lt;=1000),"501–1000",
 K1045&gt;=1001,"1001+"
)</f>
        <v>51–100</v>
      </c>
    </row>
    <row r="1046" spans="1:12" x14ac:dyDescent="0.3">
      <c r="A1046" t="s">
        <v>1998</v>
      </c>
      <c r="B1046" t="s">
        <v>11</v>
      </c>
      <c r="C1046" t="s">
        <v>5776</v>
      </c>
      <c r="F1046" t="s">
        <v>5770</v>
      </c>
      <c r="J1046" t="s">
        <v>5737</v>
      </c>
      <c r="K1046">
        <v>65</v>
      </c>
      <c r="L1046" t="str" cm="1">
        <f t="array" ref="L1046">_xlfn.IFS(
 K1046&lt;=50,"≤50",
 AND(K1046&gt;=51,K1046&lt;=100),"51–100",
 AND(K1046&gt;=101,K1046&lt;=250),"101–250",
 AND(K1046&gt;=251,K1046&lt;=500),"251–500",
 AND(K1046&gt;=501,K1046&lt;=1000),"501–1000",
 K1046&gt;=1001,"1001+"
)</f>
        <v>51–100</v>
      </c>
    </row>
    <row r="1047" spans="1:12" x14ac:dyDescent="0.3">
      <c r="A1047" t="s">
        <v>1999</v>
      </c>
      <c r="B1047" t="s">
        <v>9</v>
      </c>
      <c r="C1047" t="s">
        <v>5780</v>
      </c>
      <c r="D1047" t="s">
        <v>2000</v>
      </c>
      <c r="F1047" t="s">
        <v>16</v>
      </c>
      <c r="G1047" t="s">
        <v>2001</v>
      </c>
      <c r="J1047" t="s">
        <v>5737</v>
      </c>
      <c r="K1047">
        <v>65</v>
      </c>
      <c r="L1047" t="str" cm="1">
        <f t="array" ref="L1047">_xlfn.IFS(
 K1047&lt;=50,"≤50",
 AND(K1047&gt;=51,K1047&lt;=100),"51–100",
 AND(K1047&gt;=101,K1047&lt;=250),"101–250",
 AND(K1047&gt;=251,K1047&lt;=500),"251–500",
 AND(K1047&gt;=501,K1047&lt;=1000),"501–1000",
 K1047&gt;=1001,"1001+"
)</f>
        <v>51–100</v>
      </c>
    </row>
    <row r="1048" spans="1:12" x14ac:dyDescent="0.3">
      <c r="A1048" t="s">
        <v>2002</v>
      </c>
      <c r="B1048" t="s">
        <v>13</v>
      </c>
      <c r="C1048" t="s">
        <v>5777</v>
      </c>
      <c r="D1048" t="s">
        <v>2003</v>
      </c>
      <c r="E1048" t="s">
        <v>15</v>
      </c>
      <c r="F1048" t="s">
        <v>54</v>
      </c>
      <c r="G1048" t="s">
        <v>2004</v>
      </c>
      <c r="J1048" t="s">
        <v>5746</v>
      </c>
      <c r="K1048">
        <v>65</v>
      </c>
      <c r="L1048" t="str" cm="1">
        <f t="array" ref="L1048">_xlfn.IFS(
 K1048&lt;=50,"≤50",
 AND(K1048&gt;=51,K1048&lt;=100),"51–100",
 AND(K1048&gt;=101,K1048&lt;=250),"101–250",
 AND(K1048&gt;=251,K1048&lt;=500),"251–500",
 AND(K1048&gt;=501,K1048&lt;=1000),"501–1000",
 K1048&gt;=1001,"1001+"
)</f>
        <v>51–100</v>
      </c>
    </row>
    <row r="1049" spans="1:12" x14ac:dyDescent="0.3">
      <c r="A1049" t="s">
        <v>2005</v>
      </c>
      <c r="B1049" t="s">
        <v>197</v>
      </c>
      <c r="C1049" t="s">
        <v>5774</v>
      </c>
      <c r="D1049" t="s">
        <v>2006</v>
      </c>
      <c r="E1049" t="s">
        <v>15</v>
      </c>
      <c r="F1049" t="s">
        <v>54</v>
      </c>
      <c r="G1049" t="s">
        <v>2007</v>
      </c>
      <c r="J1049" t="s">
        <v>5761</v>
      </c>
      <c r="K1049">
        <v>65</v>
      </c>
      <c r="L1049" t="str" cm="1">
        <f t="array" ref="L1049">_xlfn.IFS(
 K1049&lt;=50,"≤50",
 AND(K1049&gt;=51,K1049&lt;=100),"51–100",
 AND(K1049&gt;=101,K1049&lt;=250),"101–250",
 AND(K1049&gt;=251,K1049&lt;=500),"251–500",
 AND(K1049&gt;=501,K1049&lt;=1000),"501–1000",
 K1049&gt;=1001,"1001+"
)</f>
        <v>51–100</v>
      </c>
    </row>
    <row r="1050" spans="1:12" x14ac:dyDescent="0.3">
      <c r="A1050" t="s">
        <v>2008</v>
      </c>
      <c r="B1050" t="s">
        <v>11</v>
      </c>
      <c r="C1050" t="s">
        <v>5776</v>
      </c>
      <c r="F1050" t="s">
        <v>5770</v>
      </c>
      <c r="J1050" t="s">
        <v>5756</v>
      </c>
      <c r="K1050">
        <v>65</v>
      </c>
      <c r="L1050" t="str" cm="1">
        <f t="array" ref="L1050">_xlfn.IFS(
 K1050&lt;=50,"≤50",
 AND(K1050&gt;=51,K1050&lt;=100),"51–100",
 AND(K1050&gt;=101,K1050&lt;=250),"101–250",
 AND(K1050&gt;=251,K1050&lt;=500),"251–500",
 AND(K1050&gt;=501,K1050&lt;=1000),"501–1000",
 K1050&gt;=1001,"1001+"
)</f>
        <v>51–100</v>
      </c>
    </row>
    <row r="1051" spans="1:12" x14ac:dyDescent="0.3">
      <c r="A1051" t="s">
        <v>2009</v>
      </c>
      <c r="B1051" t="s">
        <v>11</v>
      </c>
      <c r="C1051" t="s">
        <v>5776</v>
      </c>
      <c r="F1051" t="s">
        <v>54</v>
      </c>
      <c r="G1051" t="s">
        <v>588</v>
      </c>
      <c r="J1051" t="s">
        <v>5737</v>
      </c>
      <c r="K1051">
        <v>65</v>
      </c>
      <c r="L1051" t="str" cm="1">
        <f t="array" ref="L1051">_xlfn.IFS(
 K1051&lt;=50,"≤50",
 AND(K1051&gt;=51,K1051&lt;=100),"51–100",
 AND(K1051&gt;=101,K1051&lt;=250),"101–250",
 AND(K1051&gt;=251,K1051&lt;=500),"251–500",
 AND(K1051&gt;=501,K1051&lt;=1000),"501–1000",
 K1051&gt;=1001,"1001+"
)</f>
        <v>51–100</v>
      </c>
    </row>
    <row r="1052" spans="1:12" x14ac:dyDescent="0.3">
      <c r="A1052" t="s">
        <v>2010</v>
      </c>
      <c r="B1052" t="s">
        <v>9</v>
      </c>
      <c r="C1052" t="s">
        <v>5780</v>
      </c>
      <c r="D1052" t="s">
        <v>2011</v>
      </c>
      <c r="E1052" t="s">
        <v>15</v>
      </c>
      <c r="F1052" t="s">
        <v>20</v>
      </c>
      <c r="G1052" t="s">
        <v>2012</v>
      </c>
      <c r="J1052" t="s">
        <v>5749</v>
      </c>
      <c r="K1052">
        <v>65</v>
      </c>
      <c r="L1052" t="str" cm="1">
        <f t="array" ref="L1052">_xlfn.IFS(
 K1052&lt;=50,"≤50",
 AND(K1052&gt;=51,K1052&lt;=100),"51–100",
 AND(K1052&gt;=101,K1052&lt;=250),"101–250",
 AND(K1052&gt;=251,K1052&lt;=500),"251–500",
 AND(K1052&gt;=501,K1052&lt;=1000),"501–1000",
 K1052&gt;=1001,"1001+"
)</f>
        <v>51–100</v>
      </c>
    </row>
    <row r="1053" spans="1:12" x14ac:dyDescent="0.3">
      <c r="A1053" t="s">
        <v>2013</v>
      </c>
      <c r="B1053" t="s">
        <v>11</v>
      </c>
      <c r="C1053" t="s">
        <v>5776</v>
      </c>
      <c r="F1053" t="s">
        <v>5770</v>
      </c>
      <c r="J1053" t="s">
        <v>5746</v>
      </c>
      <c r="K1053">
        <v>65</v>
      </c>
      <c r="L1053" t="str" cm="1">
        <f t="array" ref="L1053">_xlfn.IFS(
 K1053&lt;=50,"≤50",
 AND(K1053&gt;=51,K1053&lt;=100),"51–100",
 AND(K1053&gt;=101,K1053&lt;=250),"101–250",
 AND(K1053&gt;=251,K1053&lt;=500),"251–500",
 AND(K1053&gt;=501,K1053&lt;=1000),"501–1000",
 K1053&gt;=1001,"1001+"
)</f>
        <v>51–100</v>
      </c>
    </row>
    <row r="1054" spans="1:12" x14ac:dyDescent="0.3">
      <c r="A1054" t="s">
        <v>2014</v>
      </c>
      <c r="B1054" t="s">
        <v>9</v>
      </c>
      <c r="C1054" t="s">
        <v>5780</v>
      </c>
      <c r="D1054" t="s">
        <v>2015</v>
      </c>
      <c r="E1054" t="s">
        <v>15</v>
      </c>
      <c r="F1054" t="s">
        <v>16</v>
      </c>
      <c r="G1054" t="s">
        <v>2016</v>
      </c>
      <c r="J1054" t="s">
        <v>5745</v>
      </c>
      <c r="K1054">
        <v>65</v>
      </c>
      <c r="L1054" t="str" cm="1">
        <f t="array" ref="L1054">_xlfn.IFS(
 K1054&lt;=50,"≤50",
 AND(K1054&gt;=51,K1054&lt;=100),"51–100",
 AND(K1054&gt;=101,K1054&lt;=250),"101–250",
 AND(K1054&gt;=251,K1054&lt;=500),"251–500",
 AND(K1054&gt;=501,K1054&lt;=1000),"501–1000",
 K1054&gt;=1001,"1001+"
)</f>
        <v>51–100</v>
      </c>
    </row>
    <row r="1055" spans="1:12" x14ac:dyDescent="0.3">
      <c r="A1055" t="s">
        <v>2017</v>
      </c>
      <c r="B1055" t="s">
        <v>9</v>
      </c>
      <c r="C1055" t="s">
        <v>5780</v>
      </c>
      <c r="D1055" t="s">
        <v>28</v>
      </c>
      <c r="F1055" t="s">
        <v>5770</v>
      </c>
      <c r="J1055" t="s">
        <v>5738</v>
      </c>
      <c r="K1055">
        <v>65</v>
      </c>
      <c r="L1055" t="str" cm="1">
        <f t="array" ref="L1055">_xlfn.IFS(
 K1055&lt;=50,"≤50",
 AND(K1055&gt;=51,K1055&lt;=100),"51–100",
 AND(K1055&gt;=101,K1055&lt;=250),"101–250",
 AND(K1055&gt;=251,K1055&lt;=500),"251–500",
 AND(K1055&gt;=501,K1055&lt;=1000),"501–1000",
 K1055&gt;=1001,"1001+"
)</f>
        <v>51–100</v>
      </c>
    </row>
    <row r="1056" spans="1:12" x14ac:dyDescent="0.3">
      <c r="A1056" t="s">
        <v>2018</v>
      </c>
      <c r="B1056" t="s">
        <v>13</v>
      </c>
      <c r="C1056" t="s">
        <v>5777</v>
      </c>
      <c r="D1056" t="s">
        <v>2019</v>
      </c>
      <c r="F1056" t="s">
        <v>54</v>
      </c>
      <c r="G1056" t="s">
        <v>1036</v>
      </c>
      <c r="J1056" t="s">
        <v>5737</v>
      </c>
      <c r="K1056">
        <v>65</v>
      </c>
      <c r="L1056" t="str" cm="1">
        <f t="array" ref="L1056">_xlfn.IFS(
 K1056&lt;=50,"≤50",
 AND(K1056&gt;=51,K1056&lt;=100),"51–100",
 AND(K1056&gt;=101,K1056&lt;=250),"101–250",
 AND(K1056&gt;=251,K1056&lt;=500),"251–500",
 AND(K1056&gt;=501,K1056&lt;=1000),"501–1000",
 K1056&gt;=1001,"1001+"
)</f>
        <v>51–100</v>
      </c>
    </row>
    <row r="1057" spans="1:12" x14ac:dyDescent="0.3">
      <c r="A1057" t="s">
        <v>2020</v>
      </c>
      <c r="B1057" t="s">
        <v>197</v>
      </c>
      <c r="C1057" t="s">
        <v>5774</v>
      </c>
      <c r="D1057" t="s">
        <v>2021</v>
      </c>
      <c r="F1057" t="s">
        <v>5770</v>
      </c>
      <c r="J1057" t="s">
        <v>5751</v>
      </c>
      <c r="K1057">
        <v>65</v>
      </c>
      <c r="L1057" t="str" cm="1">
        <f t="array" ref="L1057">_xlfn.IFS(
 K1057&lt;=50,"≤50",
 AND(K1057&gt;=51,K1057&lt;=100),"51–100",
 AND(K1057&gt;=101,K1057&lt;=250),"101–250",
 AND(K1057&gt;=251,K1057&lt;=500),"251–500",
 AND(K1057&gt;=501,K1057&lt;=1000),"501–1000",
 K1057&gt;=1001,"1001+"
)</f>
        <v>51–100</v>
      </c>
    </row>
    <row r="1058" spans="1:12" x14ac:dyDescent="0.3">
      <c r="A1058" t="s">
        <v>2022</v>
      </c>
      <c r="B1058" t="s">
        <v>9</v>
      </c>
      <c r="C1058" t="s">
        <v>5780</v>
      </c>
      <c r="D1058" t="s">
        <v>2023</v>
      </c>
      <c r="E1058" t="s">
        <v>15</v>
      </c>
      <c r="F1058" t="s">
        <v>20</v>
      </c>
      <c r="G1058" t="s">
        <v>2024</v>
      </c>
      <c r="J1058" t="s">
        <v>5754</v>
      </c>
      <c r="K1058">
        <v>65</v>
      </c>
      <c r="L1058" t="str" cm="1">
        <f t="array" ref="L1058">_xlfn.IFS(
 K1058&lt;=50,"≤50",
 AND(K1058&gt;=51,K1058&lt;=100),"51–100",
 AND(K1058&gt;=101,K1058&lt;=250),"101–250",
 AND(K1058&gt;=251,K1058&lt;=500),"251–500",
 AND(K1058&gt;=501,K1058&lt;=1000),"501–1000",
 K1058&gt;=1001,"1001+"
)</f>
        <v>51–100</v>
      </c>
    </row>
    <row r="1059" spans="1:12" x14ac:dyDescent="0.3">
      <c r="A1059" t="s">
        <v>2025</v>
      </c>
      <c r="B1059" t="s">
        <v>13</v>
      </c>
      <c r="C1059" t="s">
        <v>5777</v>
      </c>
      <c r="D1059" t="s">
        <v>2026</v>
      </c>
      <c r="E1059" t="s">
        <v>15</v>
      </c>
      <c r="F1059" t="s">
        <v>16</v>
      </c>
      <c r="G1059" t="s">
        <v>138</v>
      </c>
      <c r="J1059" t="s">
        <v>5737</v>
      </c>
      <c r="K1059">
        <v>65</v>
      </c>
      <c r="L1059" t="str" cm="1">
        <f t="array" ref="L1059">_xlfn.IFS(
 K1059&lt;=50,"≤50",
 AND(K1059&gt;=51,K1059&lt;=100),"51–100",
 AND(K1059&gt;=101,K1059&lt;=250),"101–250",
 AND(K1059&gt;=251,K1059&lt;=500),"251–500",
 AND(K1059&gt;=501,K1059&lt;=1000),"501–1000",
 K1059&gt;=1001,"1001+"
)</f>
        <v>51–100</v>
      </c>
    </row>
    <row r="1060" spans="1:12" x14ac:dyDescent="0.3">
      <c r="A1060" t="s">
        <v>2027</v>
      </c>
      <c r="B1060" t="s">
        <v>9</v>
      </c>
      <c r="C1060" t="s">
        <v>5780</v>
      </c>
      <c r="D1060" t="s">
        <v>28</v>
      </c>
      <c r="E1060" t="s">
        <v>15</v>
      </c>
      <c r="F1060" t="s">
        <v>5770</v>
      </c>
      <c r="J1060" t="s">
        <v>5744</v>
      </c>
      <c r="K1060">
        <v>65</v>
      </c>
      <c r="L1060" t="str" cm="1">
        <f t="array" ref="L1060">_xlfn.IFS(
 K1060&lt;=50,"≤50",
 AND(K1060&gt;=51,K1060&lt;=100),"51–100",
 AND(K1060&gt;=101,K1060&lt;=250),"101–250",
 AND(K1060&gt;=251,K1060&lt;=500),"251–500",
 AND(K1060&gt;=501,K1060&lt;=1000),"501–1000",
 K1060&gt;=1001,"1001+"
)</f>
        <v>51–100</v>
      </c>
    </row>
    <row r="1061" spans="1:12" x14ac:dyDescent="0.3">
      <c r="A1061" t="s">
        <v>2028</v>
      </c>
      <c r="B1061" t="s">
        <v>9</v>
      </c>
      <c r="C1061" t="s">
        <v>5780</v>
      </c>
      <c r="D1061" t="s">
        <v>2029</v>
      </c>
      <c r="E1061" t="s">
        <v>15</v>
      </c>
      <c r="F1061" t="s">
        <v>54</v>
      </c>
      <c r="G1061" t="s">
        <v>2030</v>
      </c>
      <c r="J1061" t="s">
        <v>5737</v>
      </c>
      <c r="K1061">
        <v>65</v>
      </c>
      <c r="L1061" t="str" cm="1">
        <f t="array" ref="L1061">_xlfn.IFS(
 K1061&lt;=50,"≤50",
 AND(K1061&gt;=51,K1061&lt;=100),"51–100",
 AND(K1061&gt;=101,K1061&lt;=250),"101–250",
 AND(K1061&gt;=251,K1061&lt;=500),"251–500",
 AND(K1061&gt;=501,K1061&lt;=1000),"501–1000",
 K1061&gt;=1001,"1001+"
)</f>
        <v>51–100</v>
      </c>
    </row>
    <row r="1062" spans="1:12" x14ac:dyDescent="0.3">
      <c r="A1062" t="s">
        <v>2031</v>
      </c>
      <c r="B1062" t="s">
        <v>11</v>
      </c>
      <c r="C1062" t="s">
        <v>5776</v>
      </c>
      <c r="F1062" t="s">
        <v>5770</v>
      </c>
      <c r="J1062" t="s">
        <v>5738</v>
      </c>
      <c r="K1062">
        <v>65</v>
      </c>
      <c r="L1062" t="str" cm="1">
        <f t="array" ref="L1062">_xlfn.IFS(
 K1062&lt;=50,"≤50",
 AND(K1062&gt;=51,K1062&lt;=100),"51–100",
 AND(K1062&gt;=101,K1062&lt;=250),"101–250",
 AND(K1062&gt;=251,K1062&lt;=500),"251–500",
 AND(K1062&gt;=501,K1062&lt;=1000),"501–1000",
 K1062&gt;=1001,"1001+"
)</f>
        <v>51–100</v>
      </c>
    </row>
    <row r="1063" spans="1:12" x14ac:dyDescent="0.3">
      <c r="A1063" t="s">
        <v>2032</v>
      </c>
      <c r="B1063" t="s">
        <v>13</v>
      </c>
      <c r="C1063" t="s">
        <v>5777</v>
      </c>
      <c r="D1063" t="s">
        <v>112</v>
      </c>
      <c r="E1063" t="s">
        <v>15</v>
      </c>
      <c r="F1063" t="s">
        <v>16</v>
      </c>
      <c r="G1063" t="s">
        <v>2033</v>
      </c>
      <c r="J1063" t="s">
        <v>5737</v>
      </c>
      <c r="K1063">
        <v>65</v>
      </c>
      <c r="L1063" t="str" cm="1">
        <f t="array" ref="L1063">_xlfn.IFS(
 K1063&lt;=50,"≤50",
 AND(K1063&gt;=51,K1063&lt;=100),"51–100",
 AND(K1063&gt;=101,K1063&lt;=250),"101–250",
 AND(K1063&gt;=251,K1063&lt;=500),"251–500",
 AND(K1063&gt;=501,K1063&lt;=1000),"501–1000",
 K1063&gt;=1001,"1001+"
)</f>
        <v>51–100</v>
      </c>
    </row>
    <row r="1064" spans="1:12" x14ac:dyDescent="0.3">
      <c r="A1064" t="s">
        <v>2034</v>
      </c>
      <c r="B1064" t="s">
        <v>9</v>
      </c>
      <c r="C1064" t="s">
        <v>5780</v>
      </c>
      <c r="D1064" t="s">
        <v>2035</v>
      </c>
      <c r="E1064" t="s">
        <v>15</v>
      </c>
      <c r="F1064" t="s">
        <v>5770</v>
      </c>
      <c r="J1064" t="s">
        <v>5741</v>
      </c>
      <c r="K1064">
        <v>65</v>
      </c>
      <c r="L1064" t="str" cm="1">
        <f t="array" ref="L1064">_xlfn.IFS(
 K1064&lt;=50,"≤50",
 AND(K1064&gt;=51,K1064&lt;=100),"51–100",
 AND(K1064&gt;=101,K1064&lt;=250),"101–250",
 AND(K1064&gt;=251,K1064&lt;=500),"251–500",
 AND(K1064&gt;=501,K1064&lt;=1000),"501–1000",
 K1064&gt;=1001,"1001+"
)</f>
        <v>51–100</v>
      </c>
    </row>
    <row r="1065" spans="1:12" x14ac:dyDescent="0.3">
      <c r="A1065" t="s">
        <v>2036</v>
      </c>
      <c r="B1065" t="s">
        <v>9</v>
      </c>
      <c r="C1065" t="s">
        <v>5780</v>
      </c>
      <c r="D1065" t="s">
        <v>28</v>
      </c>
      <c r="F1065" t="s">
        <v>5770</v>
      </c>
      <c r="J1065" t="s">
        <v>5744</v>
      </c>
      <c r="K1065">
        <v>65</v>
      </c>
      <c r="L1065" t="str" cm="1">
        <f t="array" ref="L1065">_xlfn.IFS(
 K1065&lt;=50,"≤50",
 AND(K1065&gt;=51,K1065&lt;=100),"51–100",
 AND(K1065&gt;=101,K1065&lt;=250),"101–250",
 AND(K1065&gt;=251,K1065&lt;=500),"251–500",
 AND(K1065&gt;=501,K1065&lt;=1000),"501–1000",
 K1065&gt;=1001,"1001+"
)</f>
        <v>51–100</v>
      </c>
    </row>
    <row r="1066" spans="1:12" x14ac:dyDescent="0.3">
      <c r="A1066" t="s">
        <v>2037</v>
      </c>
      <c r="B1066" t="s">
        <v>9</v>
      </c>
      <c r="C1066" t="s">
        <v>5780</v>
      </c>
      <c r="D1066" t="s">
        <v>28</v>
      </c>
      <c r="F1066" t="s">
        <v>5770</v>
      </c>
      <c r="J1066" t="s">
        <v>5744</v>
      </c>
      <c r="K1066">
        <v>65</v>
      </c>
      <c r="L1066" t="str" cm="1">
        <f t="array" ref="L1066">_xlfn.IFS(
 K1066&lt;=50,"≤50",
 AND(K1066&gt;=51,K1066&lt;=100),"51–100",
 AND(K1066&gt;=101,K1066&lt;=250),"101–250",
 AND(K1066&gt;=251,K1066&lt;=500),"251–500",
 AND(K1066&gt;=501,K1066&lt;=1000),"501–1000",
 K1066&gt;=1001,"1001+"
)</f>
        <v>51–100</v>
      </c>
    </row>
    <row r="1067" spans="1:12" x14ac:dyDescent="0.3">
      <c r="A1067" t="s">
        <v>2038</v>
      </c>
      <c r="B1067" t="s">
        <v>9</v>
      </c>
      <c r="C1067" t="s">
        <v>5780</v>
      </c>
      <c r="D1067" t="s">
        <v>2039</v>
      </c>
      <c r="E1067" t="s">
        <v>15</v>
      </c>
      <c r="F1067" t="s">
        <v>5770</v>
      </c>
      <c r="J1067" t="s">
        <v>5753</v>
      </c>
      <c r="K1067">
        <v>65</v>
      </c>
      <c r="L1067" t="str" cm="1">
        <f t="array" ref="L1067">_xlfn.IFS(
 K1067&lt;=50,"≤50",
 AND(K1067&gt;=51,K1067&lt;=100),"51–100",
 AND(K1067&gt;=101,K1067&lt;=250),"101–250",
 AND(K1067&gt;=251,K1067&lt;=500),"251–500",
 AND(K1067&gt;=501,K1067&lt;=1000),"501–1000",
 K1067&gt;=1001,"1001+"
)</f>
        <v>51–100</v>
      </c>
    </row>
    <row r="1068" spans="1:12" x14ac:dyDescent="0.3">
      <c r="A1068" t="s">
        <v>2040</v>
      </c>
      <c r="B1068" t="s">
        <v>9</v>
      </c>
      <c r="C1068" t="s">
        <v>5780</v>
      </c>
      <c r="D1068" t="s">
        <v>2041</v>
      </c>
      <c r="F1068" t="s">
        <v>20</v>
      </c>
      <c r="G1068" t="s">
        <v>2042</v>
      </c>
      <c r="J1068" t="s">
        <v>5749</v>
      </c>
      <c r="K1068">
        <v>65</v>
      </c>
      <c r="L1068" t="str" cm="1">
        <f t="array" ref="L1068">_xlfn.IFS(
 K1068&lt;=50,"≤50",
 AND(K1068&gt;=51,K1068&lt;=100),"51–100",
 AND(K1068&gt;=101,K1068&lt;=250),"101–250",
 AND(K1068&gt;=251,K1068&lt;=500),"251–500",
 AND(K1068&gt;=501,K1068&lt;=1000),"501–1000",
 K1068&gt;=1001,"1001+"
)</f>
        <v>51–100</v>
      </c>
    </row>
    <row r="1069" spans="1:12" x14ac:dyDescent="0.3">
      <c r="A1069" t="s">
        <v>2043</v>
      </c>
      <c r="B1069" t="s">
        <v>9</v>
      </c>
      <c r="C1069" t="s">
        <v>5780</v>
      </c>
      <c r="D1069" t="s">
        <v>28</v>
      </c>
      <c r="E1069" t="s">
        <v>15</v>
      </c>
      <c r="F1069" t="s">
        <v>20</v>
      </c>
      <c r="G1069" t="s">
        <v>21</v>
      </c>
      <c r="J1069" t="s">
        <v>5758</v>
      </c>
      <c r="K1069">
        <v>65</v>
      </c>
      <c r="L1069" t="str" cm="1">
        <f t="array" ref="L1069">_xlfn.IFS(
 K1069&lt;=50,"≤50",
 AND(K1069&gt;=51,K1069&lt;=100),"51–100",
 AND(K1069&gt;=101,K1069&lt;=250),"101–250",
 AND(K1069&gt;=251,K1069&lt;=500),"251–500",
 AND(K1069&gt;=501,K1069&lt;=1000),"501–1000",
 K1069&gt;=1001,"1001+"
)</f>
        <v>51–100</v>
      </c>
    </row>
    <row r="1070" spans="1:12" x14ac:dyDescent="0.3">
      <c r="A1070" t="s">
        <v>2044</v>
      </c>
      <c r="B1070" t="s">
        <v>9</v>
      </c>
      <c r="C1070" t="s">
        <v>5780</v>
      </c>
      <c r="D1070" t="s">
        <v>28</v>
      </c>
      <c r="F1070" t="s">
        <v>5770</v>
      </c>
      <c r="J1070" t="s">
        <v>5754</v>
      </c>
      <c r="K1070">
        <v>65</v>
      </c>
      <c r="L1070" t="str" cm="1">
        <f t="array" ref="L1070">_xlfn.IFS(
 K1070&lt;=50,"≤50",
 AND(K1070&gt;=51,K1070&lt;=100),"51–100",
 AND(K1070&gt;=101,K1070&lt;=250),"101–250",
 AND(K1070&gt;=251,K1070&lt;=500),"251–500",
 AND(K1070&gt;=501,K1070&lt;=1000),"501–1000",
 K1070&gt;=1001,"1001+"
)</f>
        <v>51–100</v>
      </c>
    </row>
    <row r="1071" spans="1:12" x14ac:dyDescent="0.3">
      <c r="A1071" t="s">
        <v>2045</v>
      </c>
      <c r="B1071" t="s">
        <v>13</v>
      </c>
      <c r="C1071" t="s">
        <v>5777</v>
      </c>
      <c r="D1071" t="s">
        <v>2046</v>
      </c>
      <c r="E1071" t="s">
        <v>15</v>
      </c>
      <c r="F1071" t="s">
        <v>54</v>
      </c>
      <c r="G1071" t="s">
        <v>2047</v>
      </c>
      <c r="J1071" t="s">
        <v>5737</v>
      </c>
      <c r="K1071">
        <v>65</v>
      </c>
      <c r="L1071" t="str" cm="1">
        <f t="array" ref="L1071">_xlfn.IFS(
 K1071&lt;=50,"≤50",
 AND(K1071&gt;=51,K1071&lt;=100),"51–100",
 AND(K1071&gt;=101,K1071&lt;=250),"101–250",
 AND(K1071&gt;=251,K1071&lt;=500),"251–500",
 AND(K1071&gt;=501,K1071&lt;=1000),"501–1000",
 K1071&gt;=1001,"1001+"
)</f>
        <v>51–100</v>
      </c>
    </row>
    <row r="1072" spans="1:12" x14ac:dyDescent="0.3">
      <c r="A1072" t="s">
        <v>2048</v>
      </c>
      <c r="B1072" t="s">
        <v>11</v>
      </c>
      <c r="C1072" t="s">
        <v>5776</v>
      </c>
      <c r="F1072" t="s">
        <v>5770</v>
      </c>
      <c r="J1072" t="s">
        <v>5737</v>
      </c>
      <c r="K1072">
        <v>65</v>
      </c>
      <c r="L1072" t="str" cm="1">
        <f t="array" ref="L1072">_xlfn.IFS(
 K1072&lt;=50,"≤50",
 AND(K1072&gt;=51,K1072&lt;=100),"51–100",
 AND(K1072&gt;=101,K1072&lt;=250),"101–250",
 AND(K1072&gt;=251,K1072&lt;=500),"251–500",
 AND(K1072&gt;=501,K1072&lt;=1000),"501–1000",
 K1072&gt;=1001,"1001+"
)</f>
        <v>51–100</v>
      </c>
    </row>
    <row r="1073" spans="1:12" x14ac:dyDescent="0.3">
      <c r="A1073" t="s">
        <v>2049</v>
      </c>
      <c r="B1073" t="s">
        <v>13</v>
      </c>
      <c r="C1073" t="s">
        <v>5777</v>
      </c>
      <c r="D1073" t="s">
        <v>2050</v>
      </c>
      <c r="E1073" t="s">
        <v>15</v>
      </c>
      <c r="F1073" t="s">
        <v>54</v>
      </c>
      <c r="G1073" t="s">
        <v>1036</v>
      </c>
      <c r="H1073" t="s">
        <v>15</v>
      </c>
      <c r="I1073" t="s">
        <v>2051</v>
      </c>
      <c r="J1073" t="s">
        <v>5737</v>
      </c>
      <c r="K1073">
        <v>65</v>
      </c>
      <c r="L1073" t="str" cm="1">
        <f t="array" ref="L1073">_xlfn.IFS(
 K1073&lt;=50,"≤50",
 AND(K1073&gt;=51,K1073&lt;=100),"51–100",
 AND(K1073&gt;=101,K1073&lt;=250),"101–250",
 AND(K1073&gt;=251,K1073&lt;=500),"251–500",
 AND(K1073&gt;=501,K1073&lt;=1000),"501–1000",
 K1073&gt;=1001,"1001+"
)</f>
        <v>51–100</v>
      </c>
    </row>
    <row r="1074" spans="1:12" x14ac:dyDescent="0.3">
      <c r="A1074" t="s">
        <v>2052</v>
      </c>
      <c r="B1074" t="s">
        <v>13</v>
      </c>
      <c r="C1074" t="s">
        <v>5777</v>
      </c>
      <c r="D1074" t="s">
        <v>2053</v>
      </c>
      <c r="F1074" t="s">
        <v>54</v>
      </c>
      <c r="G1074" t="s">
        <v>2054</v>
      </c>
      <c r="J1074" t="s">
        <v>5737</v>
      </c>
      <c r="K1074">
        <v>65</v>
      </c>
      <c r="L1074" t="str" cm="1">
        <f t="array" ref="L1074">_xlfn.IFS(
 K1074&lt;=50,"≤50",
 AND(K1074&gt;=51,K1074&lt;=100),"51–100",
 AND(K1074&gt;=101,K1074&lt;=250),"101–250",
 AND(K1074&gt;=251,K1074&lt;=500),"251–500",
 AND(K1074&gt;=501,K1074&lt;=1000),"501–1000",
 K1074&gt;=1001,"1001+"
)</f>
        <v>51–100</v>
      </c>
    </row>
    <row r="1075" spans="1:12" x14ac:dyDescent="0.3">
      <c r="A1075" t="s">
        <v>2055</v>
      </c>
      <c r="B1075" t="s">
        <v>9</v>
      </c>
      <c r="C1075" t="s">
        <v>5780</v>
      </c>
      <c r="D1075" t="s">
        <v>2056</v>
      </c>
      <c r="E1075" t="s">
        <v>15</v>
      </c>
      <c r="F1075" t="s">
        <v>54</v>
      </c>
      <c r="G1075" t="s">
        <v>1284</v>
      </c>
      <c r="J1075" t="s">
        <v>5737</v>
      </c>
      <c r="K1075">
        <v>65</v>
      </c>
      <c r="L1075" t="str" cm="1">
        <f t="array" ref="L1075">_xlfn.IFS(
 K1075&lt;=50,"≤50",
 AND(K1075&gt;=51,K1075&lt;=100),"51–100",
 AND(K1075&gt;=101,K1075&lt;=250),"101–250",
 AND(K1075&gt;=251,K1075&lt;=500),"251–500",
 AND(K1075&gt;=501,K1075&lt;=1000),"501–1000",
 K1075&gt;=1001,"1001+"
)</f>
        <v>51–100</v>
      </c>
    </row>
    <row r="1076" spans="1:12" x14ac:dyDescent="0.3">
      <c r="A1076" t="s">
        <v>2057</v>
      </c>
      <c r="B1076" t="s">
        <v>13</v>
      </c>
      <c r="C1076" t="s">
        <v>5777</v>
      </c>
      <c r="D1076" t="s">
        <v>2058</v>
      </c>
      <c r="E1076" t="s">
        <v>15</v>
      </c>
      <c r="F1076" t="s">
        <v>5770</v>
      </c>
      <c r="J1076" t="s">
        <v>5755</v>
      </c>
      <c r="K1076">
        <v>65</v>
      </c>
      <c r="L1076" t="str" cm="1">
        <f t="array" ref="L1076">_xlfn.IFS(
 K1076&lt;=50,"≤50",
 AND(K1076&gt;=51,K1076&lt;=100),"51–100",
 AND(K1076&gt;=101,K1076&lt;=250),"101–250",
 AND(K1076&gt;=251,K1076&lt;=500),"251–500",
 AND(K1076&gt;=501,K1076&lt;=1000),"501–1000",
 K1076&gt;=1001,"1001+"
)</f>
        <v>51–100</v>
      </c>
    </row>
    <row r="1077" spans="1:12" x14ac:dyDescent="0.3">
      <c r="A1077" t="s">
        <v>2059</v>
      </c>
      <c r="B1077" t="s">
        <v>9</v>
      </c>
      <c r="C1077" t="s">
        <v>5780</v>
      </c>
      <c r="D1077" t="s">
        <v>2060</v>
      </c>
      <c r="F1077" t="s">
        <v>5770</v>
      </c>
      <c r="J1077" t="s">
        <v>5737</v>
      </c>
      <c r="K1077">
        <v>65</v>
      </c>
      <c r="L1077" t="str" cm="1">
        <f t="array" ref="L1077">_xlfn.IFS(
 K1077&lt;=50,"≤50",
 AND(K1077&gt;=51,K1077&lt;=100),"51–100",
 AND(K1077&gt;=101,K1077&lt;=250),"101–250",
 AND(K1077&gt;=251,K1077&lt;=500),"251–500",
 AND(K1077&gt;=501,K1077&lt;=1000),"501–1000",
 K1077&gt;=1001,"1001+"
)</f>
        <v>51–100</v>
      </c>
    </row>
    <row r="1078" spans="1:12" x14ac:dyDescent="0.3">
      <c r="A1078" t="s">
        <v>2061</v>
      </c>
      <c r="B1078" t="s">
        <v>13</v>
      </c>
      <c r="C1078" t="s">
        <v>5777</v>
      </c>
      <c r="D1078" t="s">
        <v>2062</v>
      </c>
      <c r="F1078" t="s">
        <v>5770</v>
      </c>
      <c r="J1078" t="s">
        <v>5738</v>
      </c>
      <c r="K1078">
        <v>65</v>
      </c>
      <c r="L1078" t="str" cm="1">
        <f t="array" ref="L1078">_xlfn.IFS(
 K1078&lt;=50,"≤50",
 AND(K1078&gt;=51,K1078&lt;=100),"51–100",
 AND(K1078&gt;=101,K1078&lt;=250),"101–250",
 AND(K1078&gt;=251,K1078&lt;=500),"251–500",
 AND(K1078&gt;=501,K1078&lt;=1000),"501–1000",
 K1078&gt;=1001,"1001+"
)</f>
        <v>51–100</v>
      </c>
    </row>
    <row r="1079" spans="1:12" x14ac:dyDescent="0.3">
      <c r="A1079" t="s">
        <v>2063</v>
      </c>
      <c r="B1079" t="s">
        <v>11</v>
      </c>
      <c r="C1079" t="s">
        <v>5776</v>
      </c>
      <c r="F1079" t="s">
        <v>5770</v>
      </c>
      <c r="J1079" t="s">
        <v>5737</v>
      </c>
      <c r="K1079">
        <v>65</v>
      </c>
      <c r="L1079" t="str" cm="1">
        <f t="array" ref="L1079">_xlfn.IFS(
 K1079&lt;=50,"≤50",
 AND(K1079&gt;=51,K1079&lt;=100),"51–100",
 AND(K1079&gt;=101,K1079&lt;=250),"101–250",
 AND(K1079&gt;=251,K1079&lt;=500),"251–500",
 AND(K1079&gt;=501,K1079&lt;=1000),"501–1000",
 K1079&gt;=1001,"1001+"
)</f>
        <v>51–100</v>
      </c>
    </row>
    <row r="1080" spans="1:12" x14ac:dyDescent="0.3">
      <c r="A1080" t="s">
        <v>2064</v>
      </c>
      <c r="B1080" t="s">
        <v>11</v>
      </c>
      <c r="C1080" t="s">
        <v>5776</v>
      </c>
      <c r="F1080" t="s">
        <v>5770</v>
      </c>
      <c r="J1080" t="s">
        <v>5737</v>
      </c>
      <c r="K1080">
        <v>65</v>
      </c>
      <c r="L1080" t="str" cm="1">
        <f t="array" ref="L1080">_xlfn.IFS(
 K1080&lt;=50,"≤50",
 AND(K1080&gt;=51,K1080&lt;=100),"51–100",
 AND(K1080&gt;=101,K1080&lt;=250),"101–250",
 AND(K1080&gt;=251,K1080&lt;=500),"251–500",
 AND(K1080&gt;=501,K1080&lt;=1000),"501–1000",
 K1080&gt;=1001,"1001+"
)</f>
        <v>51–100</v>
      </c>
    </row>
    <row r="1081" spans="1:12" x14ac:dyDescent="0.3">
      <c r="A1081" t="s">
        <v>2065</v>
      </c>
      <c r="B1081" t="s">
        <v>9</v>
      </c>
      <c r="C1081" t="s">
        <v>5780</v>
      </c>
      <c r="D1081" t="s">
        <v>2066</v>
      </c>
      <c r="E1081" t="s">
        <v>15</v>
      </c>
      <c r="F1081" t="s">
        <v>54</v>
      </c>
      <c r="G1081" t="s">
        <v>2067</v>
      </c>
      <c r="J1081" t="s">
        <v>5738</v>
      </c>
      <c r="K1081">
        <v>65</v>
      </c>
      <c r="L1081" t="str" cm="1">
        <f t="array" ref="L1081">_xlfn.IFS(
 K1081&lt;=50,"≤50",
 AND(K1081&gt;=51,K1081&lt;=100),"51–100",
 AND(K1081&gt;=101,K1081&lt;=250),"101–250",
 AND(K1081&gt;=251,K1081&lt;=500),"251–500",
 AND(K1081&gt;=501,K1081&lt;=1000),"501–1000",
 K1081&gt;=1001,"1001+"
)</f>
        <v>51–100</v>
      </c>
    </row>
    <row r="1082" spans="1:12" x14ac:dyDescent="0.3">
      <c r="A1082" t="s">
        <v>2068</v>
      </c>
      <c r="B1082" t="s">
        <v>11</v>
      </c>
      <c r="C1082" t="s">
        <v>5776</v>
      </c>
      <c r="F1082" t="s">
        <v>5770</v>
      </c>
      <c r="J1082" t="s">
        <v>5754</v>
      </c>
      <c r="K1082">
        <v>65</v>
      </c>
      <c r="L1082" t="str" cm="1">
        <f t="array" ref="L1082">_xlfn.IFS(
 K1082&lt;=50,"≤50",
 AND(K1082&gt;=51,K1082&lt;=100),"51–100",
 AND(K1082&gt;=101,K1082&lt;=250),"101–250",
 AND(K1082&gt;=251,K1082&lt;=500),"251–500",
 AND(K1082&gt;=501,K1082&lt;=1000),"501–1000",
 K1082&gt;=1001,"1001+"
)</f>
        <v>51–100</v>
      </c>
    </row>
    <row r="1083" spans="1:12" x14ac:dyDescent="0.3">
      <c r="A1083" t="s">
        <v>2069</v>
      </c>
      <c r="B1083" t="s">
        <v>9</v>
      </c>
      <c r="C1083" t="s">
        <v>5780</v>
      </c>
      <c r="D1083" t="s">
        <v>2070</v>
      </c>
      <c r="E1083" t="s">
        <v>15</v>
      </c>
      <c r="F1083" t="s">
        <v>16</v>
      </c>
      <c r="G1083" t="s">
        <v>2071</v>
      </c>
      <c r="J1083" t="s">
        <v>5747</v>
      </c>
      <c r="K1083">
        <v>66</v>
      </c>
      <c r="L1083" t="str" cm="1">
        <f t="array" ref="L1083">_xlfn.IFS(
 K1083&lt;=50,"≤50",
 AND(K1083&gt;=51,K1083&lt;=100),"51–100",
 AND(K1083&gt;=101,K1083&lt;=250),"101–250",
 AND(K1083&gt;=251,K1083&lt;=500),"251–500",
 AND(K1083&gt;=501,K1083&lt;=1000),"501–1000",
 K1083&gt;=1001,"1001+"
)</f>
        <v>51–100</v>
      </c>
    </row>
    <row r="1084" spans="1:12" x14ac:dyDescent="0.3">
      <c r="A1084" t="s">
        <v>2072</v>
      </c>
      <c r="B1084" t="s">
        <v>9</v>
      </c>
      <c r="C1084" t="s">
        <v>5780</v>
      </c>
      <c r="D1084" t="s">
        <v>28</v>
      </c>
      <c r="F1084" t="s">
        <v>5770</v>
      </c>
      <c r="J1084" t="s">
        <v>5760</v>
      </c>
      <c r="K1084">
        <v>66</v>
      </c>
      <c r="L1084" t="str" cm="1">
        <f t="array" ref="L1084">_xlfn.IFS(
 K1084&lt;=50,"≤50",
 AND(K1084&gt;=51,K1084&lt;=100),"51–100",
 AND(K1084&gt;=101,K1084&lt;=250),"101–250",
 AND(K1084&gt;=251,K1084&lt;=500),"251–500",
 AND(K1084&gt;=501,K1084&lt;=1000),"501–1000",
 K1084&gt;=1001,"1001+"
)</f>
        <v>51–100</v>
      </c>
    </row>
    <row r="1085" spans="1:12" x14ac:dyDescent="0.3">
      <c r="A1085" t="s">
        <v>2073</v>
      </c>
      <c r="B1085" t="s">
        <v>11</v>
      </c>
      <c r="C1085" t="s">
        <v>5776</v>
      </c>
      <c r="F1085" t="s">
        <v>5770</v>
      </c>
      <c r="J1085" t="s">
        <v>5737</v>
      </c>
      <c r="K1085">
        <v>66</v>
      </c>
      <c r="L1085" t="str" cm="1">
        <f t="array" ref="L1085">_xlfn.IFS(
 K1085&lt;=50,"≤50",
 AND(K1085&gt;=51,K1085&lt;=100),"51–100",
 AND(K1085&gt;=101,K1085&lt;=250),"101–250",
 AND(K1085&gt;=251,K1085&lt;=500),"251–500",
 AND(K1085&gt;=501,K1085&lt;=1000),"501–1000",
 K1085&gt;=1001,"1001+"
)</f>
        <v>51–100</v>
      </c>
    </row>
    <row r="1086" spans="1:12" x14ac:dyDescent="0.3">
      <c r="A1086" t="s">
        <v>2074</v>
      </c>
      <c r="B1086" t="s">
        <v>13</v>
      </c>
      <c r="C1086" t="s">
        <v>5777</v>
      </c>
      <c r="D1086" t="s">
        <v>2075</v>
      </c>
      <c r="E1086" t="s">
        <v>15</v>
      </c>
      <c r="F1086" t="s">
        <v>16</v>
      </c>
      <c r="G1086" t="s">
        <v>2076</v>
      </c>
      <c r="J1086" t="s">
        <v>5737</v>
      </c>
      <c r="K1086">
        <v>66</v>
      </c>
      <c r="L1086" t="str" cm="1">
        <f t="array" ref="L1086">_xlfn.IFS(
 K1086&lt;=50,"≤50",
 AND(K1086&gt;=51,K1086&lt;=100),"51–100",
 AND(K1086&gt;=101,K1086&lt;=250),"101–250",
 AND(K1086&gt;=251,K1086&lt;=500),"251–500",
 AND(K1086&gt;=501,K1086&lt;=1000),"501–1000",
 K1086&gt;=1001,"1001+"
)</f>
        <v>51–100</v>
      </c>
    </row>
    <row r="1087" spans="1:12" x14ac:dyDescent="0.3">
      <c r="A1087" t="s">
        <v>2077</v>
      </c>
      <c r="B1087" t="s">
        <v>11</v>
      </c>
      <c r="C1087" t="s">
        <v>5776</v>
      </c>
      <c r="F1087" t="s">
        <v>5770</v>
      </c>
      <c r="J1087" t="s">
        <v>5738</v>
      </c>
      <c r="K1087">
        <v>66</v>
      </c>
      <c r="L1087" t="str" cm="1">
        <f t="array" ref="L1087">_xlfn.IFS(
 K1087&lt;=50,"≤50",
 AND(K1087&gt;=51,K1087&lt;=100),"51–100",
 AND(K1087&gt;=101,K1087&lt;=250),"101–250",
 AND(K1087&gt;=251,K1087&lt;=500),"251–500",
 AND(K1087&gt;=501,K1087&lt;=1000),"501–1000",
 K1087&gt;=1001,"1001+"
)</f>
        <v>51–100</v>
      </c>
    </row>
    <row r="1088" spans="1:12" x14ac:dyDescent="0.3">
      <c r="A1088" t="s">
        <v>2078</v>
      </c>
      <c r="B1088" t="s">
        <v>11</v>
      </c>
      <c r="C1088" t="s">
        <v>5776</v>
      </c>
      <c r="F1088" t="s">
        <v>5770</v>
      </c>
      <c r="J1088" t="s">
        <v>5758</v>
      </c>
      <c r="K1088">
        <v>66</v>
      </c>
      <c r="L1088" t="str" cm="1">
        <f t="array" ref="L1088">_xlfn.IFS(
 K1088&lt;=50,"≤50",
 AND(K1088&gt;=51,K1088&lt;=100),"51–100",
 AND(K1088&gt;=101,K1088&lt;=250),"101–250",
 AND(K1088&gt;=251,K1088&lt;=500),"251–500",
 AND(K1088&gt;=501,K1088&lt;=1000),"501–1000",
 K1088&gt;=1001,"1001+"
)</f>
        <v>51–100</v>
      </c>
    </row>
    <row r="1089" spans="1:12" x14ac:dyDescent="0.3">
      <c r="A1089" t="s">
        <v>2079</v>
      </c>
      <c r="B1089" t="s">
        <v>13</v>
      </c>
      <c r="C1089" t="s">
        <v>5777</v>
      </c>
      <c r="D1089" t="s">
        <v>231</v>
      </c>
      <c r="F1089" t="s">
        <v>5770</v>
      </c>
      <c r="J1089" t="s">
        <v>5739</v>
      </c>
      <c r="K1089">
        <v>67</v>
      </c>
      <c r="L1089" t="str" cm="1">
        <f t="array" ref="L1089">_xlfn.IFS(
 K1089&lt;=50,"≤50",
 AND(K1089&gt;=51,K1089&lt;=100),"51–100",
 AND(K1089&gt;=101,K1089&lt;=250),"101–250",
 AND(K1089&gt;=251,K1089&lt;=500),"251–500",
 AND(K1089&gt;=501,K1089&lt;=1000),"501–1000",
 K1089&gt;=1001,"1001+"
)</f>
        <v>51–100</v>
      </c>
    </row>
    <row r="1090" spans="1:12" x14ac:dyDescent="0.3">
      <c r="A1090" t="s">
        <v>2080</v>
      </c>
      <c r="B1090" t="s">
        <v>9</v>
      </c>
      <c r="C1090" t="s">
        <v>5780</v>
      </c>
      <c r="D1090" t="s">
        <v>28</v>
      </c>
      <c r="E1090" t="s">
        <v>15</v>
      </c>
      <c r="F1090" t="s">
        <v>5770</v>
      </c>
      <c r="J1090" t="s">
        <v>5758</v>
      </c>
      <c r="K1090">
        <v>68</v>
      </c>
      <c r="L1090" t="str" cm="1">
        <f t="array" ref="L1090">_xlfn.IFS(
 K1090&lt;=50,"≤50",
 AND(K1090&gt;=51,K1090&lt;=100),"51–100",
 AND(K1090&gt;=101,K1090&lt;=250),"101–250",
 AND(K1090&gt;=251,K1090&lt;=500),"251–500",
 AND(K1090&gt;=501,K1090&lt;=1000),"501–1000",
 K1090&gt;=1001,"1001+"
)</f>
        <v>51–100</v>
      </c>
    </row>
    <row r="1091" spans="1:12" x14ac:dyDescent="0.3">
      <c r="A1091" t="s">
        <v>2081</v>
      </c>
      <c r="B1091" t="s">
        <v>9</v>
      </c>
      <c r="C1091" t="s">
        <v>5780</v>
      </c>
      <c r="D1091" t="s">
        <v>2082</v>
      </c>
      <c r="E1091" t="s">
        <v>15</v>
      </c>
      <c r="F1091" t="s">
        <v>20</v>
      </c>
      <c r="G1091" t="s">
        <v>2083</v>
      </c>
      <c r="J1091" t="s">
        <v>5751</v>
      </c>
      <c r="K1091">
        <v>68</v>
      </c>
      <c r="L1091" t="str" cm="1">
        <f t="array" ref="L1091">_xlfn.IFS(
 K1091&lt;=50,"≤50",
 AND(K1091&gt;=51,K1091&lt;=100),"51–100",
 AND(K1091&gt;=101,K1091&lt;=250),"101–250",
 AND(K1091&gt;=251,K1091&lt;=500),"251–500",
 AND(K1091&gt;=501,K1091&lt;=1000),"501–1000",
 K1091&gt;=1001,"1001+"
)</f>
        <v>51–100</v>
      </c>
    </row>
    <row r="1092" spans="1:12" x14ac:dyDescent="0.3">
      <c r="A1092" t="s">
        <v>2084</v>
      </c>
      <c r="B1092" t="s">
        <v>11</v>
      </c>
      <c r="C1092" t="s">
        <v>5776</v>
      </c>
      <c r="F1092" t="s">
        <v>5770</v>
      </c>
      <c r="J1092" t="s">
        <v>5752</v>
      </c>
      <c r="K1092">
        <v>68</v>
      </c>
      <c r="L1092" t="str" cm="1">
        <f t="array" ref="L1092">_xlfn.IFS(
 K1092&lt;=50,"≤50",
 AND(K1092&gt;=51,K1092&lt;=100),"51–100",
 AND(K1092&gt;=101,K1092&lt;=250),"101–250",
 AND(K1092&gt;=251,K1092&lt;=500),"251–500",
 AND(K1092&gt;=501,K1092&lt;=1000),"501–1000",
 K1092&gt;=1001,"1001+"
)</f>
        <v>51–100</v>
      </c>
    </row>
    <row r="1093" spans="1:12" x14ac:dyDescent="0.3">
      <c r="A1093" t="s">
        <v>2085</v>
      </c>
      <c r="B1093" t="s">
        <v>11</v>
      </c>
      <c r="C1093" t="s">
        <v>5776</v>
      </c>
      <c r="F1093" t="s">
        <v>5770</v>
      </c>
      <c r="J1093" t="s">
        <v>5737</v>
      </c>
      <c r="K1093">
        <v>68</v>
      </c>
      <c r="L1093" t="str" cm="1">
        <f t="array" ref="L1093">_xlfn.IFS(
 K1093&lt;=50,"≤50",
 AND(K1093&gt;=51,K1093&lt;=100),"51–100",
 AND(K1093&gt;=101,K1093&lt;=250),"101–250",
 AND(K1093&gt;=251,K1093&lt;=500),"251–500",
 AND(K1093&gt;=501,K1093&lt;=1000),"501–1000",
 K1093&gt;=1001,"1001+"
)</f>
        <v>51–100</v>
      </c>
    </row>
    <row r="1094" spans="1:12" x14ac:dyDescent="0.3">
      <c r="A1094" t="s">
        <v>2086</v>
      </c>
      <c r="B1094" t="s">
        <v>9</v>
      </c>
      <c r="C1094" t="s">
        <v>5780</v>
      </c>
      <c r="D1094" t="s">
        <v>28</v>
      </c>
      <c r="F1094" t="s">
        <v>5770</v>
      </c>
      <c r="J1094" t="s">
        <v>5742</v>
      </c>
      <c r="K1094">
        <v>68</v>
      </c>
      <c r="L1094" t="str" cm="1">
        <f t="array" ref="L1094">_xlfn.IFS(
 K1094&lt;=50,"≤50",
 AND(K1094&gt;=51,K1094&lt;=100),"51–100",
 AND(K1094&gt;=101,K1094&lt;=250),"101–250",
 AND(K1094&gt;=251,K1094&lt;=500),"251–500",
 AND(K1094&gt;=501,K1094&lt;=1000),"501–1000",
 K1094&gt;=1001,"1001+"
)</f>
        <v>51–100</v>
      </c>
    </row>
    <row r="1095" spans="1:12" x14ac:dyDescent="0.3">
      <c r="A1095" t="s">
        <v>2087</v>
      </c>
      <c r="B1095" t="s">
        <v>11</v>
      </c>
      <c r="C1095" t="s">
        <v>5776</v>
      </c>
      <c r="F1095" t="s">
        <v>5770</v>
      </c>
      <c r="J1095" t="s">
        <v>5739</v>
      </c>
      <c r="K1095">
        <v>68</v>
      </c>
      <c r="L1095" t="str" cm="1">
        <f t="array" ref="L1095">_xlfn.IFS(
 K1095&lt;=50,"≤50",
 AND(K1095&gt;=51,K1095&lt;=100),"51–100",
 AND(K1095&gt;=101,K1095&lt;=250),"101–250",
 AND(K1095&gt;=251,K1095&lt;=500),"251–500",
 AND(K1095&gt;=501,K1095&lt;=1000),"501–1000",
 K1095&gt;=1001,"1001+"
)</f>
        <v>51–100</v>
      </c>
    </row>
    <row r="1096" spans="1:12" x14ac:dyDescent="0.3">
      <c r="A1096" t="s">
        <v>2088</v>
      </c>
      <c r="B1096" t="s">
        <v>9</v>
      </c>
      <c r="C1096" t="s">
        <v>5780</v>
      </c>
      <c r="D1096" t="s">
        <v>2089</v>
      </c>
      <c r="E1096" t="s">
        <v>15</v>
      </c>
      <c r="F1096" t="s">
        <v>20</v>
      </c>
      <c r="G1096" t="s">
        <v>2090</v>
      </c>
      <c r="J1096" t="s">
        <v>5745</v>
      </c>
      <c r="K1096">
        <v>69</v>
      </c>
      <c r="L1096" t="str" cm="1">
        <f t="array" ref="L1096">_xlfn.IFS(
 K1096&lt;=50,"≤50",
 AND(K1096&gt;=51,K1096&lt;=100),"51–100",
 AND(K1096&gt;=101,K1096&lt;=250),"101–250",
 AND(K1096&gt;=251,K1096&lt;=500),"251–500",
 AND(K1096&gt;=501,K1096&lt;=1000),"501–1000",
 K1096&gt;=1001,"1001+"
)</f>
        <v>51–100</v>
      </c>
    </row>
    <row r="1097" spans="1:12" x14ac:dyDescent="0.3">
      <c r="A1097" t="s">
        <v>2091</v>
      </c>
      <c r="B1097" t="s">
        <v>197</v>
      </c>
      <c r="C1097" t="s">
        <v>5774</v>
      </c>
      <c r="D1097" t="s">
        <v>2092</v>
      </c>
      <c r="F1097" t="s">
        <v>5770</v>
      </c>
      <c r="J1097" t="s">
        <v>5741</v>
      </c>
      <c r="K1097">
        <v>70</v>
      </c>
      <c r="L1097" t="str" cm="1">
        <f t="array" ref="L1097">_xlfn.IFS(
 K1097&lt;=50,"≤50",
 AND(K1097&gt;=51,K1097&lt;=100),"51–100",
 AND(K1097&gt;=101,K1097&lt;=250),"101–250",
 AND(K1097&gt;=251,K1097&lt;=500),"251–500",
 AND(K1097&gt;=501,K1097&lt;=1000),"501–1000",
 K1097&gt;=1001,"1001+"
)</f>
        <v>51–100</v>
      </c>
    </row>
    <row r="1098" spans="1:12" x14ac:dyDescent="0.3">
      <c r="A1098" t="s">
        <v>2093</v>
      </c>
      <c r="B1098" t="s">
        <v>13</v>
      </c>
      <c r="C1098" t="s">
        <v>5777</v>
      </c>
      <c r="D1098" t="s">
        <v>2094</v>
      </c>
      <c r="F1098" t="s">
        <v>5770</v>
      </c>
      <c r="J1098" t="s">
        <v>5737</v>
      </c>
      <c r="K1098">
        <v>70</v>
      </c>
      <c r="L1098" t="str" cm="1">
        <f t="array" ref="L1098">_xlfn.IFS(
 K1098&lt;=50,"≤50",
 AND(K1098&gt;=51,K1098&lt;=100),"51–100",
 AND(K1098&gt;=101,K1098&lt;=250),"101–250",
 AND(K1098&gt;=251,K1098&lt;=500),"251–500",
 AND(K1098&gt;=501,K1098&lt;=1000),"501–1000",
 K1098&gt;=1001,"1001+"
)</f>
        <v>51–100</v>
      </c>
    </row>
    <row r="1099" spans="1:12" x14ac:dyDescent="0.3">
      <c r="A1099" t="s">
        <v>2095</v>
      </c>
      <c r="B1099" t="s">
        <v>13</v>
      </c>
      <c r="C1099" t="s">
        <v>5777</v>
      </c>
      <c r="D1099" t="s">
        <v>2096</v>
      </c>
      <c r="F1099" t="s">
        <v>20</v>
      </c>
      <c r="G1099" t="s">
        <v>135</v>
      </c>
      <c r="J1099" t="s">
        <v>5746</v>
      </c>
      <c r="K1099">
        <v>70</v>
      </c>
      <c r="L1099" t="str" cm="1">
        <f t="array" ref="L1099">_xlfn.IFS(
 K1099&lt;=50,"≤50",
 AND(K1099&gt;=51,K1099&lt;=100),"51–100",
 AND(K1099&gt;=101,K1099&lt;=250),"101–250",
 AND(K1099&gt;=251,K1099&lt;=500),"251–500",
 AND(K1099&gt;=501,K1099&lt;=1000),"501–1000",
 K1099&gt;=1001,"1001+"
)</f>
        <v>51–100</v>
      </c>
    </row>
    <row r="1100" spans="1:12" x14ac:dyDescent="0.3">
      <c r="A1100" t="s">
        <v>2097</v>
      </c>
      <c r="B1100" t="s">
        <v>9</v>
      </c>
      <c r="C1100" t="s">
        <v>5780</v>
      </c>
      <c r="D1100" t="s">
        <v>28</v>
      </c>
      <c r="F1100" t="s">
        <v>5770</v>
      </c>
      <c r="J1100" t="s">
        <v>5737</v>
      </c>
      <c r="K1100">
        <v>70</v>
      </c>
      <c r="L1100" t="str" cm="1">
        <f t="array" ref="L1100">_xlfn.IFS(
 K1100&lt;=50,"≤50",
 AND(K1100&gt;=51,K1100&lt;=100),"51–100",
 AND(K1100&gt;=101,K1100&lt;=250),"101–250",
 AND(K1100&gt;=251,K1100&lt;=500),"251–500",
 AND(K1100&gt;=501,K1100&lt;=1000),"501–1000",
 K1100&gt;=1001,"1001+"
)</f>
        <v>51–100</v>
      </c>
    </row>
    <row r="1101" spans="1:12" x14ac:dyDescent="0.3">
      <c r="A1101" t="s">
        <v>2098</v>
      </c>
      <c r="B1101" t="s">
        <v>9</v>
      </c>
      <c r="C1101" t="s">
        <v>5780</v>
      </c>
      <c r="D1101" t="s">
        <v>2099</v>
      </c>
      <c r="F1101" t="s">
        <v>20</v>
      </c>
      <c r="G1101" t="s">
        <v>425</v>
      </c>
      <c r="J1101" t="s">
        <v>5737</v>
      </c>
      <c r="K1101">
        <v>70</v>
      </c>
      <c r="L1101" t="str" cm="1">
        <f t="array" ref="L1101">_xlfn.IFS(
 K1101&lt;=50,"≤50",
 AND(K1101&gt;=51,K1101&lt;=100),"51–100",
 AND(K1101&gt;=101,K1101&lt;=250),"101–250",
 AND(K1101&gt;=251,K1101&lt;=500),"251–500",
 AND(K1101&gt;=501,K1101&lt;=1000),"501–1000",
 K1101&gt;=1001,"1001+"
)</f>
        <v>51–100</v>
      </c>
    </row>
    <row r="1102" spans="1:12" x14ac:dyDescent="0.3">
      <c r="A1102" t="s">
        <v>2100</v>
      </c>
      <c r="B1102" t="s">
        <v>11</v>
      </c>
      <c r="C1102" t="s">
        <v>5776</v>
      </c>
      <c r="F1102" t="s">
        <v>5770</v>
      </c>
      <c r="J1102" t="s">
        <v>5737</v>
      </c>
      <c r="K1102">
        <v>70</v>
      </c>
      <c r="L1102" t="str" cm="1">
        <f t="array" ref="L1102">_xlfn.IFS(
 K1102&lt;=50,"≤50",
 AND(K1102&gt;=51,K1102&lt;=100),"51–100",
 AND(K1102&gt;=101,K1102&lt;=250),"101–250",
 AND(K1102&gt;=251,K1102&lt;=500),"251–500",
 AND(K1102&gt;=501,K1102&lt;=1000),"501–1000",
 K1102&gt;=1001,"1001+"
)</f>
        <v>51–100</v>
      </c>
    </row>
    <row r="1103" spans="1:12" x14ac:dyDescent="0.3">
      <c r="A1103" t="s">
        <v>2101</v>
      </c>
      <c r="B1103" t="s">
        <v>11</v>
      </c>
      <c r="C1103" t="s">
        <v>5776</v>
      </c>
      <c r="F1103" t="s">
        <v>5770</v>
      </c>
      <c r="J1103" t="s">
        <v>5749</v>
      </c>
      <c r="K1103">
        <v>70</v>
      </c>
      <c r="L1103" t="str" cm="1">
        <f t="array" ref="L1103">_xlfn.IFS(
 K1103&lt;=50,"≤50",
 AND(K1103&gt;=51,K1103&lt;=100),"51–100",
 AND(K1103&gt;=101,K1103&lt;=250),"101–250",
 AND(K1103&gt;=251,K1103&lt;=500),"251–500",
 AND(K1103&gt;=501,K1103&lt;=1000),"501–1000",
 K1103&gt;=1001,"1001+"
)</f>
        <v>51–100</v>
      </c>
    </row>
    <row r="1104" spans="1:12" x14ac:dyDescent="0.3">
      <c r="A1104" t="s">
        <v>2102</v>
      </c>
      <c r="B1104" t="s">
        <v>9</v>
      </c>
      <c r="C1104" t="s">
        <v>5780</v>
      </c>
      <c r="D1104" t="s">
        <v>2039</v>
      </c>
      <c r="F1104" t="s">
        <v>5770</v>
      </c>
      <c r="J1104" t="s">
        <v>5737</v>
      </c>
      <c r="K1104">
        <v>70</v>
      </c>
      <c r="L1104" t="str" cm="1">
        <f t="array" ref="L1104">_xlfn.IFS(
 K1104&lt;=50,"≤50",
 AND(K1104&gt;=51,K1104&lt;=100),"51–100",
 AND(K1104&gt;=101,K1104&lt;=250),"101–250",
 AND(K1104&gt;=251,K1104&lt;=500),"251–500",
 AND(K1104&gt;=501,K1104&lt;=1000),"501–1000",
 K1104&gt;=1001,"1001+"
)</f>
        <v>51–100</v>
      </c>
    </row>
    <row r="1105" spans="1:12" x14ac:dyDescent="0.3">
      <c r="A1105" t="s">
        <v>2103</v>
      </c>
      <c r="B1105" t="s">
        <v>9</v>
      </c>
      <c r="C1105" t="s">
        <v>5780</v>
      </c>
      <c r="D1105" t="s">
        <v>2104</v>
      </c>
      <c r="E1105" t="s">
        <v>15</v>
      </c>
      <c r="F1105" t="s">
        <v>16</v>
      </c>
      <c r="G1105" t="s">
        <v>2105</v>
      </c>
      <c r="J1105" t="s">
        <v>5737</v>
      </c>
      <c r="K1105">
        <v>70</v>
      </c>
      <c r="L1105" t="str" cm="1">
        <f t="array" ref="L1105">_xlfn.IFS(
 K1105&lt;=50,"≤50",
 AND(K1105&gt;=51,K1105&lt;=100),"51–100",
 AND(K1105&gt;=101,K1105&lt;=250),"101–250",
 AND(K1105&gt;=251,K1105&lt;=500),"251–500",
 AND(K1105&gt;=501,K1105&lt;=1000),"501–1000",
 K1105&gt;=1001,"1001+"
)</f>
        <v>51–100</v>
      </c>
    </row>
    <row r="1106" spans="1:12" x14ac:dyDescent="0.3">
      <c r="A1106" t="s">
        <v>2106</v>
      </c>
      <c r="B1106" t="s">
        <v>197</v>
      </c>
      <c r="C1106" t="s">
        <v>5774</v>
      </c>
      <c r="D1106" t="s">
        <v>2107</v>
      </c>
      <c r="E1106" t="s">
        <v>15</v>
      </c>
      <c r="F1106" t="s">
        <v>20</v>
      </c>
      <c r="G1106" t="s">
        <v>2108</v>
      </c>
      <c r="J1106" t="s">
        <v>5738</v>
      </c>
      <c r="K1106">
        <v>70</v>
      </c>
      <c r="L1106" t="str" cm="1">
        <f t="array" ref="L1106">_xlfn.IFS(
 K1106&lt;=50,"≤50",
 AND(K1106&gt;=51,K1106&lt;=100),"51–100",
 AND(K1106&gt;=101,K1106&lt;=250),"101–250",
 AND(K1106&gt;=251,K1106&lt;=500),"251–500",
 AND(K1106&gt;=501,K1106&lt;=1000),"501–1000",
 K1106&gt;=1001,"1001+"
)</f>
        <v>51–100</v>
      </c>
    </row>
    <row r="1107" spans="1:12" x14ac:dyDescent="0.3">
      <c r="A1107" t="s">
        <v>2109</v>
      </c>
      <c r="B1107" t="s">
        <v>9</v>
      </c>
      <c r="C1107" t="s">
        <v>5780</v>
      </c>
      <c r="D1107" t="s">
        <v>28</v>
      </c>
      <c r="E1107" t="s">
        <v>15</v>
      </c>
      <c r="F1107" t="s">
        <v>54</v>
      </c>
      <c r="G1107" t="s">
        <v>2110</v>
      </c>
      <c r="J1107" t="s">
        <v>5737</v>
      </c>
      <c r="K1107">
        <v>70</v>
      </c>
      <c r="L1107" t="str" cm="1">
        <f t="array" ref="L1107">_xlfn.IFS(
 K1107&lt;=50,"≤50",
 AND(K1107&gt;=51,K1107&lt;=100),"51–100",
 AND(K1107&gt;=101,K1107&lt;=250),"101–250",
 AND(K1107&gt;=251,K1107&lt;=500),"251–500",
 AND(K1107&gt;=501,K1107&lt;=1000),"501–1000",
 K1107&gt;=1001,"1001+"
)</f>
        <v>51–100</v>
      </c>
    </row>
    <row r="1108" spans="1:12" x14ac:dyDescent="0.3">
      <c r="A1108" t="s">
        <v>2111</v>
      </c>
      <c r="B1108" t="s">
        <v>9</v>
      </c>
      <c r="C1108" t="s">
        <v>5780</v>
      </c>
      <c r="D1108" t="s">
        <v>2112</v>
      </c>
      <c r="E1108" t="s">
        <v>15</v>
      </c>
      <c r="F1108" t="s">
        <v>20</v>
      </c>
      <c r="G1108" t="s">
        <v>2113</v>
      </c>
      <c r="J1108" t="s">
        <v>5737</v>
      </c>
      <c r="K1108">
        <v>70</v>
      </c>
      <c r="L1108" t="str" cm="1">
        <f t="array" ref="L1108">_xlfn.IFS(
 K1108&lt;=50,"≤50",
 AND(K1108&gt;=51,K1108&lt;=100),"51–100",
 AND(K1108&gt;=101,K1108&lt;=250),"101–250",
 AND(K1108&gt;=251,K1108&lt;=500),"251–500",
 AND(K1108&gt;=501,K1108&lt;=1000),"501–1000",
 K1108&gt;=1001,"1001+"
)</f>
        <v>51–100</v>
      </c>
    </row>
    <row r="1109" spans="1:12" x14ac:dyDescent="0.3">
      <c r="A1109" t="s">
        <v>2114</v>
      </c>
      <c r="B1109" t="s">
        <v>9</v>
      </c>
      <c r="C1109" t="s">
        <v>5780</v>
      </c>
      <c r="D1109" t="s">
        <v>51</v>
      </c>
      <c r="F1109" t="s">
        <v>54</v>
      </c>
      <c r="G1109" t="s">
        <v>1419</v>
      </c>
      <c r="J1109" t="s">
        <v>5744</v>
      </c>
      <c r="K1109">
        <v>70</v>
      </c>
      <c r="L1109" t="str" cm="1">
        <f t="array" ref="L1109">_xlfn.IFS(
 K1109&lt;=50,"≤50",
 AND(K1109&gt;=51,K1109&lt;=100),"51–100",
 AND(K1109&gt;=101,K1109&lt;=250),"101–250",
 AND(K1109&gt;=251,K1109&lt;=500),"251–500",
 AND(K1109&gt;=501,K1109&lt;=1000),"501–1000",
 K1109&gt;=1001,"1001+"
)</f>
        <v>51–100</v>
      </c>
    </row>
    <row r="1110" spans="1:12" x14ac:dyDescent="0.3">
      <c r="A1110" t="s">
        <v>2115</v>
      </c>
      <c r="B1110" t="s">
        <v>13</v>
      </c>
      <c r="C1110" t="s">
        <v>5777</v>
      </c>
      <c r="D1110" t="s">
        <v>231</v>
      </c>
      <c r="F1110" t="s">
        <v>5770</v>
      </c>
      <c r="J1110" t="s">
        <v>5759</v>
      </c>
      <c r="K1110">
        <v>70</v>
      </c>
      <c r="L1110" t="str" cm="1">
        <f t="array" ref="L1110">_xlfn.IFS(
 K1110&lt;=50,"≤50",
 AND(K1110&gt;=51,K1110&lt;=100),"51–100",
 AND(K1110&gt;=101,K1110&lt;=250),"101–250",
 AND(K1110&gt;=251,K1110&lt;=500),"251–500",
 AND(K1110&gt;=501,K1110&lt;=1000),"501–1000",
 K1110&gt;=1001,"1001+"
)</f>
        <v>51–100</v>
      </c>
    </row>
    <row r="1111" spans="1:12" x14ac:dyDescent="0.3">
      <c r="A1111" t="s">
        <v>2116</v>
      </c>
      <c r="B1111" t="s">
        <v>13</v>
      </c>
      <c r="C1111" t="s">
        <v>5777</v>
      </c>
      <c r="D1111" t="s">
        <v>2117</v>
      </c>
      <c r="E1111" t="s">
        <v>15</v>
      </c>
      <c r="F1111" t="s">
        <v>54</v>
      </c>
      <c r="G1111" t="s">
        <v>2118</v>
      </c>
      <c r="J1111" t="s">
        <v>5755</v>
      </c>
      <c r="K1111">
        <v>70</v>
      </c>
      <c r="L1111" t="str" cm="1">
        <f t="array" ref="L1111">_xlfn.IFS(
 K1111&lt;=50,"≤50",
 AND(K1111&gt;=51,K1111&lt;=100),"51–100",
 AND(K1111&gt;=101,K1111&lt;=250),"101–250",
 AND(K1111&gt;=251,K1111&lt;=500),"251–500",
 AND(K1111&gt;=501,K1111&lt;=1000),"501–1000",
 K1111&gt;=1001,"1001+"
)</f>
        <v>51–100</v>
      </c>
    </row>
    <row r="1112" spans="1:12" x14ac:dyDescent="0.3">
      <c r="A1112" t="s">
        <v>2119</v>
      </c>
      <c r="B1112" t="s">
        <v>13</v>
      </c>
      <c r="C1112" t="s">
        <v>5777</v>
      </c>
      <c r="D1112" t="s">
        <v>576</v>
      </c>
      <c r="E1112" t="s">
        <v>15</v>
      </c>
      <c r="F1112" t="s">
        <v>16</v>
      </c>
      <c r="G1112" t="s">
        <v>2120</v>
      </c>
      <c r="J1112" t="s">
        <v>5737</v>
      </c>
      <c r="K1112">
        <v>70</v>
      </c>
      <c r="L1112" t="str" cm="1">
        <f t="array" ref="L1112">_xlfn.IFS(
 K1112&lt;=50,"≤50",
 AND(K1112&gt;=51,K1112&lt;=100),"51–100",
 AND(K1112&gt;=101,K1112&lt;=250),"101–250",
 AND(K1112&gt;=251,K1112&lt;=500),"251–500",
 AND(K1112&gt;=501,K1112&lt;=1000),"501–1000",
 K1112&gt;=1001,"1001+"
)</f>
        <v>51–100</v>
      </c>
    </row>
    <row r="1113" spans="1:12" x14ac:dyDescent="0.3">
      <c r="A1113" t="s">
        <v>2121</v>
      </c>
      <c r="B1113" t="s">
        <v>9</v>
      </c>
      <c r="C1113" t="s">
        <v>5780</v>
      </c>
      <c r="D1113" t="s">
        <v>2122</v>
      </c>
      <c r="E1113" t="s">
        <v>15</v>
      </c>
      <c r="F1113" t="s">
        <v>20</v>
      </c>
      <c r="G1113" t="s">
        <v>135</v>
      </c>
      <c r="J1113" t="s">
        <v>5737</v>
      </c>
      <c r="K1113">
        <v>70</v>
      </c>
      <c r="L1113" t="str" cm="1">
        <f t="array" ref="L1113">_xlfn.IFS(
 K1113&lt;=50,"≤50",
 AND(K1113&gt;=51,K1113&lt;=100),"51–100",
 AND(K1113&gt;=101,K1113&lt;=250),"101–250",
 AND(K1113&gt;=251,K1113&lt;=500),"251–500",
 AND(K1113&gt;=501,K1113&lt;=1000),"501–1000",
 K1113&gt;=1001,"1001+"
)</f>
        <v>51–100</v>
      </c>
    </row>
    <row r="1114" spans="1:12" x14ac:dyDescent="0.3">
      <c r="A1114" t="s">
        <v>2123</v>
      </c>
      <c r="B1114" t="s">
        <v>9</v>
      </c>
      <c r="C1114" t="s">
        <v>5780</v>
      </c>
      <c r="D1114" t="s">
        <v>28</v>
      </c>
      <c r="E1114" t="s">
        <v>15</v>
      </c>
      <c r="F1114" t="s">
        <v>20</v>
      </c>
      <c r="G1114" t="s">
        <v>2124</v>
      </c>
      <c r="J1114" t="s">
        <v>5747</v>
      </c>
      <c r="K1114">
        <v>70</v>
      </c>
      <c r="L1114" t="str" cm="1">
        <f t="array" ref="L1114">_xlfn.IFS(
 K1114&lt;=50,"≤50",
 AND(K1114&gt;=51,K1114&lt;=100),"51–100",
 AND(K1114&gt;=101,K1114&lt;=250),"101–250",
 AND(K1114&gt;=251,K1114&lt;=500),"251–500",
 AND(K1114&gt;=501,K1114&lt;=1000),"501–1000",
 K1114&gt;=1001,"1001+"
)</f>
        <v>51–100</v>
      </c>
    </row>
    <row r="1115" spans="1:12" x14ac:dyDescent="0.3">
      <c r="A1115" t="s">
        <v>2125</v>
      </c>
      <c r="B1115" t="s">
        <v>9</v>
      </c>
      <c r="C1115" t="s">
        <v>5780</v>
      </c>
      <c r="D1115" t="s">
        <v>2126</v>
      </c>
      <c r="E1115" t="s">
        <v>15</v>
      </c>
      <c r="F1115" t="s">
        <v>5770</v>
      </c>
      <c r="J1115" t="s">
        <v>5740</v>
      </c>
      <c r="K1115">
        <v>70</v>
      </c>
      <c r="L1115" t="str" cm="1">
        <f t="array" ref="L1115">_xlfn.IFS(
 K1115&lt;=50,"≤50",
 AND(K1115&gt;=51,K1115&lt;=100),"51–100",
 AND(K1115&gt;=101,K1115&lt;=250),"101–250",
 AND(K1115&gt;=251,K1115&lt;=500),"251–500",
 AND(K1115&gt;=501,K1115&lt;=1000),"501–1000",
 K1115&gt;=1001,"1001+"
)</f>
        <v>51–100</v>
      </c>
    </row>
    <row r="1116" spans="1:12" x14ac:dyDescent="0.3">
      <c r="A1116" t="s">
        <v>2127</v>
      </c>
      <c r="B1116" t="s">
        <v>9</v>
      </c>
      <c r="C1116" t="s">
        <v>5780</v>
      </c>
      <c r="D1116" t="s">
        <v>2128</v>
      </c>
      <c r="E1116" t="s">
        <v>15</v>
      </c>
      <c r="F1116" t="s">
        <v>20</v>
      </c>
      <c r="G1116" t="s">
        <v>185</v>
      </c>
      <c r="J1116" t="s">
        <v>5738</v>
      </c>
      <c r="K1116">
        <v>70</v>
      </c>
      <c r="L1116" t="str" cm="1">
        <f t="array" ref="L1116">_xlfn.IFS(
 K1116&lt;=50,"≤50",
 AND(K1116&gt;=51,K1116&lt;=100),"51–100",
 AND(K1116&gt;=101,K1116&lt;=250),"101–250",
 AND(K1116&gt;=251,K1116&lt;=500),"251–500",
 AND(K1116&gt;=501,K1116&lt;=1000),"501–1000",
 K1116&gt;=1001,"1001+"
)</f>
        <v>51–100</v>
      </c>
    </row>
    <row r="1117" spans="1:12" x14ac:dyDescent="0.3">
      <c r="A1117" t="s">
        <v>2129</v>
      </c>
      <c r="B1117" t="s">
        <v>13</v>
      </c>
      <c r="C1117" t="s">
        <v>5777</v>
      </c>
      <c r="D1117" t="s">
        <v>2130</v>
      </c>
      <c r="E1117" t="s">
        <v>15</v>
      </c>
      <c r="F1117" t="s">
        <v>5770</v>
      </c>
      <c r="J1117" t="s">
        <v>5737</v>
      </c>
      <c r="K1117">
        <v>70</v>
      </c>
      <c r="L1117" t="str" cm="1">
        <f t="array" ref="L1117">_xlfn.IFS(
 K1117&lt;=50,"≤50",
 AND(K1117&gt;=51,K1117&lt;=100),"51–100",
 AND(K1117&gt;=101,K1117&lt;=250),"101–250",
 AND(K1117&gt;=251,K1117&lt;=500),"251–500",
 AND(K1117&gt;=501,K1117&lt;=1000),"501–1000",
 K1117&gt;=1001,"1001+"
)</f>
        <v>51–100</v>
      </c>
    </row>
    <row r="1118" spans="1:12" x14ac:dyDescent="0.3">
      <c r="A1118" t="s">
        <v>2131</v>
      </c>
      <c r="B1118" t="s">
        <v>9</v>
      </c>
      <c r="C1118" t="s">
        <v>5780</v>
      </c>
      <c r="D1118" t="s">
        <v>2132</v>
      </c>
      <c r="F1118" t="s">
        <v>5770</v>
      </c>
      <c r="J1118" t="s">
        <v>5737</v>
      </c>
      <c r="K1118">
        <v>70</v>
      </c>
      <c r="L1118" t="str" cm="1">
        <f t="array" ref="L1118">_xlfn.IFS(
 K1118&lt;=50,"≤50",
 AND(K1118&gt;=51,K1118&lt;=100),"51–100",
 AND(K1118&gt;=101,K1118&lt;=250),"101–250",
 AND(K1118&gt;=251,K1118&lt;=500),"251–500",
 AND(K1118&gt;=501,K1118&lt;=1000),"501–1000",
 K1118&gt;=1001,"1001+"
)</f>
        <v>51–100</v>
      </c>
    </row>
    <row r="1119" spans="1:12" x14ac:dyDescent="0.3">
      <c r="A1119" t="s">
        <v>2133</v>
      </c>
      <c r="B1119" t="s">
        <v>9</v>
      </c>
      <c r="C1119" t="s">
        <v>5780</v>
      </c>
      <c r="D1119" t="s">
        <v>28</v>
      </c>
      <c r="F1119" t="s">
        <v>5770</v>
      </c>
      <c r="J1119" t="s">
        <v>5744</v>
      </c>
      <c r="K1119">
        <v>70</v>
      </c>
      <c r="L1119" t="str" cm="1">
        <f t="array" ref="L1119">_xlfn.IFS(
 K1119&lt;=50,"≤50",
 AND(K1119&gt;=51,K1119&lt;=100),"51–100",
 AND(K1119&gt;=101,K1119&lt;=250),"101–250",
 AND(K1119&gt;=251,K1119&lt;=500),"251–500",
 AND(K1119&gt;=501,K1119&lt;=1000),"501–1000",
 K1119&gt;=1001,"1001+"
)</f>
        <v>51–100</v>
      </c>
    </row>
    <row r="1120" spans="1:12" x14ac:dyDescent="0.3">
      <c r="A1120" t="s">
        <v>2134</v>
      </c>
      <c r="B1120" t="s">
        <v>9</v>
      </c>
      <c r="C1120" t="s">
        <v>5780</v>
      </c>
      <c r="D1120" t="s">
        <v>442</v>
      </c>
      <c r="F1120" t="s">
        <v>5770</v>
      </c>
      <c r="J1120" t="s">
        <v>5751</v>
      </c>
      <c r="K1120">
        <v>70</v>
      </c>
      <c r="L1120" t="str" cm="1">
        <f t="array" ref="L1120">_xlfn.IFS(
 K1120&lt;=50,"≤50",
 AND(K1120&gt;=51,K1120&lt;=100),"51–100",
 AND(K1120&gt;=101,K1120&lt;=250),"101–250",
 AND(K1120&gt;=251,K1120&lt;=500),"251–500",
 AND(K1120&gt;=501,K1120&lt;=1000),"501–1000",
 K1120&gt;=1001,"1001+"
)</f>
        <v>51–100</v>
      </c>
    </row>
    <row r="1121" spans="1:12" x14ac:dyDescent="0.3">
      <c r="A1121" t="s">
        <v>2135</v>
      </c>
      <c r="B1121" t="s">
        <v>13</v>
      </c>
      <c r="C1121" t="s">
        <v>5777</v>
      </c>
      <c r="D1121" t="s">
        <v>314</v>
      </c>
      <c r="F1121" t="s">
        <v>5770</v>
      </c>
      <c r="J1121" t="s">
        <v>5739</v>
      </c>
      <c r="K1121">
        <v>70</v>
      </c>
      <c r="L1121" t="str" cm="1">
        <f t="array" ref="L1121">_xlfn.IFS(
 K1121&lt;=50,"≤50",
 AND(K1121&gt;=51,K1121&lt;=100),"51–100",
 AND(K1121&gt;=101,K1121&lt;=250),"101–250",
 AND(K1121&gt;=251,K1121&lt;=500),"251–500",
 AND(K1121&gt;=501,K1121&lt;=1000),"501–1000",
 K1121&gt;=1001,"1001+"
)</f>
        <v>51–100</v>
      </c>
    </row>
    <row r="1122" spans="1:12" x14ac:dyDescent="0.3">
      <c r="A1122" t="s">
        <v>2136</v>
      </c>
      <c r="B1122" t="s">
        <v>9</v>
      </c>
      <c r="C1122" t="s">
        <v>5780</v>
      </c>
      <c r="D1122" t="s">
        <v>2137</v>
      </c>
      <c r="E1122" t="s">
        <v>15</v>
      </c>
      <c r="F1122" t="s">
        <v>16</v>
      </c>
      <c r="G1122" t="s">
        <v>45</v>
      </c>
      <c r="J1122" t="s">
        <v>5752</v>
      </c>
      <c r="K1122">
        <v>70</v>
      </c>
      <c r="L1122" t="str" cm="1">
        <f t="array" ref="L1122">_xlfn.IFS(
 K1122&lt;=50,"≤50",
 AND(K1122&gt;=51,K1122&lt;=100),"51–100",
 AND(K1122&gt;=101,K1122&lt;=250),"101–250",
 AND(K1122&gt;=251,K1122&lt;=500),"251–500",
 AND(K1122&gt;=501,K1122&lt;=1000),"501–1000",
 K1122&gt;=1001,"1001+"
)</f>
        <v>51–100</v>
      </c>
    </row>
    <row r="1123" spans="1:12" x14ac:dyDescent="0.3">
      <c r="A1123" t="s">
        <v>2138</v>
      </c>
      <c r="B1123" t="s">
        <v>13</v>
      </c>
      <c r="C1123" t="s">
        <v>5777</v>
      </c>
      <c r="D1123" t="s">
        <v>2139</v>
      </c>
      <c r="F1123" t="s">
        <v>20</v>
      </c>
      <c r="G1123" t="s">
        <v>135</v>
      </c>
      <c r="J1123" t="s">
        <v>5759</v>
      </c>
      <c r="K1123">
        <v>70</v>
      </c>
      <c r="L1123" t="str" cm="1">
        <f t="array" ref="L1123">_xlfn.IFS(
 K1123&lt;=50,"≤50",
 AND(K1123&gt;=51,K1123&lt;=100),"51–100",
 AND(K1123&gt;=101,K1123&lt;=250),"101–250",
 AND(K1123&gt;=251,K1123&lt;=500),"251–500",
 AND(K1123&gt;=501,K1123&lt;=1000),"501–1000",
 K1123&gt;=1001,"1001+"
)</f>
        <v>51–100</v>
      </c>
    </row>
    <row r="1124" spans="1:12" x14ac:dyDescent="0.3">
      <c r="A1124" t="s">
        <v>2140</v>
      </c>
      <c r="B1124" t="s">
        <v>9</v>
      </c>
      <c r="C1124" t="s">
        <v>5780</v>
      </c>
      <c r="D1124" t="s">
        <v>2141</v>
      </c>
      <c r="F1124" t="s">
        <v>5770</v>
      </c>
      <c r="J1124" t="s">
        <v>5738</v>
      </c>
      <c r="K1124">
        <v>70</v>
      </c>
      <c r="L1124" t="str" cm="1">
        <f t="array" ref="L1124">_xlfn.IFS(
 K1124&lt;=50,"≤50",
 AND(K1124&gt;=51,K1124&lt;=100),"51–100",
 AND(K1124&gt;=101,K1124&lt;=250),"101–250",
 AND(K1124&gt;=251,K1124&lt;=500),"251–500",
 AND(K1124&gt;=501,K1124&lt;=1000),"501–1000",
 K1124&gt;=1001,"1001+"
)</f>
        <v>51–100</v>
      </c>
    </row>
    <row r="1125" spans="1:12" x14ac:dyDescent="0.3">
      <c r="A1125" t="s">
        <v>2142</v>
      </c>
      <c r="B1125" t="s">
        <v>9</v>
      </c>
      <c r="C1125" t="s">
        <v>5780</v>
      </c>
      <c r="D1125" t="s">
        <v>2143</v>
      </c>
      <c r="F1125" t="s">
        <v>5770</v>
      </c>
      <c r="J1125" t="s">
        <v>5737</v>
      </c>
      <c r="K1125">
        <v>70</v>
      </c>
      <c r="L1125" t="str" cm="1">
        <f t="array" ref="L1125">_xlfn.IFS(
 K1125&lt;=50,"≤50",
 AND(K1125&gt;=51,K1125&lt;=100),"51–100",
 AND(K1125&gt;=101,K1125&lt;=250),"101–250",
 AND(K1125&gt;=251,K1125&lt;=500),"251–500",
 AND(K1125&gt;=501,K1125&lt;=1000),"501–1000",
 K1125&gt;=1001,"1001+"
)</f>
        <v>51–100</v>
      </c>
    </row>
    <row r="1126" spans="1:12" x14ac:dyDescent="0.3">
      <c r="A1126" t="s">
        <v>2144</v>
      </c>
      <c r="B1126" t="s">
        <v>13</v>
      </c>
      <c r="C1126" t="s">
        <v>5777</v>
      </c>
      <c r="D1126" t="s">
        <v>2145</v>
      </c>
      <c r="E1126" t="s">
        <v>15</v>
      </c>
      <c r="F1126" t="s">
        <v>16</v>
      </c>
      <c r="G1126" t="s">
        <v>2146</v>
      </c>
      <c r="J1126" t="s">
        <v>5759</v>
      </c>
      <c r="K1126">
        <v>70</v>
      </c>
      <c r="L1126" t="str" cm="1">
        <f t="array" ref="L1126">_xlfn.IFS(
 K1126&lt;=50,"≤50",
 AND(K1126&gt;=51,K1126&lt;=100),"51–100",
 AND(K1126&gt;=101,K1126&lt;=250),"101–250",
 AND(K1126&gt;=251,K1126&lt;=500),"251–500",
 AND(K1126&gt;=501,K1126&lt;=1000),"501–1000",
 K1126&gt;=1001,"1001+"
)</f>
        <v>51–100</v>
      </c>
    </row>
    <row r="1127" spans="1:12" x14ac:dyDescent="0.3">
      <c r="A1127" t="s">
        <v>2147</v>
      </c>
      <c r="B1127" t="s">
        <v>9</v>
      </c>
      <c r="C1127" t="s">
        <v>5780</v>
      </c>
      <c r="D1127" t="s">
        <v>2148</v>
      </c>
      <c r="F1127" t="s">
        <v>5770</v>
      </c>
      <c r="J1127" t="s">
        <v>5744</v>
      </c>
      <c r="K1127">
        <v>70</v>
      </c>
      <c r="L1127" t="str" cm="1">
        <f t="array" ref="L1127">_xlfn.IFS(
 K1127&lt;=50,"≤50",
 AND(K1127&gt;=51,K1127&lt;=100),"51–100",
 AND(K1127&gt;=101,K1127&lt;=250),"101–250",
 AND(K1127&gt;=251,K1127&lt;=500),"251–500",
 AND(K1127&gt;=501,K1127&lt;=1000),"501–1000",
 K1127&gt;=1001,"1001+"
)</f>
        <v>51–100</v>
      </c>
    </row>
    <row r="1128" spans="1:12" x14ac:dyDescent="0.3">
      <c r="A1128" t="s">
        <v>2149</v>
      </c>
      <c r="B1128" t="s">
        <v>9</v>
      </c>
      <c r="C1128" t="s">
        <v>5780</v>
      </c>
      <c r="D1128" t="s">
        <v>2150</v>
      </c>
      <c r="E1128" t="s">
        <v>15</v>
      </c>
      <c r="F1128" t="s">
        <v>54</v>
      </c>
      <c r="G1128" t="s">
        <v>302</v>
      </c>
      <c r="J1128" t="s">
        <v>5737</v>
      </c>
      <c r="K1128">
        <v>70</v>
      </c>
      <c r="L1128" t="str" cm="1">
        <f t="array" ref="L1128">_xlfn.IFS(
 K1128&lt;=50,"≤50",
 AND(K1128&gt;=51,K1128&lt;=100),"51–100",
 AND(K1128&gt;=101,K1128&lt;=250),"101–250",
 AND(K1128&gt;=251,K1128&lt;=500),"251–500",
 AND(K1128&gt;=501,K1128&lt;=1000),"501–1000",
 K1128&gt;=1001,"1001+"
)</f>
        <v>51–100</v>
      </c>
    </row>
    <row r="1129" spans="1:12" x14ac:dyDescent="0.3">
      <c r="A1129" t="s">
        <v>2151</v>
      </c>
      <c r="B1129" t="s">
        <v>9</v>
      </c>
      <c r="C1129" t="s">
        <v>5780</v>
      </c>
      <c r="D1129" t="s">
        <v>2152</v>
      </c>
      <c r="F1129" t="s">
        <v>5770</v>
      </c>
      <c r="J1129" t="s">
        <v>5737</v>
      </c>
      <c r="K1129">
        <v>70</v>
      </c>
      <c r="L1129" t="str" cm="1">
        <f t="array" ref="L1129">_xlfn.IFS(
 K1129&lt;=50,"≤50",
 AND(K1129&gt;=51,K1129&lt;=100),"51–100",
 AND(K1129&gt;=101,K1129&lt;=250),"101–250",
 AND(K1129&gt;=251,K1129&lt;=500),"251–500",
 AND(K1129&gt;=501,K1129&lt;=1000),"501–1000",
 K1129&gt;=1001,"1001+"
)</f>
        <v>51–100</v>
      </c>
    </row>
    <row r="1130" spans="1:12" x14ac:dyDescent="0.3">
      <c r="A1130" t="s">
        <v>2153</v>
      </c>
      <c r="B1130" t="s">
        <v>9</v>
      </c>
      <c r="C1130" t="s">
        <v>5780</v>
      </c>
      <c r="D1130" t="s">
        <v>28</v>
      </c>
      <c r="F1130" t="s">
        <v>5770</v>
      </c>
      <c r="J1130" t="s">
        <v>5746</v>
      </c>
      <c r="K1130">
        <v>70</v>
      </c>
      <c r="L1130" t="str" cm="1">
        <f t="array" ref="L1130">_xlfn.IFS(
 K1130&lt;=50,"≤50",
 AND(K1130&gt;=51,K1130&lt;=100),"51–100",
 AND(K1130&gt;=101,K1130&lt;=250),"101–250",
 AND(K1130&gt;=251,K1130&lt;=500),"251–500",
 AND(K1130&gt;=501,K1130&lt;=1000),"501–1000",
 K1130&gt;=1001,"1001+"
)</f>
        <v>51–100</v>
      </c>
    </row>
    <row r="1131" spans="1:12" x14ac:dyDescent="0.3">
      <c r="A1131" t="s">
        <v>2154</v>
      </c>
      <c r="B1131" t="s">
        <v>11</v>
      </c>
      <c r="C1131" t="s">
        <v>5776</v>
      </c>
      <c r="F1131" t="s">
        <v>5770</v>
      </c>
      <c r="J1131" t="s">
        <v>5738</v>
      </c>
      <c r="K1131">
        <v>70</v>
      </c>
      <c r="L1131" t="str" cm="1">
        <f t="array" ref="L1131">_xlfn.IFS(
 K1131&lt;=50,"≤50",
 AND(K1131&gt;=51,K1131&lt;=100),"51–100",
 AND(K1131&gt;=101,K1131&lt;=250),"101–250",
 AND(K1131&gt;=251,K1131&lt;=500),"251–500",
 AND(K1131&gt;=501,K1131&lt;=1000),"501–1000",
 K1131&gt;=1001,"1001+"
)</f>
        <v>51–100</v>
      </c>
    </row>
    <row r="1132" spans="1:12" x14ac:dyDescent="0.3">
      <c r="A1132" t="s">
        <v>2155</v>
      </c>
      <c r="B1132" t="s">
        <v>11</v>
      </c>
      <c r="C1132" t="s">
        <v>5776</v>
      </c>
      <c r="F1132" t="s">
        <v>5770</v>
      </c>
      <c r="J1132" t="s">
        <v>5738</v>
      </c>
      <c r="K1132">
        <v>70</v>
      </c>
      <c r="L1132" t="str" cm="1">
        <f t="array" ref="L1132">_xlfn.IFS(
 K1132&lt;=50,"≤50",
 AND(K1132&gt;=51,K1132&lt;=100),"51–100",
 AND(K1132&gt;=101,K1132&lt;=250),"101–250",
 AND(K1132&gt;=251,K1132&lt;=500),"251–500",
 AND(K1132&gt;=501,K1132&lt;=1000),"501–1000",
 K1132&gt;=1001,"1001+"
)</f>
        <v>51–100</v>
      </c>
    </row>
    <row r="1133" spans="1:12" x14ac:dyDescent="0.3">
      <c r="A1133" t="s">
        <v>2156</v>
      </c>
      <c r="B1133" t="s">
        <v>11</v>
      </c>
      <c r="C1133" t="s">
        <v>5776</v>
      </c>
      <c r="F1133" t="s">
        <v>5770</v>
      </c>
      <c r="J1133" t="s">
        <v>5738</v>
      </c>
      <c r="K1133">
        <v>70</v>
      </c>
      <c r="L1133" t="str" cm="1">
        <f t="array" ref="L1133">_xlfn.IFS(
 K1133&lt;=50,"≤50",
 AND(K1133&gt;=51,K1133&lt;=100),"51–100",
 AND(K1133&gt;=101,K1133&lt;=250),"101–250",
 AND(K1133&gt;=251,K1133&lt;=500),"251–500",
 AND(K1133&gt;=501,K1133&lt;=1000),"501–1000",
 K1133&gt;=1001,"1001+"
)</f>
        <v>51–100</v>
      </c>
    </row>
    <row r="1134" spans="1:12" x14ac:dyDescent="0.3">
      <c r="A1134" t="s">
        <v>2157</v>
      </c>
      <c r="B1134" t="s">
        <v>9</v>
      </c>
      <c r="C1134" t="s">
        <v>5780</v>
      </c>
      <c r="D1134" t="s">
        <v>28</v>
      </c>
      <c r="F1134" t="s">
        <v>5770</v>
      </c>
      <c r="J1134" t="s">
        <v>5738</v>
      </c>
      <c r="K1134">
        <v>70</v>
      </c>
      <c r="L1134" t="str" cm="1">
        <f t="array" ref="L1134">_xlfn.IFS(
 K1134&lt;=50,"≤50",
 AND(K1134&gt;=51,K1134&lt;=100),"51–100",
 AND(K1134&gt;=101,K1134&lt;=250),"101–250",
 AND(K1134&gt;=251,K1134&lt;=500),"251–500",
 AND(K1134&gt;=501,K1134&lt;=1000),"501–1000",
 K1134&gt;=1001,"1001+"
)</f>
        <v>51–100</v>
      </c>
    </row>
    <row r="1135" spans="1:12" x14ac:dyDescent="0.3">
      <c r="A1135" t="s">
        <v>2158</v>
      </c>
      <c r="B1135" t="s">
        <v>11</v>
      </c>
      <c r="C1135" t="s">
        <v>5776</v>
      </c>
      <c r="E1135" t="s">
        <v>15</v>
      </c>
      <c r="F1135" t="s">
        <v>5770</v>
      </c>
      <c r="J1135" t="s">
        <v>5738</v>
      </c>
      <c r="K1135">
        <v>70</v>
      </c>
      <c r="L1135" t="str" cm="1">
        <f t="array" ref="L1135">_xlfn.IFS(
 K1135&lt;=50,"≤50",
 AND(K1135&gt;=51,K1135&lt;=100),"51–100",
 AND(K1135&gt;=101,K1135&lt;=250),"101–250",
 AND(K1135&gt;=251,K1135&lt;=500),"251–500",
 AND(K1135&gt;=501,K1135&lt;=1000),"501–1000",
 K1135&gt;=1001,"1001+"
)</f>
        <v>51–100</v>
      </c>
    </row>
    <row r="1136" spans="1:12" x14ac:dyDescent="0.3">
      <c r="A1136" t="s">
        <v>2159</v>
      </c>
      <c r="B1136" t="s">
        <v>13</v>
      </c>
      <c r="C1136" t="s">
        <v>5777</v>
      </c>
      <c r="D1136" t="s">
        <v>2160</v>
      </c>
      <c r="F1136" t="s">
        <v>5770</v>
      </c>
      <c r="J1136" t="s">
        <v>5738</v>
      </c>
      <c r="K1136">
        <v>70</v>
      </c>
      <c r="L1136" t="str" cm="1">
        <f t="array" ref="L1136">_xlfn.IFS(
 K1136&lt;=50,"≤50",
 AND(K1136&gt;=51,K1136&lt;=100),"51–100",
 AND(K1136&gt;=101,K1136&lt;=250),"101–250",
 AND(K1136&gt;=251,K1136&lt;=500),"251–500",
 AND(K1136&gt;=501,K1136&lt;=1000),"501–1000",
 K1136&gt;=1001,"1001+"
)</f>
        <v>51–100</v>
      </c>
    </row>
    <row r="1137" spans="1:12" x14ac:dyDescent="0.3">
      <c r="A1137" t="s">
        <v>2161</v>
      </c>
      <c r="B1137" t="s">
        <v>9</v>
      </c>
      <c r="C1137" t="s">
        <v>5780</v>
      </c>
      <c r="D1137" t="s">
        <v>2162</v>
      </c>
      <c r="F1137" t="s">
        <v>5770</v>
      </c>
      <c r="J1137" t="s">
        <v>5743</v>
      </c>
      <c r="K1137">
        <v>70</v>
      </c>
      <c r="L1137" t="str" cm="1">
        <f t="array" ref="L1137">_xlfn.IFS(
 K1137&lt;=50,"≤50",
 AND(K1137&gt;=51,K1137&lt;=100),"51–100",
 AND(K1137&gt;=101,K1137&lt;=250),"101–250",
 AND(K1137&gt;=251,K1137&lt;=500),"251–500",
 AND(K1137&gt;=501,K1137&lt;=1000),"501–1000",
 K1137&gt;=1001,"1001+"
)</f>
        <v>51–100</v>
      </c>
    </row>
    <row r="1138" spans="1:12" x14ac:dyDescent="0.3">
      <c r="A1138" t="s">
        <v>2163</v>
      </c>
      <c r="B1138" t="s">
        <v>13</v>
      </c>
      <c r="C1138" t="s">
        <v>5777</v>
      </c>
      <c r="D1138" t="s">
        <v>314</v>
      </c>
      <c r="F1138" t="s">
        <v>5770</v>
      </c>
      <c r="J1138" t="s">
        <v>5743</v>
      </c>
      <c r="K1138">
        <v>70</v>
      </c>
      <c r="L1138" t="str" cm="1">
        <f t="array" ref="L1138">_xlfn.IFS(
 K1138&lt;=50,"≤50",
 AND(K1138&gt;=51,K1138&lt;=100),"51–100",
 AND(K1138&gt;=101,K1138&lt;=250),"101–250",
 AND(K1138&gt;=251,K1138&lt;=500),"251–500",
 AND(K1138&gt;=501,K1138&lt;=1000),"501–1000",
 K1138&gt;=1001,"1001+"
)</f>
        <v>51–100</v>
      </c>
    </row>
    <row r="1139" spans="1:12" x14ac:dyDescent="0.3">
      <c r="A1139" t="s">
        <v>2164</v>
      </c>
      <c r="B1139" t="s">
        <v>11</v>
      </c>
      <c r="C1139" t="s">
        <v>5776</v>
      </c>
      <c r="F1139" t="s">
        <v>5770</v>
      </c>
      <c r="J1139" t="s">
        <v>5743</v>
      </c>
      <c r="K1139">
        <v>70</v>
      </c>
      <c r="L1139" t="str" cm="1">
        <f t="array" ref="L1139">_xlfn.IFS(
 K1139&lt;=50,"≤50",
 AND(K1139&gt;=51,K1139&lt;=100),"51–100",
 AND(K1139&gt;=101,K1139&lt;=250),"101–250",
 AND(K1139&gt;=251,K1139&lt;=500),"251–500",
 AND(K1139&gt;=501,K1139&lt;=1000),"501–1000",
 K1139&gt;=1001,"1001+"
)</f>
        <v>51–100</v>
      </c>
    </row>
    <row r="1140" spans="1:12" x14ac:dyDescent="0.3">
      <c r="A1140" t="s">
        <v>2165</v>
      </c>
      <c r="B1140" t="s">
        <v>9</v>
      </c>
      <c r="C1140" t="s">
        <v>5780</v>
      </c>
      <c r="D1140" t="s">
        <v>2166</v>
      </c>
      <c r="E1140" t="s">
        <v>15</v>
      </c>
      <c r="F1140" t="s">
        <v>5770</v>
      </c>
      <c r="J1140" t="s">
        <v>5737</v>
      </c>
      <c r="K1140">
        <v>70</v>
      </c>
      <c r="L1140" t="str" cm="1">
        <f t="array" ref="L1140">_xlfn.IFS(
 K1140&lt;=50,"≤50",
 AND(K1140&gt;=51,K1140&lt;=100),"51–100",
 AND(K1140&gt;=101,K1140&lt;=250),"101–250",
 AND(K1140&gt;=251,K1140&lt;=500),"251–500",
 AND(K1140&gt;=501,K1140&lt;=1000),"501–1000",
 K1140&gt;=1001,"1001+"
)</f>
        <v>51–100</v>
      </c>
    </row>
    <row r="1141" spans="1:12" x14ac:dyDescent="0.3">
      <c r="A1141" t="s">
        <v>2167</v>
      </c>
      <c r="B1141" t="s">
        <v>11</v>
      </c>
      <c r="C1141" t="s">
        <v>5776</v>
      </c>
      <c r="F1141" t="s">
        <v>5770</v>
      </c>
      <c r="J1141" t="s">
        <v>5737</v>
      </c>
      <c r="K1141">
        <v>70</v>
      </c>
      <c r="L1141" t="str" cm="1">
        <f t="array" ref="L1141">_xlfn.IFS(
 K1141&lt;=50,"≤50",
 AND(K1141&gt;=51,K1141&lt;=100),"51–100",
 AND(K1141&gt;=101,K1141&lt;=250),"101–250",
 AND(K1141&gt;=251,K1141&lt;=500),"251–500",
 AND(K1141&gt;=501,K1141&lt;=1000),"501–1000",
 K1141&gt;=1001,"1001+"
)</f>
        <v>51–100</v>
      </c>
    </row>
    <row r="1142" spans="1:12" x14ac:dyDescent="0.3">
      <c r="A1142" t="s">
        <v>2168</v>
      </c>
      <c r="B1142" t="s">
        <v>13</v>
      </c>
      <c r="C1142" t="s">
        <v>5777</v>
      </c>
      <c r="D1142" t="s">
        <v>245</v>
      </c>
      <c r="E1142" t="s">
        <v>15</v>
      </c>
      <c r="F1142" t="s">
        <v>5770</v>
      </c>
      <c r="J1142" t="s">
        <v>5737</v>
      </c>
      <c r="K1142">
        <v>70</v>
      </c>
      <c r="L1142" t="str" cm="1">
        <f t="array" ref="L1142">_xlfn.IFS(
 K1142&lt;=50,"≤50",
 AND(K1142&gt;=51,K1142&lt;=100),"51–100",
 AND(K1142&gt;=101,K1142&lt;=250),"101–250",
 AND(K1142&gt;=251,K1142&lt;=500),"251–500",
 AND(K1142&gt;=501,K1142&lt;=1000),"501–1000",
 K1142&gt;=1001,"1001+"
)</f>
        <v>51–100</v>
      </c>
    </row>
    <row r="1143" spans="1:12" x14ac:dyDescent="0.3">
      <c r="A1143" t="s">
        <v>2169</v>
      </c>
      <c r="B1143" t="s">
        <v>9</v>
      </c>
      <c r="C1143" t="s">
        <v>5780</v>
      </c>
      <c r="D1143" t="s">
        <v>28</v>
      </c>
      <c r="F1143" t="s">
        <v>5770</v>
      </c>
      <c r="J1143" t="s">
        <v>5737</v>
      </c>
      <c r="K1143">
        <v>70</v>
      </c>
      <c r="L1143" t="str" cm="1">
        <f t="array" ref="L1143">_xlfn.IFS(
 K1143&lt;=50,"≤50",
 AND(K1143&gt;=51,K1143&lt;=100),"51–100",
 AND(K1143&gt;=101,K1143&lt;=250),"101–250",
 AND(K1143&gt;=251,K1143&lt;=500),"251–500",
 AND(K1143&gt;=501,K1143&lt;=1000),"501–1000",
 K1143&gt;=1001,"1001+"
)</f>
        <v>51–100</v>
      </c>
    </row>
    <row r="1144" spans="1:12" x14ac:dyDescent="0.3">
      <c r="A1144" t="s">
        <v>2170</v>
      </c>
      <c r="B1144" t="s">
        <v>13</v>
      </c>
      <c r="C1144" t="s">
        <v>5777</v>
      </c>
      <c r="D1144" t="s">
        <v>231</v>
      </c>
      <c r="F1144" t="s">
        <v>5770</v>
      </c>
      <c r="J1144" t="s">
        <v>5737</v>
      </c>
      <c r="K1144">
        <v>70</v>
      </c>
      <c r="L1144" t="str" cm="1">
        <f t="array" ref="L1144">_xlfn.IFS(
 K1144&lt;=50,"≤50",
 AND(K1144&gt;=51,K1144&lt;=100),"51–100",
 AND(K1144&gt;=101,K1144&lt;=250),"101–250",
 AND(K1144&gt;=251,K1144&lt;=500),"251–500",
 AND(K1144&gt;=501,K1144&lt;=1000),"501–1000",
 K1144&gt;=1001,"1001+"
)</f>
        <v>51–100</v>
      </c>
    </row>
    <row r="1145" spans="1:12" x14ac:dyDescent="0.3">
      <c r="A1145" t="s">
        <v>2171</v>
      </c>
      <c r="B1145" t="s">
        <v>13</v>
      </c>
      <c r="C1145" t="s">
        <v>5777</v>
      </c>
      <c r="D1145" t="s">
        <v>245</v>
      </c>
      <c r="E1145" t="s">
        <v>15</v>
      </c>
      <c r="F1145" t="s">
        <v>5770</v>
      </c>
      <c r="J1145" t="s">
        <v>5737</v>
      </c>
      <c r="K1145">
        <v>70</v>
      </c>
      <c r="L1145" t="str" cm="1">
        <f t="array" ref="L1145">_xlfn.IFS(
 K1145&lt;=50,"≤50",
 AND(K1145&gt;=51,K1145&lt;=100),"51–100",
 AND(K1145&gt;=101,K1145&lt;=250),"101–250",
 AND(K1145&gt;=251,K1145&lt;=500),"251–500",
 AND(K1145&gt;=501,K1145&lt;=1000),"501–1000",
 K1145&gt;=1001,"1001+"
)</f>
        <v>51–100</v>
      </c>
    </row>
    <row r="1146" spans="1:12" x14ac:dyDescent="0.3">
      <c r="A1146" t="s">
        <v>2172</v>
      </c>
      <c r="B1146" t="s">
        <v>9</v>
      </c>
      <c r="C1146" t="s">
        <v>5780</v>
      </c>
      <c r="D1146" t="s">
        <v>28</v>
      </c>
      <c r="F1146" t="s">
        <v>5770</v>
      </c>
      <c r="J1146" t="s">
        <v>5737</v>
      </c>
      <c r="K1146">
        <v>70</v>
      </c>
      <c r="L1146" t="str" cm="1">
        <f t="array" ref="L1146">_xlfn.IFS(
 K1146&lt;=50,"≤50",
 AND(K1146&gt;=51,K1146&lt;=100),"51–100",
 AND(K1146&gt;=101,K1146&lt;=250),"101–250",
 AND(K1146&gt;=251,K1146&lt;=500),"251–500",
 AND(K1146&gt;=501,K1146&lt;=1000),"501–1000",
 K1146&gt;=1001,"1001+"
)</f>
        <v>51–100</v>
      </c>
    </row>
    <row r="1147" spans="1:12" x14ac:dyDescent="0.3">
      <c r="A1147" t="s">
        <v>2173</v>
      </c>
      <c r="B1147" t="s">
        <v>11</v>
      </c>
      <c r="C1147" t="s">
        <v>5776</v>
      </c>
      <c r="F1147" t="s">
        <v>5770</v>
      </c>
      <c r="J1147" t="s">
        <v>5737</v>
      </c>
      <c r="K1147">
        <v>70</v>
      </c>
      <c r="L1147" t="str" cm="1">
        <f t="array" ref="L1147">_xlfn.IFS(
 K1147&lt;=50,"≤50",
 AND(K1147&gt;=51,K1147&lt;=100),"51–100",
 AND(K1147&gt;=101,K1147&lt;=250),"101–250",
 AND(K1147&gt;=251,K1147&lt;=500),"251–500",
 AND(K1147&gt;=501,K1147&lt;=1000),"501–1000",
 K1147&gt;=1001,"1001+"
)</f>
        <v>51–100</v>
      </c>
    </row>
    <row r="1148" spans="1:12" x14ac:dyDescent="0.3">
      <c r="A1148" t="s">
        <v>2174</v>
      </c>
      <c r="B1148" t="s">
        <v>11</v>
      </c>
      <c r="C1148" t="s">
        <v>5776</v>
      </c>
      <c r="F1148" t="s">
        <v>5770</v>
      </c>
      <c r="J1148" t="s">
        <v>5744</v>
      </c>
      <c r="K1148">
        <v>70</v>
      </c>
      <c r="L1148" t="str" cm="1">
        <f t="array" ref="L1148">_xlfn.IFS(
 K1148&lt;=50,"≤50",
 AND(K1148&gt;=51,K1148&lt;=100),"51–100",
 AND(K1148&gt;=101,K1148&lt;=250),"101–250",
 AND(K1148&gt;=251,K1148&lt;=500),"251–500",
 AND(K1148&gt;=501,K1148&lt;=1000),"501–1000",
 K1148&gt;=1001,"1001+"
)</f>
        <v>51–100</v>
      </c>
    </row>
    <row r="1149" spans="1:12" x14ac:dyDescent="0.3">
      <c r="A1149" t="s">
        <v>2175</v>
      </c>
      <c r="B1149" t="s">
        <v>11</v>
      </c>
      <c r="C1149" t="s">
        <v>5776</v>
      </c>
      <c r="F1149" t="s">
        <v>5770</v>
      </c>
      <c r="J1149" t="s">
        <v>5753</v>
      </c>
      <c r="K1149">
        <v>70</v>
      </c>
      <c r="L1149" t="str" cm="1">
        <f t="array" ref="L1149">_xlfn.IFS(
 K1149&lt;=50,"≤50",
 AND(K1149&gt;=51,K1149&lt;=100),"51–100",
 AND(K1149&gt;=101,K1149&lt;=250),"101–250",
 AND(K1149&gt;=251,K1149&lt;=500),"251–500",
 AND(K1149&gt;=501,K1149&lt;=1000),"501–1000",
 K1149&gt;=1001,"1001+"
)</f>
        <v>51–100</v>
      </c>
    </row>
    <row r="1150" spans="1:12" x14ac:dyDescent="0.3">
      <c r="A1150" t="s">
        <v>2176</v>
      </c>
      <c r="B1150" t="s">
        <v>9</v>
      </c>
      <c r="C1150" t="s">
        <v>5780</v>
      </c>
      <c r="D1150" t="s">
        <v>28</v>
      </c>
      <c r="F1150" t="s">
        <v>5770</v>
      </c>
      <c r="J1150" t="s">
        <v>5742</v>
      </c>
      <c r="K1150">
        <v>70</v>
      </c>
      <c r="L1150" t="str" cm="1">
        <f t="array" ref="L1150">_xlfn.IFS(
 K1150&lt;=50,"≤50",
 AND(K1150&gt;=51,K1150&lt;=100),"51–100",
 AND(K1150&gt;=101,K1150&lt;=250),"101–250",
 AND(K1150&gt;=251,K1150&lt;=500),"251–500",
 AND(K1150&gt;=501,K1150&lt;=1000),"501–1000",
 K1150&gt;=1001,"1001+"
)</f>
        <v>51–100</v>
      </c>
    </row>
    <row r="1151" spans="1:12" x14ac:dyDescent="0.3">
      <c r="A1151" t="s">
        <v>2177</v>
      </c>
      <c r="B1151" t="s">
        <v>9</v>
      </c>
      <c r="C1151" t="s">
        <v>5780</v>
      </c>
      <c r="D1151" t="s">
        <v>28</v>
      </c>
      <c r="F1151" t="s">
        <v>20</v>
      </c>
      <c r="G1151" t="s">
        <v>2178</v>
      </c>
      <c r="J1151" t="s">
        <v>5739</v>
      </c>
      <c r="K1151">
        <v>70</v>
      </c>
      <c r="L1151" t="str" cm="1">
        <f t="array" ref="L1151">_xlfn.IFS(
 K1151&lt;=50,"≤50",
 AND(K1151&gt;=51,K1151&lt;=100),"51–100",
 AND(K1151&gt;=101,K1151&lt;=250),"101–250",
 AND(K1151&gt;=251,K1151&lt;=500),"251–500",
 AND(K1151&gt;=501,K1151&lt;=1000),"501–1000",
 K1151&gt;=1001,"1001+"
)</f>
        <v>51–100</v>
      </c>
    </row>
    <row r="1152" spans="1:12" x14ac:dyDescent="0.3">
      <c r="A1152" t="s">
        <v>2179</v>
      </c>
      <c r="B1152" t="s">
        <v>9</v>
      </c>
      <c r="C1152" t="s">
        <v>5780</v>
      </c>
      <c r="D1152" t="s">
        <v>28</v>
      </c>
      <c r="F1152" t="s">
        <v>20</v>
      </c>
      <c r="G1152" t="s">
        <v>21</v>
      </c>
      <c r="J1152" t="s">
        <v>5741</v>
      </c>
      <c r="K1152">
        <v>70</v>
      </c>
      <c r="L1152" t="str" cm="1">
        <f t="array" ref="L1152">_xlfn.IFS(
 K1152&lt;=50,"≤50",
 AND(K1152&gt;=51,K1152&lt;=100),"51–100",
 AND(K1152&gt;=101,K1152&lt;=250),"101–250",
 AND(K1152&gt;=251,K1152&lt;=500),"251–500",
 AND(K1152&gt;=501,K1152&lt;=1000),"501–1000",
 K1152&gt;=1001,"1001+"
)</f>
        <v>51–100</v>
      </c>
    </row>
    <row r="1153" spans="1:12" x14ac:dyDescent="0.3">
      <c r="A1153" t="s">
        <v>2180</v>
      </c>
      <c r="B1153" t="s">
        <v>9</v>
      </c>
      <c r="C1153" t="s">
        <v>5780</v>
      </c>
      <c r="D1153" t="s">
        <v>2181</v>
      </c>
      <c r="E1153" t="s">
        <v>15</v>
      </c>
      <c r="F1153" t="s">
        <v>20</v>
      </c>
      <c r="G1153" t="s">
        <v>2182</v>
      </c>
      <c r="J1153" t="s">
        <v>5750</v>
      </c>
      <c r="K1153">
        <v>70</v>
      </c>
      <c r="L1153" t="str" cm="1">
        <f t="array" ref="L1153">_xlfn.IFS(
 K1153&lt;=50,"≤50",
 AND(K1153&gt;=51,K1153&lt;=100),"51–100",
 AND(K1153&gt;=101,K1153&lt;=250),"101–250",
 AND(K1153&gt;=251,K1153&lt;=500),"251–500",
 AND(K1153&gt;=501,K1153&lt;=1000),"501–1000",
 K1153&gt;=1001,"1001+"
)</f>
        <v>51–100</v>
      </c>
    </row>
    <row r="1154" spans="1:12" x14ac:dyDescent="0.3">
      <c r="A1154" t="s">
        <v>2183</v>
      </c>
      <c r="B1154" t="s">
        <v>11</v>
      </c>
      <c r="C1154" t="s">
        <v>5776</v>
      </c>
      <c r="F1154" t="s">
        <v>5770</v>
      </c>
      <c r="J1154" t="s">
        <v>5750</v>
      </c>
      <c r="K1154">
        <v>70</v>
      </c>
      <c r="L1154" t="str" cm="1">
        <f t="array" ref="L1154">_xlfn.IFS(
 K1154&lt;=50,"≤50",
 AND(K1154&gt;=51,K1154&lt;=100),"51–100",
 AND(K1154&gt;=101,K1154&lt;=250),"101–250",
 AND(K1154&gt;=251,K1154&lt;=500),"251–500",
 AND(K1154&gt;=501,K1154&lt;=1000),"501–1000",
 K1154&gt;=1001,"1001+"
)</f>
        <v>51–100</v>
      </c>
    </row>
    <row r="1155" spans="1:12" x14ac:dyDescent="0.3">
      <c r="A1155" t="s">
        <v>2184</v>
      </c>
      <c r="B1155" t="s">
        <v>9</v>
      </c>
      <c r="C1155" t="s">
        <v>5780</v>
      </c>
      <c r="D1155" t="s">
        <v>28</v>
      </c>
      <c r="E1155" t="s">
        <v>15</v>
      </c>
      <c r="F1155" t="s">
        <v>20</v>
      </c>
      <c r="G1155" t="s">
        <v>421</v>
      </c>
      <c r="J1155" t="s">
        <v>5747</v>
      </c>
      <c r="K1155">
        <v>70</v>
      </c>
      <c r="L1155" t="str" cm="1">
        <f t="array" ref="L1155">_xlfn.IFS(
 K1155&lt;=50,"≤50",
 AND(K1155&gt;=51,K1155&lt;=100),"51–100",
 AND(K1155&gt;=101,K1155&lt;=250),"101–250",
 AND(K1155&gt;=251,K1155&lt;=500),"251–500",
 AND(K1155&gt;=501,K1155&lt;=1000),"501–1000",
 K1155&gt;=1001,"1001+"
)</f>
        <v>51–100</v>
      </c>
    </row>
    <row r="1156" spans="1:12" x14ac:dyDescent="0.3">
      <c r="A1156" t="s">
        <v>2185</v>
      </c>
      <c r="B1156" t="s">
        <v>9</v>
      </c>
      <c r="C1156" t="s">
        <v>5780</v>
      </c>
      <c r="D1156" t="s">
        <v>28</v>
      </c>
      <c r="E1156" t="s">
        <v>15</v>
      </c>
      <c r="F1156" t="s">
        <v>20</v>
      </c>
      <c r="G1156" t="s">
        <v>2186</v>
      </c>
      <c r="J1156" t="s">
        <v>5747</v>
      </c>
      <c r="K1156">
        <v>70</v>
      </c>
      <c r="L1156" t="str" cm="1">
        <f t="array" ref="L1156">_xlfn.IFS(
 K1156&lt;=50,"≤50",
 AND(K1156&gt;=51,K1156&lt;=100),"51–100",
 AND(K1156&gt;=101,K1156&lt;=250),"101–250",
 AND(K1156&gt;=251,K1156&lt;=500),"251–500",
 AND(K1156&gt;=501,K1156&lt;=1000),"501–1000",
 K1156&gt;=1001,"1001+"
)</f>
        <v>51–100</v>
      </c>
    </row>
    <row r="1157" spans="1:12" x14ac:dyDescent="0.3">
      <c r="A1157" t="s">
        <v>2187</v>
      </c>
      <c r="B1157" t="s">
        <v>9</v>
      </c>
      <c r="C1157" t="s">
        <v>5780</v>
      </c>
      <c r="D1157" t="s">
        <v>841</v>
      </c>
      <c r="F1157" t="s">
        <v>5770</v>
      </c>
      <c r="J1157" t="s">
        <v>5740</v>
      </c>
      <c r="K1157">
        <v>70</v>
      </c>
      <c r="L1157" t="str" cm="1">
        <f t="array" ref="L1157">_xlfn.IFS(
 K1157&lt;=50,"≤50",
 AND(K1157&gt;=51,K1157&lt;=100),"51–100",
 AND(K1157&gt;=101,K1157&lt;=250),"101–250",
 AND(K1157&gt;=251,K1157&lt;=500),"251–500",
 AND(K1157&gt;=501,K1157&lt;=1000),"501–1000",
 K1157&gt;=1001,"1001+"
)</f>
        <v>51–100</v>
      </c>
    </row>
    <row r="1158" spans="1:12" x14ac:dyDescent="0.3">
      <c r="A1158" t="s">
        <v>2188</v>
      </c>
      <c r="B1158" t="s">
        <v>9</v>
      </c>
      <c r="C1158" t="s">
        <v>5780</v>
      </c>
      <c r="D1158" t="s">
        <v>2189</v>
      </c>
      <c r="F1158" t="s">
        <v>5770</v>
      </c>
      <c r="J1158" t="s">
        <v>5740</v>
      </c>
      <c r="K1158">
        <v>70</v>
      </c>
      <c r="L1158" t="str" cm="1">
        <f t="array" ref="L1158">_xlfn.IFS(
 K1158&lt;=50,"≤50",
 AND(K1158&gt;=51,K1158&lt;=100),"51–100",
 AND(K1158&gt;=101,K1158&lt;=250),"101–250",
 AND(K1158&gt;=251,K1158&lt;=500),"251–500",
 AND(K1158&gt;=501,K1158&lt;=1000),"501–1000",
 K1158&gt;=1001,"1001+"
)</f>
        <v>51–100</v>
      </c>
    </row>
    <row r="1159" spans="1:12" x14ac:dyDescent="0.3">
      <c r="A1159" t="s">
        <v>2190</v>
      </c>
      <c r="B1159" t="s">
        <v>13</v>
      </c>
      <c r="C1159" t="s">
        <v>5777</v>
      </c>
      <c r="D1159" t="s">
        <v>245</v>
      </c>
      <c r="E1159" t="s">
        <v>15</v>
      </c>
      <c r="F1159" t="s">
        <v>20</v>
      </c>
      <c r="G1159" t="s">
        <v>2191</v>
      </c>
      <c r="J1159" t="s">
        <v>5761</v>
      </c>
      <c r="K1159">
        <v>70</v>
      </c>
      <c r="L1159" t="str" cm="1">
        <f t="array" ref="L1159">_xlfn.IFS(
 K1159&lt;=50,"≤50",
 AND(K1159&gt;=51,K1159&lt;=100),"51–100",
 AND(K1159&gt;=101,K1159&lt;=250),"101–250",
 AND(K1159&gt;=251,K1159&lt;=500),"251–500",
 AND(K1159&gt;=501,K1159&lt;=1000),"501–1000",
 K1159&gt;=1001,"1001+"
)</f>
        <v>51–100</v>
      </c>
    </row>
    <row r="1160" spans="1:12" x14ac:dyDescent="0.3">
      <c r="A1160" t="s">
        <v>2192</v>
      </c>
      <c r="B1160" t="s">
        <v>9</v>
      </c>
      <c r="C1160" t="s">
        <v>5780</v>
      </c>
      <c r="D1160" t="s">
        <v>2193</v>
      </c>
      <c r="E1160" t="s">
        <v>15</v>
      </c>
      <c r="F1160" t="s">
        <v>5770</v>
      </c>
      <c r="J1160" t="s">
        <v>5761</v>
      </c>
      <c r="K1160">
        <v>70</v>
      </c>
      <c r="L1160" t="str" cm="1">
        <f t="array" ref="L1160">_xlfn.IFS(
 K1160&lt;=50,"≤50",
 AND(K1160&gt;=51,K1160&lt;=100),"51–100",
 AND(K1160&gt;=101,K1160&lt;=250),"101–250",
 AND(K1160&gt;=251,K1160&lt;=500),"251–500",
 AND(K1160&gt;=501,K1160&lt;=1000),"501–1000",
 K1160&gt;=1001,"1001+"
)</f>
        <v>51–100</v>
      </c>
    </row>
    <row r="1161" spans="1:12" x14ac:dyDescent="0.3">
      <c r="A1161" t="s">
        <v>2194</v>
      </c>
      <c r="B1161" t="s">
        <v>9</v>
      </c>
      <c r="C1161" t="s">
        <v>5780</v>
      </c>
      <c r="D1161" t="s">
        <v>28</v>
      </c>
      <c r="E1161" t="s">
        <v>15</v>
      </c>
      <c r="F1161" t="s">
        <v>5770</v>
      </c>
      <c r="J1161" t="s">
        <v>5746</v>
      </c>
      <c r="K1161">
        <v>70</v>
      </c>
      <c r="L1161" t="str" cm="1">
        <f t="array" ref="L1161">_xlfn.IFS(
 K1161&lt;=50,"≤50",
 AND(K1161&gt;=51,K1161&lt;=100),"51–100",
 AND(K1161&gt;=101,K1161&lt;=250),"101–250",
 AND(K1161&gt;=251,K1161&lt;=500),"251–500",
 AND(K1161&gt;=501,K1161&lt;=1000),"501–1000",
 K1161&gt;=1001,"1001+"
)</f>
        <v>51–100</v>
      </c>
    </row>
    <row r="1162" spans="1:12" x14ac:dyDescent="0.3">
      <c r="A1162" t="s">
        <v>2195</v>
      </c>
      <c r="B1162" t="s">
        <v>9</v>
      </c>
      <c r="C1162" t="s">
        <v>5780</v>
      </c>
      <c r="D1162" t="s">
        <v>28</v>
      </c>
      <c r="F1162" t="s">
        <v>5770</v>
      </c>
      <c r="J1162" t="s">
        <v>5738</v>
      </c>
      <c r="K1162">
        <v>70</v>
      </c>
      <c r="L1162" t="str" cm="1">
        <f t="array" ref="L1162">_xlfn.IFS(
 K1162&lt;=50,"≤50",
 AND(K1162&gt;=51,K1162&lt;=100),"51–100",
 AND(K1162&gt;=101,K1162&lt;=250),"101–250",
 AND(K1162&gt;=251,K1162&lt;=500),"251–500",
 AND(K1162&gt;=501,K1162&lt;=1000),"501–1000",
 K1162&gt;=1001,"1001+"
)</f>
        <v>51–100</v>
      </c>
    </row>
    <row r="1163" spans="1:12" x14ac:dyDescent="0.3">
      <c r="A1163" t="s">
        <v>2196</v>
      </c>
      <c r="B1163" t="s">
        <v>9</v>
      </c>
      <c r="C1163" t="s">
        <v>5780</v>
      </c>
      <c r="D1163" t="s">
        <v>28</v>
      </c>
      <c r="F1163" t="s">
        <v>5770</v>
      </c>
      <c r="J1163" t="s">
        <v>5737</v>
      </c>
      <c r="K1163">
        <v>70</v>
      </c>
      <c r="L1163" t="str" cm="1">
        <f t="array" ref="L1163">_xlfn.IFS(
 K1163&lt;=50,"≤50",
 AND(K1163&gt;=51,K1163&lt;=100),"51–100",
 AND(K1163&gt;=101,K1163&lt;=250),"101–250",
 AND(K1163&gt;=251,K1163&lt;=500),"251–500",
 AND(K1163&gt;=501,K1163&lt;=1000),"501–1000",
 K1163&gt;=1001,"1001+"
)</f>
        <v>51–100</v>
      </c>
    </row>
    <row r="1164" spans="1:12" x14ac:dyDescent="0.3">
      <c r="A1164" t="s">
        <v>2197</v>
      </c>
      <c r="B1164" t="s">
        <v>13</v>
      </c>
      <c r="C1164" t="s">
        <v>5777</v>
      </c>
      <c r="D1164" t="s">
        <v>2198</v>
      </c>
      <c r="F1164" t="s">
        <v>5770</v>
      </c>
      <c r="J1164" t="s">
        <v>5737</v>
      </c>
      <c r="K1164">
        <v>70</v>
      </c>
      <c r="L1164" t="str" cm="1">
        <f t="array" ref="L1164">_xlfn.IFS(
 K1164&lt;=50,"≤50",
 AND(K1164&gt;=51,K1164&lt;=100),"51–100",
 AND(K1164&gt;=101,K1164&lt;=250),"101–250",
 AND(K1164&gt;=251,K1164&lt;=500),"251–500",
 AND(K1164&gt;=501,K1164&lt;=1000),"501–1000",
 K1164&gt;=1001,"1001+"
)</f>
        <v>51–100</v>
      </c>
    </row>
    <row r="1165" spans="1:12" x14ac:dyDescent="0.3">
      <c r="A1165" t="s">
        <v>2199</v>
      </c>
      <c r="B1165" t="s">
        <v>197</v>
      </c>
      <c r="C1165" t="s">
        <v>5774</v>
      </c>
      <c r="D1165" t="s">
        <v>2200</v>
      </c>
      <c r="F1165" t="s">
        <v>5770</v>
      </c>
      <c r="J1165" t="s">
        <v>5744</v>
      </c>
      <c r="K1165">
        <v>70</v>
      </c>
      <c r="L1165" t="str" cm="1">
        <f t="array" ref="L1165">_xlfn.IFS(
 K1165&lt;=50,"≤50",
 AND(K1165&gt;=51,K1165&lt;=100),"51–100",
 AND(K1165&gt;=101,K1165&lt;=250),"101–250",
 AND(K1165&gt;=251,K1165&lt;=500),"251–500",
 AND(K1165&gt;=501,K1165&lt;=1000),"501–1000",
 K1165&gt;=1001,"1001+"
)</f>
        <v>51–100</v>
      </c>
    </row>
    <row r="1166" spans="1:12" x14ac:dyDescent="0.3">
      <c r="A1166" t="s">
        <v>2201</v>
      </c>
      <c r="B1166" t="s">
        <v>9</v>
      </c>
      <c r="C1166" t="s">
        <v>5780</v>
      </c>
      <c r="D1166" t="s">
        <v>1680</v>
      </c>
      <c r="E1166" t="s">
        <v>15</v>
      </c>
      <c r="F1166" t="s">
        <v>16</v>
      </c>
      <c r="G1166" t="s">
        <v>1681</v>
      </c>
      <c r="J1166" t="s">
        <v>5744</v>
      </c>
      <c r="K1166">
        <v>70</v>
      </c>
      <c r="L1166" t="str" cm="1">
        <f t="array" ref="L1166">_xlfn.IFS(
 K1166&lt;=50,"≤50",
 AND(K1166&gt;=51,K1166&lt;=100),"51–100",
 AND(K1166&gt;=101,K1166&lt;=250),"101–250",
 AND(K1166&gt;=251,K1166&lt;=500),"251–500",
 AND(K1166&gt;=501,K1166&lt;=1000),"501–1000",
 K1166&gt;=1001,"1001+"
)</f>
        <v>51–100</v>
      </c>
    </row>
    <row r="1167" spans="1:12" x14ac:dyDescent="0.3">
      <c r="A1167" t="s">
        <v>2202</v>
      </c>
      <c r="B1167" t="s">
        <v>11</v>
      </c>
      <c r="C1167" t="s">
        <v>5776</v>
      </c>
      <c r="F1167" t="s">
        <v>5770</v>
      </c>
      <c r="J1167" t="s">
        <v>5744</v>
      </c>
      <c r="K1167">
        <v>70</v>
      </c>
      <c r="L1167" t="str" cm="1">
        <f t="array" ref="L1167">_xlfn.IFS(
 K1167&lt;=50,"≤50",
 AND(K1167&gt;=51,K1167&lt;=100),"51–100",
 AND(K1167&gt;=101,K1167&lt;=250),"101–250",
 AND(K1167&gt;=251,K1167&lt;=500),"251–500",
 AND(K1167&gt;=501,K1167&lt;=1000),"501–1000",
 K1167&gt;=1001,"1001+"
)</f>
        <v>51–100</v>
      </c>
    </row>
    <row r="1168" spans="1:12" x14ac:dyDescent="0.3">
      <c r="A1168" t="s">
        <v>2203</v>
      </c>
      <c r="B1168" t="s">
        <v>9</v>
      </c>
      <c r="C1168" t="s">
        <v>5780</v>
      </c>
      <c r="D1168" t="s">
        <v>28</v>
      </c>
      <c r="F1168" t="s">
        <v>5770</v>
      </c>
      <c r="J1168" t="s">
        <v>5744</v>
      </c>
      <c r="K1168">
        <v>70</v>
      </c>
      <c r="L1168" t="str" cm="1">
        <f t="array" ref="L1168">_xlfn.IFS(
 K1168&lt;=50,"≤50",
 AND(K1168&gt;=51,K1168&lt;=100),"51–100",
 AND(K1168&gt;=101,K1168&lt;=250),"101–250",
 AND(K1168&gt;=251,K1168&lt;=500),"251–500",
 AND(K1168&gt;=501,K1168&lt;=1000),"501–1000",
 K1168&gt;=1001,"1001+"
)</f>
        <v>51–100</v>
      </c>
    </row>
    <row r="1169" spans="1:12" x14ac:dyDescent="0.3">
      <c r="A1169" t="s">
        <v>2204</v>
      </c>
      <c r="B1169" t="s">
        <v>9</v>
      </c>
      <c r="C1169" t="s">
        <v>5780</v>
      </c>
      <c r="D1169" t="s">
        <v>2205</v>
      </c>
      <c r="F1169" t="s">
        <v>5770</v>
      </c>
      <c r="J1169" t="s">
        <v>5751</v>
      </c>
      <c r="K1169">
        <v>70</v>
      </c>
      <c r="L1169" t="str" cm="1">
        <f t="array" ref="L1169">_xlfn.IFS(
 K1169&lt;=50,"≤50",
 AND(K1169&gt;=51,K1169&lt;=100),"51–100",
 AND(K1169&gt;=101,K1169&lt;=250),"101–250",
 AND(K1169&gt;=251,K1169&lt;=500),"251–500",
 AND(K1169&gt;=501,K1169&lt;=1000),"501–1000",
 K1169&gt;=1001,"1001+"
)</f>
        <v>51–100</v>
      </c>
    </row>
    <row r="1170" spans="1:12" x14ac:dyDescent="0.3">
      <c r="A1170" t="s">
        <v>2206</v>
      </c>
      <c r="B1170" t="s">
        <v>11</v>
      </c>
      <c r="C1170" t="s">
        <v>5776</v>
      </c>
      <c r="F1170" t="s">
        <v>5770</v>
      </c>
      <c r="J1170" t="s">
        <v>5739</v>
      </c>
      <c r="K1170">
        <v>70</v>
      </c>
      <c r="L1170" t="str" cm="1">
        <f t="array" ref="L1170">_xlfn.IFS(
 K1170&lt;=50,"≤50",
 AND(K1170&gt;=51,K1170&lt;=100),"51–100",
 AND(K1170&gt;=101,K1170&lt;=250),"101–250",
 AND(K1170&gt;=251,K1170&lt;=500),"251–500",
 AND(K1170&gt;=501,K1170&lt;=1000),"501–1000",
 K1170&gt;=1001,"1001+"
)</f>
        <v>51–100</v>
      </c>
    </row>
    <row r="1171" spans="1:12" x14ac:dyDescent="0.3">
      <c r="A1171" t="s">
        <v>2207</v>
      </c>
      <c r="B1171" t="s">
        <v>11</v>
      </c>
      <c r="C1171" t="s">
        <v>5776</v>
      </c>
      <c r="F1171" t="s">
        <v>5770</v>
      </c>
      <c r="J1171" t="s">
        <v>5741</v>
      </c>
      <c r="K1171">
        <v>70</v>
      </c>
      <c r="L1171" t="str" cm="1">
        <f t="array" ref="L1171">_xlfn.IFS(
 K1171&lt;=50,"≤50",
 AND(K1171&gt;=51,K1171&lt;=100),"51–100",
 AND(K1171&gt;=101,K1171&lt;=250),"101–250",
 AND(K1171&gt;=251,K1171&lt;=500),"251–500",
 AND(K1171&gt;=501,K1171&lt;=1000),"501–1000",
 K1171&gt;=1001,"1001+"
)</f>
        <v>51–100</v>
      </c>
    </row>
    <row r="1172" spans="1:12" x14ac:dyDescent="0.3">
      <c r="A1172" t="s">
        <v>2208</v>
      </c>
      <c r="B1172" t="s">
        <v>9</v>
      </c>
      <c r="C1172" t="s">
        <v>5780</v>
      </c>
      <c r="D1172" t="s">
        <v>28</v>
      </c>
      <c r="E1172" t="s">
        <v>15</v>
      </c>
      <c r="F1172" t="s">
        <v>20</v>
      </c>
      <c r="G1172" t="s">
        <v>2209</v>
      </c>
      <c r="J1172" t="s">
        <v>5741</v>
      </c>
      <c r="K1172">
        <v>70</v>
      </c>
      <c r="L1172" t="str" cm="1">
        <f t="array" ref="L1172">_xlfn.IFS(
 K1172&lt;=50,"≤50",
 AND(K1172&gt;=51,K1172&lt;=100),"51–100",
 AND(K1172&gt;=101,K1172&lt;=250),"101–250",
 AND(K1172&gt;=251,K1172&lt;=500),"251–500",
 AND(K1172&gt;=501,K1172&lt;=1000),"501–1000",
 K1172&gt;=1001,"1001+"
)</f>
        <v>51–100</v>
      </c>
    </row>
    <row r="1173" spans="1:12" x14ac:dyDescent="0.3">
      <c r="A1173" t="s">
        <v>2210</v>
      </c>
      <c r="B1173" t="s">
        <v>9</v>
      </c>
      <c r="C1173" t="s">
        <v>5780</v>
      </c>
      <c r="D1173" t="s">
        <v>28</v>
      </c>
      <c r="F1173" t="s">
        <v>20</v>
      </c>
      <c r="G1173" t="s">
        <v>21</v>
      </c>
      <c r="J1173" t="s">
        <v>5750</v>
      </c>
      <c r="K1173">
        <v>70</v>
      </c>
      <c r="L1173" t="str" cm="1">
        <f t="array" ref="L1173">_xlfn.IFS(
 K1173&lt;=50,"≤50",
 AND(K1173&gt;=51,K1173&lt;=100),"51–100",
 AND(K1173&gt;=101,K1173&lt;=250),"101–250",
 AND(K1173&gt;=251,K1173&lt;=500),"251–500",
 AND(K1173&gt;=501,K1173&lt;=1000),"501–1000",
 K1173&gt;=1001,"1001+"
)</f>
        <v>51–100</v>
      </c>
    </row>
    <row r="1174" spans="1:12" x14ac:dyDescent="0.3">
      <c r="A1174" t="s">
        <v>2211</v>
      </c>
      <c r="B1174" t="s">
        <v>9</v>
      </c>
      <c r="C1174" t="s">
        <v>5780</v>
      </c>
      <c r="D1174" t="s">
        <v>2212</v>
      </c>
      <c r="F1174" t="s">
        <v>20</v>
      </c>
      <c r="G1174" t="s">
        <v>21</v>
      </c>
      <c r="J1174" t="s">
        <v>5740</v>
      </c>
      <c r="K1174">
        <v>70</v>
      </c>
      <c r="L1174" t="str" cm="1">
        <f t="array" ref="L1174">_xlfn.IFS(
 K1174&lt;=50,"≤50",
 AND(K1174&gt;=51,K1174&lt;=100),"51–100",
 AND(K1174&gt;=101,K1174&lt;=250),"101–250",
 AND(K1174&gt;=251,K1174&lt;=500),"251–500",
 AND(K1174&gt;=501,K1174&lt;=1000),"501–1000",
 K1174&gt;=1001,"1001+"
)</f>
        <v>51–100</v>
      </c>
    </row>
    <row r="1175" spans="1:12" x14ac:dyDescent="0.3">
      <c r="A1175" t="s">
        <v>2213</v>
      </c>
      <c r="B1175" t="s">
        <v>13</v>
      </c>
      <c r="C1175" t="s">
        <v>5777</v>
      </c>
      <c r="D1175" t="s">
        <v>2214</v>
      </c>
      <c r="E1175" t="s">
        <v>15</v>
      </c>
      <c r="F1175" t="s">
        <v>5770</v>
      </c>
      <c r="J1175" t="s">
        <v>5740</v>
      </c>
      <c r="K1175">
        <v>70</v>
      </c>
      <c r="L1175" t="str" cm="1">
        <f t="array" ref="L1175">_xlfn.IFS(
 K1175&lt;=50,"≤50",
 AND(K1175&gt;=51,K1175&lt;=100),"51–100",
 AND(K1175&gt;=101,K1175&lt;=250),"101–250",
 AND(K1175&gt;=251,K1175&lt;=500),"251–500",
 AND(K1175&gt;=501,K1175&lt;=1000),"501–1000",
 K1175&gt;=1001,"1001+"
)</f>
        <v>51–100</v>
      </c>
    </row>
    <row r="1176" spans="1:12" x14ac:dyDescent="0.3">
      <c r="A1176" t="s">
        <v>2215</v>
      </c>
      <c r="B1176" t="s">
        <v>11</v>
      </c>
      <c r="C1176" t="s">
        <v>5776</v>
      </c>
      <c r="E1176" t="s">
        <v>15</v>
      </c>
      <c r="F1176" t="s">
        <v>5770</v>
      </c>
      <c r="J1176" t="s">
        <v>5740</v>
      </c>
      <c r="K1176">
        <v>70</v>
      </c>
      <c r="L1176" t="str" cm="1">
        <f t="array" ref="L1176">_xlfn.IFS(
 K1176&lt;=50,"≤50",
 AND(K1176&gt;=51,K1176&lt;=100),"51–100",
 AND(K1176&gt;=101,K1176&lt;=250),"101–250",
 AND(K1176&gt;=251,K1176&lt;=500),"251–500",
 AND(K1176&gt;=501,K1176&lt;=1000),"501–1000",
 K1176&gt;=1001,"1001+"
)</f>
        <v>51–100</v>
      </c>
    </row>
    <row r="1177" spans="1:12" x14ac:dyDescent="0.3">
      <c r="A1177" t="s">
        <v>2216</v>
      </c>
      <c r="B1177" t="s">
        <v>9</v>
      </c>
      <c r="C1177" t="s">
        <v>5780</v>
      </c>
      <c r="D1177" t="s">
        <v>2217</v>
      </c>
      <c r="E1177" t="s">
        <v>15</v>
      </c>
      <c r="F1177" t="s">
        <v>54</v>
      </c>
      <c r="G1177" t="s">
        <v>2218</v>
      </c>
      <c r="J1177" t="s">
        <v>5737</v>
      </c>
      <c r="K1177">
        <v>70</v>
      </c>
      <c r="L1177" t="str" cm="1">
        <f t="array" ref="L1177">_xlfn.IFS(
 K1177&lt;=50,"≤50",
 AND(K1177&gt;=51,K1177&lt;=100),"51–100",
 AND(K1177&gt;=101,K1177&lt;=250),"101–250",
 AND(K1177&gt;=251,K1177&lt;=500),"251–500",
 AND(K1177&gt;=501,K1177&lt;=1000),"501–1000",
 K1177&gt;=1001,"1001+"
)</f>
        <v>51–100</v>
      </c>
    </row>
    <row r="1178" spans="1:12" x14ac:dyDescent="0.3">
      <c r="A1178" t="s">
        <v>2219</v>
      </c>
      <c r="B1178" t="s">
        <v>13</v>
      </c>
      <c r="C1178" t="s">
        <v>5777</v>
      </c>
      <c r="D1178" t="s">
        <v>245</v>
      </c>
      <c r="F1178" t="s">
        <v>5770</v>
      </c>
      <c r="J1178" t="s">
        <v>5737</v>
      </c>
      <c r="K1178">
        <v>70</v>
      </c>
      <c r="L1178" t="str" cm="1">
        <f t="array" ref="L1178">_xlfn.IFS(
 K1178&lt;=50,"≤50",
 AND(K1178&gt;=51,K1178&lt;=100),"51–100",
 AND(K1178&gt;=101,K1178&lt;=250),"101–250",
 AND(K1178&gt;=251,K1178&lt;=500),"251–500",
 AND(K1178&gt;=501,K1178&lt;=1000),"501–1000",
 K1178&gt;=1001,"1001+"
)</f>
        <v>51–100</v>
      </c>
    </row>
    <row r="1179" spans="1:12" x14ac:dyDescent="0.3">
      <c r="A1179" t="s">
        <v>2220</v>
      </c>
      <c r="B1179" t="s">
        <v>9</v>
      </c>
      <c r="C1179" t="s">
        <v>5780</v>
      </c>
      <c r="D1179" t="s">
        <v>2221</v>
      </c>
      <c r="F1179" t="s">
        <v>5770</v>
      </c>
      <c r="J1179" t="s">
        <v>5762</v>
      </c>
      <c r="K1179">
        <v>70</v>
      </c>
      <c r="L1179" t="str" cm="1">
        <f t="array" ref="L1179">_xlfn.IFS(
 K1179&lt;=50,"≤50",
 AND(K1179&gt;=51,K1179&lt;=100),"51–100",
 AND(K1179&gt;=101,K1179&lt;=250),"101–250",
 AND(K1179&gt;=251,K1179&lt;=500),"251–500",
 AND(K1179&gt;=501,K1179&lt;=1000),"501–1000",
 K1179&gt;=1001,"1001+"
)</f>
        <v>51–100</v>
      </c>
    </row>
    <row r="1180" spans="1:12" x14ac:dyDescent="0.3">
      <c r="A1180" t="s">
        <v>2222</v>
      </c>
      <c r="B1180" t="s">
        <v>9</v>
      </c>
      <c r="C1180" t="s">
        <v>5780</v>
      </c>
      <c r="D1180" t="s">
        <v>28</v>
      </c>
      <c r="F1180" t="s">
        <v>20</v>
      </c>
      <c r="G1180" t="s">
        <v>36</v>
      </c>
      <c r="J1180" t="s">
        <v>5737</v>
      </c>
      <c r="K1180">
        <v>70</v>
      </c>
      <c r="L1180" t="str" cm="1">
        <f t="array" ref="L1180">_xlfn.IFS(
 K1180&lt;=50,"≤50",
 AND(K1180&gt;=51,K1180&lt;=100),"51–100",
 AND(K1180&gt;=101,K1180&lt;=250),"101–250",
 AND(K1180&gt;=251,K1180&lt;=500),"251–500",
 AND(K1180&gt;=501,K1180&lt;=1000),"501–1000",
 K1180&gt;=1001,"1001+"
)</f>
        <v>51–100</v>
      </c>
    </row>
    <row r="1181" spans="1:12" x14ac:dyDescent="0.3">
      <c r="A1181" t="s">
        <v>2223</v>
      </c>
      <c r="B1181" t="s">
        <v>11</v>
      </c>
      <c r="C1181" t="s">
        <v>5776</v>
      </c>
      <c r="F1181" t="s">
        <v>5770</v>
      </c>
      <c r="J1181" t="s">
        <v>5737</v>
      </c>
      <c r="K1181">
        <v>70</v>
      </c>
      <c r="L1181" t="str" cm="1">
        <f t="array" ref="L1181">_xlfn.IFS(
 K1181&lt;=50,"≤50",
 AND(K1181&gt;=51,K1181&lt;=100),"51–100",
 AND(K1181&gt;=101,K1181&lt;=250),"101–250",
 AND(K1181&gt;=251,K1181&lt;=500),"251–500",
 AND(K1181&gt;=501,K1181&lt;=1000),"501–1000",
 K1181&gt;=1001,"1001+"
)</f>
        <v>51–100</v>
      </c>
    </row>
    <row r="1182" spans="1:12" x14ac:dyDescent="0.3">
      <c r="A1182" t="s">
        <v>2224</v>
      </c>
      <c r="B1182" t="s">
        <v>9</v>
      </c>
      <c r="C1182" t="s">
        <v>5780</v>
      </c>
      <c r="D1182" t="s">
        <v>2225</v>
      </c>
      <c r="E1182" t="s">
        <v>15</v>
      </c>
      <c r="F1182" t="s">
        <v>16</v>
      </c>
      <c r="G1182" t="s">
        <v>138</v>
      </c>
      <c r="J1182" t="s">
        <v>5737</v>
      </c>
      <c r="K1182">
        <v>70</v>
      </c>
      <c r="L1182" t="str" cm="1">
        <f t="array" ref="L1182">_xlfn.IFS(
 K1182&lt;=50,"≤50",
 AND(K1182&gt;=51,K1182&lt;=100),"51–100",
 AND(K1182&gt;=101,K1182&lt;=250),"101–250",
 AND(K1182&gt;=251,K1182&lt;=500),"251–500",
 AND(K1182&gt;=501,K1182&lt;=1000),"501–1000",
 K1182&gt;=1001,"1001+"
)</f>
        <v>51–100</v>
      </c>
    </row>
    <row r="1183" spans="1:12" x14ac:dyDescent="0.3">
      <c r="A1183" t="s">
        <v>2226</v>
      </c>
      <c r="B1183" t="s">
        <v>9</v>
      </c>
      <c r="C1183" t="s">
        <v>5780</v>
      </c>
      <c r="D1183" t="s">
        <v>2227</v>
      </c>
      <c r="E1183" t="s">
        <v>15</v>
      </c>
      <c r="F1183" t="s">
        <v>54</v>
      </c>
      <c r="G1183" t="s">
        <v>2228</v>
      </c>
      <c r="J1183" t="s">
        <v>5737</v>
      </c>
      <c r="K1183">
        <v>70</v>
      </c>
      <c r="L1183" t="str" cm="1">
        <f t="array" ref="L1183">_xlfn.IFS(
 K1183&lt;=50,"≤50",
 AND(K1183&gt;=51,K1183&lt;=100),"51–100",
 AND(K1183&gt;=101,K1183&lt;=250),"101–250",
 AND(K1183&gt;=251,K1183&lt;=500),"251–500",
 AND(K1183&gt;=501,K1183&lt;=1000),"501–1000",
 K1183&gt;=1001,"1001+"
)</f>
        <v>51–100</v>
      </c>
    </row>
    <row r="1184" spans="1:12" x14ac:dyDescent="0.3">
      <c r="A1184" t="s">
        <v>2229</v>
      </c>
      <c r="B1184" t="s">
        <v>9</v>
      </c>
      <c r="C1184" t="s">
        <v>5780</v>
      </c>
      <c r="D1184" t="s">
        <v>2230</v>
      </c>
      <c r="E1184" t="s">
        <v>15</v>
      </c>
      <c r="F1184" t="s">
        <v>16</v>
      </c>
      <c r="G1184" t="s">
        <v>2231</v>
      </c>
      <c r="J1184" t="s">
        <v>5737</v>
      </c>
      <c r="K1184">
        <v>70</v>
      </c>
      <c r="L1184" t="str" cm="1">
        <f t="array" ref="L1184">_xlfn.IFS(
 K1184&lt;=50,"≤50",
 AND(K1184&gt;=51,K1184&lt;=100),"51–100",
 AND(K1184&gt;=101,K1184&lt;=250),"101–250",
 AND(K1184&gt;=251,K1184&lt;=500),"251–500",
 AND(K1184&gt;=501,K1184&lt;=1000),"501–1000",
 K1184&gt;=1001,"1001+"
)</f>
        <v>51–100</v>
      </c>
    </row>
    <row r="1185" spans="1:12" x14ac:dyDescent="0.3">
      <c r="A1185" t="s">
        <v>2232</v>
      </c>
      <c r="B1185" t="s">
        <v>9</v>
      </c>
      <c r="C1185" t="s">
        <v>5780</v>
      </c>
      <c r="D1185" t="s">
        <v>2233</v>
      </c>
      <c r="E1185" t="s">
        <v>15</v>
      </c>
      <c r="F1185" t="s">
        <v>5770</v>
      </c>
      <c r="J1185" t="s">
        <v>5737</v>
      </c>
      <c r="K1185">
        <v>70</v>
      </c>
      <c r="L1185" t="str" cm="1">
        <f t="array" ref="L1185">_xlfn.IFS(
 K1185&lt;=50,"≤50",
 AND(K1185&gt;=51,K1185&lt;=100),"51–100",
 AND(K1185&gt;=101,K1185&lt;=250),"101–250",
 AND(K1185&gt;=251,K1185&lt;=500),"251–500",
 AND(K1185&gt;=501,K1185&lt;=1000),"501–1000",
 K1185&gt;=1001,"1001+"
)</f>
        <v>51–100</v>
      </c>
    </row>
    <row r="1186" spans="1:12" x14ac:dyDescent="0.3">
      <c r="A1186" t="s">
        <v>2234</v>
      </c>
      <c r="B1186" t="s">
        <v>9</v>
      </c>
      <c r="C1186" t="s">
        <v>5780</v>
      </c>
      <c r="D1186" t="s">
        <v>2235</v>
      </c>
      <c r="F1186" t="s">
        <v>5770</v>
      </c>
      <c r="J1186" t="s">
        <v>5742</v>
      </c>
      <c r="K1186">
        <v>70</v>
      </c>
      <c r="L1186" t="str" cm="1">
        <f t="array" ref="L1186">_xlfn.IFS(
 K1186&lt;=50,"≤50",
 AND(K1186&gt;=51,K1186&lt;=100),"51–100",
 AND(K1186&gt;=101,K1186&lt;=250),"101–250",
 AND(K1186&gt;=251,K1186&lt;=500),"251–500",
 AND(K1186&gt;=501,K1186&lt;=1000),"501–1000",
 K1186&gt;=1001,"1001+"
)</f>
        <v>51–100</v>
      </c>
    </row>
    <row r="1187" spans="1:12" x14ac:dyDescent="0.3">
      <c r="A1187" t="s">
        <v>2236</v>
      </c>
      <c r="B1187" t="s">
        <v>13</v>
      </c>
      <c r="C1187" t="s">
        <v>5777</v>
      </c>
      <c r="D1187" t="s">
        <v>2237</v>
      </c>
      <c r="E1187" t="s">
        <v>15</v>
      </c>
      <c r="F1187" t="s">
        <v>54</v>
      </c>
      <c r="G1187" t="s">
        <v>2238</v>
      </c>
      <c r="J1187" t="s">
        <v>5739</v>
      </c>
      <c r="K1187">
        <v>70</v>
      </c>
      <c r="L1187" t="str" cm="1">
        <f t="array" ref="L1187">_xlfn.IFS(
 K1187&lt;=50,"≤50",
 AND(K1187&gt;=51,K1187&lt;=100),"51–100",
 AND(K1187&gt;=101,K1187&lt;=250),"101–250",
 AND(K1187&gt;=251,K1187&lt;=500),"251–500",
 AND(K1187&gt;=501,K1187&lt;=1000),"501–1000",
 K1187&gt;=1001,"1001+"
)</f>
        <v>51–100</v>
      </c>
    </row>
    <row r="1188" spans="1:12" x14ac:dyDescent="0.3">
      <c r="A1188" t="s">
        <v>2239</v>
      </c>
      <c r="B1188" t="s">
        <v>9</v>
      </c>
      <c r="C1188" t="s">
        <v>5780</v>
      </c>
      <c r="D1188" t="s">
        <v>442</v>
      </c>
      <c r="E1188" t="s">
        <v>15</v>
      </c>
      <c r="F1188" t="s">
        <v>20</v>
      </c>
      <c r="G1188" t="s">
        <v>2240</v>
      </c>
      <c r="J1188" t="s">
        <v>5738</v>
      </c>
      <c r="K1188">
        <v>70</v>
      </c>
      <c r="L1188" t="str" cm="1">
        <f t="array" ref="L1188">_xlfn.IFS(
 K1188&lt;=50,"≤50",
 AND(K1188&gt;=51,K1188&lt;=100),"51–100",
 AND(K1188&gt;=101,K1188&lt;=250),"101–250",
 AND(K1188&gt;=251,K1188&lt;=500),"251–500",
 AND(K1188&gt;=501,K1188&lt;=1000),"501–1000",
 K1188&gt;=1001,"1001+"
)</f>
        <v>51–100</v>
      </c>
    </row>
    <row r="1189" spans="1:12" x14ac:dyDescent="0.3">
      <c r="A1189" t="s">
        <v>2241</v>
      </c>
      <c r="B1189" t="s">
        <v>9</v>
      </c>
      <c r="C1189" t="s">
        <v>5780</v>
      </c>
      <c r="D1189" t="s">
        <v>1602</v>
      </c>
      <c r="E1189" t="s">
        <v>15</v>
      </c>
      <c r="F1189" t="s">
        <v>20</v>
      </c>
      <c r="G1189" t="s">
        <v>1603</v>
      </c>
      <c r="J1189" t="s">
        <v>5737</v>
      </c>
      <c r="K1189">
        <v>70</v>
      </c>
      <c r="L1189" t="str" cm="1">
        <f t="array" ref="L1189">_xlfn.IFS(
 K1189&lt;=50,"≤50",
 AND(K1189&gt;=51,K1189&lt;=100),"51–100",
 AND(K1189&gt;=101,K1189&lt;=250),"101–250",
 AND(K1189&gt;=251,K1189&lt;=500),"251–500",
 AND(K1189&gt;=501,K1189&lt;=1000),"501–1000",
 K1189&gt;=1001,"1001+"
)</f>
        <v>51–100</v>
      </c>
    </row>
    <row r="1190" spans="1:12" x14ac:dyDescent="0.3">
      <c r="A1190" t="s">
        <v>2242</v>
      </c>
      <c r="B1190" t="s">
        <v>9</v>
      </c>
      <c r="C1190" t="s">
        <v>5780</v>
      </c>
      <c r="D1190" t="s">
        <v>28</v>
      </c>
      <c r="E1190" t="s">
        <v>15</v>
      </c>
      <c r="F1190" t="s">
        <v>54</v>
      </c>
      <c r="G1190" t="s">
        <v>2243</v>
      </c>
      <c r="J1190" t="s">
        <v>5744</v>
      </c>
      <c r="K1190">
        <v>70</v>
      </c>
      <c r="L1190" t="str" cm="1">
        <f t="array" ref="L1190">_xlfn.IFS(
 K1190&lt;=50,"≤50",
 AND(K1190&gt;=51,K1190&lt;=100),"51–100",
 AND(K1190&gt;=101,K1190&lt;=250),"101–250",
 AND(K1190&gt;=251,K1190&lt;=500),"251–500",
 AND(K1190&gt;=501,K1190&lt;=1000),"501–1000",
 K1190&gt;=1001,"1001+"
)</f>
        <v>51–100</v>
      </c>
    </row>
    <row r="1191" spans="1:12" x14ac:dyDescent="0.3">
      <c r="A1191" t="s">
        <v>2244</v>
      </c>
      <c r="B1191" t="s">
        <v>9</v>
      </c>
      <c r="C1191" t="s">
        <v>5780</v>
      </c>
      <c r="D1191" t="s">
        <v>2245</v>
      </c>
      <c r="E1191" t="s">
        <v>15</v>
      </c>
      <c r="F1191" t="s">
        <v>54</v>
      </c>
      <c r="G1191" t="s">
        <v>2246</v>
      </c>
      <c r="J1191" t="s">
        <v>5752</v>
      </c>
      <c r="K1191">
        <v>70</v>
      </c>
      <c r="L1191" t="str" cm="1">
        <f t="array" ref="L1191">_xlfn.IFS(
 K1191&lt;=50,"≤50",
 AND(K1191&gt;=51,K1191&lt;=100),"51–100",
 AND(K1191&gt;=101,K1191&lt;=250),"101–250",
 AND(K1191&gt;=251,K1191&lt;=500),"251–500",
 AND(K1191&gt;=501,K1191&lt;=1000),"501–1000",
 K1191&gt;=1001,"1001+"
)</f>
        <v>51–100</v>
      </c>
    </row>
    <row r="1192" spans="1:12" x14ac:dyDescent="0.3">
      <c r="A1192" t="s">
        <v>2247</v>
      </c>
      <c r="B1192" t="s">
        <v>13</v>
      </c>
      <c r="C1192" t="s">
        <v>5777</v>
      </c>
      <c r="D1192" t="s">
        <v>2248</v>
      </c>
      <c r="E1192" t="s">
        <v>15</v>
      </c>
      <c r="F1192" t="s">
        <v>20</v>
      </c>
      <c r="G1192" t="s">
        <v>2249</v>
      </c>
      <c r="J1192" t="s">
        <v>5737</v>
      </c>
      <c r="K1192">
        <v>70</v>
      </c>
      <c r="L1192" t="str" cm="1">
        <f t="array" ref="L1192">_xlfn.IFS(
 K1192&lt;=50,"≤50",
 AND(K1192&gt;=51,K1192&lt;=100),"51–100",
 AND(K1192&gt;=101,K1192&lt;=250),"101–250",
 AND(K1192&gt;=251,K1192&lt;=500),"251–500",
 AND(K1192&gt;=501,K1192&lt;=1000),"501–1000",
 K1192&gt;=1001,"1001+"
)</f>
        <v>51–100</v>
      </c>
    </row>
    <row r="1193" spans="1:12" x14ac:dyDescent="0.3">
      <c r="A1193" t="s">
        <v>2250</v>
      </c>
      <c r="B1193" t="s">
        <v>9</v>
      </c>
      <c r="C1193" t="s">
        <v>5780</v>
      </c>
      <c r="D1193" t="s">
        <v>2251</v>
      </c>
      <c r="E1193" t="s">
        <v>15</v>
      </c>
      <c r="F1193" t="s">
        <v>20</v>
      </c>
      <c r="G1193" t="s">
        <v>2252</v>
      </c>
      <c r="J1193" t="s">
        <v>5737</v>
      </c>
      <c r="K1193">
        <v>70</v>
      </c>
      <c r="L1193" t="str" cm="1">
        <f t="array" ref="L1193">_xlfn.IFS(
 K1193&lt;=50,"≤50",
 AND(K1193&gt;=51,K1193&lt;=100),"51–100",
 AND(K1193&gt;=101,K1193&lt;=250),"101–250",
 AND(K1193&gt;=251,K1193&lt;=500),"251–500",
 AND(K1193&gt;=501,K1193&lt;=1000),"501–1000",
 K1193&gt;=1001,"1001+"
)</f>
        <v>51–100</v>
      </c>
    </row>
    <row r="1194" spans="1:12" x14ac:dyDescent="0.3">
      <c r="A1194" t="s">
        <v>2253</v>
      </c>
      <c r="B1194" t="s">
        <v>13</v>
      </c>
      <c r="C1194" t="s">
        <v>5777</v>
      </c>
      <c r="D1194" t="s">
        <v>2254</v>
      </c>
      <c r="E1194" t="s">
        <v>15</v>
      </c>
      <c r="F1194" t="s">
        <v>16</v>
      </c>
      <c r="G1194" t="s">
        <v>2255</v>
      </c>
      <c r="J1194" t="s">
        <v>5737</v>
      </c>
      <c r="K1194">
        <v>70</v>
      </c>
      <c r="L1194" t="str" cm="1">
        <f t="array" ref="L1194">_xlfn.IFS(
 K1194&lt;=50,"≤50",
 AND(K1194&gt;=51,K1194&lt;=100),"51–100",
 AND(K1194&gt;=101,K1194&lt;=250),"101–250",
 AND(K1194&gt;=251,K1194&lt;=500),"251–500",
 AND(K1194&gt;=501,K1194&lt;=1000),"501–1000",
 K1194&gt;=1001,"1001+"
)</f>
        <v>51–100</v>
      </c>
    </row>
    <row r="1195" spans="1:12" x14ac:dyDescent="0.3">
      <c r="A1195" t="s">
        <v>2256</v>
      </c>
      <c r="B1195" t="s">
        <v>9</v>
      </c>
      <c r="C1195" t="s">
        <v>5780</v>
      </c>
      <c r="D1195" t="s">
        <v>2257</v>
      </c>
      <c r="F1195" t="s">
        <v>5770</v>
      </c>
      <c r="J1195" t="s">
        <v>5737</v>
      </c>
      <c r="K1195">
        <v>70</v>
      </c>
      <c r="L1195" t="str" cm="1">
        <f t="array" ref="L1195">_xlfn.IFS(
 K1195&lt;=50,"≤50",
 AND(K1195&gt;=51,K1195&lt;=100),"51–100",
 AND(K1195&gt;=101,K1195&lt;=250),"101–250",
 AND(K1195&gt;=251,K1195&lt;=500),"251–500",
 AND(K1195&gt;=501,K1195&lt;=1000),"501–1000",
 K1195&gt;=1001,"1001+"
)</f>
        <v>51–100</v>
      </c>
    </row>
    <row r="1196" spans="1:12" x14ac:dyDescent="0.3">
      <c r="A1196" t="s">
        <v>2258</v>
      </c>
      <c r="B1196" t="s">
        <v>13</v>
      </c>
      <c r="C1196" t="s">
        <v>5777</v>
      </c>
      <c r="D1196" t="s">
        <v>2259</v>
      </c>
      <c r="E1196" t="s">
        <v>15</v>
      </c>
      <c r="F1196" t="s">
        <v>5770</v>
      </c>
      <c r="J1196" t="s">
        <v>5758</v>
      </c>
      <c r="K1196">
        <v>70</v>
      </c>
      <c r="L1196" t="str" cm="1">
        <f t="array" ref="L1196">_xlfn.IFS(
 K1196&lt;=50,"≤50",
 AND(K1196&gt;=51,K1196&lt;=100),"51–100",
 AND(K1196&gt;=101,K1196&lt;=250),"101–250",
 AND(K1196&gt;=251,K1196&lt;=500),"251–500",
 AND(K1196&gt;=501,K1196&lt;=1000),"501–1000",
 K1196&gt;=1001,"1001+"
)</f>
        <v>51–100</v>
      </c>
    </row>
    <row r="1197" spans="1:12" x14ac:dyDescent="0.3">
      <c r="A1197" t="s">
        <v>2260</v>
      </c>
      <c r="B1197" t="s">
        <v>13</v>
      </c>
      <c r="C1197" t="s">
        <v>5777</v>
      </c>
      <c r="D1197" t="s">
        <v>2261</v>
      </c>
      <c r="F1197" t="s">
        <v>5770</v>
      </c>
      <c r="J1197" t="s">
        <v>5750</v>
      </c>
      <c r="K1197">
        <v>70</v>
      </c>
      <c r="L1197" t="str" cm="1">
        <f t="array" ref="L1197">_xlfn.IFS(
 K1197&lt;=50,"≤50",
 AND(K1197&gt;=51,K1197&lt;=100),"51–100",
 AND(K1197&gt;=101,K1197&lt;=250),"101–250",
 AND(K1197&gt;=251,K1197&lt;=500),"251–500",
 AND(K1197&gt;=501,K1197&lt;=1000),"501–1000",
 K1197&gt;=1001,"1001+"
)</f>
        <v>51–100</v>
      </c>
    </row>
    <row r="1198" spans="1:12" x14ac:dyDescent="0.3">
      <c r="A1198" t="s">
        <v>2262</v>
      </c>
      <c r="B1198" t="s">
        <v>417</v>
      </c>
      <c r="C1198" t="s">
        <v>5778</v>
      </c>
      <c r="D1198" t="s">
        <v>2263</v>
      </c>
      <c r="F1198" t="s">
        <v>16</v>
      </c>
      <c r="G1198" t="s">
        <v>2264</v>
      </c>
      <c r="J1198" t="s">
        <v>5740</v>
      </c>
      <c r="K1198">
        <v>70</v>
      </c>
      <c r="L1198" t="str" cm="1">
        <f t="array" ref="L1198">_xlfn.IFS(
 K1198&lt;=50,"≤50",
 AND(K1198&gt;=51,K1198&lt;=100),"51–100",
 AND(K1198&gt;=101,K1198&lt;=250),"101–250",
 AND(K1198&gt;=251,K1198&lt;=500),"251–500",
 AND(K1198&gt;=501,K1198&lt;=1000),"501–1000",
 K1198&gt;=1001,"1001+"
)</f>
        <v>51–100</v>
      </c>
    </row>
    <row r="1199" spans="1:12" x14ac:dyDescent="0.3">
      <c r="A1199" t="s">
        <v>2265</v>
      </c>
      <c r="B1199" t="s">
        <v>9</v>
      </c>
      <c r="C1199" t="s">
        <v>5780</v>
      </c>
      <c r="D1199" t="s">
        <v>2266</v>
      </c>
      <c r="E1199" t="s">
        <v>15</v>
      </c>
      <c r="F1199" t="s">
        <v>20</v>
      </c>
      <c r="G1199" t="s">
        <v>1222</v>
      </c>
      <c r="J1199" t="s">
        <v>5737</v>
      </c>
      <c r="K1199">
        <v>70</v>
      </c>
      <c r="L1199" t="str" cm="1">
        <f t="array" ref="L1199">_xlfn.IFS(
 K1199&lt;=50,"≤50",
 AND(K1199&gt;=51,K1199&lt;=100),"51–100",
 AND(K1199&gt;=101,K1199&lt;=250),"101–250",
 AND(K1199&gt;=251,K1199&lt;=500),"251–500",
 AND(K1199&gt;=501,K1199&lt;=1000),"501–1000",
 K1199&gt;=1001,"1001+"
)</f>
        <v>51–100</v>
      </c>
    </row>
    <row r="1200" spans="1:12" x14ac:dyDescent="0.3">
      <c r="A1200" t="s">
        <v>2267</v>
      </c>
      <c r="B1200" t="s">
        <v>13</v>
      </c>
      <c r="C1200" t="s">
        <v>5777</v>
      </c>
      <c r="D1200" t="s">
        <v>2268</v>
      </c>
      <c r="E1200" t="s">
        <v>15</v>
      </c>
      <c r="F1200" t="s">
        <v>5770</v>
      </c>
      <c r="J1200" t="s">
        <v>5737</v>
      </c>
      <c r="K1200">
        <v>70</v>
      </c>
      <c r="L1200" t="str" cm="1">
        <f t="array" ref="L1200">_xlfn.IFS(
 K1200&lt;=50,"≤50",
 AND(K1200&gt;=51,K1200&lt;=100),"51–100",
 AND(K1200&gt;=101,K1200&lt;=250),"101–250",
 AND(K1200&gt;=251,K1200&lt;=500),"251–500",
 AND(K1200&gt;=501,K1200&lt;=1000),"501–1000",
 K1200&gt;=1001,"1001+"
)</f>
        <v>51–100</v>
      </c>
    </row>
    <row r="1201" spans="1:12" x14ac:dyDescent="0.3">
      <c r="A1201" t="s">
        <v>2269</v>
      </c>
      <c r="B1201" t="s">
        <v>9</v>
      </c>
      <c r="C1201" t="s">
        <v>5780</v>
      </c>
      <c r="D1201" t="s">
        <v>2270</v>
      </c>
      <c r="F1201" t="s">
        <v>54</v>
      </c>
      <c r="G1201" t="s">
        <v>450</v>
      </c>
      <c r="J1201" t="s">
        <v>5755</v>
      </c>
      <c r="K1201">
        <v>70</v>
      </c>
      <c r="L1201" t="str" cm="1">
        <f t="array" ref="L1201">_xlfn.IFS(
 K1201&lt;=50,"≤50",
 AND(K1201&gt;=51,K1201&lt;=100),"51–100",
 AND(K1201&gt;=101,K1201&lt;=250),"101–250",
 AND(K1201&gt;=251,K1201&lt;=500),"251–500",
 AND(K1201&gt;=501,K1201&lt;=1000),"501–1000",
 K1201&gt;=1001,"1001+"
)</f>
        <v>51–100</v>
      </c>
    </row>
    <row r="1202" spans="1:12" x14ac:dyDescent="0.3">
      <c r="A1202" t="s">
        <v>2271</v>
      </c>
      <c r="B1202" t="s">
        <v>11</v>
      </c>
      <c r="C1202" t="s">
        <v>5776</v>
      </c>
      <c r="F1202" t="s">
        <v>5770</v>
      </c>
      <c r="J1202" t="s">
        <v>5738</v>
      </c>
      <c r="K1202">
        <v>70</v>
      </c>
      <c r="L1202" t="str" cm="1">
        <f t="array" ref="L1202">_xlfn.IFS(
 K1202&lt;=50,"≤50",
 AND(K1202&gt;=51,K1202&lt;=100),"51–100",
 AND(K1202&gt;=101,K1202&lt;=250),"101–250",
 AND(K1202&gt;=251,K1202&lt;=500),"251–500",
 AND(K1202&gt;=501,K1202&lt;=1000),"501–1000",
 K1202&gt;=1001,"1001+"
)</f>
        <v>51–100</v>
      </c>
    </row>
    <row r="1203" spans="1:12" x14ac:dyDescent="0.3">
      <c r="A1203" t="s">
        <v>2272</v>
      </c>
      <c r="B1203" t="s">
        <v>13</v>
      </c>
      <c r="C1203" t="s">
        <v>5777</v>
      </c>
      <c r="D1203" t="s">
        <v>2273</v>
      </c>
      <c r="E1203" t="s">
        <v>15</v>
      </c>
      <c r="F1203" t="s">
        <v>20</v>
      </c>
      <c r="G1203" t="s">
        <v>2274</v>
      </c>
      <c r="J1203" t="s">
        <v>5759</v>
      </c>
      <c r="K1203">
        <v>70</v>
      </c>
      <c r="L1203" t="str" cm="1">
        <f t="array" ref="L1203">_xlfn.IFS(
 K1203&lt;=50,"≤50",
 AND(K1203&gt;=51,K1203&lt;=100),"51–100",
 AND(K1203&gt;=101,K1203&lt;=250),"101–250",
 AND(K1203&gt;=251,K1203&lt;=500),"251–500",
 AND(K1203&gt;=501,K1203&lt;=1000),"501–1000",
 K1203&gt;=1001,"1001+"
)</f>
        <v>51–100</v>
      </c>
    </row>
    <row r="1204" spans="1:12" x14ac:dyDescent="0.3">
      <c r="A1204" t="s">
        <v>2275</v>
      </c>
      <c r="B1204" t="s">
        <v>9</v>
      </c>
      <c r="C1204" t="s">
        <v>5780</v>
      </c>
      <c r="D1204" t="s">
        <v>28</v>
      </c>
      <c r="F1204" t="s">
        <v>5770</v>
      </c>
      <c r="J1204" t="s">
        <v>5743</v>
      </c>
      <c r="K1204">
        <v>70</v>
      </c>
      <c r="L1204" t="str" cm="1">
        <f t="array" ref="L1204">_xlfn.IFS(
 K1204&lt;=50,"≤50",
 AND(K1204&gt;=51,K1204&lt;=100),"51–100",
 AND(K1204&gt;=101,K1204&lt;=250),"101–250",
 AND(K1204&gt;=251,K1204&lt;=500),"251–500",
 AND(K1204&gt;=501,K1204&lt;=1000),"501–1000",
 K1204&gt;=1001,"1001+"
)</f>
        <v>51–100</v>
      </c>
    </row>
    <row r="1205" spans="1:12" x14ac:dyDescent="0.3">
      <c r="A1205" t="s">
        <v>2276</v>
      </c>
      <c r="B1205" t="s">
        <v>9</v>
      </c>
      <c r="C1205" t="s">
        <v>5780</v>
      </c>
      <c r="D1205" t="s">
        <v>2277</v>
      </c>
      <c r="E1205" t="s">
        <v>15</v>
      </c>
      <c r="F1205" t="s">
        <v>54</v>
      </c>
      <c r="G1205" t="s">
        <v>2278</v>
      </c>
      <c r="J1205" t="s">
        <v>5737</v>
      </c>
      <c r="K1205">
        <v>70</v>
      </c>
      <c r="L1205" t="str" cm="1">
        <f t="array" ref="L1205">_xlfn.IFS(
 K1205&lt;=50,"≤50",
 AND(K1205&gt;=51,K1205&lt;=100),"51–100",
 AND(K1205&gt;=101,K1205&lt;=250),"101–250",
 AND(K1205&gt;=251,K1205&lt;=500),"251–500",
 AND(K1205&gt;=501,K1205&lt;=1000),"501–1000",
 K1205&gt;=1001,"1001+"
)</f>
        <v>51–100</v>
      </c>
    </row>
    <row r="1206" spans="1:12" x14ac:dyDescent="0.3">
      <c r="A1206" t="s">
        <v>2279</v>
      </c>
      <c r="B1206" t="s">
        <v>9</v>
      </c>
      <c r="C1206" t="s">
        <v>5780</v>
      </c>
      <c r="D1206" t="s">
        <v>2280</v>
      </c>
      <c r="E1206" t="s">
        <v>15</v>
      </c>
      <c r="F1206" t="s">
        <v>5770</v>
      </c>
      <c r="J1206" t="s">
        <v>5737</v>
      </c>
      <c r="K1206">
        <v>70</v>
      </c>
      <c r="L1206" t="str" cm="1">
        <f t="array" ref="L1206">_xlfn.IFS(
 K1206&lt;=50,"≤50",
 AND(K1206&gt;=51,K1206&lt;=100),"51–100",
 AND(K1206&gt;=101,K1206&lt;=250),"101–250",
 AND(K1206&gt;=251,K1206&lt;=500),"251–500",
 AND(K1206&gt;=501,K1206&lt;=1000),"501–1000",
 K1206&gt;=1001,"1001+"
)</f>
        <v>51–100</v>
      </c>
    </row>
    <row r="1207" spans="1:12" x14ac:dyDescent="0.3">
      <c r="A1207" t="s">
        <v>2281</v>
      </c>
      <c r="B1207" t="s">
        <v>9</v>
      </c>
      <c r="C1207" t="s">
        <v>5780</v>
      </c>
      <c r="D1207" t="s">
        <v>2282</v>
      </c>
      <c r="F1207" t="s">
        <v>20</v>
      </c>
      <c r="G1207" t="s">
        <v>2283</v>
      </c>
      <c r="J1207" t="s">
        <v>5737</v>
      </c>
      <c r="K1207">
        <v>70</v>
      </c>
      <c r="L1207" t="str" cm="1">
        <f t="array" ref="L1207">_xlfn.IFS(
 K1207&lt;=50,"≤50",
 AND(K1207&gt;=51,K1207&lt;=100),"51–100",
 AND(K1207&gt;=101,K1207&lt;=250),"101–250",
 AND(K1207&gt;=251,K1207&lt;=500),"251–500",
 AND(K1207&gt;=501,K1207&lt;=1000),"501–1000",
 K1207&gt;=1001,"1001+"
)</f>
        <v>51–100</v>
      </c>
    </row>
    <row r="1208" spans="1:12" x14ac:dyDescent="0.3">
      <c r="A1208" t="s">
        <v>2284</v>
      </c>
      <c r="B1208" t="s">
        <v>13</v>
      </c>
      <c r="C1208" t="s">
        <v>5777</v>
      </c>
      <c r="D1208" t="s">
        <v>573</v>
      </c>
      <c r="F1208" t="s">
        <v>5770</v>
      </c>
      <c r="J1208" t="s">
        <v>5737</v>
      </c>
      <c r="K1208">
        <v>70</v>
      </c>
      <c r="L1208" t="str" cm="1">
        <f t="array" ref="L1208">_xlfn.IFS(
 K1208&lt;=50,"≤50",
 AND(K1208&gt;=51,K1208&lt;=100),"51–100",
 AND(K1208&gt;=101,K1208&lt;=250),"101–250",
 AND(K1208&gt;=251,K1208&lt;=500),"251–500",
 AND(K1208&gt;=501,K1208&lt;=1000),"501–1000",
 K1208&gt;=1001,"1001+"
)</f>
        <v>51–100</v>
      </c>
    </row>
    <row r="1209" spans="1:12" x14ac:dyDescent="0.3">
      <c r="A1209" t="s">
        <v>2285</v>
      </c>
      <c r="B1209" t="s">
        <v>9</v>
      </c>
      <c r="C1209" t="s">
        <v>5780</v>
      </c>
      <c r="D1209" t="s">
        <v>2286</v>
      </c>
      <c r="E1209" t="s">
        <v>15</v>
      </c>
      <c r="F1209" t="s">
        <v>54</v>
      </c>
      <c r="G1209" t="s">
        <v>2287</v>
      </c>
      <c r="J1209" t="s">
        <v>5744</v>
      </c>
      <c r="K1209">
        <v>70</v>
      </c>
      <c r="L1209" t="str" cm="1">
        <f t="array" ref="L1209">_xlfn.IFS(
 K1209&lt;=50,"≤50",
 AND(K1209&gt;=51,K1209&lt;=100),"51–100",
 AND(K1209&gt;=101,K1209&lt;=250),"101–250",
 AND(K1209&gt;=251,K1209&lt;=500),"251–500",
 AND(K1209&gt;=501,K1209&lt;=1000),"501–1000",
 K1209&gt;=1001,"1001+"
)</f>
        <v>51–100</v>
      </c>
    </row>
    <row r="1210" spans="1:12" x14ac:dyDescent="0.3">
      <c r="A1210" t="s">
        <v>2288</v>
      </c>
      <c r="B1210" t="s">
        <v>9</v>
      </c>
      <c r="C1210" t="s">
        <v>5780</v>
      </c>
      <c r="D1210" t="s">
        <v>51</v>
      </c>
      <c r="F1210" t="s">
        <v>54</v>
      </c>
      <c r="G1210" t="s">
        <v>2289</v>
      </c>
      <c r="J1210" t="s">
        <v>5743</v>
      </c>
      <c r="K1210">
        <v>70</v>
      </c>
      <c r="L1210" t="str" cm="1">
        <f t="array" ref="L1210">_xlfn.IFS(
 K1210&lt;=50,"≤50",
 AND(K1210&gt;=51,K1210&lt;=100),"51–100",
 AND(K1210&gt;=101,K1210&lt;=250),"101–250",
 AND(K1210&gt;=251,K1210&lt;=500),"251–500",
 AND(K1210&gt;=501,K1210&lt;=1000),"501–1000",
 K1210&gt;=1001,"1001+"
)</f>
        <v>51–100</v>
      </c>
    </row>
    <row r="1211" spans="1:12" x14ac:dyDescent="0.3">
      <c r="A1211" t="s">
        <v>2290</v>
      </c>
      <c r="B1211" t="s">
        <v>9</v>
      </c>
      <c r="C1211" t="s">
        <v>5780</v>
      </c>
      <c r="D1211" t="s">
        <v>2291</v>
      </c>
      <c r="E1211" t="s">
        <v>15</v>
      </c>
      <c r="F1211" t="s">
        <v>16</v>
      </c>
      <c r="G1211" t="s">
        <v>2292</v>
      </c>
      <c r="J1211" t="s">
        <v>5737</v>
      </c>
      <c r="K1211">
        <v>70</v>
      </c>
      <c r="L1211" t="str" cm="1">
        <f t="array" ref="L1211">_xlfn.IFS(
 K1211&lt;=50,"≤50",
 AND(K1211&gt;=51,K1211&lt;=100),"51–100",
 AND(K1211&gt;=101,K1211&lt;=250),"101–250",
 AND(K1211&gt;=251,K1211&lt;=500),"251–500",
 AND(K1211&gt;=501,K1211&lt;=1000),"501–1000",
 K1211&gt;=1001,"1001+"
)</f>
        <v>51–100</v>
      </c>
    </row>
    <row r="1212" spans="1:12" x14ac:dyDescent="0.3">
      <c r="A1212" t="s">
        <v>2293</v>
      </c>
      <c r="B1212" t="s">
        <v>9</v>
      </c>
      <c r="C1212" t="s">
        <v>5780</v>
      </c>
      <c r="D1212" t="s">
        <v>2294</v>
      </c>
      <c r="E1212" t="s">
        <v>15</v>
      </c>
      <c r="F1212" t="s">
        <v>20</v>
      </c>
      <c r="G1212" t="s">
        <v>2295</v>
      </c>
      <c r="J1212" t="s">
        <v>5744</v>
      </c>
      <c r="K1212">
        <v>70</v>
      </c>
      <c r="L1212" t="str" cm="1">
        <f t="array" ref="L1212">_xlfn.IFS(
 K1212&lt;=50,"≤50",
 AND(K1212&gt;=51,K1212&lt;=100),"51–100",
 AND(K1212&gt;=101,K1212&lt;=250),"101–250",
 AND(K1212&gt;=251,K1212&lt;=500),"251–500",
 AND(K1212&gt;=501,K1212&lt;=1000),"501–1000",
 K1212&gt;=1001,"1001+"
)</f>
        <v>51–100</v>
      </c>
    </row>
    <row r="1213" spans="1:12" x14ac:dyDescent="0.3">
      <c r="A1213" t="s">
        <v>2296</v>
      </c>
      <c r="B1213" t="s">
        <v>9</v>
      </c>
      <c r="C1213" t="s">
        <v>5780</v>
      </c>
      <c r="D1213" t="s">
        <v>2297</v>
      </c>
      <c r="E1213" t="s">
        <v>15</v>
      </c>
      <c r="F1213" t="s">
        <v>20</v>
      </c>
      <c r="G1213" t="s">
        <v>2298</v>
      </c>
      <c r="J1213" t="s">
        <v>5738</v>
      </c>
      <c r="K1213">
        <v>70</v>
      </c>
      <c r="L1213" t="str" cm="1">
        <f t="array" ref="L1213">_xlfn.IFS(
 K1213&lt;=50,"≤50",
 AND(K1213&gt;=51,K1213&lt;=100),"51–100",
 AND(K1213&gt;=101,K1213&lt;=250),"101–250",
 AND(K1213&gt;=251,K1213&lt;=500),"251–500",
 AND(K1213&gt;=501,K1213&lt;=1000),"501–1000",
 K1213&gt;=1001,"1001+"
)</f>
        <v>51–100</v>
      </c>
    </row>
    <row r="1214" spans="1:12" x14ac:dyDescent="0.3">
      <c r="A1214" t="s">
        <v>2299</v>
      </c>
      <c r="B1214" t="s">
        <v>9</v>
      </c>
      <c r="C1214" t="s">
        <v>5780</v>
      </c>
      <c r="D1214" t="s">
        <v>2300</v>
      </c>
      <c r="F1214" t="s">
        <v>20</v>
      </c>
      <c r="G1214" t="s">
        <v>135</v>
      </c>
      <c r="J1214" t="s">
        <v>5738</v>
      </c>
      <c r="K1214">
        <v>70</v>
      </c>
      <c r="L1214" t="str" cm="1">
        <f t="array" ref="L1214">_xlfn.IFS(
 K1214&lt;=50,"≤50",
 AND(K1214&gt;=51,K1214&lt;=100),"51–100",
 AND(K1214&gt;=101,K1214&lt;=250),"101–250",
 AND(K1214&gt;=251,K1214&lt;=500),"251–500",
 AND(K1214&gt;=501,K1214&lt;=1000),"501–1000",
 K1214&gt;=1001,"1001+"
)</f>
        <v>51–100</v>
      </c>
    </row>
    <row r="1215" spans="1:12" x14ac:dyDescent="0.3">
      <c r="A1215" t="s">
        <v>2301</v>
      </c>
      <c r="B1215" t="s">
        <v>9</v>
      </c>
      <c r="C1215" t="s">
        <v>5780</v>
      </c>
      <c r="D1215" t="s">
        <v>2302</v>
      </c>
      <c r="E1215" t="s">
        <v>15</v>
      </c>
      <c r="F1215" t="s">
        <v>16</v>
      </c>
      <c r="G1215" t="s">
        <v>2303</v>
      </c>
      <c r="J1215" t="s">
        <v>5759</v>
      </c>
      <c r="K1215">
        <v>70</v>
      </c>
      <c r="L1215" t="str" cm="1">
        <f t="array" ref="L1215">_xlfn.IFS(
 K1215&lt;=50,"≤50",
 AND(K1215&gt;=51,K1215&lt;=100),"51–100",
 AND(K1215&gt;=101,K1215&lt;=250),"101–250",
 AND(K1215&gt;=251,K1215&lt;=500),"251–500",
 AND(K1215&gt;=501,K1215&lt;=1000),"501–1000",
 K1215&gt;=1001,"1001+"
)</f>
        <v>51–100</v>
      </c>
    </row>
    <row r="1216" spans="1:12" x14ac:dyDescent="0.3">
      <c r="A1216" t="s">
        <v>2304</v>
      </c>
      <c r="B1216" t="s">
        <v>9</v>
      </c>
      <c r="C1216" t="s">
        <v>5780</v>
      </c>
      <c r="D1216" t="s">
        <v>442</v>
      </c>
      <c r="E1216" t="s">
        <v>15</v>
      </c>
      <c r="F1216" t="s">
        <v>5770</v>
      </c>
      <c r="J1216" t="s">
        <v>5738</v>
      </c>
      <c r="K1216">
        <v>70</v>
      </c>
      <c r="L1216" t="str" cm="1">
        <f t="array" ref="L1216">_xlfn.IFS(
 K1216&lt;=50,"≤50",
 AND(K1216&gt;=51,K1216&lt;=100),"51–100",
 AND(K1216&gt;=101,K1216&lt;=250),"101–250",
 AND(K1216&gt;=251,K1216&lt;=500),"251–500",
 AND(K1216&gt;=501,K1216&lt;=1000),"501–1000",
 K1216&gt;=1001,"1001+"
)</f>
        <v>51–100</v>
      </c>
    </row>
    <row r="1217" spans="1:12" x14ac:dyDescent="0.3">
      <c r="A1217" t="s">
        <v>2305</v>
      </c>
      <c r="B1217" t="s">
        <v>9</v>
      </c>
      <c r="C1217" t="s">
        <v>5780</v>
      </c>
      <c r="D1217" t="s">
        <v>51</v>
      </c>
      <c r="E1217" t="s">
        <v>15</v>
      </c>
      <c r="F1217" t="s">
        <v>5770</v>
      </c>
      <c r="J1217" t="s">
        <v>5742</v>
      </c>
      <c r="K1217">
        <v>70</v>
      </c>
      <c r="L1217" t="str" cm="1">
        <f t="array" ref="L1217">_xlfn.IFS(
 K1217&lt;=50,"≤50",
 AND(K1217&gt;=51,K1217&lt;=100),"51–100",
 AND(K1217&gt;=101,K1217&lt;=250),"101–250",
 AND(K1217&gt;=251,K1217&lt;=500),"251–500",
 AND(K1217&gt;=501,K1217&lt;=1000),"501–1000",
 K1217&gt;=1001,"1001+"
)</f>
        <v>51–100</v>
      </c>
    </row>
    <row r="1218" spans="1:12" x14ac:dyDescent="0.3">
      <c r="A1218" t="s">
        <v>2306</v>
      </c>
      <c r="B1218" t="s">
        <v>9</v>
      </c>
      <c r="C1218" t="s">
        <v>5780</v>
      </c>
      <c r="D1218" t="s">
        <v>2307</v>
      </c>
      <c r="E1218" t="s">
        <v>15</v>
      </c>
      <c r="F1218" t="s">
        <v>5770</v>
      </c>
      <c r="J1218" t="s">
        <v>5762</v>
      </c>
      <c r="K1218">
        <v>70</v>
      </c>
      <c r="L1218" t="str" cm="1">
        <f t="array" ref="L1218">_xlfn.IFS(
 K1218&lt;=50,"≤50",
 AND(K1218&gt;=51,K1218&lt;=100),"51–100",
 AND(K1218&gt;=101,K1218&lt;=250),"101–250",
 AND(K1218&gt;=251,K1218&lt;=500),"251–500",
 AND(K1218&gt;=501,K1218&lt;=1000),"501–1000",
 K1218&gt;=1001,"1001+"
)</f>
        <v>51–100</v>
      </c>
    </row>
    <row r="1219" spans="1:12" x14ac:dyDescent="0.3">
      <c r="A1219" t="s">
        <v>2308</v>
      </c>
      <c r="B1219" t="s">
        <v>9</v>
      </c>
      <c r="C1219" t="s">
        <v>5780</v>
      </c>
      <c r="D1219" t="s">
        <v>2309</v>
      </c>
      <c r="E1219" t="s">
        <v>15</v>
      </c>
      <c r="F1219" t="s">
        <v>20</v>
      </c>
      <c r="G1219" t="s">
        <v>2310</v>
      </c>
      <c r="J1219" t="s">
        <v>5737</v>
      </c>
      <c r="K1219">
        <v>70</v>
      </c>
      <c r="L1219" t="str" cm="1">
        <f t="array" ref="L1219">_xlfn.IFS(
 K1219&lt;=50,"≤50",
 AND(K1219&gt;=51,K1219&lt;=100),"51–100",
 AND(K1219&gt;=101,K1219&lt;=250),"101–250",
 AND(K1219&gt;=251,K1219&lt;=500),"251–500",
 AND(K1219&gt;=501,K1219&lt;=1000),"501–1000",
 K1219&gt;=1001,"1001+"
)</f>
        <v>51–100</v>
      </c>
    </row>
    <row r="1220" spans="1:12" x14ac:dyDescent="0.3">
      <c r="A1220" t="s">
        <v>2311</v>
      </c>
      <c r="B1220" t="s">
        <v>13</v>
      </c>
      <c r="C1220" t="s">
        <v>5777</v>
      </c>
      <c r="D1220" t="s">
        <v>2312</v>
      </c>
      <c r="E1220" t="s">
        <v>15</v>
      </c>
      <c r="F1220" t="s">
        <v>20</v>
      </c>
      <c r="G1220" t="s">
        <v>135</v>
      </c>
      <c r="J1220" t="s">
        <v>5749</v>
      </c>
      <c r="K1220">
        <v>70</v>
      </c>
      <c r="L1220" t="str" cm="1">
        <f t="array" ref="L1220">_xlfn.IFS(
 K1220&lt;=50,"≤50",
 AND(K1220&gt;=51,K1220&lt;=100),"51–100",
 AND(K1220&gt;=101,K1220&lt;=250),"101–250",
 AND(K1220&gt;=251,K1220&lt;=500),"251–500",
 AND(K1220&gt;=501,K1220&lt;=1000),"501–1000",
 K1220&gt;=1001,"1001+"
)</f>
        <v>51–100</v>
      </c>
    </row>
    <row r="1221" spans="1:12" x14ac:dyDescent="0.3">
      <c r="A1221" t="s">
        <v>2313</v>
      </c>
      <c r="B1221" t="s">
        <v>9</v>
      </c>
      <c r="C1221" t="s">
        <v>5780</v>
      </c>
      <c r="D1221" t="s">
        <v>2314</v>
      </c>
      <c r="E1221" t="s">
        <v>15</v>
      </c>
      <c r="F1221" t="s">
        <v>16</v>
      </c>
      <c r="G1221" t="s">
        <v>360</v>
      </c>
      <c r="J1221" t="s">
        <v>5745</v>
      </c>
      <c r="K1221">
        <v>70</v>
      </c>
      <c r="L1221" t="str" cm="1">
        <f t="array" ref="L1221">_xlfn.IFS(
 K1221&lt;=50,"≤50",
 AND(K1221&gt;=51,K1221&lt;=100),"51–100",
 AND(K1221&gt;=101,K1221&lt;=250),"101–250",
 AND(K1221&gt;=251,K1221&lt;=500),"251–500",
 AND(K1221&gt;=501,K1221&lt;=1000),"501–1000",
 K1221&gt;=1001,"1001+"
)</f>
        <v>51–100</v>
      </c>
    </row>
    <row r="1222" spans="1:12" x14ac:dyDescent="0.3">
      <c r="A1222" t="s">
        <v>2315</v>
      </c>
      <c r="B1222" t="s">
        <v>9</v>
      </c>
      <c r="C1222" t="s">
        <v>5780</v>
      </c>
      <c r="D1222" t="s">
        <v>2316</v>
      </c>
      <c r="E1222" t="s">
        <v>15</v>
      </c>
      <c r="F1222" t="s">
        <v>20</v>
      </c>
      <c r="G1222" t="s">
        <v>21</v>
      </c>
      <c r="J1222" t="s">
        <v>5737</v>
      </c>
      <c r="K1222">
        <v>70</v>
      </c>
      <c r="L1222" t="str" cm="1">
        <f t="array" ref="L1222">_xlfn.IFS(
 K1222&lt;=50,"≤50",
 AND(K1222&gt;=51,K1222&lt;=100),"51–100",
 AND(K1222&gt;=101,K1222&lt;=250),"101–250",
 AND(K1222&gt;=251,K1222&lt;=500),"251–500",
 AND(K1222&gt;=501,K1222&lt;=1000),"501–1000",
 K1222&gt;=1001,"1001+"
)</f>
        <v>51–100</v>
      </c>
    </row>
    <row r="1223" spans="1:12" x14ac:dyDescent="0.3">
      <c r="A1223" t="s">
        <v>2317</v>
      </c>
      <c r="B1223" t="s">
        <v>9</v>
      </c>
      <c r="C1223" t="s">
        <v>5780</v>
      </c>
      <c r="D1223" t="s">
        <v>2318</v>
      </c>
      <c r="E1223" t="s">
        <v>15</v>
      </c>
      <c r="F1223" t="s">
        <v>54</v>
      </c>
      <c r="G1223" t="s">
        <v>2319</v>
      </c>
      <c r="H1223" t="s">
        <v>15</v>
      </c>
      <c r="I1223" t="s">
        <v>2320</v>
      </c>
      <c r="J1223" t="s">
        <v>5737</v>
      </c>
      <c r="K1223">
        <v>70</v>
      </c>
      <c r="L1223" t="str" cm="1">
        <f t="array" ref="L1223">_xlfn.IFS(
 K1223&lt;=50,"≤50",
 AND(K1223&gt;=51,K1223&lt;=100),"51–100",
 AND(K1223&gt;=101,K1223&lt;=250),"101–250",
 AND(K1223&gt;=251,K1223&lt;=500),"251–500",
 AND(K1223&gt;=501,K1223&lt;=1000),"501–1000",
 K1223&gt;=1001,"1001+"
)</f>
        <v>51–100</v>
      </c>
    </row>
    <row r="1224" spans="1:12" x14ac:dyDescent="0.3">
      <c r="A1224" t="s">
        <v>2321</v>
      </c>
      <c r="B1224" t="s">
        <v>9</v>
      </c>
      <c r="C1224" t="s">
        <v>5780</v>
      </c>
      <c r="D1224" t="s">
        <v>2322</v>
      </c>
      <c r="E1224" t="s">
        <v>15</v>
      </c>
      <c r="F1224" t="s">
        <v>5770</v>
      </c>
      <c r="J1224" t="s">
        <v>5737</v>
      </c>
      <c r="K1224">
        <v>70</v>
      </c>
      <c r="L1224" t="str" cm="1">
        <f t="array" ref="L1224">_xlfn.IFS(
 K1224&lt;=50,"≤50",
 AND(K1224&gt;=51,K1224&lt;=100),"51–100",
 AND(K1224&gt;=101,K1224&lt;=250),"101–250",
 AND(K1224&gt;=251,K1224&lt;=500),"251–500",
 AND(K1224&gt;=501,K1224&lt;=1000),"501–1000",
 K1224&gt;=1001,"1001+"
)</f>
        <v>51–100</v>
      </c>
    </row>
    <row r="1225" spans="1:12" x14ac:dyDescent="0.3">
      <c r="A1225" t="s">
        <v>2323</v>
      </c>
      <c r="B1225" t="s">
        <v>9</v>
      </c>
      <c r="C1225" t="s">
        <v>5780</v>
      </c>
      <c r="D1225" t="s">
        <v>2324</v>
      </c>
      <c r="E1225" t="s">
        <v>15</v>
      </c>
      <c r="F1225" t="s">
        <v>20</v>
      </c>
      <c r="G1225" t="s">
        <v>21</v>
      </c>
      <c r="J1225" t="s">
        <v>5751</v>
      </c>
      <c r="K1225">
        <v>70</v>
      </c>
      <c r="L1225" t="str" cm="1">
        <f t="array" ref="L1225">_xlfn.IFS(
 K1225&lt;=50,"≤50",
 AND(K1225&gt;=51,K1225&lt;=100),"51–100",
 AND(K1225&gt;=101,K1225&lt;=250),"101–250",
 AND(K1225&gt;=251,K1225&lt;=500),"251–500",
 AND(K1225&gt;=501,K1225&lt;=1000),"501–1000",
 K1225&gt;=1001,"1001+"
)</f>
        <v>51–100</v>
      </c>
    </row>
    <row r="1226" spans="1:12" x14ac:dyDescent="0.3">
      <c r="A1226" t="s">
        <v>2325</v>
      </c>
      <c r="B1226" t="s">
        <v>9</v>
      </c>
      <c r="C1226" t="s">
        <v>5780</v>
      </c>
      <c r="D1226" t="s">
        <v>2326</v>
      </c>
      <c r="E1226" t="s">
        <v>15</v>
      </c>
      <c r="F1226" t="s">
        <v>16</v>
      </c>
      <c r="G1226" t="s">
        <v>2327</v>
      </c>
      <c r="J1226" t="s">
        <v>5737</v>
      </c>
      <c r="K1226">
        <v>70</v>
      </c>
      <c r="L1226" t="str" cm="1">
        <f t="array" ref="L1226">_xlfn.IFS(
 K1226&lt;=50,"≤50",
 AND(K1226&gt;=51,K1226&lt;=100),"51–100",
 AND(K1226&gt;=101,K1226&lt;=250),"101–250",
 AND(K1226&gt;=251,K1226&lt;=500),"251–500",
 AND(K1226&gt;=501,K1226&lt;=1000),"501–1000",
 K1226&gt;=1001,"1001+"
)</f>
        <v>51–100</v>
      </c>
    </row>
    <row r="1227" spans="1:12" x14ac:dyDescent="0.3">
      <c r="A1227" t="s">
        <v>2328</v>
      </c>
      <c r="B1227" t="s">
        <v>197</v>
      </c>
      <c r="C1227" t="s">
        <v>5774</v>
      </c>
      <c r="D1227" t="s">
        <v>2329</v>
      </c>
      <c r="E1227" t="s">
        <v>15</v>
      </c>
      <c r="F1227" t="s">
        <v>54</v>
      </c>
      <c r="G1227" t="s">
        <v>1069</v>
      </c>
      <c r="J1227" t="s">
        <v>5737</v>
      </c>
      <c r="K1227">
        <v>70</v>
      </c>
      <c r="L1227" t="str" cm="1">
        <f t="array" ref="L1227">_xlfn.IFS(
 K1227&lt;=50,"≤50",
 AND(K1227&gt;=51,K1227&lt;=100),"51–100",
 AND(K1227&gt;=101,K1227&lt;=250),"101–250",
 AND(K1227&gt;=251,K1227&lt;=500),"251–500",
 AND(K1227&gt;=501,K1227&lt;=1000),"501–1000",
 K1227&gt;=1001,"1001+"
)</f>
        <v>51–100</v>
      </c>
    </row>
    <row r="1228" spans="1:12" x14ac:dyDescent="0.3">
      <c r="A1228" t="s">
        <v>2330</v>
      </c>
      <c r="B1228" t="s">
        <v>13</v>
      </c>
      <c r="C1228" t="s">
        <v>5777</v>
      </c>
      <c r="D1228" t="s">
        <v>314</v>
      </c>
      <c r="F1228" t="s">
        <v>5770</v>
      </c>
      <c r="J1228" t="s">
        <v>5737</v>
      </c>
      <c r="K1228">
        <v>70</v>
      </c>
      <c r="L1228" t="str" cm="1">
        <f t="array" ref="L1228">_xlfn.IFS(
 K1228&lt;=50,"≤50",
 AND(K1228&gt;=51,K1228&lt;=100),"51–100",
 AND(K1228&gt;=101,K1228&lt;=250),"101–250",
 AND(K1228&gt;=251,K1228&lt;=500),"251–500",
 AND(K1228&gt;=501,K1228&lt;=1000),"501–1000",
 K1228&gt;=1001,"1001+"
)</f>
        <v>51–100</v>
      </c>
    </row>
    <row r="1229" spans="1:12" x14ac:dyDescent="0.3">
      <c r="A1229" t="s">
        <v>2331</v>
      </c>
      <c r="B1229" t="s">
        <v>11</v>
      </c>
      <c r="C1229" t="s">
        <v>5776</v>
      </c>
      <c r="F1229" t="s">
        <v>5770</v>
      </c>
      <c r="J1229" t="s">
        <v>5753</v>
      </c>
      <c r="K1229">
        <v>70</v>
      </c>
      <c r="L1229" t="str" cm="1">
        <f t="array" ref="L1229">_xlfn.IFS(
 K1229&lt;=50,"≤50",
 AND(K1229&gt;=51,K1229&lt;=100),"51–100",
 AND(K1229&gt;=101,K1229&lt;=250),"101–250",
 AND(K1229&gt;=251,K1229&lt;=500),"251–500",
 AND(K1229&gt;=501,K1229&lt;=1000),"501–1000",
 K1229&gt;=1001,"1001+"
)</f>
        <v>51–100</v>
      </c>
    </row>
    <row r="1230" spans="1:12" x14ac:dyDescent="0.3">
      <c r="A1230" t="s">
        <v>2332</v>
      </c>
      <c r="B1230" t="s">
        <v>197</v>
      </c>
      <c r="C1230" t="s">
        <v>5774</v>
      </c>
      <c r="D1230" t="s">
        <v>2333</v>
      </c>
      <c r="E1230" t="s">
        <v>15</v>
      </c>
      <c r="F1230" t="s">
        <v>54</v>
      </c>
      <c r="G1230" t="s">
        <v>2334</v>
      </c>
      <c r="J1230" t="s">
        <v>5737</v>
      </c>
      <c r="K1230">
        <v>70</v>
      </c>
      <c r="L1230" t="str" cm="1">
        <f t="array" ref="L1230">_xlfn.IFS(
 K1230&lt;=50,"≤50",
 AND(K1230&gt;=51,K1230&lt;=100),"51–100",
 AND(K1230&gt;=101,K1230&lt;=250),"101–250",
 AND(K1230&gt;=251,K1230&lt;=500),"251–500",
 AND(K1230&gt;=501,K1230&lt;=1000),"501–1000",
 K1230&gt;=1001,"1001+"
)</f>
        <v>51–100</v>
      </c>
    </row>
    <row r="1231" spans="1:12" x14ac:dyDescent="0.3">
      <c r="A1231" t="s">
        <v>2335</v>
      </c>
      <c r="B1231" t="s">
        <v>13</v>
      </c>
      <c r="C1231" t="s">
        <v>5777</v>
      </c>
      <c r="D1231" t="s">
        <v>2336</v>
      </c>
      <c r="E1231" t="s">
        <v>15</v>
      </c>
      <c r="F1231" t="s">
        <v>54</v>
      </c>
      <c r="G1231" t="s">
        <v>2337</v>
      </c>
      <c r="J1231" t="s">
        <v>5737</v>
      </c>
      <c r="K1231">
        <v>70</v>
      </c>
      <c r="L1231" t="str" cm="1">
        <f t="array" ref="L1231">_xlfn.IFS(
 K1231&lt;=50,"≤50",
 AND(K1231&gt;=51,K1231&lt;=100),"51–100",
 AND(K1231&gt;=101,K1231&lt;=250),"101–250",
 AND(K1231&gt;=251,K1231&lt;=500),"251–500",
 AND(K1231&gt;=501,K1231&lt;=1000),"501–1000",
 K1231&gt;=1001,"1001+"
)</f>
        <v>51–100</v>
      </c>
    </row>
    <row r="1232" spans="1:12" x14ac:dyDescent="0.3">
      <c r="A1232" t="s">
        <v>2338</v>
      </c>
      <c r="B1232" t="s">
        <v>13</v>
      </c>
      <c r="C1232" t="s">
        <v>5777</v>
      </c>
      <c r="D1232" t="s">
        <v>2339</v>
      </c>
      <c r="E1232" t="s">
        <v>15</v>
      </c>
      <c r="F1232" t="s">
        <v>20</v>
      </c>
      <c r="G1232" t="s">
        <v>2340</v>
      </c>
      <c r="J1232" t="s">
        <v>5737</v>
      </c>
      <c r="K1232">
        <v>70</v>
      </c>
      <c r="L1232" t="str" cm="1">
        <f t="array" ref="L1232">_xlfn.IFS(
 K1232&lt;=50,"≤50",
 AND(K1232&gt;=51,K1232&lt;=100),"51–100",
 AND(K1232&gt;=101,K1232&lt;=250),"101–250",
 AND(K1232&gt;=251,K1232&lt;=500),"251–500",
 AND(K1232&gt;=501,K1232&lt;=1000),"501–1000",
 K1232&gt;=1001,"1001+"
)</f>
        <v>51–100</v>
      </c>
    </row>
    <row r="1233" spans="1:12" x14ac:dyDescent="0.3">
      <c r="A1233" t="s">
        <v>2341</v>
      </c>
      <c r="B1233" t="s">
        <v>13</v>
      </c>
      <c r="C1233" t="s">
        <v>5777</v>
      </c>
      <c r="D1233" t="s">
        <v>112</v>
      </c>
      <c r="E1233" t="s">
        <v>15</v>
      </c>
      <c r="F1233" t="s">
        <v>20</v>
      </c>
      <c r="G1233" t="s">
        <v>1423</v>
      </c>
      <c r="J1233" t="s">
        <v>5744</v>
      </c>
      <c r="K1233">
        <v>70</v>
      </c>
      <c r="L1233" t="str" cm="1">
        <f t="array" ref="L1233">_xlfn.IFS(
 K1233&lt;=50,"≤50",
 AND(K1233&gt;=51,K1233&lt;=100),"51–100",
 AND(K1233&gt;=101,K1233&lt;=250),"101–250",
 AND(K1233&gt;=251,K1233&lt;=500),"251–500",
 AND(K1233&gt;=501,K1233&lt;=1000),"501–1000",
 K1233&gt;=1001,"1001+"
)</f>
        <v>51–100</v>
      </c>
    </row>
    <row r="1234" spans="1:12" x14ac:dyDescent="0.3">
      <c r="A1234" t="s">
        <v>2342</v>
      </c>
      <c r="B1234" t="s">
        <v>9</v>
      </c>
      <c r="C1234" t="s">
        <v>5780</v>
      </c>
      <c r="D1234" t="s">
        <v>28</v>
      </c>
      <c r="E1234" t="s">
        <v>15</v>
      </c>
      <c r="F1234" t="s">
        <v>5770</v>
      </c>
      <c r="J1234" t="s">
        <v>5744</v>
      </c>
      <c r="K1234">
        <v>70</v>
      </c>
      <c r="L1234" t="str" cm="1">
        <f t="array" ref="L1234">_xlfn.IFS(
 K1234&lt;=50,"≤50",
 AND(K1234&gt;=51,K1234&lt;=100),"51–100",
 AND(K1234&gt;=101,K1234&lt;=250),"101–250",
 AND(K1234&gt;=251,K1234&lt;=500),"251–500",
 AND(K1234&gt;=501,K1234&lt;=1000),"501–1000",
 K1234&gt;=1001,"1001+"
)</f>
        <v>51–100</v>
      </c>
    </row>
    <row r="1235" spans="1:12" x14ac:dyDescent="0.3">
      <c r="A1235" t="s">
        <v>2343</v>
      </c>
      <c r="B1235" t="s">
        <v>9</v>
      </c>
      <c r="C1235" t="s">
        <v>5780</v>
      </c>
      <c r="D1235" t="s">
        <v>2344</v>
      </c>
      <c r="F1235" t="s">
        <v>5770</v>
      </c>
      <c r="J1235" t="s">
        <v>5753</v>
      </c>
      <c r="K1235">
        <v>70</v>
      </c>
      <c r="L1235" t="str" cm="1">
        <f t="array" ref="L1235">_xlfn.IFS(
 K1235&lt;=50,"≤50",
 AND(K1235&gt;=51,K1235&lt;=100),"51–100",
 AND(K1235&gt;=101,K1235&lt;=250),"101–250",
 AND(K1235&gt;=251,K1235&lt;=500),"251–500",
 AND(K1235&gt;=501,K1235&lt;=1000),"501–1000",
 K1235&gt;=1001,"1001+"
)</f>
        <v>51–100</v>
      </c>
    </row>
    <row r="1236" spans="1:12" x14ac:dyDescent="0.3">
      <c r="A1236" t="s">
        <v>2345</v>
      </c>
      <c r="B1236" t="s">
        <v>9</v>
      </c>
      <c r="C1236" t="s">
        <v>5780</v>
      </c>
      <c r="D1236" t="s">
        <v>2346</v>
      </c>
      <c r="E1236" t="s">
        <v>15</v>
      </c>
      <c r="F1236" t="s">
        <v>20</v>
      </c>
      <c r="G1236" t="s">
        <v>2347</v>
      </c>
      <c r="J1236" t="s">
        <v>5738</v>
      </c>
      <c r="K1236">
        <v>70</v>
      </c>
      <c r="L1236" t="str" cm="1">
        <f t="array" ref="L1236">_xlfn.IFS(
 K1236&lt;=50,"≤50",
 AND(K1236&gt;=51,K1236&lt;=100),"51–100",
 AND(K1236&gt;=101,K1236&lt;=250),"101–250",
 AND(K1236&gt;=251,K1236&lt;=500),"251–500",
 AND(K1236&gt;=501,K1236&lt;=1000),"501–1000",
 K1236&gt;=1001,"1001+"
)</f>
        <v>51–100</v>
      </c>
    </row>
    <row r="1237" spans="1:12" x14ac:dyDescent="0.3">
      <c r="A1237" t="s">
        <v>2348</v>
      </c>
      <c r="B1237" t="s">
        <v>13</v>
      </c>
      <c r="C1237" t="s">
        <v>5777</v>
      </c>
      <c r="D1237" t="s">
        <v>2349</v>
      </c>
      <c r="F1237" t="s">
        <v>20</v>
      </c>
      <c r="G1237" t="s">
        <v>2350</v>
      </c>
      <c r="J1237" t="s">
        <v>5737</v>
      </c>
      <c r="K1237">
        <v>70</v>
      </c>
      <c r="L1237" t="str" cm="1">
        <f t="array" ref="L1237">_xlfn.IFS(
 K1237&lt;=50,"≤50",
 AND(K1237&gt;=51,K1237&lt;=100),"51–100",
 AND(K1237&gt;=101,K1237&lt;=250),"101–250",
 AND(K1237&gt;=251,K1237&lt;=500),"251–500",
 AND(K1237&gt;=501,K1237&lt;=1000),"501–1000",
 K1237&gt;=1001,"1001+"
)</f>
        <v>51–100</v>
      </c>
    </row>
    <row r="1238" spans="1:12" x14ac:dyDescent="0.3">
      <c r="A1238" t="s">
        <v>2351</v>
      </c>
      <c r="B1238" t="s">
        <v>9</v>
      </c>
      <c r="C1238" t="s">
        <v>5780</v>
      </c>
      <c r="D1238" t="s">
        <v>2352</v>
      </c>
      <c r="E1238" t="s">
        <v>15</v>
      </c>
      <c r="F1238" t="s">
        <v>16</v>
      </c>
      <c r="G1238" t="s">
        <v>2353</v>
      </c>
      <c r="J1238" t="s">
        <v>5737</v>
      </c>
      <c r="K1238">
        <v>70</v>
      </c>
      <c r="L1238" t="str" cm="1">
        <f t="array" ref="L1238">_xlfn.IFS(
 K1238&lt;=50,"≤50",
 AND(K1238&gt;=51,K1238&lt;=100),"51–100",
 AND(K1238&gt;=101,K1238&lt;=250),"101–250",
 AND(K1238&gt;=251,K1238&lt;=500),"251–500",
 AND(K1238&gt;=501,K1238&lt;=1000),"501–1000",
 K1238&gt;=1001,"1001+"
)</f>
        <v>51–100</v>
      </c>
    </row>
    <row r="1239" spans="1:12" x14ac:dyDescent="0.3">
      <c r="A1239" t="s">
        <v>2354</v>
      </c>
      <c r="B1239" t="s">
        <v>9</v>
      </c>
      <c r="C1239" t="s">
        <v>5780</v>
      </c>
      <c r="D1239" t="s">
        <v>2355</v>
      </c>
      <c r="F1239" t="s">
        <v>5770</v>
      </c>
      <c r="J1239" t="s">
        <v>5747</v>
      </c>
      <c r="K1239">
        <v>70</v>
      </c>
      <c r="L1239" t="str" cm="1">
        <f t="array" ref="L1239">_xlfn.IFS(
 K1239&lt;=50,"≤50",
 AND(K1239&gt;=51,K1239&lt;=100),"51–100",
 AND(K1239&gt;=101,K1239&lt;=250),"101–250",
 AND(K1239&gt;=251,K1239&lt;=500),"251–500",
 AND(K1239&gt;=501,K1239&lt;=1000),"501–1000",
 K1239&gt;=1001,"1001+"
)</f>
        <v>51–100</v>
      </c>
    </row>
    <row r="1240" spans="1:12" x14ac:dyDescent="0.3">
      <c r="A1240" t="s">
        <v>2356</v>
      </c>
      <c r="B1240" t="s">
        <v>11</v>
      </c>
      <c r="C1240" t="s">
        <v>5776</v>
      </c>
      <c r="F1240" t="s">
        <v>5770</v>
      </c>
      <c r="J1240" t="s">
        <v>5737</v>
      </c>
      <c r="K1240">
        <v>70</v>
      </c>
      <c r="L1240" t="str" cm="1">
        <f t="array" ref="L1240">_xlfn.IFS(
 K1240&lt;=50,"≤50",
 AND(K1240&gt;=51,K1240&lt;=100),"51–100",
 AND(K1240&gt;=101,K1240&lt;=250),"101–250",
 AND(K1240&gt;=251,K1240&lt;=500),"251–500",
 AND(K1240&gt;=501,K1240&lt;=1000),"501–1000",
 K1240&gt;=1001,"1001+"
)</f>
        <v>51–100</v>
      </c>
    </row>
    <row r="1241" spans="1:12" x14ac:dyDescent="0.3">
      <c r="A1241" t="s">
        <v>2357</v>
      </c>
      <c r="B1241" t="s">
        <v>11</v>
      </c>
      <c r="C1241" t="s">
        <v>5776</v>
      </c>
      <c r="F1241" t="s">
        <v>5770</v>
      </c>
      <c r="J1241" t="s">
        <v>5737</v>
      </c>
      <c r="K1241">
        <v>70</v>
      </c>
      <c r="L1241" t="str" cm="1">
        <f t="array" ref="L1241">_xlfn.IFS(
 K1241&lt;=50,"≤50",
 AND(K1241&gt;=51,K1241&lt;=100),"51–100",
 AND(K1241&gt;=101,K1241&lt;=250),"101–250",
 AND(K1241&gt;=251,K1241&lt;=500),"251–500",
 AND(K1241&gt;=501,K1241&lt;=1000),"501–1000",
 K1241&gt;=1001,"1001+"
)</f>
        <v>51–100</v>
      </c>
    </row>
    <row r="1242" spans="1:12" x14ac:dyDescent="0.3">
      <c r="A1242" t="s">
        <v>2358</v>
      </c>
      <c r="B1242" t="s">
        <v>11</v>
      </c>
      <c r="C1242" t="s">
        <v>5776</v>
      </c>
      <c r="F1242" t="s">
        <v>5770</v>
      </c>
      <c r="J1242" t="s">
        <v>5747</v>
      </c>
      <c r="K1242">
        <v>70</v>
      </c>
      <c r="L1242" t="str" cm="1">
        <f t="array" ref="L1242">_xlfn.IFS(
 K1242&lt;=50,"≤50",
 AND(K1242&gt;=51,K1242&lt;=100),"51–100",
 AND(K1242&gt;=101,K1242&lt;=250),"101–250",
 AND(K1242&gt;=251,K1242&lt;=500),"251–500",
 AND(K1242&gt;=501,K1242&lt;=1000),"501–1000",
 K1242&gt;=1001,"1001+"
)</f>
        <v>51–100</v>
      </c>
    </row>
    <row r="1243" spans="1:12" x14ac:dyDescent="0.3">
      <c r="A1243" t="s">
        <v>2359</v>
      </c>
      <c r="B1243" t="s">
        <v>13</v>
      </c>
      <c r="C1243" t="s">
        <v>5777</v>
      </c>
      <c r="D1243" t="s">
        <v>2360</v>
      </c>
      <c r="E1243" t="s">
        <v>15</v>
      </c>
      <c r="F1243" t="s">
        <v>20</v>
      </c>
      <c r="G1243" t="s">
        <v>21</v>
      </c>
      <c r="J1243" t="s">
        <v>5740</v>
      </c>
      <c r="K1243">
        <v>70</v>
      </c>
      <c r="L1243" t="str" cm="1">
        <f t="array" ref="L1243">_xlfn.IFS(
 K1243&lt;=50,"≤50",
 AND(K1243&gt;=51,K1243&lt;=100),"51–100",
 AND(K1243&gt;=101,K1243&lt;=250),"101–250",
 AND(K1243&gt;=251,K1243&lt;=500),"251–500",
 AND(K1243&gt;=501,K1243&lt;=1000),"501–1000",
 K1243&gt;=1001,"1001+"
)</f>
        <v>51–100</v>
      </c>
    </row>
    <row r="1244" spans="1:12" x14ac:dyDescent="0.3">
      <c r="A1244" t="s">
        <v>2361</v>
      </c>
      <c r="B1244" t="s">
        <v>9</v>
      </c>
      <c r="C1244" t="s">
        <v>5780</v>
      </c>
      <c r="D1244" t="s">
        <v>28</v>
      </c>
      <c r="E1244" t="s">
        <v>15</v>
      </c>
      <c r="F1244" t="s">
        <v>5770</v>
      </c>
      <c r="J1244" t="s">
        <v>5754</v>
      </c>
      <c r="K1244">
        <v>70</v>
      </c>
      <c r="L1244" t="str" cm="1">
        <f t="array" ref="L1244">_xlfn.IFS(
 K1244&lt;=50,"≤50",
 AND(K1244&gt;=51,K1244&lt;=100),"51–100",
 AND(K1244&gt;=101,K1244&lt;=250),"101–250",
 AND(K1244&gt;=251,K1244&lt;=500),"251–500",
 AND(K1244&gt;=501,K1244&lt;=1000),"501–1000",
 K1244&gt;=1001,"1001+"
)</f>
        <v>51–100</v>
      </c>
    </row>
    <row r="1245" spans="1:12" x14ac:dyDescent="0.3">
      <c r="A1245" t="s">
        <v>2362</v>
      </c>
      <c r="B1245" t="s">
        <v>13</v>
      </c>
      <c r="C1245" t="s">
        <v>5777</v>
      </c>
      <c r="D1245" t="s">
        <v>2363</v>
      </c>
      <c r="E1245" t="s">
        <v>15</v>
      </c>
      <c r="F1245" t="s">
        <v>20</v>
      </c>
      <c r="G1245" t="s">
        <v>2364</v>
      </c>
      <c r="J1245" t="s">
        <v>5751</v>
      </c>
      <c r="K1245">
        <v>70</v>
      </c>
      <c r="L1245" t="str" cm="1">
        <f t="array" ref="L1245">_xlfn.IFS(
 K1245&lt;=50,"≤50",
 AND(K1245&gt;=51,K1245&lt;=100),"51–100",
 AND(K1245&gt;=101,K1245&lt;=250),"101–250",
 AND(K1245&gt;=251,K1245&lt;=500),"251–500",
 AND(K1245&gt;=501,K1245&lt;=1000),"501–1000",
 K1245&gt;=1001,"1001+"
)</f>
        <v>51–100</v>
      </c>
    </row>
    <row r="1246" spans="1:12" x14ac:dyDescent="0.3">
      <c r="A1246" t="s">
        <v>2365</v>
      </c>
      <c r="B1246" t="s">
        <v>9</v>
      </c>
      <c r="C1246" t="s">
        <v>5780</v>
      </c>
      <c r="D1246" t="s">
        <v>914</v>
      </c>
      <c r="F1246" t="s">
        <v>5770</v>
      </c>
      <c r="J1246" t="s">
        <v>5738</v>
      </c>
      <c r="K1246">
        <v>70</v>
      </c>
      <c r="L1246" t="str" cm="1">
        <f t="array" ref="L1246">_xlfn.IFS(
 K1246&lt;=50,"≤50",
 AND(K1246&gt;=51,K1246&lt;=100),"51–100",
 AND(K1246&gt;=101,K1246&lt;=250),"101–250",
 AND(K1246&gt;=251,K1246&lt;=500),"251–500",
 AND(K1246&gt;=501,K1246&lt;=1000),"501–1000",
 K1246&gt;=1001,"1001+"
)</f>
        <v>51–100</v>
      </c>
    </row>
    <row r="1247" spans="1:12" x14ac:dyDescent="0.3">
      <c r="A1247" t="s">
        <v>2366</v>
      </c>
      <c r="B1247" t="s">
        <v>9</v>
      </c>
      <c r="C1247" t="s">
        <v>5780</v>
      </c>
      <c r="D1247" t="s">
        <v>1650</v>
      </c>
      <c r="F1247" t="s">
        <v>5770</v>
      </c>
      <c r="J1247" t="s">
        <v>5741</v>
      </c>
      <c r="K1247">
        <v>70</v>
      </c>
      <c r="L1247" t="str" cm="1">
        <f t="array" ref="L1247">_xlfn.IFS(
 K1247&lt;=50,"≤50",
 AND(K1247&gt;=51,K1247&lt;=100),"51–100",
 AND(K1247&gt;=101,K1247&lt;=250),"101–250",
 AND(K1247&gt;=251,K1247&lt;=500),"251–500",
 AND(K1247&gt;=501,K1247&lt;=1000),"501–1000",
 K1247&gt;=1001,"1001+"
)</f>
        <v>51–100</v>
      </c>
    </row>
    <row r="1248" spans="1:12" x14ac:dyDescent="0.3">
      <c r="A1248" t="s">
        <v>2367</v>
      </c>
      <c r="B1248" t="s">
        <v>13</v>
      </c>
      <c r="C1248" t="s">
        <v>5777</v>
      </c>
      <c r="D1248" t="s">
        <v>2368</v>
      </c>
      <c r="E1248" t="s">
        <v>15</v>
      </c>
      <c r="F1248" t="s">
        <v>54</v>
      </c>
      <c r="G1248" t="s">
        <v>2369</v>
      </c>
      <c r="J1248" t="s">
        <v>5737</v>
      </c>
      <c r="K1248">
        <v>70</v>
      </c>
      <c r="L1248" t="str" cm="1">
        <f t="array" ref="L1248">_xlfn.IFS(
 K1248&lt;=50,"≤50",
 AND(K1248&gt;=51,K1248&lt;=100),"51–100",
 AND(K1248&gt;=101,K1248&lt;=250),"101–250",
 AND(K1248&gt;=251,K1248&lt;=500),"251–500",
 AND(K1248&gt;=501,K1248&lt;=1000),"501–1000",
 K1248&gt;=1001,"1001+"
)</f>
        <v>51–100</v>
      </c>
    </row>
    <row r="1249" spans="1:12" x14ac:dyDescent="0.3">
      <c r="A1249" t="s">
        <v>2370</v>
      </c>
      <c r="B1249" t="s">
        <v>9</v>
      </c>
      <c r="C1249" t="s">
        <v>5780</v>
      </c>
      <c r="D1249" t="s">
        <v>129</v>
      </c>
      <c r="F1249" t="s">
        <v>5770</v>
      </c>
      <c r="J1249" t="s">
        <v>5737</v>
      </c>
      <c r="K1249">
        <v>70</v>
      </c>
      <c r="L1249" t="str" cm="1">
        <f t="array" ref="L1249">_xlfn.IFS(
 K1249&lt;=50,"≤50",
 AND(K1249&gt;=51,K1249&lt;=100),"51–100",
 AND(K1249&gt;=101,K1249&lt;=250),"101–250",
 AND(K1249&gt;=251,K1249&lt;=500),"251–500",
 AND(K1249&gt;=501,K1249&lt;=1000),"501–1000",
 K1249&gt;=1001,"1001+"
)</f>
        <v>51–100</v>
      </c>
    </row>
    <row r="1250" spans="1:12" x14ac:dyDescent="0.3">
      <c r="A1250" t="s">
        <v>2371</v>
      </c>
      <c r="B1250" t="s">
        <v>9</v>
      </c>
      <c r="C1250" t="s">
        <v>5780</v>
      </c>
      <c r="D1250" t="s">
        <v>28</v>
      </c>
      <c r="F1250" t="s">
        <v>5770</v>
      </c>
      <c r="J1250" t="s">
        <v>5750</v>
      </c>
      <c r="K1250">
        <v>70</v>
      </c>
      <c r="L1250" t="str" cm="1">
        <f t="array" ref="L1250">_xlfn.IFS(
 K1250&lt;=50,"≤50",
 AND(K1250&gt;=51,K1250&lt;=100),"51–100",
 AND(K1250&gt;=101,K1250&lt;=250),"101–250",
 AND(K1250&gt;=251,K1250&lt;=500),"251–500",
 AND(K1250&gt;=501,K1250&lt;=1000),"501–1000",
 K1250&gt;=1001,"1001+"
)</f>
        <v>51–100</v>
      </c>
    </row>
    <row r="1251" spans="1:12" x14ac:dyDescent="0.3">
      <c r="A1251" t="s">
        <v>2372</v>
      </c>
      <c r="B1251" t="s">
        <v>13</v>
      </c>
      <c r="C1251" t="s">
        <v>5777</v>
      </c>
      <c r="D1251" t="s">
        <v>2373</v>
      </c>
      <c r="E1251" t="s">
        <v>15</v>
      </c>
      <c r="F1251" t="s">
        <v>20</v>
      </c>
      <c r="G1251" t="s">
        <v>21</v>
      </c>
      <c r="J1251" t="s">
        <v>5737</v>
      </c>
      <c r="K1251">
        <v>70</v>
      </c>
      <c r="L1251" t="str" cm="1">
        <f t="array" ref="L1251">_xlfn.IFS(
 K1251&lt;=50,"≤50",
 AND(K1251&gt;=51,K1251&lt;=100),"51–100",
 AND(K1251&gt;=101,K1251&lt;=250),"101–250",
 AND(K1251&gt;=251,K1251&lt;=500),"251–500",
 AND(K1251&gt;=501,K1251&lt;=1000),"501–1000",
 K1251&gt;=1001,"1001+"
)</f>
        <v>51–100</v>
      </c>
    </row>
    <row r="1252" spans="1:12" x14ac:dyDescent="0.3">
      <c r="A1252" t="s">
        <v>2374</v>
      </c>
      <c r="B1252" t="s">
        <v>13</v>
      </c>
      <c r="C1252" t="s">
        <v>5777</v>
      </c>
      <c r="D1252" t="s">
        <v>2375</v>
      </c>
      <c r="F1252" t="s">
        <v>20</v>
      </c>
      <c r="G1252" t="s">
        <v>1423</v>
      </c>
      <c r="J1252" t="s">
        <v>5737</v>
      </c>
      <c r="K1252">
        <v>70</v>
      </c>
      <c r="L1252" t="str" cm="1">
        <f t="array" ref="L1252">_xlfn.IFS(
 K1252&lt;=50,"≤50",
 AND(K1252&gt;=51,K1252&lt;=100),"51–100",
 AND(K1252&gt;=101,K1252&lt;=250),"101–250",
 AND(K1252&gt;=251,K1252&lt;=500),"251–500",
 AND(K1252&gt;=501,K1252&lt;=1000),"501–1000",
 K1252&gt;=1001,"1001+"
)</f>
        <v>51–100</v>
      </c>
    </row>
    <row r="1253" spans="1:12" x14ac:dyDescent="0.3">
      <c r="A1253" t="s">
        <v>2376</v>
      </c>
      <c r="B1253" t="s">
        <v>9</v>
      </c>
      <c r="C1253" t="s">
        <v>5780</v>
      </c>
      <c r="D1253" t="s">
        <v>2377</v>
      </c>
      <c r="E1253" t="s">
        <v>15</v>
      </c>
      <c r="F1253" t="s">
        <v>16</v>
      </c>
      <c r="G1253" t="s">
        <v>45</v>
      </c>
      <c r="J1253" t="s">
        <v>5751</v>
      </c>
      <c r="K1253">
        <v>70</v>
      </c>
      <c r="L1253" t="str" cm="1">
        <f t="array" ref="L1253">_xlfn.IFS(
 K1253&lt;=50,"≤50",
 AND(K1253&gt;=51,K1253&lt;=100),"51–100",
 AND(K1253&gt;=101,K1253&lt;=250),"101–250",
 AND(K1253&gt;=251,K1253&lt;=500),"251–500",
 AND(K1253&gt;=501,K1253&lt;=1000),"501–1000",
 K1253&gt;=1001,"1001+"
)</f>
        <v>51–100</v>
      </c>
    </row>
    <row r="1254" spans="1:12" x14ac:dyDescent="0.3">
      <c r="A1254" t="s">
        <v>2378</v>
      </c>
      <c r="B1254" t="s">
        <v>13</v>
      </c>
      <c r="C1254" t="s">
        <v>5777</v>
      </c>
      <c r="D1254" t="s">
        <v>314</v>
      </c>
      <c r="F1254" t="s">
        <v>5770</v>
      </c>
      <c r="J1254" t="s">
        <v>5737</v>
      </c>
      <c r="K1254">
        <v>70</v>
      </c>
      <c r="L1254" t="str" cm="1">
        <f t="array" ref="L1254">_xlfn.IFS(
 K1254&lt;=50,"≤50",
 AND(K1254&gt;=51,K1254&lt;=100),"51–100",
 AND(K1254&gt;=101,K1254&lt;=250),"101–250",
 AND(K1254&gt;=251,K1254&lt;=500),"251–500",
 AND(K1254&gt;=501,K1254&lt;=1000),"501–1000",
 K1254&gt;=1001,"1001+"
)</f>
        <v>51–100</v>
      </c>
    </row>
    <row r="1255" spans="1:12" x14ac:dyDescent="0.3">
      <c r="A1255" t="s">
        <v>2379</v>
      </c>
      <c r="B1255" t="s">
        <v>11</v>
      </c>
      <c r="C1255" t="s">
        <v>5776</v>
      </c>
      <c r="F1255" t="s">
        <v>5770</v>
      </c>
      <c r="J1255" t="s">
        <v>5737</v>
      </c>
      <c r="K1255">
        <v>70</v>
      </c>
      <c r="L1255" t="str" cm="1">
        <f t="array" ref="L1255">_xlfn.IFS(
 K1255&lt;=50,"≤50",
 AND(K1255&gt;=51,K1255&lt;=100),"51–100",
 AND(K1255&gt;=101,K1255&lt;=250),"101–250",
 AND(K1255&gt;=251,K1255&lt;=500),"251–500",
 AND(K1255&gt;=501,K1255&lt;=1000),"501–1000",
 K1255&gt;=1001,"1001+"
)</f>
        <v>51–100</v>
      </c>
    </row>
    <row r="1256" spans="1:12" x14ac:dyDescent="0.3">
      <c r="A1256" t="s">
        <v>2380</v>
      </c>
      <c r="B1256" t="s">
        <v>11</v>
      </c>
      <c r="C1256" t="s">
        <v>5776</v>
      </c>
      <c r="F1256" t="s">
        <v>5770</v>
      </c>
      <c r="J1256" t="s">
        <v>5751</v>
      </c>
      <c r="K1256">
        <v>70</v>
      </c>
      <c r="L1256" t="str" cm="1">
        <f t="array" ref="L1256">_xlfn.IFS(
 K1256&lt;=50,"≤50",
 AND(K1256&gt;=51,K1256&lt;=100),"51–100",
 AND(K1256&gt;=101,K1256&lt;=250),"101–250",
 AND(K1256&gt;=251,K1256&lt;=500),"251–500",
 AND(K1256&gt;=501,K1256&lt;=1000),"501–1000",
 K1256&gt;=1001,"1001+"
)</f>
        <v>51–100</v>
      </c>
    </row>
    <row r="1257" spans="1:12" x14ac:dyDescent="0.3">
      <c r="A1257" t="s">
        <v>2381</v>
      </c>
      <c r="B1257" t="s">
        <v>11</v>
      </c>
      <c r="C1257" t="s">
        <v>5776</v>
      </c>
      <c r="F1257" t="s">
        <v>5770</v>
      </c>
      <c r="J1257" t="s">
        <v>5741</v>
      </c>
      <c r="K1257">
        <v>70</v>
      </c>
      <c r="L1257" t="str" cm="1">
        <f t="array" ref="L1257">_xlfn.IFS(
 K1257&lt;=50,"≤50",
 AND(K1257&gt;=51,K1257&lt;=100),"51–100",
 AND(K1257&gt;=101,K1257&lt;=250),"101–250",
 AND(K1257&gt;=251,K1257&lt;=500),"251–500",
 AND(K1257&gt;=501,K1257&lt;=1000),"501–1000",
 K1257&gt;=1001,"1001+"
)</f>
        <v>51–100</v>
      </c>
    </row>
    <row r="1258" spans="1:12" x14ac:dyDescent="0.3">
      <c r="A1258" t="s">
        <v>2382</v>
      </c>
      <c r="B1258" t="s">
        <v>11</v>
      </c>
      <c r="C1258" t="s">
        <v>5776</v>
      </c>
      <c r="F1258" t="s">
        <v>5770</v>
      </c>
      <c r="J1258" t="s">
        <v>5741</v>
      </c>
      <c r="K1258">
        <v>70</v>
      </c>
      <c r="L1258" t="str" cm="1">
        <f t="array" ref="L1258">_xlfn.IFS(
 K1258&lt;=50,"≤50",
 AND(K1258&gt;=51,K1258&lt;=100),"51–100",
 AND(K1258&gt;=101,K1258&lt;=250),"101–250",
 AND(K1258&gt;=251,K1258&lt;=500),"251–500",
 AND(K1258&gt;=501,K1258&lt;=1000),"501–1000",
 K1258&gt;=1001,"1001+"
)</f>
        <v>51–100</v>
      </c>
    </row>
    <row r="1259" spans="1:12" x14ac:dyDescent="0.3">
      <c r="A1259" t="s">
        <v>2383</v>
      </c>
      <c r="B1259" t="s">
        <v>9</v>
      </c>
      <c r="C1259" t="s">
        <v>5780</v>
      </c>
      <c r="D1259" t="s">
        <v>28</v>
      </c>
      <c r="F1259" t="s">
        <v>5770</v>
      </c>
      <c r="J1259" t="s">
        <v>5740</v>
      </c>
      <c r="K1259">
        <v>70</v>
      </c>
      <c r="L1259" t="str" cm="1">
        <f t="array" ref="L1259">_xlfn.IFS(
 K1259&lt;=50,"≤50",
 AND(K1259&gt;=51,K1259&lt;=100),"51–100",
 AND(K1259&gt;=101,K1259&lt;=250),"101–250",
 AND(K1259&gt;=251,K1259&lt;=500),"251–500",
 AND(K1259&gt;=501,K1259&lt;=1000),"501–1000",
 K1259&gt;=1001,"1001+"
)</f>
        <v>51–100</v>
      </c>
    </row>
    <row r="1260" spans="1:12" x14ac:dyDescent="0.3">
      <c r="A1260" t="s">
        <v>2384</v>
      </c>
      <c r="B1260" t="s">
        <v>9</v>
      </c>
      <c r="C1260" t="s">
        <v>5780</v>
      </c>
      <c r="D1260" t="s">
        <v>28</v>
      </c>
      <c r="F1260" t="s">
        <v>5770</v>
      </c>
      <c r="J1260" t="s">
        <v>5737</v>
      </c>
      <c r="K1260">
        <v>70</v>
      </c>
      <c r="L1260" t="str" cm="1">
        <f t="array" ref="L1260">_xlfn.IFS(
 K1260&lt;=50,"≤50",
 AND(K1260&gt;=51,K1260&lt;=100),"51–100",
 AND(K1260&gt;=101,K1260&lt;=250),"101–250",
 AND(K1260&gt;=251,K1260&lt;=500),"251–500",
 AND(K1260&gt;=501,K1260&lt;=1000),"501–1000",
 K1260&gt;=1001,"1001+"
)</f>
        <v>51–100</v>
      </c>
    </row>
    <row r="1261" spans="1:12" x14ac:dyDescent="0.3">
      <c r="A1261" t="s">
        <v>2385</v>
      </c>
      <c r="B1261" t="s">
        <v>9</v>
      </c>
      <c r="C1261" t="s">
        <v>5780</v>
      </c>
      <c r="D1261" t="s">
        <v>2386</v>
      </c>
      <c r="E1261" t="s">
        <v>15</v>
      </c>
      <c r="F1261" t="s">
        <v>16</v>
      </c>
      <c r="G1261" t="s">
        <v>88</v>
      </c>
      <c r="J1261" t="s">
        <v>5744</v>
      </c>
      <c r="K1261">
        <v>70</v>
      </c>
      <c r="L1261" t="str" cm="1">
        <f t="array" ref="L1261">_xlfn.IFS(
 K1261&lt;=50,"≤50",
 AND(K1261&gt;=51,K1261&lt;=100),"51–100",
 AND(K1261&gt;=101,K1261&lt;=250),"101–250",
 AND(K1261&gt;=251,K1261&lt;=500),"251–500",
 AND(K1261&gt;=501,K1261&lt;=1000),"501–1000",
 K1261&gt;=1001,"1001+"
)</f>
        <v>51–100</v>
      </c>
    </row>
    <row r="1262" spans="1:12" x14ac:dyDescent="0.3">
      <c r="A1262" t="s">
        <v>2387</v>
      </c>
      <c r="B1262" t="s">
        <v>13</v>
      </c>
      <c r="C1262" t="s">
        <v>5777</v>
      </c>
      <c r="D1262" t="s">
        <v>2388</v>
      </c>
      <c r="F1262" t="s">
        <v>5770</v>
      </c>
      <c r="J1262" t="s">
        <v>5751</v>
      </c>
      <c r="K1262">
        <v>70</v>
      </c>
      <c r="L1262" t="str" cm="1">
        <f t="array" ref="L1262">_xlfn.IFS(
 K1262&lt;=50,"≤50",
 AND(K1262&gt;=51,K1262&lt;=100),"51–100",
 AND(K1262&gt;=101,K1262&lt;=250),"101–250",
 AND(K1262&gt;=251,K1262&lt;=500),"251–500",
 AND(K1262&gt;=501,K1262&lt;=1000),"501–1000",
 K1262&gt;=1001,"1001+"
)</f>
        <v>51–100</v>
      </c>
    </row>
    <row r="1263" spans="1:12" x14ac:dyDescent="0.3">
      <c r="A1263" t="s">
        <v>2389</v>
      </c>
      <c r="B1263" t="s">
        <v>9</v>
      </c>
      <c r="C1263" t="s">
        <v>5780</v>
      </c>
      <c r="D1263" t="s">
        <v>2390</v>
      </c>
      <c r="F1263" t="s">
        <v>5770</v>
      </c>
      <c r="J1263" t="s">
        <v>5754</v>
      </c>
      <c r="K1263">
        <v>70</v>
      </c>
      <c r="L1263" t="str" cm="1">
        <f t="array" ref="L1263">_xlfn.IFS(
 K1263&lt;=50,"≤50",
 AND(K1263&gt;=51,K1263&lt;=100),"51–100",
 AND(K1263&gt;=101,K1263&lt;=250),"101–250",
 AND(K1263&gt;=251,K1263&lt;=500),"251–500",
 AND(K1263&gt;=501,K1263&lt;=1000),"501–1000",
 K1263&gt;=1001,"1001+"
)</f>
        <v>51–100</v>
      </c>
    </row>
    <row r="1264" spans="1:12" x14ac:dyDescent="0.3">
      <c r="A1264" t="s">
        <v>2391</v>
      </c>
      <c r="B1264" t="s">
        <v>13</v>
      </c>
      <c r="C1264" t="s">
        <v>5777</v>
      </c>
      <c r="D1264" t="s">
        <v>2392</v>
      </c>
      <c r="E1264" t="s">
        <v>15</v>
      </c>
      <c r="F1264" t="s">
        <v>54</v>
      </c>
      <c r="G1264" t="s">
        <v>2393</v>
      </c>
      <c r="J1264" t="s">
        <v>5737</v>
      </c>
      <c r="K1264">
        <v>70</v>
      </c>
      <c r="L1264" t="str" cm="1">
        <f t="array" ref="L1264">_xlfn.IFS(
 K1264&lt;=50,"≤50",
 AND(K1264&gt;=51,K1264&lt;=100),"51–100",
 AND(K1264&gt;=101,K1264&lt;=250),"101–250",
 AND(K1264&gt;=251,K1264&lt;=500),"251–500",
 AND(K1264&gt;=501,K1264&lt;=1000),"501–1000",
 K1264&gt;=1001,"1001+"
)</f>
        <v>51–100</v>
      </c>
    </row>
    <row r="1265" spans="1:12" x14ac:dyDescent="0.3">
      <c r="A1265" t="s">
        <v>2394</v>
      </c>
      <c r="B1265" t="s">
        <v>9</v>
      </c>
      <c r="C1265" t="s">
        <v>5780</v>
      </c>
      <c r="D1265" t="s">
        <v>2395</v>
      </c>
      <c r="E1265" t="s">
        <v>15</v>
      </c>
      <c r="F1265" t="s">
        <v>20</v>
      </c>
      <c r="G1265" t="s">
        <v>2396</v>
      </c>
      <c r="J1265" t="s">
        <v>5746</v>
      </c>
      <c r="K1265">
        <v>70</v>
      </c>
      <c r="L1265" t="str" cm="1">
        <f t="array" ref="L1265">_xlfn.IFS(
 K1265&lt;=50,"≤50",
 AND(K1265&gt;=51,K1265&lt;=100),"51–100",
 AND(K1265&gt;=101,K1265&lt;=250),"101–250",
 AND(K1265&gt;=251,K1265&lt;=500),"251–500",
 AND(K1265&gt;=501,K1265&lt;=1000),"501–1000",
 K1265&gt;=1001,"1001+"
)</f>
        <v>51–100</v>
      </c>
    </row>
    <row r="1266" spans="1:12" x14ac:dyDescent="0.3">
      <c r="A1266" t="s">
        <v>2397</v>
      </c>
      <c r="B1266" t="s">
        <v>197</v>
      </c>
      <c r="C1266" t="s">
        <v>5774</v>
      </c>
      <c r="D1266" t="s">
        <v>2398</v>
      </c>
      <c r="E1266" t="s">
        <v>15</v>
      </c>
      <c r="F1266" t="s">
        <v>54</v>
      </c>
      <c r="G1266" t="s">
        <v>2399</v>
      </c>
      <c r="H1266" t="s">
        <v>15</v>
      </c>
      <c r="I1266" t="s">
        <v>2400</v>
      </c>
      <c r="J1266" t="s">
        <v>5738</v>
      </c>
      <c r="K1266">
        <v>70</v>
      </c>
      <c r="L1266" t="str" cm="1">
        <f t="array" ref="L1266">_xlfn.IFS(
 K1266&lt;=50,"≤50",
 AND(K1266&gt;=51,K1266&lt;=100),"51–100",
 AND(K1266&gt;=101,K1266&lt;=250),"101–250",
 AND(K1266&gt;=251,K1266&lt;=500),"251–500",
 AND(K1266&gt;=501,K1266&lt;=1000),"501–1000",
 K1266&gt;=1001,"1001+"
)</f>
        <v>51–100</v>
      </c>
    </row>
    <row r="1267" spans="1:12" x14ac:dyDescent="0.3">
      <c r="A1267" t="s">
        <v>2401</v>
      </c>
      <c r="B1267" t="s">
        <v>9</v>
      </c>
      <c r="C1267" t="s">
        <v>5780</v>
      </c>
      <c r="D1267" t="s">
        <v>2402</v>
      </c>
      <c r="E1267" t="s">
        <v>15</v>
      </c>
      <c r="F1267" t="s">
        <v>54</v>
      </c>
      <c r="G1267" t="s">
        <v>2403</v>
      </c>
      <c r="J1267" t="s">
        <v>5737</v>
      </c>
      <c r="K1267">
        <v>70</v>
      </c>
      <c r="L1267" t="str" cm="1">
        <f t="array" ref="L1267">_xlfn.IFS(
 K1267&lt;=50,"≤50",
 AND(K1267&gt;=51,K1267&lt;=100),"51–100",
 AND(K1267&gt;=101,K1267&lt;=250),"101–250",
 AND(K1267&gt;=251,K1267&lt;=500),"251–500",
 AND(K1267&gt;=501,K1267&lt;=1000),"501–1000",
 K1267&gt;=1001,"1001+"
)</f>
        <v>51–100</v>
      </c>
    </row>
    <row r="1268" spans="1:12" x14ac:dyDescent="0.3">
      <c r="A1268" t="s">
        <v>2404</v>
      </c>
      <c r="B1268" t="s">
        <v>9</v>
      </c>
      <c r="C1268" t="s">
        <v>5780</v>
      </c>
      <c r="D1268" t="s">
        <v>28</v>
      </c>
      <c r="F1268" t="s">
        <v>5770</v>
      </c>
      <c r="J1268" t="s">
        <v>5737</v>
      </c>
      <c r="K1268">
        <v>70</v>
      </c>
      <c r="L1268" t="str" cm="1">
        <f t="array" ref="L1268">_xlfn.IFS(
 K1268&lt;=50,"≤50",
 AND(K1268&gt;=51,K1268&lt;=100),"51–100",
 AND(K1268&gt;=101,K1268&lt;=250),"101–250",
 AND(K1268&gt;=251,K1268&lt;=500),"251–500",
 AND(K1268&gt;=501,K1268&lt;=1000),"501–1000",
 K1268&gt;=1001,"1001+"
)</f>
        <v>51–100</v>
      </c>
    </row>
    <row r="1269" spans="1:12" x14ac:dyDescent="0.3">
      <c r="A1269" t="s">
        <v>2405</v>
      </c>
      <c r="B1269" t="s">
        <v>13</v>
      </c>
      <c r="C1269" t="s">
        <v>5777</v>
      </c>
      <c r="D1269" t="s">
        <v>2406</v>
      </c>
      <c r="E1269" t="s">
        <v>15</v>
      </c>
      <c r="F1269" t="s">
        <v>16</v>
      </c>
      <c r="G1269" t="s">
        <v>2407</v>
      </c>
      <c r="J1269" t="s">
        <v>5744</v>
      </c>
      <c r="K1269">
        <v>70</v>
      </c>
      <c r="L1269" t="str" cm="1">
        <f t="array" ref="L1269">_xlfn.IFS(
 K1269&lt;=50,"≤50",
 AND(K1269&gt;=51,K1269&lt;=100),"51–100",
 AND(K1269&gt;=101,K1269&lt;=250),"101–250",
 AND(K1269&gt;=251,K1269&lt;=500),"251–500",
 AND(K1269&gt;=501,K1269&lt;=1000),"501–1000",
 K1269&gt;=1001,"1001+"
)</f>
        <v>51–100</v>
      </c>
    </row>
    <row r="1270" spans="1:12" x14ac:dyDescent="0.3">
      <c r="A1270" t="s">
        <v>2408</v>
      </c>
      <c r="B1270" t="s">
        <v>9</v>
      </c>
      <c r="C1270" t="s">
        <v>5780</v>
      </c>
      <c r="D1270" t="s">
        <v>1640</v>
      </c>
      <c r="F1270" t="s">
        <v>5770</v>
      </c>
      <c r="J1270" t="s">
        <v>5740</v>
      </c>
      <c r="K1270">
        <v>70</v>
      </c>
      <c r="L1270" t="str" cm="1">
        <f t="array" ref="L1270">_xlfn.IFS(
 K1270&lt;=50,"≤50",
 AND(K1270&gt;=51,K1270&lt;=100),"51–100",
 AND(K1270&gt;=101,K1270&lt;=250),"101–250",
 AND(K1270&gt;=251,K1270&lt;=500),"251–500",
 AND(K1270&gt;=501,K1270&lt;=1000),"501–1000",
 K1270&gt;=1001,"1001+"
)</f>
        <v>51–100</v>
      </c>
    </row>
    <row r="1271" spans="1:12" x14ac:dyDescent="0.3">
      <c r="A1271" t="s">
        <v>2409</v>
      </c>
      <c r="B1271" t="s">
        <v>13</v>
      </c>
      <c r="C1271" t="s">
        <v>5777</v>
      </c>
      <c r="D1271" t="s">
        <v>771</v>
      </c>
      <c r="E1271" t="s">
        <v>15</v>
      </c>
      <c r="F1271" t="s">
        <v>5770</v>
      </c>
      <c r="J1271" t="s">
        <v>5745</v>
      </c>
      <c r="K1271">
        <v>70</v>
      </c>
      <c r="L1271" t="str" cm="1">
        <f t="array" ref="L1271">_xlfn.IFS(
 K1271&lt;=50,"≤50",
 AND(K1271&gt;=51,K1271&lt;=100),"51–100",
 AND(K1271&gt;=101,K1271&lt;=250),"101–250",
 AND(K1271&gt;=251,K1271&lt;=500),"251–500",
 AND(K1271&gt;=501,K1271&lt;=1000),"501–1000",
 K1271&gt;=1001,"1001+"
)</f>
        <v>51–100</v>
      </c>
    </row>
    <row r="1272" spans="1:12" x14ac:dyDescent="0.3">
      <c r="A1272" t="s">
        <v>2410</v>
      </c>
      <c r="B1272" t="s">
        <v>13</v>
      </c>
      <c r="C1272" t="s">
        <v>5777</v>
      </c>
      <c r="D1272" t="s">
        <v>2411</v>
      </c>
      <c r="E1272" t="s">
        <v>15</v>
      </c>
      <c r="F1272" t="s">
        <v>20</v>
      </c>
      <c r="G1272" t="s">
        <v>2412</v>
      </c>
      <c r="J1272" t="s">
        <v>5737</v>
      </c>
      <c r="K1272">
        <v>70</v>
      </c>
      <c r="L1272" t="str" cm="1">
        <f t="array" ref="L1272">_xlfn.IFS(
 K1272&lt;=50,"≤50",
 AND(K1272&gt;=51,K1272&lt;=100),"51–100",
 AND(K1272&gt;=101,K1272&lt;=250),"101–250",
 AND(K1272&gt;=251,K1272&lt;=500),"251–500",
 AND(K1272&gt;=501,K1272&lt;=1000),"501–1000",
 K1272&gt;=1001,"1001+"
)</f>
        <v>51–100</v>
      </c>
    </row>
    <row r="1273" spans="1:12" x14ac:dyDescent="0.3">
      <c r="A1273" t="s">
        <v>2413</v>
      </c>
      <c r="B1273" t="s">
        <v>9</v>
      </c>
      <c r="C1273" t="s">
        <v>5780</v>
      </c>
      <c r="D1273" t="s">
        <v>2414</v>
      </c>
      <c r="E1273" t="s">
        <v>15</v>
      </c>
      <c r="F1273" t="s">
        <v>54</v>
      </c>
      <c r="G1273" t="s">
        <v>2415</v>
      </c>
      <c r="J1273" t="s">
        <v>5737</v>
      </c>
      <c r="K1273">
        <v>70</v>
      </c>
      <c r="L1273" t="str" cm="1">
        <f t="array" ref="L1273">_xlfn.IFS(
 K1273&lt;=50,"≤50",
 AND(K1273&gt;=51,K1273&lt;=100),"51–100",
 AND(K1273&gt;=101,K1273&lt;=250),"101–250",
 AND(K1273&gt;=251,K1273&lt;=500),"251–500",
 AND(K1273&gt;=501,K1273&lt;=1000),"501–1000",
 K1273&gt;=1001,"1001+"
)</f>
        <v>51–100</v>
      </c>
    </row>
    <row r="1274" spans="1:12" x14ac:dyDescent="0.3">
      <c r="A1274" t="s">
        <v>2416</v>
      </c>
      <c r="B1274" t="s">
        <v>9</v>
      </c>
      <c r="C1274" t="s">
        <v>5780</v>
      </c>
      <c r="D1274" t="s">
        <v>2417</v>
      </c>
      <c r="F1274" t="s">
        <v>54</v>
      </c>
      <c r="G1274" t="s">
        <v>2418</v>
      </c>
      <c r="J1274" t="s">
        <v>5737</v>
      </c>
      <c r="K1274">
        <v>70</v>
      </c>
      <c r="L1274" t="str" cm="1">
        <f t="array" ref="L1274">_xlfn.IFS(
 K1274&lt;=50,"≤50",
 AND(K1274&gt;=51,K1274&lt;=100),"51–100",
 AND(K1274&gt;=101,K1274&lt;=250),"101–250",
 AND(K1274&gt;=251,K1274&lt;=500),"251–500",
 AND(K1274&gt;=501,K1274&lt;=1000),"501–1000",
 K1274&gt;=1001,"1001+"
)</f>
        <v>51–100</v>
      </c>
    </row>
    <row r="1275" spans="1:12" x14ac:dyDescent="0.3">
      <c r="A1275" t="s">
        <v>2419</v>
      </c>
      <c r="B1275" t="s">
        <v>13</v>
      </c>
      <c r="C1275" t="s">
        <v>5777</v>
      </c>
      <c r="D1275" t="s">
        <v>231</v>
      </c>
      <c r="F1275" t="s">
        <v>5770</v>
      </c>
      <c r="J1275" t="s">
        <v>5749</v>
      </c>
      <c r="K1275">
        <v>70</v>
      </c>
      <c r="L1275" t="str" cm="1">
        <f t="array" ref="L1275">_xlfn.IFS(
 K1275&lt;=50,"≤50",
 AND(K1275&gt;=51,K1275&lt;=100),"51–100",
 AND(K1275&gt;=101,K1275&lt;=250),"101–250",
 AND(K1275&gt;=251,K1275&lt;=500),"251–500",
 AND(K1275&gt;=501,K1275&lt;=1000),"501–1000",
 K1275&gt;=1001,"1001+"
)</f>
        <v>51–100</v>
      </c>
    </row>
    <row r="1276" spans="1:12" x14ac:dyDescent="0.3">
      <c r="A1276" t="s">
        <v>2420</v>
      </c>
      <c r="B1276" t="s">
        <v>9</v>
      </c>
      <c r="C1276" t="s">
        <v>5780</v>
      </c>
      <c r="D1276" t="s">
        <v>28</v>
      </c>
      <c r="E1276" t="s">
        <v>15</v>
      </c>
      <c r="F1276" t="s">
        <v>20</v>
      </c>
      <c r="G1276" t="s">
        <v>21</v>
      </c>
      <c r="J1276" t="s">
        <v>5739</v>
      </c>
      <c r="K1276">
        <v>70</v>
      </c>
      <c r="L1276" t="str" cm="1">
        <f t="array" ref="L1276">_xlfn.IFS(
 K1276&lt;=50,"≤50",
 AND(K1276&gt;=51,K1276&lt;=100),"51–100",
 AND(K1276&gt;=101,K1276&lt;=250),"101–250",
 AND(K1276&gt;=251,K1276&lt;=500),"251–500",
 AND(K1276&gt;=501,K1276&lt;=1000),"501–1000",
 K1276&gt;=1001,"1001+"
)</f>
        <v>51–100</v>
      </c>
    </row>
    <row r="1277" spans="1:12" x14ac:dyDescent="0.3">
      <c r="A1277" t="s">
        <v>2421</v>
      </c>
      <c r="B1277" t="s">
        <v>11</v>
      </c>
      <c r="C1277" t="s">
        <v>5776</v>
      </c>
      <c r="F1277" t="s">
        <v>5770</v>
      </c>
      <c r="J1277" t="s">
        <v>5740</v>
      </c>
      <c r="K1277">
        <v>70</v>
      </c>
      <c r="L1277" t="str" cm="1">
        <f t="array" ref="L1277">_xlfn.IFS(
 K1277&lt;=50,"≤50",
 AND(K1277&gt;=51,K1277&lt;=100),"51–100",
 AND(K1277&gt;=101,K1277&lt;=250),"101–250",
 AND(K1277&gt;=251,K1277&lt;=500),"251–500",
 AND(K1277&gt;=501,K1277&lt;=1000),"501–1000",
 K1277&gt;=1001,"1001+"
)</f>
        <v>51–100</v>
      </c>
    </row>
    <row r="1278" spans="1:12" x14ac:dyDescent="0.3">
      <c r="A1278" t="s">
        <v>2422</v>
      </c>
      <c r="B1278" t="s">
        <v>13</v>
      </c>
      <c r="C1278" t="s">
        <v>5777</v>
      </c>
      <c r="D1278" t="s">
        <v>2423</v>
      </c>
      <c r="F1278" t="s">
        <v>20</v>
      </c>
      <c r="G1278" t="s">
        <v>2424</v>
      </c>
      <c r="J1278" t="s">
        <v>5738</v>
      </c>
      <c r="K1278">
        <v>70</v>
      </c>
      <c r="L1278" t="str" cm="1">
        <f t="array" ref="L1278">_xlfn.IFS(
 K1278&lt;=50,"≤50",
 AND(K1278&gt;=51,K1278&lt;=100),"51–100",
 AND(K1278&gt;=101,K1278&lt;=250),"101–250",
 AND(K1278&gt;=251,K1278&lt;=500),"251–500",
 AND(K1278&gt;=501,K1278&lt;=1000),"501–1000",
 K1278&gt;=1001,"1001+"
)</f>
        <v>51–100</v>
      </c>
    </row>
    <row r="1279" spans="1:12" x14ac:dyDescent="0.3">
      <c r="A1279" t="s">
        <v>2425</v>
      </c>
      <c r="B1279" t="s">
        <v>9</v>
      </c>
      <c r="C1279" t="s">
        <v>5780</v>
      </c>
      <c r="D1279" t="s">
        <v>2426</v>
      </c>
      <c r="E1279" t="s">
        <v>15</v>
      </c>
      <c r="F1279" t="s">
        <v>54</v>
      </c>
      <c r="G1279" t="s">
        <v>2427</v>
      </c>
      <c r="J1279" t="s">
        <v>5739</v>
      </c>
      <c r="K1279">
        <v>70</v>
      </c>
      <c r="L1279" t="str" cm="1">
        <f t="array" ref="L1279">_xlfn.IFS(
 K1279&lt;=50,"≤50",
 AND(K1279&gt;=51,K1279&lt;=100),"51–100",
 AND(K1279&gt;=101,K1279&lt;=250),"101–250",
 AND(K1279&gt;=251,K1279&lt;=500),"251–500",
 AND(K1279&gt;=501,K1279&lt;=1000),"501–1000",
 K1279&gt;=1001,"1001+"
)</f>
        <v>51–100</v>
      </c>
    </row>
    <row r="1280" spans="1:12" x14ac:dyDescent="0.3">
      <c r="A1280" t="s">
        <v>2428</v>
      </c>
      <c r="B1280" t="s">
        <v>9</v>
      </c>
      <c r="C1280" t="s">
        <v>5780</v>
      </c>
      <c r="D1280" t="s">
        <v>2429</v>
      </c>
      <c r="F1280" t="s">
        <v>20</v>
      </c>
      <c r="G1280" t="s">
        <v>135</v>
      </c>
      <c r="J1280" t="s">
        <v>5753</v>
      </c>
      <c r="K1280">
        <v>70</v>
      </c>
      <c r="L1280" t="str" cm="1">
        <f t="array" ref="L1280">_xlfn.IFS(
 K1280&lt;=50,"≤50",
 AND(K1280&gt;=51,K1280&lt;=100),"51–100",
 AND(K1280&gt;=101,K1280&lt;=250),"101–250",
 AND(K1280&gt;=251,K1280&lt;=500),"251–500",
 AND(K1280&gt;=501,K1280&lt;=1000),"501–1000",
 K1280&gt;=1001,"1001+"
)</f>
        <v>51–100</v>
      </c>
    </row>
    <row r="1281" spans="1:12" x14ac:dyDescent="0.3">
      <c r="A1281" t="s">
        <v>2430</v>
      </c>
      <c r="B1281" t="s">
        <v>11</v>
      </c>
      <c r="C1281" t="s">
        <v>5776</v>
      </c>
      <c r="F1281" t="s">
        <v>5770</v>
      </c>
      <c r="J1281" t="s">
        <v>5737</v>
      </c>
      <c r="K1281">
        <v>70</v>
      </c>
      <c r="L1281" t="str" cm="1">
        <f t="array" ref="L1281">_xlfn.IFS(
 K1281&lt;=50,"≤50",
 AND(K1281&gt;=51,K1281&lt;=100),"51–100",
 AND(K1281&gt;=101,K1281&lt;=250),"101–250",
 AND(K1281&gt;=251,K1281&lt;=500),"251–500",
 AND(K1281&gt;=501,K1281&lt;=1000),"501–1000",
 K1281&gt;=1001,"1001+"
)</f>
        <v>51–100</v>
      </c>
    </row>
    <row r="1282" spans="1:12" x14ac:dyDescent="0.3">
      <c r="A1282" t="s">
        <v>2431</v>
      </c>
      <c r="B1282" t="s">
        <v>9</v>
      </c>
      <c r="C1282" t="s">
        <v>5780</v>
      </c>
      <c r="D1282" t="s">
        <v>2432</v>
      </c>
      <c r="E1282" t="s">
        <v>15</v>
      </c>
      <c r="F1282" t="s">
        <v>20</v>
      </c>
      <c r="G1282" t="s">
        <v>2433</v>
      </c>
      <c r="J1282" t="s">
        <v>5738</v>
      </c>
      <c r="K1282">
        <v>70</v>
      </c>
      <c r="L1282" t="str" cm="1">
        <f t="array" ref="L1282">_xlfn.IFS(
 K1282&lt;=50,"≤50",
 AND(K1282&gt;=51,K1282&lt;=100),"51–100",
 AND(K1282&gt;=101,K1282&lt;=250),"101–250",
 AND(K1282&gt;=251,K1282&lt;=500),"251–500",
 AND(K1282&gt;=501,K1282&lt;=1000),"501–1000",
 K1282&gt;=1001,"1001+"
)</f>
        <v>51–100</v>
      </c>
    </row>
    <row r="1283" spans="1:12" x14ac:dyDescent="0.3">
      <c r="A1283" t="s">
        <v>2434</v>
      </c>
      <c r="B1283" t="s">
        <v>9</v>
      </c>
      <c r="C1283" t="s">
        <v>5780</v>
      </c>
      <c r="D1283" t="s">
        <v>2435</v>
      </c>
      <c r="E1283" t="s">
        <v>15</v>
      </c>
      <c r="F1283" t="s">
        <v>54</v>
      </c>
      <c r="G1283" t="s">
        <v>1419</v>
      </c>
      <c r="J1283" t="s">
        <v>5748</v>
      </c>
      <c r="K1283">
        <v>70</v>
      </c>
      <c r="L1283" t="str" cm="1">
        <f t="array" ref="L1283">_xlfn.IFS(
 K1283&lt;=50,"≤50",
 AND(K1283&gt;=51,K1283&lt;=100),"51–100",
 AND(K1283&gt;=101,K1283&lt;=250),"101–250",
 AND(K1283&gt;=251,K1283&lt;=500),"251–500",
 AND(K1283&gt;=501,K1283&lt;=1000),"501–1000",
 K1283&gt;=1001,"1001+"
)</f>
        <v>51–100</v>
      </c>
    </row>
    <row r="1284" spans="1:12" x14ac:dyDescent="0.3">
      <c r="A1284" t="s">
        <v>2436</v>
      </c>
      <c r="B1284" t="s">
        <v>9</v>
      </c>
      <c r="C1284" t="s">
        <v>5780</v>
      </c>
      <c r="D1284" t="s">
        <v>2437</v>
      </c>
      <c r="F1284" t="s">
        <v>5770</v>
      </c>
      <c r="J1284" t="s">
        <v>5748</v>
      </c>
      <c r="K1284">
        <v>70</v>
      </c>
      <c r="L1284" t="str" cm="1">
        <f t="array" ref="L1284">_xlfn.IFS(
 K1284&lt;=50,"≤50",
 AND(K1284&gt;=51,K1284&lt;=100),"51–100",
 AND(K1284&gt;=101,K1284&lt;=250),"101–250",
 AND(K1284&gt;=251,K1284&lt;=500),"251–500",
 AND(K1284&gt;=501,K1284&lt;=1000),"501–1000",
 K1284&gt;=1001,"1001+"
)</f>
        <v>51–100</v>
      </c>
    </row>
    <row r="1285" spans="1:12" x14ac:dyDescent="0.3">
      <c r="A1285" t="s">
        <v>2438</v>
      </c>
      <c r="B1285" t="s">
        <v>9</v>
      </c>
      <c r="C1285" t="s">
        <v>5780</v>
      </c>
      <c r="D1285" t="s">
        <v>28</v>
      </c>
      <c r="F1285" t="s">
        <v>5770</v>
      </c>
      <c r="J1285" t="s">
        <v>5738</v>
      </c>
      <c r="K1285">
        <v>70</v>
      </c>
      <c r="L1285" t="str" cm="1">
        <f t="array" ref="L1285">_xlfn.IFS(
 K1285&lt;=50,"≤50",
 AND(K1285&gt;=51,K1285&lt;=100),"51–100",
 AND(K1285&gt;=101,K1285&lt;=250),"101–250",
 AND(K1285&gt;=251,K1285&lt;=500),"251–500",
 AND(K1285&gt;=501,K1285&lt;=1000),"501–1000",
 K1285&gt;=1001,"1001+"
)</f>
        <v>51–100</v>
      </c>
    </row>
    <row r="1286" spans="1:12" x14ac:dyDescent="0.3">
      <c r="A1286" t="s">
        <v>2439</v>
      </c>
      <c r="B1286" t="s">
        <v>11</v>
      </c>
      <c r="C1286" t="s">
        <v>5776</v>
      </c>
      <c r="F1286" t="s">
        <v>5770</v>
      </c>
      <c r="J1286" t="s">
        <v>5738</v>
      </c>
      <c r="K1286">
        <v>70</v>
      </c>
      <c r="L1286" t="str" cm="1">
        <f t="array" ref="L1286">_xlfn.IFS(
 K1286&lt;=50,"≤50",
 AND(K1286&gt;=51,K1286&lt;=100),"51–100",
 AND(K1286&gt;=101,K1286&lt;=250),"101–250",
 AND(K1286&gt;=251,K1286&lt;=500),"251–500",
 AND(K1286&gt;=501,K1286&lt;=1000),"501–1000",
 K1286&gt;=1001,"1001+"
)</f>
        <v>51–100</v>
      </c>
    </row>
    <row r="1287" spans="1:12" x14ac:dyDescent="0.3">
      <c r="A1287" t="s">
        <v>2440</v>
      </c>
      <c r="B1287" t="s">
        <v>11</v>
      </c>
      <c r="C1287" t="s">
        <v>5776</v>
      </c>
      <c r="F1287" t="s">
        <v>5770</v>
      </c>
      <c r="J1287" t="s">
        <v>5737</v>
      </c>
      <c r="K1287">
        <v>70</v>
      </c>
      <c r="L1287" t="str" cm="1">
        <f t="array" ref="L1287">_xlfn.IFS(
 K1287&lt;=50,"≤50",
 AND(K1287&gt;=51,K1287&lt;=100),"51–100",
 AND(K1287&gt;=101,K1287&lt;=250),"101–250",
 AND(K1287&gt;=251,K1287&lt;=500),"251–500",
 AND(K1287&gt;=501,K1287&lt;=1000),"501–1000",
 K1287&gt;=1001,"1001+"
)</f>
        <v>51–100</v>
      </c>
    </row>
    <row r="1288" spans="1:12" x14ac:dyDescent="0.3">
      <c r="A1288" t="s">
        <v>2441</v>
      </c>
      <c r="B1288" t="s">
        <v>197</v>
      </c>
      <c r="C1288" t="s">
        <v>5774</v>
      </c>
      <c r="D1288" t="s">
        <v>2442</v>
      </c>
      <c r="F1288" t="s">
        <v>20</v>
      </c>
      <c r="G1288" t="s">
        <v>2443</v>
      </c>
      <c r="J1288" t="s">
        <v>5737</v>
      </c>
      <c r="K1288">
        <v>70</v>
      </c>
      <c r="L1288" t="str" cm="1">
        <f t="array" ref="L1288">_xlfn.IFS(
 K1288&lt;=50,"≤50",
 AND(K1288&gt;=51,K1288&lt;=100),"51–100",
 AND(K1288&gt;=101,K1288&lt;=250),"101–250",
 AND(K1288&gt;=251,K1288&lt;=500),"251–500",
 AND(K1288&gt;=501,K1288&lt;=1000),"501–1000",
 K1288&gt;=1001,"1001+"
)</f>
        <v>51–100</v>
      </c>
    </row>
    <row r="1289" spans="1:12" x14ac:dyDescent="0.3">
      <c r="A1289" t="s">
        <v>2444</v>
      </c>
      <c r="B1289" t="s">
        <v>9</v>
      </c>
      <c r="C1289" t="s">
        <v>5780</v>
      </c>
      <c r="D1289" t="s">
        <v>2445</v>
      </c>
      <c r="E1289" t="s">
        <v>15</v>
      </c>
      <c r="F1289" t="s">
        <v>20</v>
      </c>
      <c r="G1289" t="s">
        <v>21</v>
      </c>
      <c r="J1289" t="s">
        <v>5737</v>
      </c>
      <c r="K1289">
        <v>70</v>
      </c>
      <c r="L1289" t="str" cm="1">
        <f t="array" ref="L1289">_xlfn.IFS(
 K1289&lt;=50,"≤50",
 AND(K1289&gt;=51,K1289&lt;=100),"51–100",
 AND(K1289&gt;=101,K1289&lt;=250),"101–250",
 AND(K1289&gt;=251,K1289&lt;=500),"251–500",
 AND(K1289&gt;=501,K1289&lt;=1000),"501–1000",
 K1289&gt;=1001,"1001+"
)</f>
        <v>51–100</v>
      </c>
    </row>
    <row r="1290" spans="1:12" x14ac:dyDescent="0.3">
      <c r="A1290" t="s">
        <v>2446</v>
      </c>
      <c r="B1290" t="s">
        <v>11</v>
      </c>
      <c r="C1290" t="s">
        <v>5776</v>
      </c>
      <c r="F1290" t="s">
        <v>5770</v>
      </c>
      <c r="J1290" t="s">
        <v>5737</v>
      </c>
      <c r="K1290">
        <v>70</v>
      </c>
      <c r="L1290" t="str" cm="1">
        <f t="array" ref="L1290">_xlfn.IFS(
 K1290&lt;=50,"≤50",
 AND(K1290&gt;=51,K1290&lt;=100),"51–100",
 AND(K1290&gt;=101,K1290&lt;=250),"101–250",
 AND(K1290&gt;=251,K1290&lt;=500),"251–500",
 AND(K1290&gt;=501,K1290&lt;=1000),"501–1000",
 K1290&gt;=1001,"1001+"
)</f>
        <v>51–100</v>
      </c>
    </row>
    <row r="1291" spans="1:12" x14ac:dyDescent="0.3">
      <c r="A1291" t="s">
        <v>2447</v>
      </c>
      <c r="B1291" t="s">
        <v>9</v>
      </c>
      <c r="C1291" t="s">
        <v>5780</v>
      </c>
      <c r="D1291" t="s">
        <v>28</v>
      </c>
      <c r="E1291" t="s">
        <v>15</v>
      </c>
      <c r="F1291" t="s">
        <v>20</v>
      </c>
      <c r="G1291" t="s">
        <v>36</v>
      </c>
      <c r="J1291" t="s">
        <v>5737</v>
      </c>
      <c r="K1291">
        <v>70</v>
      </c>
      <c r="L1291" t="str" cm="1">
        <f t="array" ref="L1291">_xlfn.IFS(
 K1291&lt;=50,"≤50",
 AND(K1291&gt;=51,K1291&lt;=100),"51–100",
 AND(K1291&gt;=101,K1291&lt;=250),"101–250",
 AND(K1291&gt;=251,K1291&lt;=500),"251–500",
 AND(K1291&gt;=501,K1291&lt;=1000),"501–1000",
 K1291&gt;=1001,"1001+"
)</f>
        <v>51–100</v>
      </c>
    </row>
    <row r="1292" spans="1:12" x14ac:dyDescent="0.3">
      <c r="A1292" t="s">
        <v>2448</v>
      </c>
      <c r="B1292" t="s">
        <v>9</v>
      </c>
      <c r="C1292" t="s">
        <v>5780</v>
      </c>
      <c r="D1292" t="s">
        <v>2449</v>
      </c>
      <c r="E1292" t="s">
        <v>15</v>
      </c>
      <c r="F1292" t="s">
        <v>20</v>
      </c>
      <c r="G1292" t="s">
        <v>21</v>
      </c>
      <c r="J1292" t="s">
        <v>5751</v>
      </c>
      <c r="K1292">
        <v>70</v>
      </c>
      <c r="L1292" t="str" cm="1">
        <f t="array" ref="L1292">_xlfn.IFS(
 K1292&lt;=50,"≤50",
 AND(K1292&gt;=51,K1292&lt;=100),"51–100",
 AND(K1292&gt;=101,K1292&lt;=250),"101–250",
 AND(K1292&gt;=251,K1292&lt;=500),"251–500",
 AND(K1292&gt;=501,K1292&lt;=1000),"501–1000",
 K1292&gt;=1001,"1001+"
)</f>
        <v>51–100</v>
      </c>
    </row>
    <row r="1293" spans="1:12" x14ac:dyDescent="0.3">
      <c r="A1293" t="s">
        <v>2450</v>
      </c>
      <c r="B1293" t="s">
        <v>9</v>
      </c>
      <c r="C1293" t="s">
        <v>5780</v>
      </c>
      <c r="D1293" t="s">
        <v>2451</v>
      </c>
      <c r="E1293" t="s">
        <v>15</v>
      </c>
      <c r="F1293" t="s">
        <v>5770</v>
      </c>
      <c r="J1293" t="s">
        <v>5752</v>
      </c>
      <c r="K1293">
        <v>70</v>
      </c>
      <c r="L1293" t="str" cm="1">
        <f t="array" ref="L1293">_xlfn.IFS(
 K1293&lt;=50,"≤50",
 AND(K1293&gt;=51,K1293&lt;=100),"51–100",
 AND(K1293&gt;=101,K1293&lt;=250),"101–250",
 AND(K1293&gt;=251,K1293&lt;=500),"251–500",
 AND(K1293&gt;=501,K1293&lt;=1000),"501–1000",
 K1293&gt;=1001,"1001+"
)</f>
        <v>51–100</v>
      </c>
    </row>
    <row r="1294" spans="1:12" x14ac:dyDescent="0.3">
      <c r="A1294" t="s">
        <v>2452</v>
      </c>
      <c r="B1294" t="s">
        <v>9</v>
      </c>
      <c r="C1294" t="s">
        <v>5780</v>
      </c>
      <c r="D1294" t="s">
        <v>2453</v>
      </c>
      <c r="E1294" t="s">
        <v>15</v>
      </c>
      <c r="F1294" t="s">
        <v>16</v>
      </c>
      <c r="G1294" t="s">
        <v>1298</v>
      </c>
      <c r="J1294" t="s">
        <v>5752</v>
      </c>
      <c r="K1294">
        <v>70</v>
      </c>
      <c r="L1294" t="str" cm="1">
        <f t="array" ref="L1294">_xlfn.IFS(
 K1294&lt;=50,"≤50",
 AND(K1294&gt;=51,K1294&lt;=100),"51–100",
 AND(K1294&gt;=101,K1294&lt;=250),"101–250",
 AND(K1294&gt;=251,K1294&lt;=500),"251–500",
 AND(K1294&gt;=501,K1294&lt;=1000),"501–1000",
 K1294&gt;=1001,"1001+"
)</f>
        <v>51–100</v>
      </c>
    </row>
    <row r="1295" spans="1:12" x14ac:dyDescent="0.3">
      <c r="A1295" t="s">
        <v>2454</v>
      </c>
      <c r="B1295" t="s">
        <v>9</v>
      </c>
      <c r="C1295" t="s">
        <v>5780</v>
      </c>
      <c r="D1295" t="s">
        <v>2455</v>
      </c>
      <c r="F1295" t="s">
        <v>5770</v>
      </c>
      <c r="J1295" t="s">
        <v>5752</v>
      </c>
      <c r="K1295">
        <v>70</v>
      </c>
      <c r="L1295" t="str" cm="1">
        <f t="array" ref="L1295">_xlfn.IFS(
 K1295&lt;=50,"≤50",
 AND(K1295&gt;=51,K1295&lt;=100),"51–100",
 AND(K1295&gt;=101,K1295&lt;=250),"101–250",
 AND(K1295&gt;=251,K1295&lt;=500),"251–500",
 AND(K1295&gt;=501,K1295&lt;=1000),"501–1000",
 K1295&gt;=1001,"1001+"
)</f>
        <v>51–100</v>
      </c>
    </row>
    <row r="1296" spans="1:12" x14ac:dyDescent="0.3">
      <c r="A1296" t="s">
        <v>2456</v>
      </c>
      <c r="B1296" t="s">
        <v>13</v>
      </c>
      <c r="C1296" t="s">
        <v>5777</v>
      </c>
      <c r="D1296" t="s">
        <v>2457</v>
      </c>
      <c r="E1296" t="s">
        <v>15</v>
      </c>
      <c r="F1296" t="s">
        <v>16</v>
      </c>
      <c r="G1296" t="s">
        <v>138</v>
      </c>
      <c r="J1296" t="s">
        <v>5758</v>
      </c>
      <c r="K1296">
        <v>70</v>
      </c>
      <c r="L1296" t="str" cm="1">
        <f t="array" ref="L1296">_xlfn.IFS(
 K1296&lt;=50,"≤50",
 AND(K1296&gt;=51,K1296&lt;=100),"51–100",
 AND(K1296&gt;=101,K1296&lt;=250),"101–250",
 AND(K1296&gt;=251,K1296&lt;=500),"251–500",
 AND(K1296&gt;=501,K1296&lt;=1000),"501–1000",
 K1296&gt;=1001,"1001+"
)</f>
        <v>51–100</v>
      </c>
    </row>
    <row r="1297" spans="1:12" x14ac:dyDescent="0.3">
      <c r="A1297" t="s">
        <v>2458</v>
      </c>
      <c r="B1297" t="s">
        <v>11</v>
      </c>
      <c r="C1297" t="s">
        <v>5776</v>
      </c>
      <c r="E1297" t="s">
        <v>15</v>
      </c>
      <c r="F1297" t="s">
        <v>5770</v>
      </c>
      <c r="J1297" t="s">
        <v>5747</v>
      </c>
      <c r="K1297">
        <v>70</v>
      </c>
      <c r="L1297" t="str" cm="1">
        <f t="array" ref="L1297">_xlfn.IFS(
 K1297&lt;=50,"≤50",
 AND(K1297&gt;=51,K1297&lt;=100),"51–100",
 AND(K1297&gt;=101,K1297&lt;=250),"101–250",
 AND(K1297&gt;=251,K1297&lt;=500),"251–500",
 AND(K1297&gt;=501,K1297&lt;=1000),"501–1000",
 K1297&gt;=1001,"1001+"
)</f>
        <v>51–100</v>
      </c>
    </row>
    <row r="1298" spans="1:12" x14ac:dyDescent="0.3">
      <c r="A1298" t="s">
        <v>2459</v>
      </c>
      <c r="B1298" t="s">
        <v>13</v>
      </c>
      <c r="C1298" t="s">
        <v>5777</v>
      </c>
      <c r="D1298" t="s">
        <v>2460</v>
      </c>
      <c r="E1298" t="s">
        <v>15</v>
      </c>
      <c r="F1298" t="s">
        <v>5770</v>
      </c>
      <c r="J1298" t="s">
        <v>5747</v>
      </c>
      <c r="K1298">
        <v>70</v>
      </c>
      <c r="L1298" t="str" cm="1">
        <f t="array" ref="L1298">_xlfn.IFS(
 K1298&lt;=50,"≤50",
 AND(K1298&gt;=51,K1298&lt;=100),"51–100",
 AND(K1298&gt;=101,K1298&lt;=250),"101–250",
 AND(K1298&gt;=251,K1298&lt;=500),"251–500",
 AND(K1298&gt;=501,K1298&lt;=1000),"501–1000",
 K1298&gt;=1001,"1001+"
)</f>
        <v>51–100</v>
      </c>
    </row>
    <row r="1299" spans="1:12" x14ac:dyDescent="0.3">
      <c r="A1299" t="s">
        <v>2461</v>
      </c>
      <c r="B1299" t="s">
        <v>13</v>
      </c>
      <c r="C1299" t="s">
        <v>5777</v>
      </c>
      <c r="D1299" t="s">
        <v>2462</v>
      </c>
      <c r="E1299" t="s">
        <v>15</v>
      </c>
      <c r="F1299" t="s">
        <v>5770</v>
      </c>
      <c r="J1299" t="s">
        <v>5762</v>
      </c>
      <c r="K1299">
        <v>71</v>
      </c>
      <c r="L1299" t="str" cm="1">
        <f t="array" ref="L1299">_xlfn.IFS(
 K1299&lt;=50,"≤50",
 AND(K1299&gt;=51,K1299&lt;=100),"51–100",
 AND(K1299&gt;=101,K1299&lt;=250),"101–250",
 AND(K1299&gt;=251,K1299&lt;=500),"251–500",
 AND(K1299&gt;=501,K1299&lt;=1000),"501–1000",
 K1299&gt;=1001,"1001+"
)</f>
        <v>51–100</v>
      </c>
    </row>
    <row r="1300" spans="1:12" x14ac:dyDescent="0.3">
      <c r="A1300" t="s">
        <v>2463</v>
      </c>
      <c r="B1300" t="s">
        <v>9</v>
      </c>
      <c r="C1300" t="s">
        <v>5780</v>
      </c>
      <c r="D1300" t="s">
        <v>2464</v>
      </c>
      <c r="F1300" t="s">
        <v>16</v>
      </c>
      <c r="G1300" t="s">
        <v>2465</v>
      </c>
      <c r="J1300" t="s">
        <v>5737</v>
      </c>
      <c r="K1300">
        <v>71</v>
      </c>
      <c r="L1300" t="str" cm="1">
        <f t="array" ref="L1300">_xlfn.IFS(
 K1300&lt;=50,"≤50",
 AND(K1300&gt;=51,K1300&lt;=100),"51–100",
 AND(K1300&gt;=101,K1300&lt;=250),"101–250",
 AND(K1300&gt;=251,K1300&lt;=500),"251–500",
 AND(K1300&gt;=501,K1300&lt;=1000),"501–1000",
 K1300&gt;=1001,"1001+"
)</f>
        <v>51–100</v>
      </c>
    </row>
    <row r="1301" spans="1:12" x14ac:dyDescent="0.3">
      <c r="A1301" t="s">
        <v>2466</v>
      </c>
      <c r="B1301" t="s">
        <v>13</v>
      </c>
      <c r="C1301" t="s">
        <v>5777</v>
      </c>
      <c r="D1301" t="s">
        <v>2467</v>
      </c>
      <c r="E1301" t="s">
        <v>15</v>
      </c>
      <c r="F1301" t="s">
        <v>54</v>
      </c>
      <c r="G1301" t="s">
        <v>2468</v>
      </c>
      <c r="J1301" t="s">
        <v>5737</v>
      </c>
      <c r="K1301">
        <v>72</v>
      </c>
      <c r="L1301" t="str" cm="1">
        <f t="array" ref="L1301">_xlfn.IFS(
 K1301&lt;=50,"≤50",
 AND(K1301&gt;=51,K1301&lt;=100),"51–100",
 AND(K1301&gt;=101,K1301&lt;=250),"101–250",
 AND(K1301&gt;=251,K1301&lt;=500),"251–500",
 AND(K1301&gt;=501,K1301&lt;=1000),"501–1000",
 K1301&gt;=1001,"1001+"
)</f>
        <v>51–100</v>
      </c>
    </row>
    <row r="1302" spans="1:12" x14ac:dyDescent="0.3">
      <c r="A1302" t="s">
        <v>2469</v>
      </c>
      <c r="B1302" t="s">
        <v>11</v>
      </c>
      <c r="C1302" t="s">
        <v>5776</v>
      </c>
      <c r="F1302" t="s">
        <v>5770</v>
      </c>
      <c r="J1302" t="s">
        <v>5751</v>
      </c>
      <c r="K1302">
        <v>72</v>
      </c>
      <c r="L1302" t="str" cm="1">
        <f t="array" ref="L1302">_xlfn.IFS(
 K1302&lt;=50,"≤50",
 AND(K1302&gt;=51,K1302&lt;=100),"51–100",
 AND(K1302&gt;=101,K1302&lt;=250),"101–250",
 AND(K1302&gt;=251,K1302&lt;=500),"251–500",
 AND(K1302&gt;=501,K1302&lt;=1000),"501–1000",
 K1302&gt;=1001,"1001+"
)</f>
        <v>51–100</v>
      </c>
    </row>
    <row r="1303" spans="1:12" x14ac:dyDescent="0.3">
      <c r="A1303" t="s">
        <v>2470</v>
      </c>
      <c r="B1303" t="s">
        <v>197</v>
      </c>
      <c r="C1303" t="s">
        <v>5774</v>
      </c>
      <c r="D1303" t="s">
        <v>2471</v>
      </c>
      <c r="E1303" t="s">
        <v>15</v>
      </c>
      <c r="F1303" t="s">
        <v>54</v>
      </c>
      <c r="G1303" t="s">
        <v>2472</v>
      </c>
      <c r="J1303" t="s">
        <v>5737</v>
      </c>
      <c r="K1303">
        <v>73</v>
      </c>
      <c r="L1303" t="str" cm="1">
        <f t="array" ref="L1303">_xlfn.IFS(
 K1303&lt;=50,"≤50",
 AND(K1303&gt;=51,K1303&lt;=100),"51–100",
 AND(K1303&gt;=101,K1303&lt;=250),"101–250",
 AND(K1303&gt;=251,K1303&lt;=500),"251–500",
 AND(K1303&gt;=501,K1303&lt;=1000),"501–1000",
 K1303&gt;=1001,"1001+"
)</f>
        <v>51–100</v>
      </c>
    </row>
    <row r="1304" spans="1:12" x14ac:dyDescent="0.3">
      <c r="A1304" t="s">
        <v>2473</v>
      </c>
      <c r="B1304" t="s">
        <v>9</v>
      </c>
      <c r="C1304" t="s">
        <v>5780</v>
      </c>
      <c r="D1304" t="s">
        <v>2474</v>
      </c>
      <c r="F1304" t="s">
        <v>5770</v>
      </c>
      <c r="J1304" t="s">
        <v>5757</v>
      </c>
      <c r="K1304">
        <v>73</v>
      </c>
      <c r="L1304" t="str" cm="1">
        <f t="array" ref="L1304">_xlfn.IFS(
 K1304&lt;=50,"≤50",
 AND(K1304&gt;=51,K1304&lt;=100),"51–100",
 AND(K1304&gt;=101,K1304&lt;=250),"101–250",
 AND(K1304&gt;=251,K1304&lt;=500),"251–500",
 AND(K1304&gt;=501,K1304&lt;=1000),"501–1000",
 K1304&gt;=1001,"1001+"
)</f>
        <v>51–100</v>
      </c>
    </row>
    <row r="1305" spans="1:12" x14ac:dyDescent="0.3">
      <c r="A1305" t="s">
        <v>2475</v>
      </c>
      <c r="B1305" t="s">
        <v>9</v>
      </c>
      <c r="C1305" t="s">
        <v>5780</v>
      </c>
      <c r="D1305" t="s">
        <v>51</v>
      </c>
      <c r="E1305" t="s">
        <v>15</v>
      </c>
      <c r="F1305" t="s">
        <v>5770</v>
      </c>
      <c r="J1305" t="s">
        <v>5737</v>
      </c>
      <c r="K1305">
        <v>74</v>
      </c>
      <c r="L1305" t="str" cm="1">
        <f t="array" ref="L1305">_xlfn.IFS(
 K1305&lt;=50,"≤50",
 AND(K1305&gt;=51,K1305&lt;=100),"51–100",
 AND(K1305&gt;=101,K1305&lt;=250),"101–250",
 AND(K1305&gt;=251,K1305&lt;=500),"251–500",
 AND(K1305&gt;=501,K1305&lt;=1000),"501–1000",
 K1305&gt;=1001,"1001+"
)</f>
        <v>51–100</v>
      </c>
    </row>
    <row r="1306" spans="1:12" x14ac:dyDescent="0.3">
      <c r="A1306" t="s">
        <v>2476</v>
      </c>
      <c r="B1306" t="s">
        <v>9</v>
      </c>
      <c r="C1306" t="s">
        <v>5780</v>
      </c>
      <c r="D1306" t="s">
        <v>2477</v>
      </c>
      <c r="E1306" t="s">
        <v>15</v>
      </c>
      <c r="F1306" t="s">
        <v>16</v>
      </c>
      <c r="G1306" t="s">
        <v>2478</v>
      </c>
      <c r="J1306" t="s">
        <v>5742</v>
      </c>
      <c r="K1306">
        <v>74</v>
      </c>
      <c r="L1306" t="str" cm="1">
        <f t="array" ref="L1306">_xlfn.IFS(
 K1306&lt;=50,"≤50",
 AND(K1306&gt;=51,K1306&lt;=100),"51–100",
 AND(K1306&gt;=101,K1306&lt;=250),"101–250",
 AND(K1306&gt;=251,K1306&lt;=500),"251–500",
 AND(K1306&gt;=501,K1306&lt;=1000),"501–1000",
 K1306&gt;=1001,"1001+"
)</f>
        <v>51–100</v>
      </c>
    </row>
    <row r="1307" spans="1:12" x14ac:dyDescent="0.3">
      <c r="A1307" t="s">
        <v>2479</v>
      </c>
      <c r="B1307" t="s">
        <v>13</v>
      </c>
      <c r="C1307" t="s">
        <v>5777</v>
      </c>
      <c r="D1307" t="s">
        <v>231</v>
      </c>
      <c r="F1307" t="s">
        <v>5770</v>
      </c>
      <c r="J1307" t="s">
        <v>5748</v>
      </c>
      <c r="K1307">
        <v>74</v>
      </c>
      <c r="L1307" t="str" cm="1">
        <f t="array" ref="L1307">_xlfn.IFS(
 K1307&lt;=50,"≤50",
 AND(K1307&gt;=51,K1307&lt;=100),"51–100",
 AND(K1307&gt;=101,K1307&lt;=250),"101–250",
 AND(K1307&gt;=251,K1307&lt;=500),"251–500",
 AND(K1307&gt;=501,K1307&lt;=1000),"501–1000",
 K1307&gt;=1001,"1001+"
)</f>
        <v>51–100</v>
      </c>
    </row>
    <row r="1308" spans="1:12" x14ac:dyDescent="0.3">
      <c r="A1308" t="s">
        <v>2480</v>
      </c>
      <c r="B1308" t="s">
        <v>13</v>
      </c>
      <c r="C1308" t="s">
        <v>5777</v>
      </c>
      <c r="D1308" t="s">
        <v>2481</v>
      </c>
      <c r="E1308" t="s">
        <v>15</v>
      </c>
      <c r="F1308" t="s">
        <v>54</v>
      </c>
      <c r="G1308" t="s">
        <v>2482</v>
      </c>
      <c r="J1308" t="s">
        <v>5737</v>
      </c>
      <c r="K1308">
        <v>74</v>
      </c>
      <c r="L1308" t="str" cm="1">
        <f t="array" ref="L1308">_xlfn.IFS(
 K1308&lt;=50,"≤50",
 AND(K1308&gt;=51,K1308&lt;=100),"51–100",
 AND(K1308&gt;=101,K1308&lt;=250),"101–250",
 AND(K1308&gt;=251,K1308&lt;=500),"251–500",
 AND(K1308&gt;=501,K1308&lt;=1000),"501–1000",
 K1308&gt;=1001,"1001+"
)</f>
        <v>51–100</v>
      </c>
    </row>
    <row r="1309" spans="1:12" x14ac:dyDescent="0.3">
      <c r="A1309" t="s">
        <v>2483</v>
      </c>
      <c r="B1309" t="s">
        <v>9</v>
      </c>
      <c r="C1309" t="s">
        <v>5780</v>
      </c>
      <c r="D1309" t="s">
        <v>2484</v>
      </c>
      <c r="F1309" t="s">
        <v>20</v>
      </c>
      <c r="G1309" t="s">
        <v>21</v>
      </c>
      <c r="J1309" t="s">
        <v>5737</v>
      </c>
      <c r="K1309">
        <v>75</v>
      </c>
      <c r="L1309" t="str" cm="1">
        <f t="array" ref="L1309">_xlfn.IFS(
 K1309&lt;=50,"≤50",
 AND(K1309&gt;=51,K1309&lt;=100),"51–100",
 AND(K1309&gt;=101,K1309&lt;=250),"101–250",
 AND(K1309&gt;=251,K1309&lt;=500),"251–500",
 AND(K1309&gt;=501,K1309&lt;=1000),"501–1000",
 K1309&gt;=1001,"1001+"
)</f>
        <v>51–100</v>
      </c>
    </row>
    <row r="1310" spans="1:12" x14ac:dyDescent="0.3">
      <c r="A1310" t="s">
        <v>2485</v>
      </c>
      <c r="B1310" t="s">
        <v>11</v>
      </c>
      <c r="C1310" t="s">
        <v>5776</v>
      </c>
      <c r="F1310" t="s">
        <v>5770</v>
      </c>
      <c r="J1310" t="s">
        <v>5745</v>
      </c>
      <c r="K1310">
        <v>75</v>
      </c>
      <c r="L1310" t="str" cm="1">
        <f t="array" ref="L1310">_xlfn.IFS(
 K1310&lt;=50,"≤50",
 AND(K1310&gt;=51,K1310&lt;=100),"51–100",
 AND(K1310&gt;=101,K1310&lt;=250),"101–250",
 AND(K1310&gt;=251,K1310&lt;=500),"251–500",
 AND(K1310&gt;=501,K1310&lt;=1000),"501–1000",
 K1310&gt;=1001,"1001+"
)</f>
        <v>51–100</v>
      </c>
    </row>
    <row r="1311" spans="1:12" x14ac:dyDescent="0.3">
      <c r="A1311" t="s">
        <v>2486</v>
      </c>
      <c r="B1311" t="s">
        <v>13</v>
      </c>
      <c r="C1311" t="s">
        <v>5777</v>
      </c>
      <c r="D1311" t="s">
        <v>2487</v>
      </c>
      <c r="E1311" t="s">
        <v>15</v>
      </c>
      <c r="F1311" t="s">
        <v>16</v>
      </c>
      <c r="G1311" t="s">
        <v>45</v>
      </c>
      <c r="J1311" t="s">
        <v>5737</v>
      </c>
      <c r="K1311">
        <v>75</v>
      </c>
      <c r="L1311" t="str" cm="1">
        <f t="array" ref="L1311">_xlfn.IFS(
 K1311&lt;=50,"≤50",
 AND(K1311&gt;=51,K1311&lt;=100),"51–100",
 AND(K1311&gt;=101,K1311&lt;=250),"101–250",
 AND(K1311&gt;=251,K1311&lt;=500),"251–500",
 AND(K1311&gt;=501,K1311&lt;=1000),"501–1000",
 K1311&gt;=1001,"1001+"
)</f>
        <v>51–100</v>
      </c>
    </row>
    <row r="1312" spans="1:12" x14ac:dyDescent="0.3">
      <c r="A1312" t="s">
        <v>2488</v>
      </c>
      <c r="B1312" t="s">
        <v>13</v>
      </c>
      <c r="C1312" t="s">
        <v>5777</v>
      </c>
      <c r="D1312" t="s">
        <v>2489</v>
      </c>
      <c r="E1312" t="s">
        <v>15</v>
      </c>
      <c r="F1312" t="s">
        <v>20</v>
      </c>
      <c r="G1312" t="s">
        <v>117</v>
      </c>
      <c r="J1312" t="s">
        <v>5737</v>
      </c>
      <c r="K1312">
        <v>75</v>
      </c>
      <c r="L1312" t="str" cm="1">
        <f t="array" ref="L1312">_xlfn.IFS(
 K1312&lt;=50,"≤50",
 AND(K1312&gt;=51,K1312&lt;=100),"51–100",
 AND(K1312&gt;=101,K1312&lt;=250),"101–250",
 AND(K1312&gt;=251,K1312&lt;=500),"251–500",
 AND(K1312&gt;=501,K1312&lt;=1000),"501–1000",
 K1312&gt;=1001,"1001+"
)</f>
        <v>51–100</v>
      </c>
    </row>
    <row r="1313" spans="1:12" x14ac:dyDescent="0.3">
      <c r="A1313" t="s">
        <v>2490</v>
      </c>
      <c r="B1313" t="s">
        <v>13</v>
      </c>
      <c r="C1313" t="s">
        <v>5777</v>
      </c>
      <c r="D1313" t="s">
        <v>2491</v>
      </c>
      <c r="E1313" t="s">
        <v>15</v>
      </c>
      <c r="F1313" t="s">
        <v>16</v>
      </c>
      <c r="G1313" t="s">
        <v>138</v>
      </c>
      <c r="J1313" t="s">
        <v>5737</v>
      </c>
      <c r="K1313">
        <v>75</v>
      </c>
      <c r="L1313" t="str" cm="1">
        <f t="array" ref="L1313">_xlfn.IFS(
 K1313&lt;=50,"≤50",
 AND(K1313&gt;=51,K1313&lt;=100),"51–100",
 AND(K1313&gt;=101,K1313&lt;=250),"101–250",
 AND(K1313&gt;=251,K1313&lt;=500),"251–500",
 AND(K1313&gt;=501,K1313&lt;=1000),"501–1000",
 K1313&gt;=1001,"1001+"
)</f>
        <v>51–100</v>
      </c>
    </row>
    <row r="1314" spans="1:12" x14ac:dyDescent="0.3">
      <c r="A1314" t="s">
        <v>2492</v>
      </c>
      <c r="B1314" t="s">
        <v>13</v>
      </c>
      <c r="C1314" t="s">
        <v>5777</v>
      </c>
      <c r="D1314" t="s">
        <v>2493</v>
      </c>
      <c r="E1314" t="s">
        <v>15</v>
      </c>
      <c r="F1314" t="s">
        <v>20</v>
      </c>
      <c r="G1314" t="s">
        <v>2494</v>
      </c>
      <c r="J1314" t="s">
        <v>5737</v>
      </c>
      <c r="K1314">
        <v>75</v>
      </c>
      <c r="L1314" t="str" cm="1">
        <f t="array" ref="L1314">_xlfn.IFS(
 K1314&lt;=50,"≤50",
 AND(K1314&gt;=51,K1314&lt;=100),"51–100",
 AND(K1314&gt;=101,K1314&lt;=250),"101–250",
 AND(K1314&gt;=251,K1314&lt;=500),"251–500",
 AND(K1314&gt;=501,K1314&lt;=1000),"501–1000",
 K1314&gt;=1001,"1001+"
)</f>
        <v>51–100</v>
      </c>
    </row>
    <row r="1315" spans="1:12" x14ac:dyDescent="0.3">
      <c r="A1315" t="s">
        <v>2495</v>
      </c>
      <c r="B1315" t="s">
        <v>13</v>
      </c>
      <c r="C1315" t="s">
        <v>5777</v>
      </c>
      <c r="D1315" t="s">
        <v>2496</v>
      </c>
      <c r="F1315" t="s">
        <v>5770</v>
      </c>
      <c r="J1315" t="s">
        <v>5743</v>
      </c>
      <c r="K1315">
        <v>75</v>
      </c>
      <c r="L1315" t="str" cm="1">
        <f t="array" ref="L1315">_xlfn.IFS(
 K1315&lt;=50,"≤50",
 AND(K1315&gt;=51,K1315&lt;=100),"51–100",
 AND(K1315&gt;=101,K1315&lt;=250),"101–250",
 AND(K1315&gt;=251,K1315&lt;=500),"251–500",
 AND(K1315&gt;=501,K1315&lt;=1000),"501–1000",
 K1315&gt;=1001,"1001+"
)</f>
        <v>51–100</v>
      </c>
    </row>
    <row r="1316" spans="1:12" x14ac:dyDescent="0.3">
      <c r="A1316" t="s">
        <v>2497</v>
      </c>
      <c r="B1316" t="s">
        <v>13</v>
      </c>
      <c r="C1316" t="s">
        <v>5777</v>
      </c>
      <c r="D1316" t="s">
        <v>2498</v>
      </c>
      <c r="F1316" t="s">
        <v>20</v>
      </c>
      <c r="G1316" t="s">
        <v>21</v>
      </c>
      <c r="J1316" t="s">
        <v>5737</v>
      </c>
      <c r="K1316">
        <v>75</v>
      </c>
      <c r="L1316" t="str" cm="1">
        <f t="array" ref="L1316">_xlfn.IFS(
 K1316&lt;=50,"≤50",
 AND(K1316&gt;=51,K1316&lt;=100),"51–100",
 AND(K1316&gt;=101,K1316&lt;=250),"101–250",
 AND(K1316&gt;=251,K1316&lt;=500),"251–500",
 AND(K1316&gt;=501,K1316&lt;=1000),"501–1000",
 K1316&gt;=1001,"1001+"
)</f>
        <v>51–100</v>
      </c>
    </row>
    <row r="1317" spans="1:12" x14ac:dyDescent="0.3">
      <c r="A1317" t="s">
        <v>2499</v>
      </c>
      <c r="B1317" t="s">
        <v>13</v>
      </c>
      <c r="C1317" t="s">
        <v>5777</v>
      </c>
      <c r="D1317" t="s">
        <v>2500</v>
      </c>
      <c r="E1317" t="s">
        <v>15</v>
      </c>
      <c r="F1317" t="s">
        <v>16</v>
      </c>
      <c r="G1317" t="s">
        <v>2501</v>
      </c>
      <c r="J1317" t="s">
        <v>5737</v>
      </c>
      <c r="K1317">
        <v>75</v>
      </c>
      <c r="L1317" t="str" cm="1">
        <f t="array" ref="L1317">_xlfn.IFS(
 K1317&lt;=50,"≤50",
 AND(K1317&gt;=51,K1317&lt;=100),"51–100",
 AND(K1317&gt;=101,K1317&lt;=250),"101–250",
 AND(K1317&gt;=251,K1317&lt;=500),"251–500",
 AND(K1317&gt;=501,K1317&lt;=1000),"501–1000",
 K1317&gt;=1001,"1001+"
)</f>
        <v>51–100</v>
      </c>
    </row>
    <row r="1318" spans="1:12" x14ac:dyDescent="0.3">
      <c r="A1318" t="s">
        <v>2502</v>
      </c>
      <c r="B1318" t="s">
        <v>9</v>
      </c>
      <c r="C1318" t="s">
        <v>5780</v>
      </c>
      <c r="D1318" t="s">
        <v>2503</v>
      </c>
      <c r="E1318" t="s">
        <v>15</v>
      </c>
      <c r="F1318" t="s">
        <v>20</v>
      </c>
      <c r="G1318" t="s">
        <v>2504</v>
      </c>
      <c r="J1318" t="s">
        <v>5751</v>
      </c>
      <c r="K1318">
        <v>75</v>
      </c>
      <c r="L1318" t="str" cm="1">
        <f t="array" ref="L1318">_xlfn.IFS(
 K1318&lt;=50,"≤50",
 AND(K1318&gt;=51,K1318&lt;=100),"51–100",
 AND(K1318&gt;=101,K1318&lt;=250),"101–250",
 AND(K1318&gt;=251,K1318&lt;=500),"251–500",
 AND(K1318&gt;=501,K1318&lt;=1000),"501–1000",
 K1318&gt;=1001,"1001+"
)</f>
        <v>51–100</v>
      </c>
    </row>
    <row r="1319" spans="1:12" x14ac:dyDescent="0.3">
      <c r="A1319" t="s">
        <v>2505</v>
      </c>
      <c r="B1319" t="s">
        <v>13</v>
      </c>
      <c r="C1319" t="s">
        <v>5777</v>
      </c>
      <c r="D1319" t="s">
        <v>2506</v>
      </c>
      <c r="E1319" t="s">
        <v>15</v>
      </c>
      <c r="F1319" t="s">
        <v>20</v>
      </c>
      <c r="G1319" t="s">
        <v>21</v>
      </c>
      <c r="J1319" t="s">
        <v>5743</v>
      </c>
      <c r="K1319">
        <v>75</v>
      </c>
      <c r="L1319" t="str" cm="1">
        <f t="array" ref="L1319">_xlfn.IFS(
 K1319&lt;=50,"≤50",
 AND(K1319&gt;=51,K1319&lt;=100),"51–100",
 AND(K1319&gt;=101,K1319&lt;=250),"101–250",
 AND(K1319&gt;=251,K1319&lt;=500),"251–500",
 AND(K1319&gt;=501,K1319&lt;=1000),"501–1000",
 K1319&gt;=1001,"1001+"
)</f>
        <v>51–100</v>
      </c>
    </row>
    <row r="1320" spans="1:12" x14ac:dyDescent="0.3">
      <c r="A1320" t="s">
        <v>2507</v>
      </c>
      <c r="B1320" t="s">
        <v>9</v>
      </c>
      <c r="C1320" t="s">
        <v>5780</v>
      </c>
      <c r="D1320" t="s">
        <v>28</v>
      </c>
      <c r="E1320" t="s">
        <v>15</v>
      </c>
      <c r="F1320" t="s">
        <v>5770</v>
      </c>
      <c r="J1320" t="s">
        <v>5744</v>
      </c>
      <c r="K1320">
        <v>75</v>
      </c>
      <c r="L1320" t="str" cm="1">
        <f t="array" ref="L1320">_xlfn.IFS(
 K1320&lt;=50,"≤50",
 AND(K1320&gt;=51,K1320&lt;=100),"51–100",
 AND(K1320&gt;=101,K1320&lt;=250),"101–250",
 AND(K1320&gt;=251,K1320&lt;=500),"251–500",
 AND(K1320&gt;=501,K1320&lt;=1000),"501–1000",
 K1320&gt;=1001,"1001+"
)</f>
        <v>51–100</v>
      </c>
    </row>
    <row r="1321" spans="1:12" x14ac:dyDescent="0.3">
      <c r="A1321" t="s">
        <v>2508</v>
      </c>
      <c r="B1321" t="s">
        <v>11</v>
      </c>
      <c r="C1321" t="s">
        <v>5776</v>
      </c>
      <c r="E1321" t="s">
        <v>15</v>
      </c>
      <c r="F1321" t="s">
        <v>5770</v>
      </c>
      <c r="J1321" t="s">
        <v>5753</v>
      </c>
      <c r="K1321">
        <v>75</v>
      </c>
      <c r="L1321" t="str" cm="1">
        <f t="array" ref="L1321">_xlfn.IFS(
 K1321&lt;=50,"≤50",
 AND(K1321&gt;=51,K1321&lt;=100),"51–100",
 AND(K1321&gt;=101,K1321&lt;=250),"101–250",
 AND(K1321&gt;=251,K1321&lt;=500),"251–500",
 AND(K1321&gt;=501,K1321&lt;=1000),"501–1000",
 K1321&gt;=1001,"1001+"
)</f>
        <v>51–100</v>
      </c>
    </row>
    <row r="1322" spans="1:12" x14ac:dyDescent="0.3">
      <c r="A1322" t="s">
        <v>2509</v>
      </c>
      <c r="B1322" t="s">
        <v>11</v>
      </c>
      <c r="C1322" t="s">
        <v>5776</v>
      </c>
      <c r="F1322" t="s">
        <v>5770</v>
      </c>
      <c r="J1322" t="s">
        <v>5755</v>
      </c>
      <c r="K1322">
        <v>75</v>
      </c>
      <c r="L1322" t="str" cm="1">
        <f t="array" ref="L1322">_xlfn.IFS(
 K1322&lt;=50,"≤50",
 AND(K1322&gt;=51,K1322&lt;=100),"51–100",
 AND(K1322&gt;=101,K1322&lt;=250),"101–250",
 AND(K1322&gt;=251,K1322&lt;=500),"251–500",
 AND(K1322&gt;=501,K1322&lt;=1000),"501–1000",
 K1322&gt;=1001,"1001+"
)</f>
        <v>51–100</v>
      </c>
    </row>
    <row r="1323" spans="1:12" x14ac:dyDescent="0.3">
      <c r="A1323" t="s">
        <v>2510</v>
      </c>
      <c r="B1323" t="s">
        <v>9</v>
      </c>
      <c r="C1323" t="s">
        <v>5780</v>
      </c>
      <c r="D1323" t="s">
        <v>2511</v>
      </c>
      <c r="F1323" t="s">
        <v>20</v>
      </c>
      <c r="G1323" t="s">
        <v>2512</v>
      </c>
      <c r="J1323" t="s">
        <v>5742</v>
      </c>
      <c r="K1323">
        <v>75</v>
      </c>
      <c r="L1323" t="str" cm="1">
        <f t="array" ref="L1323">_xlfn.IFS(
 K1323&lt;=50,"≤50",
 AND(K1323&gt;=51,K1323&lt;=100),"51–100",
 AND(K1323&gt;=101,K1323&lt;=250),"101–250",
 AND(K1323&gt;=251,K1323&lt;=500),"251–500",
 AND(K1323&gt;=501,K1323&lt;=1000),"501–1000",
 K1323&gt;=1001,"1001+"
)</f>
        <v>51–100</v>
      </c>
    </row>
    <row r="1324" spans="1:12" x14ac:dyDescent="0.3">
      <c r="A1324" t="s">
        <v>2513</v>
      </c>
      <c r="B1324" t="s">
        <v>9</v>
      </c>
      <c r="C1324" t="s">
        <v>5780</v>
      </c>
      <c r="D1324" t="s">
        <v>28</v>
      </c>
      <c r="E1324" t="s">
        <v>15</v>
      </c>
      <c r="F1324" t="s">
        <v>5770</v>
      </c>
      <c r="J1324" t="s">
        <v>5742</v>
      </c>
      <c r="K1324">
        <v>75</v>
      </c>
      <c r="L1324" t="str" cm="1">
        <f t="array" ref="L1324">_xlfn.IFS(
 K1324&lt;=50,"≤50",
 AND(K1324&gt;=51,K1324&lt;=100),"51–100",
 AND(K1324&gt;=101,K1324&lt;=250),"101–250",
 AND(K1324&gt;=251,K1324&lt;=500),"251–500",
 AND(K1324&gt;=501,K1324&lt;=1000),"501–1000",
 K1324&gt;=1001,"1001+"
)</f>
        <v>51–100</v>
      </c>
    </row>
    <row r="1325" spans="1:12" x14ac:dyDescent="0.3">
      <c r="A1325" t="s">
        <v>2514</v>
      </c>
      <c r="B1325" t="s">
        <v>9</v>
      </c>
      <c r="C1325" t="s">
        <v>5780</v>
      </c>
      <c r="D1325" t="s">
        <v>2515</v>
      </c>
      <c r="E1325" t="s">
        <v>15</v>
      </c>
      <c r="F1325" t="s">
        <v>20</v>
      </c>
      <c r="G1325" t="s">
        <v>21</v>
      </c>
      <c r="J1325" t="s">
        <v>5737</v>
      </c>
      <c r="K1325">
        <v>75</v>
      </c>
      <c r="L1325" t="str" cm="1">
        <f t="array" ref="L1325">_xlfn.IFS(
 K1325&lt;=50,"≤50",
 AND(K1325&gt;=51,K1325&lt;=100),"51–100",
 AND(K1325&gt;=101,K1325&lt;=250),"101–250",
 AND(K1325&gt;=251,K1325&lt;=500),"251–500",
 AND(K1325&gt;=501,K1325&lt;=1000),"501–1000",
 K1325&gt;=1001,"1001+"
)</f>
        <v>51–100</v>
      </c>
    </row>
    <row r="1326" spans="1:12" x14ac:dyDescent="0.3">
      <c r="A1326" t="s">
        <v>2516</v>
      </c>
      <c r="B1326" t="s">
        <v>11</v>
      </c>
      <c r="C1326" t="s">
        <v>5776</v>
      </c>
      <c r="F1326" t="s">
        <v>5770</v>
      </c>
      <c r="J1326" t="s">
        <v>5739</v>
      </c>
      <c r="K1326">
        <v>75</v>
      </c>
      <c r="L1326" t="str" cm="1">
        <f t="array" ref="L1326">_xlfn.IFS(
 K1326&lt;=50,"≤50",
 AND(K1326&gt;=51,K1326&lt;=100),"51–100",
 AND(K1326&gt;=101,K1326&lt;=250),"101–250",
 AND(K1326&gt;=251,K1326&lt;=500),"251–500",
 AND(K1326&gt;=501,K1326&lt;=1000),"501–1000",
 K1326&gt;=1001,"1001+"
)</f>
        <v>51–100</v>
      </c>
    </row>
    <row r="1327" spans="1:12" x14ac:dyDescent="0.3">
      <c r="A1327" t="s">
        <v>2517</v>
      </c>
      <c r="B1327" t="s">
        <v>13</v>
      </c>
      <c r="C1327" t="s">
        <v>5777</v>
      </c>
      <c r="D1327" t="s">
        <v>2518</v>
      </c>
      <c r="E1327" t="s">
        <v>15</v>
      </c>
      <c r="F1327" t="s">
        <v>5770</v>
      </c>
      <c r="J1327" t="s">
        <v>5752</v>
      </c>
      <c r="K1327">
        <v>75</v>
      </c>
      <c r="L1327" t="str" cm="1">
        <f t="array" ref="L1327">_xlfn.IFS(
 K1327&lt;=50,"≤50",
 AND(K1327&gt;=51,K1327&lt;=100),"51–100",
 AND(K1327&gt;=101,K1327&lt;=250),"101–250",
 AND(K1327&gt;=251,K1327&lt;=500),"251–500",
 AND(K1327&gt;=501,K1327&lt;=1000),"501–1000",
 K1327&gt;=1001,"1001+"
)</f>
        <v>51–100</v>
      </c>
    </row>
    <row r="1328" spans="1:12" x14ac:dyDescent="0.3">
      <c r="A1328" t="s">
        <v>2519</v>
      </c>
      <c r="B1328" t="s">
        <v>9</v>
      </c>
      <c r="C1328" t="s">
        <v>5780</v>
      </c>
      <c r="D1328" t="s">
        <v>2520</v>
      </c>
      <c r="E1328" t="s">
        <v>15</v>
      </c>
      <c r="F1328" t="s">
        <v>20</v>
      </c>
      <c r="G1328" t="s">
        <v>21</v>
      </c>
      <c r="J1328" t="s">
        <v>5759</v>
      </c>
      <c r="K1328">
        <v>75</v>
      </c>
      <c r="L1328" t="str" cm="1">
        <f t="array" ref="L1328">_xlfn.IFS(
 K1328&lt;=50,"≤50",
 AND(K1328&gt;=51,K1328&lt;=100),"51–100",
 AND(K1328&gt;=101,K1328&lt;=250),"101–250",
 AND(K1328&gt;=251,K1328&lt;=500),"251–500",
 AND(K1328&gt;=501,K1328&lt;=1000),"501–1000",
 K1328&gt;=1001,"1001+"
)</f>
        <v>51–100</v>
      </c>
    </row>
    <row r="1329" spans="1:12" x14ac:dyDescent="0.3">
      <c r="A1329" t="s">
        <v>2521</v>
      </c>
      <c r="B1329" t="s">
        <v>13</v>
      </c>
      <c r="C1329" t="s">
        <v>5777</v>
      </c>
      <c r="D1329" t="s">
        <v>2522</v>
      </c>
      <c r="F1329" t="s">
        <v>20</v>
      </c>
      <c r="G1329" t="s">
        <v>2523</v>
      </c>
      <c r="J1329" t="s">
        <v>5746</v>
      </c>
      <c r="K1329">
        <v>75</v>
      </c>
      <c r="L1329" t="str" cm="1">
        <f t="array" ref="L1329">_xlfn.IFS(
 K1329&lt;=50,"≤50",
 AND(K1329&gt;=51,K1329&lt;=100),"51–100",
 AND(K1329&gt;=101,K1329&lt;=250),"101–250",
 AND(K1329&gt;=251,K1329&lt;=500),"251–500",
 AND(K1329&gt;=501,K1329&lt;=1000),"501–1000",
 K1329&gt;=1001,"1001+"
)</f>
        <v>51–100</v>
      </c>
    </row>
    <row r="1330" spans="1:12" x14ac:dyDescent="0.3">
      <c r="A1330" t="s">
        <v>2524</v>
      </c>
      <c r="B1330" t="s">
        <v>13</v>
      </c>
      <c r="C1330" t="s">
        <v>5777</v>
      </c>
      <c r="D1330" t="s">
        <v>2525</v>
      </c>
      <c r="E1330" t="s">
        <v>15</v>
      </c>
      <c r="F1330" t="s">
        <v>5770</v>
      </c>
      <c r="J1330" t="s">
        <v>5739</v>
      </c>
      <c r="K1330">
        <v>75</v>
      </c>
      <c r="L1330" t="str" cm="1">
        <f t="array" ref="L1330">_xlfn.IFS(
 K1330&lt;=50,"≤50",
 AND(K1330&gt;=51,K1330&lt;=100),"51–100",
 AND(K1330&gt;=101,K1330&lt;=250),"101–250",
 AND(K1330&gt;=251,K1330&lt;=500),"251–500",
 AND(K1330&gt;=501,K1330&lt;=1000),"501–1000",
 K1330&gt;=1001,"1001+"
)</f>
        <v>51–100</v>
      </c>
    </row>
    <row r="1331" spans="1:12" x14ac:dyDescent="0.3">
      <c r="A1331" t="s">
        <v>2526</v>
      </c>
      <c r="B1331" t="s">
        <v>9</v>
      </c>
      <c r="C1331" t="s">
        <v>5780</v>
      </c>
      <c r="D1331" t="s">
        <v>28</v>
      </c>
      <c r="F1331" t="s">
        <v>5770</v>
      </c>
      <c r="J1331" t="s">
        <v>5751</v>
      </c>
      <c r="K1331">
        <v>75</v>
      </c>
      <c r="L1331" t="str" cm="1">
        <f t="array" ref="L1331">_xlfn.IFS(
 K1331&lt;=50,"≤50",
 AND(K1331&gt;=51,K1331&lt;=100),"51–100",
 AND(K1331&gt;=101,K1331&lt;=250),"101–250",
 AND(K1331&gt;=251,K1331&lt;=500),"251–500",
 AND(K1331&gt;=501,K1331&lt;=1000),"501–1000",
 K1331&gt;=1001,"1001+"
)</f>
        <v>51–100</v>
      </c>
    </row>
    <row r="1332" spans="1:12" x14ac:dyDescent="0.3">
      <c r="A1332" t="s">
        <v>2527</v>
      </c>
      <c r="B1332" t="s">
        <v>9</v>
      </c>
      <c r="C1332" t="s">
        <v>5780</v>
      </c>
      <c r="D1332" t="s">
        <v>2528</v>
      </c>
      <c r="F1332" t="s">
        <v>20</v>
      </c>
      <c r="G1332" t="s">
        <v>135</v>
      </c>
      <c r="J1332" t="s">
        <v>5747</v>
      </c>
      <c r="K1332">
        <v>75</v>
      </c>
      <c r="L1332" t="str" cm="1">
        <f t="array" ref="L1332">_xlfn.IFS(
 K1332&lt;=50,"≤50",
 AND(K1332&gt;=51,K1332&lt;=100),"51–100",
 AND(K1332&gt;=101,K1332&lt;=250),"101–250",
 AND(K1332&gt;=251,K1332&lt;=500),"251–500",
 AND(K1332&gt;=501,K1332&lt;=1000),"501–1000",
 K1332&gt;=1001,"1001+"
)</f>
        <v>51–100</v>
      </c>
    </row>
    <row r="1333" spans="1:12" x14ac:dyDescent="0.3">
      <c r="A1333" t="s">
        <v>2529</v>
      </c>
      <c r="B1333" t="s">
        <v>13</v>
      </c>
      <c r="C1333" t="s">
        <v>5777</v>
      </c>
      <c r="D1333" t="s">
        <v>2530</v>
      </c>
      <c r="E1333" t="s">
        <v>15</v>
      </c>
      <c r="F1333" t="s">
        <v>20</v>
      </c>
      <c r="G1333" t="s">
        <v>21</v>
      </c>
      <c r="J1333" t="s">
        <v>5749</v>
      </c>
      <c r="K1333">
        <v>75</v>
      </c>
      <c r="L1333" t="str" cm="1">
        <f t="array" ref="L1333">_xlfn.IFS(
 K1333&lt;=50,"≤50",
 AND(K1333&gt;=51,K1333&lt;=100),"51–100",
 AND(K1333&gt;=101,K1333&lt;=250),"101–250",
 AND(K1333&gt;=251,K1333&lt;=500),"251–500",
 AND(K1333&gt;=501,K1333&lt;=1000),"501–1000",
 K1333&gt;=1001,"1001+"
)</f>
        <v>51–100</v>
      </c>
    </row>
    <row r="1334" spans="1:12" x14ac:dyDescent="0.3">
      <c r="A1334" t="s">
        <v>2531</v>
      </c>
      <c r="B1334" t="s">
        <v>11</v>
      </c>
      <c r="C1334" t="s">
        <v>5776</v>
      </c>
      <c r="F1334" t="s">
        <v>5770</v>
      </c>
      <c r="J1334" t="s">
        <v>5737</v>
      </c>
      <c r="K1334">
        <v>75</v>
      </c>
      <c r="L1334" t="str" cm="1">
        <f t="array" ref="L1334">_xlfn.IFS(
 K1334&lt;=50,"≤50",
 AND(K1334&gt;=51,K1334&lt;=100),"51–100",
 AND(K1334&gt;=101,K1334&lt;=250),"101–250",
 AND(K1334&gt;=251,K1334&lt;=500),"251–500",
 AND(K1334&gt;=501,K1334&lt;=1000),"501–1000",
 K1334&gt;=1001,"1001+"
)</f>
        <v>51–100</v>
      </c>
    </row>
    <row r="1335" spans="1:12" x14ac:dyDescent="0.3">
      <c r="A1335" t="s">
        <v>2532</v>
      </c>
      <c r="B1335" t="s">
        <v>13</v>
      </c>
      <c r="C1335" t="s">
        <v>5777</v>
      </c>
      <c r="D1335" t="s">
        <v>2533</v>
      </c>
      <c r="E1335" t="s">
        <v>15</v>
      </c>
      <c r="F1335" t="s">
        <v>16</v>
      </c>
      <c r="G1335" t="s">
        <v>2534</v>
      </c>
      <c r="J1335" t="s">
        <v>5737</v>
      </c>
      <c r="K1335">
        <v>75</v>
      </c>
      <c r="L1335" t="str" cm="1">
        <f t="array" ref="L1335">_xlfn.IFS(
 K1335&lt;=50,"≤50",
 AND(K1335&gt;=51,K1335&lt;=100),"51–100",
 AND(K1335&gt;=101,K1335&lt;=250),"101–250",
 AND(K1335&gt;=251,K1335&lt;=500),"251–500",
 AND(K1335&gt;=501,K1335&lt;=1000),"501–1000",
 K1335&gt;=1001,"1001+"
)</f>
        <v>51–100</v>
      </c>
    </row>
    <row r="1336" spans="1:12" x14ac:dyDescent="0.3">
      <c r="A1336" t="s">
        <v>2535</v>
      </c>
      <c r="B1336" t="s">
        <v>9</v>
      </c>
      <c r="C1336" t="s">
        <v>5780</v>
      </c>
      <c r="D1336" t="s">
        <v>2536</v>
      </c>
      <c r="F1336" t="s">
        <v>5770</v>
      </c>
      <c r="J1336" t="s">
        <v>5749</v>
      </c>
      <c r="K1336">
        <v>75</v>
      </c>
      <c r="L1336" t="str" cm="1">
        <f t="array" ref="L1336">_xlfn.IFS(
 K1336&lt;=50,"≤50",
 AND(K1336&gt;=51,K1336&lt;=100),"51–100",
 AND(K1336&gt;=101,K1336&lt;=250),"101–250",
 AND(K1336&gt;=251,K1336&lt;=500),"251–500",
 AND(K1336&gt;=501,K1336&lt;=1000),"501–1000",
 K1336&gt;=1001,"1001+"
)</f>
        <v>51–100</v>
      </c>
    </row>
    <row r="1337" spans="1:12" x14ac:dyDescent="0.3">
      <c r="A1337" t="s">
        <v>2537</v>
      </c>
      <c r="B1337" t="s">
        <v>11</v>
      </c>
      <c r="C1337" t="s">
        <v>5776</v>
      </c>
      <c r="F1337" t="s">
        <v>5770</v>
      </c>
      <c r="J1337" t="s">
        <v>5754</v>
      </c>
      <c r="K1337">
        <v>75</v>
      </c>
      <c r="L1337" t="str" cm="1">
        <f t="array" ref="L1337">_xlfn.IFS(
 K1337&lt;=50,"≤50",
 AND(K1337&gt;=51,K1337&lt;=100),"51–100",
 AND(K1337&gt;=101,K1337&lt;=250),"101–250",
 AND(K1337&gt;=251,K1337&lt;=500),"251–500",
 AND(K1337&gt;=501,K1337&lt;=1000),"501–1000",
 K1337&gt;=1001,"1001+"
)</f>
        <v>51–100</v>
      </c>
    </row>
    <row r="1338" spans="1:12" x14ac:dyDescent="0.3">
      <c r="A1338" t="s">
        <v>2538</v>
      </c>
      <c r="B1338" t="s">
        <v>11</v>
      </c>
      <c r="C1338" t="s">
        <v>5776</v>
      </c>
      <c r="F1338" t="s">
        <v>5770</v>
      </c>
      <c r="J1338" t="s">
        <v>5744</v>
      </c>
      <c r="K1338">
        <v>75</v>
      </c>
      <c r="L1338" t="str" cm="1">
        <f t="array" ref="L1338">_xlfn.IFS(
 K1338&lt;=50,"≤50",
 AND(K1338&gt;=51,K1338&lt;=100),"51–100",
 AND(K1338&gt;=101,K1338&lt;=250),"101–250",
 AND(K1338&gt;=251,K1338&lt;=500),"251–500",
 AND(K1338&gt;=501,K1338&lt;=1000),"501–1000",
 K1338&gt;=1001,"1001+"
)</f>
        <v>51–100</v>
      </c>
    </row>
    <row r="1339" spans="1:12" x14ac:dyDescent="0.3">
      <c r="A1339" t="s">
        <v>2539</v>
      </c>
      <c r="B1339" t="s">
        <v>11</v>
      </c>
      <c r="C1339" t="s">
        <v>5776</v>
      </c>
      <c r="F1339" t="s">
        <v>5770</v>
      </c>
      <c r="J1339" t="s">
        <v>5743</v>
      </c>
      <c r="K1339">
        <v>75</v>
      </c>
      <c r="L1339" t="str" cm="1">
        <f t="array" ref="L1339">_xlfn.IFS(
 K1339&lt;=50,"≤50",
 AND(K1339&gt;=51,K1339&lt;=100),"51–100",
 AND(K1339&gt;=101,K1339&lt;=250),"101–250",
 AND(K1339&gt;=251,K1339&lt;=500),"251–500",
 AND(K1339&gt;=501,K1339&lt;=1000),"501–1000",
 K1339&gt;=1001,"1001+"
)</f>
        <v>51–100</v>
      </c>
    </row>
    <row r="1340" spans="1:12" x14ac:dyDescent="0.3">
      <c r="A1340" t="s">
        <v>2540</v>
      </c>
      <c r="B1340" t="s">
        <v>9</v>
      </c>
      <c r="C1340" t="s">
        <v>5780</v>
      </c>
      <c r="D1340" t="s">
        <v>2541</v>
      </c>
      <c r="E1340" t="s">
        <v>15</v>
      </c>
      <c r="F1340" t="s">
        <v>16</v>
      </c>
      <c r="G1340" t="s">
        <v>2542</v>
      </c>
      <c r="J1340" t="s">
        <v>5737</v>
      </c>
      <c r="K1340">
        <v>75</v>
      </c>
      <c r="L1340" t="str" cm="1">
        <f t="array" ref="L1340">_xlfn.IFS(
 K1340&lt;=50,"≤50",
 AND(K1340&gt;=51,K1340&lt;=100),"51–100",
 AND(K1340&gt;=101,K1340&lt;=250),"101–250",
 AND(K1340&gt;=251,K1340&lt;=500),"251–500",
 AND(K1340&gt;=501,K1340&lt;=1000),"501–1000",
 K1340&gt;=1001,"1001+"
)</f>
        <v>51–100</v>
      </c>
    </row>
    <row r="1341" spans="1:12" x14ac:dyDescent="0.3">
      <c r="A1341" t="s">
        <v>2543</v>
      </c>
      <c r="B1341" t="s">
        <v>9</v>
      </c>
      <c r="C1341" t="s">
        <v>5780</v>
      </c>
      <c r="D1341" t="s">
        <v>2544</v>
      </c>
      <c r="E1341" t="s">
        <v>15</v>
      </c>
      <c r="F1341" t="s">
        <v>16</v>
      </c>
      <c r="G1341" t="s">
        <v>2545</v>
      </c>
      <c r="J1341" t="s">
        <v>5737</v>
      </c>
      <c r="K1341">
        <v>75</v>
      </c>
      <c r="L1341" t="str" cm="1">
        <f t="array" ref="L1341">_xlfn.IFS(
 K1341&lt;=50,"≤50",
 AND(K1341&gt;=51,K1341&lt;=100),"51–100",
 AND(K1341&gt;=101,K1341&lt;=250),"101–250",
 AND(K1341&gt;=251,K1341&lt;=500),"251–500",
 AND(K1341&gt;=501,K1341&lt;=1000),"501–1000",
 K1341&gt;=1001,"1001+"
)</f>
        <v>51–100</v>
      </c>
    </row>
    <row r="1342" spans="1:12" x14ac:dyDescent="0.3">
      <c r="A1342" t="s">
        <v>2546</v>
      </c>
      <c r="B1342" t="s">
        <v>13</v>
      </c>
      <c r="C1342" t="s">
        <v>5777</v>
      </c>
      <c r="D1342" t="s">
        <v>2547</v>
      </c>
      <c r="F1342" t="s">
        <v>20</v>
      </c>
      <c r="G1342" t="s">
        <v>42</v>
      </c>
      <c r="J1342" t="s">
        <v>5738</v>
      </c>
      <c r="K1342">
        <v>75</v>
      </c>
      <c r="L1342" t="str" cm="1">
        <f t="array" ref="L1342">_xlfn.IFS(
 K1342&lt;=50,"≤50",
 AND(K1342&gt;=51,K1342&lt;=100),"51–100",
 AND(K1342&gt;=101,K1342&lt;=250),"101–250",
 AND(K1342&gt;=251,K1342&lt;=500),"251–500",
 AND(K1342&gt;=501,K1342&lt;=1000),"501–1000",
 K1342&gt;=1001,"1001+"
)</f>
        <v>51–100</v>
      </c>
    </row>
    <row r="1343" spans="1:12" x14ac:dyDescent="0.3">
      <c r="A1343" t="s">
        <v>2548</v>
      </c>
      <c r="B1343" t="s">
        <v>9</v>
      </c>
      <c r="C1343" t="s">
        <v>5780</v>
      </c>
      <c r="D1343" t="s">
        <v>2549</v>
      </c>
      <c r="E1343" t="s">
        <v>15</v>
      </c>
      <c r="F1343" t="s">
        <v>16</v>
      </c>
      <c r="G1343" t="s">
        <v>2550</v>
      </c>
      <c r="J1343" t="s">
        <v>5750</v>
      </c>
      <c r="K1343">
        <v>75</v>
      </c>
      <c r="L1343" t="str" cm="1">
        <f t="array" ref="L1343">_xlfn.IFS(
 K1343&lt;=50,"≤50",
 AND(K1343&gt;=51,K1343&lt;=100),"51–100",
 AND(K1343&gt;=101,K1343&lt;=250),"101–250",
 AND(K1343&gt;=251,K1343&lt;=500),"251–500",
 AND(K1343&gt;=501,K1343&lt;=1000),"501–1000",
 K1343&gt;=1001,"1001+"
)</f>
        <v>51–100</v>
      </c>
    </row>
    <row r="1344" spans="1:12" x14ac:dyDescent="0.3">
      <c r="A1344" t="s">
        <v>2551</v>
      </c>
      <c r="B1344" t="s">
        <v>9</v>
      </c>
      <c r="C1344" t="s">
        <v>5780</v>
      </c>
      <c r="D1344" t="s">
        <v>28</v>
      </c>
      <c r="E1344" t="s">
        <v>15</v>
      </c>
      <c r="F1344" t="s">
        <v>20</v>
      </c>
      <c r="G1344" t="s">
        <v>2552</v>
      </c>
      <c r="J1344" t="s">
        <v>5746</v>
      </c>
      <c r="K1344">
        <v>75</v>
      </c>
      <c r="L1344" t="str" cm="1">
        <f t="array" ref="L1344">_xlfn.IFS(
 K1344&lt;=50,"≤50",
 AND(K1344&gt;=51,K1344&lt;=100),"51–100",
 AND(K1344&gt;=101,K1344&lt;=250),"101–250",
 AND(K1344&gt;=251,K1344&lt;=500),"251–500",
 AND(K1344&gt;=501,K1344&lt;=1000),"501–1000",
 K1344&gt;=1001,"1001+"
)</f>
        <v>51–100</v>
      </c>
    </row>
    <row r="1345" spans="1:12" x14ac:dyDescent="0.3">
      <c r="A1345" t="s">
        <v>2553</v>
      </c>
      <c r="B1345" t="s">
        <v>13</v>
      </c>
      <c r="C1345" t="s">
        <v>5777</v>
      </c>
      <c r="D1345" t="s">
        <v>576</v>
      </c>
      <c r="E1345" t="s">
        <v>15</v>
      </c>
      <c r="F1345" t="s">
        <v>16</v>
      </c>
      <c r="G1345" t="s">
        <v>2554</v>
      </c>
      <c r="J1345" t="s">
        <v>5737</v>
      </c>
      <c r="K1345">
        <v>75</v>
      </c>
      <c r="L1345" t="str" cm="1">
        <f t="array" ref="L1345">_xlfn.IFS(
 K1345&lt;=50,"≤50",
 AND(K1345&gt;=51,K1345&lt;=100),"51–100",
 AND(K1345&gt;=101,K1345&lt;=250),"101–250",
 AND(K1345&gt;=251,K1345&lt;=500),"251–500",
 AND(K1345&gt;=501,K1345&lt;=1000),"501–1000",
 K1345&gt;=1001,"1001+"
)</f>
        <v>51–100</v>
      </c>
    </row>
    <row r="1346" spans="1:12" x14ac:dyDescent="0.3">
      <c r="A1346" t="s">
        <v>2555</v>
      </c>
      <c r="B1346" t="s">
        <v>11</v>
      </c>
      <c r="C1346" t="s">
        <v>5776</v>
      </c>
      <c r="F1346" t="s">
        <v>5770</v>
      </c>
      <c r="J1346" t="s">
        <v>5753</v>
      </c>
      <c r="K1346">
        <v>75</v>
      </c>
      <c r="L1346" t="str" cm="1">
        <f t="array" ref="L1346">_xlfn.IFS(
 K1346&lt;=50,"≤50",
 AND(K1346&gt;=51,K1346&lt;=100),"51–100",
 AND(K1346&gt;=101,K1346&lt;=250),"101–250",
 AND(K1346&gt;=251,K1346&lt;=500),"251–500",
 AND(K1346&gt;=501,K1346&lt;=1000),"501–1000",
 K1346&gt;=1001,"1001+"
)</f>
        <v>51–100</v>
      </c>
    </row>
    <row r="1347" spans="1:12" x14ac:dyDescent="0.3">
      <c r="A1347" t="s">
        <v>2556</v>
      </c>
      <c r="B1347" t="s">
        <v>9</v>
      </c>
      <c r="C1347" t="s">
        <v>5780</v>
      </c>
      <c r="D1347" t="s">
        <v>2557</v>
      </c>
      <c r="E1347" t="s">
        <v>15</v>
      </c>
      <c r="F1347" t="s">
        <v>20</v>
      </c>
      <c r="G1347" t="s">
        <v>21</v>
      </c>
      <c r="J1347" t="s">
        <v>5760</v>
      </c>
      <c r="K1347">
        <v>76</v>
      </c>
      <c r="L1347" t="str" cm="1">
        <f t="array" ref="L1347">_xlfn.IFS(
 K1347&lt;=50,"≤50",
 AND(K1347&gt;=51,K1347&lt;=100),"51–100",
 AND(K1347&gt;=101,K1347&lt;=250),"101–250",
 AND(K1347&gt;=251,K1347&lt;=500),"251–500",
 AND(K1347&gt;=501,K1347&lt;=1000),"501–1000",
 K1347&gt;=1001,"1001+"
)</f>
        <v>51–100</v>
      </c>
    </row>
    <row r="1348" spans="1:12" x14ac:dyDescent="0.3">
      <c r="A1348" t="s">
        <v>2558</v>
      </c>
      <c r="B1348" t="s">
        <v>9</v>
      </c>
      <c r="C1348" t="s">
        <v>5780</v>
      </c>
      <c r="D1348" t="s">
        <v>28</v>
      </c>
      <c r="E1348" t="s">
        <v>15</v>
      </c>
      <c r="F1348" t="s">
        <v>16</v>
      </c>
      <c r="G1348" t="s">
        <v>2559</v>
      </c>
      <c r="J1348" t="s">
        <v>5737</v>
      </c>
      <c r="K1348">
        <v>76</v>
      </c>
      <c r="L1348" t="str" cm="1">
        <f t="array" ref="L1348">_xlfn.IFS(
 K1348&lt;=50,"≤50",
 AND(K1348&gt;=51,K1348&lt;=100),"51–100",
 AND(K1348&gt;=101,K1348&lt;=250),"101–250",
 AND(K1348&gt;=251,K1348&lt;=500),"251–500",
 AND(K1348&gt;=501,K1348&lt;=1000),"501–1000",
 K1348&gt;=1001,"1001+"
)</f>
        <v>51–100</v>
      </c>
    </row>
    <row r="1349" spans="1:12" x14ac:dyDescent="0.3">
      <c r="A1349" t="s">
        <v>2560</v>
      </c>
      <c r="B1349" t="s">
        <v>9</v>
      </c>
      <c r="C1349" t="s">
        <v>5780</v>
      </c>
      <c r="D1349" t="s">
        <v>28</v>
      </c>
      <c r="F1349" t="s">
        <v>5770</v>
      </c>
      <c r="J1349" t="s">
        <v>5740</v>
      </c>
      <c r="K1349">
        <v>76</v>
      </c>
      <c r="L1349" t="str" cm="1">
        <f t="array" ref="L1349">_xlfn.IFS(
 K1349&lt;=50,"≤50",
 AND(K1349&gt;=51,K1349&lt;=100),"51–100",
 AND(K1349&gt;=101,K1349&lt;=250),"101–250",
 AND(K1349&gt;=251,K1349&lt;=500),"251–500",
 AND(K1349&gt;=501,K1349&lt;=1000),"501–1000",
 K1349&gt;=1001,"1001+"
)</f>
        <v>51–100</v>
      </c>
    </row>
    <row r="1350" spans="1:12" x14ac:dyDescent="0.3">
      <c r="A1350" t="s">
        <v>2561</v>
      </c>
      <c r="B1350" t="s">
        <v>9</v>
      </c>
      <c r="C1350" t="s">
        <v>5780</v>
      </c>
      <c r="D1350" t="s">
        <v>2562</v>
      </c>
      <c r="F1350" t="s">
        <v>5770</v>
      </c>
      <c r="J1350" t="s">
        <v>5737</v>
      </c>
      <c r="K1350">
        <v>77</v>
      </c>
      <c r="L1350" t="str" cm="1">
        <f t="array" ref="L1350">_xlfn.IFS(
 K1350&lt;=50,"≤50",
 AND(K1350&gt;=51,K1350&lt;=100),"51–100",
 AND(K1350&gt;=101,K1350&lt;=250),"101–250",
 AND(K1350&gt;=251,K1350&lt;=500),"251–500",
 AND(K1350&gt;=501,K1350&lt;=1000),"501–1000",
 K1350&gt;=1001,"1001+"
)</f>
        <v>51–100</v>
      </c>
    </row>
    <row r="1351" spans="1:12" x14ac:dyDescent="0.3">
      <c r="A1351" t="s">
        <v>2563</v>
      </c>
      <c r="B1351" t="s">
        <v>13</v>
      </c>
      <c r="C1351" t="s">
        <v>5777</v>
      </c>
      <c r="D1351" t="s">
        <v>2564</v>
      </c>
      <c r="E1351" t="s">
        <v>15</v>
      </c>
      <c r="F1351" t="s">
        <v>5770</v>
      </c>
      <c r="J1351" t="s">
        <v>5738</v>
      </c>
      <c r="K1351">
        <v>78</v>
      </c>
      <c r="L1351" t="str" cm="1">
        <f t="array" ref="L1351">_xlfn.IFS(
 K1351&lt;=50,"≤50",
 AND(K1351&gt;=51,K1351&lt;=100),"51–100",
 AND(K1351&gt;=101,K1351&lt;=250),"101–250",
 AND(K1351&gt;=251,K1351&lt;=500),"251–500",
 AND(K1351&gt;=501,K1351&lt;=1000),"501–1000",
 K1351&gt;=1001,"1001+"
)</f>
        <v>51–100</v>
      </c>
    </row>
    <row r="1352" spans="1:12" x14ac:dyDescent="0.3">
      <c r="A1352" t="s">
        <v>2565</v>
      </c>
      <c r="B1352" t="s">
        <v>9</v>
      </c>
      <c r="C1352" t="s">
        <v>5780</v>
      </c>
      <c r="D1352" t="s">
        <v>28</v>
      </c>
      <c r="E1352" t="s">
        <v>15</v>
      </c>
      <c r="F1352" t="s">
        <v>16</v>
      </c>
      <c r="G1352" t="s">
        <v>45</v>
      </c>
      <c r="J1352" t="s">
        <v>5737</v>
      </c>
      <c r="K1352">
        <v>78</v>
      </c>
      <c r="L1352" t="str" cm="1">
        <f t="array" ref="L1352">_xlfn.IFS(
 K1352&lt;=50,"≤50",
 AND(K1352&gt;=51,K1352&lt;=100),"51–100",
 AND(K1352&gt;=101,K1352&lt;=250),"101–250",
 AND(K1352&gt;=251,K1352&lt;=500),"251–500",
 AND(K1352&gt;=501,K1352&lt;=1000),"501–1000",
 K1352&gt;=1001,"1001+"
)</f>
        <v>51–100</v>
      </c>
    </row>
    <row r="1353" spans="1:12" x14ac:dyDescent="0.3">
      <c r="A1353" t="s">
        <v>2566</v>
      </c>
      <c r="B1353" t="s">
        <v>9</v>
      </c>
      <c r="C1353" t="s">
        <v>5780</v>
      </c>
      <c r="D1353" t="s">
        <v>2567</v>
      </c>
      <c r="F1353" t="s">
        <v>5770</v>
      </c>
      <c r="J1353" t="s">
        <v>5760</v>
      </c>
      <c r="K1353">
        <v>79</v>
      </c>
      <c r="L1353" t="str" cm="1">
        <f t="array" ref="L1353">_xlfn.IFS(
 K1353&lt;=50,"≤50",
 AND(K1353&gt;=51,K1353&lt;=100),"51–100",
 AND(K1353&gt;=101,K1353&lt;=250),"101–250",
 AND(K1353&gt;=251,K1353&lt;=500),"251–500",
 AND(K1353&gt;=501,K1353&lt;=1000),"501–1000",
 K1353&gt;=1001,"1001+"
)</f>
        <v>51–100</v>
      </c>
    </row>
    <row r="1354" spans="1:12" x14ac:dyDescent="0.3">
      <c r="A1354" t="s">
        <v>2568</v>
      </c>
      <c r="B1354" t="s">
        <v>9</v>
      </c>
      <c r="C1354" t="s">
        <v>5780</v>
      </c>
      <c r="D1354" t="s">
        <v>2569</v>
      </c>
      <c r="E1354" t="s">
        <v>15</v>
      </c>
      <c r="F1354" t="s">
        <v>54</v>
      </c>
      <c r="G1354" t="s">
        <v>2570</v>
      </c>
      <c r="J1354" t="s">
        <v>5737</v>
      </c>
      <c r="K1354">
        <v>80</v>
      </c>
      <c r="L1354" t="str" cm="1">
        <f t="array" ref="L1354">_xlfn.IFS(
 K1354&lt;=50,"≤50",
 AND(K1354&gt;=51,K1354&lt;=100),"51–100",
 AND(K1354&gt;=101,K1354&lt;=250),"101–250",
 AND(K1354&gt;=251,K1354&lt;=500),"251–500",
 AND(K1354&gt;=501,K1354&lt;=1000),"501–1000",
 K1354&gt;=1001,"1001+"
)</f>
        <v>51–100</v>
      </c>
    </row>
    <row r="1355" spans="1:12" x14ac:dyDescent="0.3">
      <c r="A1355" t="s">
        <v>2571</v>
      </c>
      <c r="B1355" t="s">
        <v>9</v>
      </c>
      <c r="C1355" t="s">
        <v>5780</v>
      </c>
      <c r="D1355" t="s">
        <v>28</v>
      </c>
      <c r="E1355" t="s">
        <v>15</v>
      </c>
      <c r="F1355" t="s">
        <v>5770</v>
      </c>
      <c r="J1355" t="s">
        <v>5737</v>
      </c>
      <c r="K1355">
        <v>80</v>
      </c>
      <c r="L1355" t="str" cm="1">
        <f t="array" ref="L1355">_xlfn.IFS(
 K1355&lt;=50,"≤50",
 AND(K1355&gt;=51,K1355&lt;=100),"51–100",
 AND(K1355&gt;=101,K1355&lt;=250),"101–250",
 AND(K1355&gt;=251,K1355&lt;=500),"251–500",
 AND(K1355&gt;=501,K1355&lt;=1000),"501–1000",
 K1355&gt;=1001,"1001+"
)</f>
        <v>51–100</v>
      </c>
    </row>
    <row r="1356" spans="1:12" x14ac:dyDescent="0.3">
      <c r="A1356" t="s">
        <v>2572</v>
      </c>
      <c r="B1356" t="s">
        <v>13</v>
      </c>
      <c r="C1356" t="s">
        <v>5777</v>
      </c>
      <c r="D1356" t="s">
        <v>2573</v>
      </c>
      <c r="E1356" t="s">
        <v>15</v>
      </c>
      <c r="F1356" t="s">
        <v>20</v>
      </c>
      <c r="G1356" t="s">
        <v>2574</v>
      </c>
      <c r="J1356" t="s">
        <v>5738</v>
      </c>
      <c r="K1356">
        <v>80</v>
      </c>
      <c r="L1356" t="str" cm="1">
        <f t="array" ref="L1356">_xlfn.IFS(
 K1356&lt;=50,"≤50",
 AND(K1356&gt;=51,K1356&lt;=100),"51–100",
 AND(K1356&gt;=101,K1356&lt;=250),"101–250",
 AND(K1356&gt;=251,K1356&lt;=500),"251–500",
 AND(K1356&gt;=501,K1356&lt;=1000),"501–1000",
 K1356&gt;=1001,"1001+"
)</f>
        <v>51–100</v>
      </c>
    </row>
    <row r="1357" spans="1:12" x14ac:dyDescent="0.3">
      <c r="A1357" t="s">
        <v>2575</v>
      </c>
      <c r="B1357" t="s">
        <v>9</v>
      </c>
      <c r="C1357" t="s">
        <v>5780</v>
      </c>
      <c r="D1357" t="s">
        <v>28</v>
      </c>
      <c r="E1357" t="s">
        <v>15</v>
      </c>
      <c r="F1357" t="s">
        <v>5770</v>
      </c>
      <c r="J1357" t="s">
        <v>5737</v>
      </c>
      <c r="K1357">
        <v>80</v>
      </c>
      <c r="L1357" t="str" cm="1">
        <f t="array" ref="L1357">_xlfn.IFS(
 K1357&lt;=50,"≤50",
 AND(K1357&gt;=51,K1357&lt;=100),"51–100",
 AND(K1357&gt;=101,K1357&lt;=250),"101–250",
 AND(K1357&gt;=251,K1357&lt;=500),"251–500",
 AND(K1357&gt;=501,K1357&lt;=1000),"501–1000",
 K1357&gt;=1001,"1001+"
)</f>
        <v>51–100</v>
      </c>
    </row>
    <row r="1358" spans="1:12" x14ac:dyDescent="0.3">
      <c r="A1358" t="s">
        <v>2576</v>
      </c>
      <c r="B1358" t="s">
        <v>11</v>
      </c>
      <c r="C1358" t="s">
        <v>5776</v>
      </c>
      <c r="F1358" t="s">
        <v>5770</v>
      </c>
      <c r="J1358" t="s">
        <v>5737</v>
      </c>
      <c r="K1358">
        <v>80</v>
      </c>
      <c r="L1358" t="str" cm="1">
        <f t="array" ref="L1358">_xlfn.IFS(
 K1358&lt;=50,"≤50",
 AND(K1358&gt;=51,K1358&lt;=100),"51–100",
 AND(K1358&gt;=101,K1358&lt;=250),"101–250",
 AND(K1358&gt;=251,K1358&lt;=500),"251–500",
 AND(K1358&gt;=501,K1358&lt;=1000),"501–1000",
 K1358&gt;=1001,"1001+"
)</f>
        <v>51–100</v>
      </c>
    </row>
    <row r="1359" spans="1:12" x14ac:dyDescent="0.3">
      <c r="A1359" t="s">
        <v>2577</v>
      </c>
      <c r="B1359" t="s">
        <v>9</v>
      </c>
      <c r="C1359" t="s">
        <v>5780</v>
      </c>
      <c r="D1359" t="s">
        <v>1896</v>
      </c>
      <c r="E1359" t="s">
        <v>15</v>
      </c>
      <c r="F1359" t="s">
        <v>20</v>
      </c>
      <c r="G1359" t="s">
        <v>2578</v>
      </c>
      <c r="J1359" t="s">
        <v>5742</v>
      </c>
      <c r="K1359">
        <v>80</v>
      </c>
      <c r="L1359" t="str" cm="1">
        <f t="array" ref="L1359">_xlfn.IFS(
 K1359&lt;=50,"≤50",
 AND(K1359&gt;=51,K1359&lt;=100),"51–100",
 AND(K1359&gt;=101,K1359&lt;=250),"101–250",
 AND(K1359&gt;=251,K1359&lt;=500),"251–500",
 AND(K1359&gt;=501,K1359&lt;=1000),"501–1000",
 K1359&gt;=1001,"1001+"
)</f>
        <v>51–100</v>
      </c>
    </row>
    <row r="1360" spans="1:12" x14ac:dyDescent="0.3">
      <c r="A1360" t="s">
        <v>2579</v>
      </c>
      <c r="B1360" t="s">
        <v>9</v>
      </c>
      <c r="C1360" t="s">
        <v>5780</v>
      </c>
      <c r="D1360" t="s">
        <v>2580</v>
      </c>
      <c r="E1360" t="s">
        <v>15</v>
      </c>
      <c r="F1360" t="s">
        <v>5770</v>
      </c>
      <c r="J1360" t="s">
        <v>5750</v>
      </c>
      <c r="K1360">
        <v>80</v>
      </c>
      <c r="L1360" t="str" cm="1">
        <f t="array" ref="L1360">_xlfn.IFS(
 K1360&lt;=50,"≤50",
 AND(K1360&gt;=51,K1360&lt;=100),"51–100",
 AND(K1360&gt;=101,K1360&lt;=250),"101–250",
 AND(K1360&gt;=251,K1360&lt;=500),"251–500",
 AND(K1360&gt;=501,K1360&lt;=1000),"501–1000",
 K1360&gt;=1001,"1001+"
)</f>
        <v>51–100</v>
      </c>
    </row>
    <row r="1361" spans="1:12" x14ac:dyDescent="0.3">
      <c r="A1361" t="s">
        <v>2581</v>
      </c>
      <c r="B1361" t="s">
        <v>9</v>
      </c>
      <c r="C1361" t="s">
        <v>5780</v>
      </c>
      <c r="D1361" t="s">
        <v>2582</v>
      </c>
      <c r="E1361" t="s">
        <v>15</v>
      </c>
      <c r="F1361" t="s">
        <v>16</v>
      </c>
      <c r="G1361" t="s">
        <v>2583</v>
      </c>
      <c r="J1361" t="s">
        <v>5737</v>
      </c>
      <c r="K1361">
        <v>80</v>
      </c>
      <c r="L1361" t="str" cm="1">
        <f t="array" ref="L1361">_xlfn.IFS(
 K1361&lt;=50,"≤50",
 AND(K1361&gt;=51,K1361&lt;=100),"51–100",
 AND(K1361&gt;=101,K1361&lt;=250),"101–250",
 AND(K1361&gt;=251,K1361&lt;=500),"251–500",
 AND(K1361&gt;=501,K1361&lt;=1000),"501–1000",
 K1361&gt;=1001,"1001+"
)</f>
        <v>51–100</v>
      </c>
    </row>
    <row r="1362" spans="1:12" x14ac:dyDescent="0.3">
      <c r="A1362" t="s">
        <v>2584</v>
      </c>
      <c r="B1362" t="s">
        <v>9</v>
      </c>
      <c r="C1362" t="s">
        <v>5780</v>
      </c>
      <c r="D1362" t="s">
        <v>28</v>
      </c>
      <c r="E1362" t="s">
        <v>15</v>
      </c>
      <c r="F1362" t="s">
        <v>20</v>
      </c>
      <c r="G1362" t="s">
        <v>42</v>
      </c>
      <c r="J1362" t="s">
        <v>5737</v>
      </c>
      <c r="K1362">
        <v>80</v>
      </c>
      <c r="L1362" t="str" cm="1">
        <f t="array" ref="L1362">_xlfn.IFS(
 K1362&lt;=50,"≤50",
 AND(K1362&gt;=51,K1362&lt;=100),"51–100",
 AND(K1362&gt;=101,K1362&lt;=250),"101–250",
 AND(K1362&gt;=251,K1362&lt;=500),"251–500",
 AND(K1362&gt;=501,K1362&lt;=1000),"501–1000",
 K1362&gt;=1001,"1001+"
)</f>
        <v>51–100</v>
      </c>
    </row>
    <row r="1363" spans="1:12" x14ac:dyDescent="0.3">
      <c r="A1363" t="s">
        <v>2585</v>
      </c>
      <c r="B1363" t="s">
        <v>9</v>
      </c>
      <c r="C1363" t="s">
        <v>5780</v>
      </c>
      <c r="D1363" t="s">
        <v>2586</v>
      </c>
      <c r="E1363" t="s">
        <v>15</v>
      </c>
      <c r="F1363" t="s">
        <v>16</v>
      </c>
      <c r="G1363" t="s">
        <v>2587</v>
      </c>
      <c r="J1363" t="s">
        <v>5737</v>
      </c>
      <c r="K1363">
        <v>80</v>
      </c>
      <c r="L1363" t="str" cm="1">
        <f t="array" ref="L1363">_xlfn.IFS(
 K1363&lt;=50,"≤50",
 AND(K1363&gt;=51,K1363&lt;=100),"51–100",
 AND(K1363&gt;=101,K1363&lt;=250),"101–250",
 AND(K1363&gt;=251,K1363&lt;=500),"251–500",
 AND(K1363&gt;=501,K1363&lt;=1000),"501–1000",
 K1363&gt;=1001,"1001+"
)</f>
        <v>51–100</v>
      </c>
    </row>
    <row r="1364" spans="1:12" x14ac:dyDescent="0.3">
      <c r="A1364" t="s">
        <v>2588</v>
      </c>
      <c r="B1364" t="s">
        <v>9</v>
      </c>
      <c r="C1364" t="s">
        <v>5780</v>
      </c>
      <c r="D1364" t="s">
        <v>2589</v>
      </c>
      <c r="E1364" t="s">
        <v>15</v>
      </c>
      <c r="F1364" t="s">
        <v>16</v>
      </c>
      <c r="G1364" t="s">
        <v>2590</v>
      </c>
      <c r="J1364" t="s">
        <v>5744</v>
      </c>
      <c r="K1364">
        <v>80</v>
      </c>
      <c r="L1364" t="str" cm="1">
        <f t="array" ref="L1364">_xlfn.IFS(
 K1364&lt;=50,"≤50",
 AND(K1364&gt;=51,K1364&lt;=100),"51–100",
 AND(K1364&gt;=101,K1364&lt;=250),"101–250",
 AND(K1364&gt;=251,K1364&lt;=500),"251–500",
 AND(K1364&gt;=501,K1364&lt;=1000),"501–1000",
 K1364&gt;=1001,"1001+"
)</f>
        <v>51–100</v>
      </c>
    </row>
    <row r="1365" spans="1:12" x14ac:dyDescent="0.3">
      <c r="A1365" t="s">
        <v>2591</v>
      </c>
      <c r="B1365" t="s">
        <v>9</v>
      </c>
      <c r="C1365" t="s">
        <v>5780</v>
      </c>
      <c r="D1365" t="s">
        <v>2592</v>
      </c>
      <c r="E1365" t="s">
        <v>15</v>
      </c>
      <c r="F1365" t="s">
        <v>20</v>
      </c>
      <c r="G1365" t="s">
        <v>2593</v>
      </c>
      <c r="J1365" t="s">
        <v>5755</v>
      </c>
      <c r="K1365">
        <v>80</v>
      </c>
      <c r="L1365" t="str" cm="1">
        <f t="array" ref="L1365">_xlfn.IFS(
 K1365&lt;=50,"≤50",
 AND(K1365&gt;=51,K1365&lt;=100),"51–100",
 AND(K1365&gt;=101,K1365&lt;=250),"101–250",
 AND(K1365&gt;=251,K1365&lt;=500),"251–500",
 AND(K1365&gt;=501,K1365&lt;=1000),"501–1000",
 K1365&gt;=1001,"1001+"
)</f>
        <v>51–100</v>
      </c>
    </row>
    <row r="1366" spans="1:12" x14ac:dyDescent="0.3">
      <c r="A1366" t="s">
        <v>2594</v>
      </c>
      <c r="B1366" t="s">
        <v>9</v>
      </c>
      <c r="C1366" t="s">
        <v>5780</v>
      </c>
      <c r="D1366" t="s">
        <v>2595</v>
      </c>
      <c r="E1366" t="s">
        <v>15</v>
      </c>
      <c r="F1366" t="s">
        <v>20</v>
      </c>
      <c r="G1366" t="s">
        <v>2596</v>
      </c>
      <c r="J1366" t="s">
        <v>5758</v>
      </c>
      <c r="K1366">
        <v>80</v>
      </c>
      <c r="L1366" t="str" cm="1">
        <f t="array" ref="L1366">_xlfn.IFS(
 K1366&lt;=50,"≤50",
 AND(K1366&gt;=51,K1366&lt;=100),"51–100",
 AND(K1366&gt;=101,K1366&lt;=250),"101–250",
 AND(K1366&gt;=251,K1366&lt;=500),"251–500",
 AND(K1366&gt;=501,K1366&lt;=1000),"501–1000",
 K1366&gt;=1001,"1001+"
)</f>
        <v>51–100</v>
      </c>
    </row>
    <row r="1367" spans="1:12" x14ac:dyDescent="0.3">
      <c r="A1367" t="s">
        <v>2597</v>
      </c>
      <c r="B1367" t="s">
        <v>9</v>
      </c>
      <c r="C1367" t="s">
        <v>5780</v>
      </c>
      <c r="D1367" t="s">
        <v>2598</v>
      </c>
      <c r="E1367" t="s">
        <v>15</v>
      </c>
      <c r="F1367" t="s">
        <v>54</v>
      </c>
      <c r="G1367" t="s">
        <v>2599</v>
      </c>
      <c r="J1367" t="s">
        <v>5756</v>
      </c>
      <c r="K1367">
        <v>80</v>
      </c>
      <c r="L1367" t="str" cm="1">
        <f t="array" ref="L1367">_xlfn.IFS(
 K1367&lt;=50,"≤50",
 AND(K1367&gt;=51,K1367&lt;=100),"51–100",
 AND(K1367&gt;=101,K1367&lt;=250),"101–250",
 AND(K1367&gt;=251,K1367&lt;=500),"251–500",
 AND(K1367&gt;=501,K1367&lt;=1000),"501–1000",
 K1367&gt;=1001,"1001+"
)</f>
        <v>51–100</v>
      </c>
    </row>
    <row r="1368" spans="1:12" x14ac:dyDescent="0.3">
      <c r="A1368" t="s">
        <v>2600</v>
      </c>
      <c r="B1368" t="s">
        <v>11</v>
      </c>
      <c r="C1368" t="s">
        <v>5776</v>
      </c>
      <c r="F1368" t="s">
        <v>5770</v>
      </c>
      <c r="J1368" t="s">
        <v>5738</v>
      </c>
      <c r="K1368">
        <v>80</v>
      </c>
      <c r="L1368" t="str" cm="1">
        <f t="array" ref="L1368">_xlfn.IFS(
 K1368&lt;=50,"≤50",
 AND(K1368&gt;=51,K1368&lt;=100),"51–100",
 AND(K1368&gt;=101,K1368&lt;=250),"101–250",
 AND(K1368&gt;=251,K1368&lt;=500),"251–500",
 AND(K1368&gt;=501,K1368&lt;=1000),"501–1000",
 K1368&gt;=1001,"1001+"
)</f>
        <v>51–100</v>
      </c>
    </row>
    <row r="1369" spans="1:12" x14ac:dyDescent="0.3">
      <c r="A1369" t="s">
        <v>2601</v>
      </c>
      <c r="B1369" t="s">
        <v>11</v>
      </c>
      <c r="C1369" t="s">
        <v>5776</v>
      </c>
      <c r="F1369" t="s">
        <v>5770</v>
      </c>
      <c r="J1369" t="s">
        <v>5751</v>
      </c>
      <c r="K1369">
        <v>80</v>
      </c>
      <c r="L1369" t="str" cm="1">
        <f t="array" ref="L1369">_xlfn.IFS(
 K1369&lt;=50,"≤50",
 AND(K1369&gt;=51,K1369&lt;=100),"51–100",
 AND(K1369&gt;=101,K1369&lt;=250),"101–250",
 AND(K1369&gt;=251,K1369&lt;=500),"251–500",
 AND(K1369&gt;=501,K1369&lt;=1000),"501–1000",
 K1369&gt;=1001,"1001+"
)</f>
        <v>51–100</v>
      </c>
    </row>
    <row r="1370" spans="1:12" x14ac:dyDescent="0.3">
      <c r="A1370" t="s">
        <v>2602</v>
      </c>
      <c r="B1370" t="s">
        <v>11</v>
      </c>
      <c r="C1370" t="s">
        <v>5776</v>
      </c>
      <c r="F1370" t="s">
        <v>5770</v>
      </c>
      <c r="J1370" t="s">
        <v>5752</v>
      </c>
      <c r="K1370">
        <v>80</v>
      </c>
      <c r="L1370" t="str" cm="1">
        <f t="array" ref="L1370">_xlfn.IFS(
 K1370&lt;=50,"≤50",
 AND(K1370&gt;=51,K1370&lt;=100),"51–100",
 AND(K1370&gt;=101,K1370&lt;=250),"101–250",
 AND(K1370&gt;=251,K1370&lt;=500),"251–500",
 AND(K1370&gt;=501,K1370&lt;=1000),"501–1000",
 K1370&gt;=1001,"1001+"
)</f>
        <v>51–100</v>
      </c>
    </row>
    <row r="1371" spans="1:12" x14ac:dyDescent="0.3">
      <c r="A1371" t="s">
        <v>2603</v>
      </c>
      <c r="B1371" t="s">
        <v>9</v>
      </c>
      <c r="C1371" t="s">
        <v>5780</v>
      </c>
      <c r="D1371" t="s">
        <v>2212</v>
      </c>
      <c r="F1371" t="s">
        <v>5770</v>
      </c>
      <c r="J1371" t="s">
        <v>5743</v>
      </c>
      <c r="K1371">
        <v>80</v>
      </c>
      <c r="L1371" t="str" cm="1">
        <f t="array" ref="L1371">_xlfn.IFS(
 K1371&lt;=50,"≤50",
 AND(K1371&gt;=51,K1371&lt;=100),"51–100",
 AND(K1371&gt;=101,K1371&lt;=250),"101–250",
 AND(K1371&gt;=251,K1371&lt;=500),"251–500",
 AND(K1371&gt;=501,K1371&lt;=1000),"501–1000",
 K1371&gt;=1001,"1001+"
)</f>
        <v>51–100</v>
      </c>
    </row>
    <row r="1372" spans="1:12" x14ac:dyDescent="0.3">
      <c r="A1372" t="s">
        <v>2604</v>
      </c>
      <c r="B1372" t="s">
        <v>9</v>
      </c>
      <c r="C1372" t="s">
        <v>5780</v>
      </c>
      <c r="D1372" t="s">
        <v>1680</v>
      </c>
      <c r="F1372" t="s">
        <v>16</v>
      </c>
      <c r="G1372" t="s">
        <v>1681</v>
      </c>
      <c r="J1372" t="s">
        <v>5755</v>
      </c>
      <c r="K1372">
        <v>80</v>
      </c>
      <c r="L1372" t="str" cm="1">
        <f t="array" ref="L1372">_xlfn.IFS(
 K1372&lt;=50,"≤50",
 AND(K1372&gt;=51,K1372&lt;=100),"51–100",
 AND(K1372&gt;=101,K1372&lt;=250),"101–250",
 AND(K1372&gt;=251,K1372&lt;=500),"251–500",
 AND(K1372&gt;=501,K1372&lt;=1000),"501–1000",
 K1372&gt;=1001,"1001+"
)</f>
        <v>51–100</v>
      </c>
    </row>
    <row r="1373" spans="1:12" x14ac:dyDescent="0.3">
      <c r="A1373" t="s">
        <v>2605</v>
      </c>
      <c r="B1373" t="s">
        <v>9</v>
      </c>
      <c r="C1373" t="s">
        <v>5780</v>
      </c>
      <c r="D1373" t="s">
        <v>28</v>
      </c>
      <c r="F1373" t="s">
        <v>5770</v>
      </c>
      <c r="J1373" t="s">
        <v>5738</v>
      </c>
      <c r="K1373">
        <v>80</v>
      </c>
      <c r="L1373" t="str" cm="1">
        <f t="array" ref="L1373">_xlfn.IFS(
 K1373&lt;=50,"≤50",
 AND(K1373&gt;=51,K1373&lt;=100),"51–100",
 AND(K1373&gt;=101,K1373&lt;=250),"101–250",
 AND(K1373&gt;=251,K1373&lt;=500),"251–500",
 AND(K1373&gt;=501,K1373&lt;=1000),"501–1000",
 K1373&gt;=1001,"1001+"
)</f>
        <v>51–100</v>
      </c>
    </row>
    <row r="1374" spans="1:12" x14ac:dyDescent="0.3">
      <c r="A1374" t="s">
        <v>2606</v>
      </c>
      <c r="B1374" t="s">
        <v>9</v>
      </c>
      <c r="C1374" t="s">
        <v>5780</v>
      </c>
      <c r="D1374" t="s">
        <v>301</v>
      </c>
      <c r="F1374" t="s">
        <v>5770</v>
      </c>
      <c r="J1374" t="s">
        <v>5743</v>
      </c>
      <c r="K1374">
        <v>80</v>
      </c>
      <c r="L1374" t="str" cm="1">
        <f t="array" ref="L1374">_xlfn.IFS(
 K1374&lt;=50,"≤50",
 AND(K1374&gt;=51,K1374&lt;=100),"51–100",
 AND(K1374&gt;=101,K1374&lt;=250),"101–250",
 AND(K1374&gt;=251,K1374&lt;=500),"251–500",
 AND(K1374&gt;=501,K1374&lt;=1000),"501–1000",
 K1374&gt;=1001,"1001+"
)</f>
        <v>51–100</v>
      </c>
    </row>
    <row r="1375" spans="1:12" x14ac:dyDescent="0.3">
      <c r="A1375" t="s">
        <v>2607</v>
      </c>
      <c r="B1375" t="s">
        <v>13</v>
      </c>
      <c r="C1375" t="s">
        <v>5777</v>
      </c>
      <c r="D1375" t="s">
        <v>2608</v>
      </c>
      <c r="F1375" t="s">
        <v>5770</v>
      </c>
      <c r="J1375" t="s">
        <v>5737</v>
      </c>
      <c r="K1375">
        <v>80</v>
      </c>
      <c r="L1375" t="str" cm="1">
        <f t="array" ref="L1375">_xlfn.IFS(
 K1375&lt;=50,"≤50",
 AND(K1375&gt;=51,K1375&lt;=100),"51–100",
 AND(K1375&gt;=101,K1375&lt;=250),"101–250",
 AND(K1375&gt;=251,K1375&lt;=500),"251–500",
 AND(K1375&gt;=501,K1375&lt;=1000),"501–1000",
 K1375&gt;=1001,"1001+"
)</f>
        <v>51–100</v>
      </c>
    </row>
    <row r="1376" spans="1:12" x14ac:dyDescent="0.3">
      <c r="A1376" t="s">
        <v>2609</v>
      </c>
      <c r="B1376" t="s">
        <v>9</v>
      </c>
      <c r="C1376" t="s">
        <v>5780</v>
      </c>
      <c r="D1376" t="s">
        <v>28</v>
      </c>
      <c r="F1376" t="s">
        <v>5770</v>
      </c>
      <c r="J1376" t="s">
        <v>5744</v>
      </c>
      <c r="K1376">
        <v>80</v>
      </c>
      <c r="L1376" t="str" cm="1">
        <f t="array" ref="L1376">_xlfn.IFS(
 K1376&lt;=50,"≤50",
 AND(K1376&gt;=51,K1376&lt;=100),"51–100",
 AND(K1376&gt;=101,K1376&lt;=250),"101–250",
 AND(K1376&gt;=251,K1376&lt;=500),"251–500",
 AND(K1376&gt;=501,K1376&lt;=1000),"501–1000",
 K1376&gt;=1001,"1001+"
)</f>
        <v>51–100</v>
      </c>
    </row>
    <row r="1377" spans="1:12" x14ac:dyDescent="0.3">
      <c r="A1377" t="s">
        <v>2610</v>
      </c>
      <c r="B1377" t="s">
        <v>9</v>
      </c>
      <c r="C1377" t="s">
        <v>5780</v>
      </c>
      <c r="D1377" t="s">
        <v>2611</v>
      </c>
      <c r="E1377" t="s">
        <v>15</v>
      </c>
      <c r="F1377" t="s">
        <v>16</v>
      </c>
      <c r="G1377" t="s">
        <v>2612</v>
      </c>
      <c r="J1377" t="s">
        <v>5737</v>
      </c>
      <c r="K1377">
        <v>80</v>
      </c>
      <c r="L1377" t="str" cm="1">
        <f t="array" ref="L1377">_xlfn.IFS(
 K1377&lt;=50,"≤50",
 AND(K1377&gt;=51,K1377&lt;=100),"51–100",
 AND(K1377&gt;=101,K1377&lt;=250),"101–250",
 AND(K1377&gt;=251,K1377&lt;=500),"251–500",
 AND(K1377&gt;=501,K1377&lt;=1000),"501–1000",
 K1377&gt;=1001,"1001+"
)</f>
        <v>51–100</v>
      </c>
    </row>
    <row r="1378" spans="1:12" x14ac:dyDescent="0.3">
      <c r="A1378" t="s">
        <v>2613</v>
      </c>
      <c r="B1378" t="s">
        <v>13</v>
      </c>
      <c r="C1378" t="s">
        <v>5777</v>
      </c>
      <c r="D1378" t="s">
        <v>2614</v>
      </c>
      <c r="E1378" t="s">
        <v>15</v>
      </c>
      <c r="F1378" t="s">
        <v>20</v>
      </c>
      <c r="G1378" t="s">
        <v>1423</v>
      </c>
      <c r="J1378" t="s">
        <v>5737</v>
      </c>
      <c r="K1378">
        <v>80</v>
      </c>
      <c r="L1378" t="str" cm="1">
        <f t="array" ref="L1378">_xlfn.IFS(
 K1378&lt;=50,"≤50",
 AND(K1378&gt;=51,K1378&lt;=100),"51–100",
 AND(K1378&gt;=101,K1378&lt;=250),"101–250",
 AND(K1378&gt;=251,K1378&lt;=500),"251–500",
 AND(K1378&gt;=501,K1378&lt;=1000),"501–1000",
 K1378&gt;=1001,"1001+"
)</f>
        <v>51–100</v>
      </c>
    </row>
    <row r="1379" spans="1:12" x14ac:dyDescent="0.3">
      <c r="A1379" t="s">
        <v>2615</v>
      </c>
      <c r="B1379" t="s">
        <v>13</v>
      </c>
      <c r="C1379" t="s">
        <v>5777</v>
      </c>
      <c r="D1379" t="s">
        <v>2616</v>
      </c>
      <c r="E1379" t="s">
        <v>15</v>
      </c>
      <c r="F1379" t="s">
        <v>16</v>
      </c>
      <c r="G1379" t="s">
        <v>2617</v>
      </c>
      <c r="J1379" t="s">
        <v>5738</v>
      </c>
      <c r="K1379">
        <v>80</v>
      </c>
      <c r="L1379" t="str" cm="1">
        <f t="array" ref="L1379">_xlfn.IFS(
 K1379&lt;=50,"≤50",
 AND(K1379&gt;=51,K1379&lt;=100),"51–100",
 AND(K1379&gt;=101,K1379&lt;=250),"101–250",
 AND(K1379&gt;=251,K1379&lt;=500),"251–500",
 AND(K1379&gt;=501,K1379&lt;=1000),"501–1000",
 K1379&gt;=1001,"1001+"
)</f>
        <v>51–100</v>
      </c>
    </row>
    <row r="1380" spans="1:12" x14ac:dyDescent="0.3">
      <c r="A1380" t="s">
        <v>2618</v>
      </c>
      <c r="B1380" t="s">
        <v>9</v>
      </c>
      <c r="C1380" t="s">
        <v>5780</v>
      </c>
      <c r="D1380" t="s">
        <v>2619</v>
      </c>
      <c r="E1380" t="s">
        <v>15</v>
      </c>
      <c r="F1380" t="s">
        <v>16</v>
      </c>
      <c r="G1380" t="s">
        <v>2620</v>
      </c>
      <c r="J1380" t="s">
        <v>5737</v>
      </c>
      <c r="K1380">
        <v>80</v>
      </c>
      <c r="L1380" t="str" cm="1">
        <f t="array" ref="L1380">_xlfn.IFS(
 K1380&lt;=50,"≤50",
 AND(K1380&gt;=51,K1380&lt;=100),"51–100",
 AND(K1380&gt;=101,K1380&lt;=250),"101–250",
 AND(K1380&gt;=251,K1380&lt;=500),"251–500",
 AND(K1380&gt;=501,K1380&lt;=1000),"501–1000",
 K1380&gt;=1001,"1001+"
)</f>
        <v>51–100</v>
      </c>
    </row>
    <row r="1381" spans="1:12" x14ac:dyDescent="0.3">
      <c r="A1381" t="s">
        <v>2621</v>
      </c>
      <c r="B1381" t="s">
        <v>9</v>
      </c>
      <c r="C1381" t="s">
        <v>5780</v>
      </c>
      <c r="D1381" t="s">
        <v>2622</v>
      </c>
      <c r="E1381" t="s">
        <v>15</v>
      </c>
      <c r="F1381" t="s">
        <v>20</v>
      </c>
      <c r="G1381" t="s">
        <v>2623</v>
      </c>
      <c r="J1381" t="s">
        <v>5737</v>
      </c>
      <c r="K1381">
        <v>80</v>
      </c>
      <c r="L1381" t="str" cm="1">
        <f t="array" ref="L1381">_xlfn.IFS(
 K1381&lt;=50,"≤50",
 AND(K1381&gt;=51,K1381&lt;=100),"51–100",
 AND(K1381&gt;=101,K1381&lt;=250),"101–250",
 AND(K1381&gt;=251,K1381&lt;=500),"251–500",
 AND(K1381&gt;=501,K1381&lt;=1000),"501–1000",
 K1381&gt;=1001,"1001+"
)</f>
        <v>51–100</v>
      </c>
    </row>
    <row r="1382" spans="1:12" x14ac:dyDescent="0.3">
      <c r="A1382" t="s">
        <v>2624</v>
      </c>
      <c r="B1382" t="s">
        <v>9</v>
      </c>
      <c r="C1382" t="s">
        <v>5780</v>
      </c>
      <c r="D1382" t="s">
        <v>2625</v>
      </c>
      <c r="E1382" t="s">
        <v>15</v>
      </c>
      <c r="F1382" t="s">
        <v>16</v>
      </c>
      <c r="G1382" t="s">
        <v>2626</v>
      </c>
      <c r="J1382" t="s">
        <v>5744</v>
      </c>
      <c r="K1382">
        <v>80</v>
      </c>
      <c r="L1382" t="str" cm="1">
        <f t="array" ref="L1382">_xlfn.IFS(
 K1382&lt;=50,"≤50",
 AND(K1382&gt;=51,K1382&lt;=100),"51–100",
 AND(K1382&gt;=101,K1382&lt;=250),"101–250",
 AND(K1382&gt;=251,K1382&lt;=500),"251–500",
 AND(K1382&gt;=501,K1382&lt;=1000),"501–1000",
 K1382&gt;=1001,"1001+"
)</f>
        <v>51–100</v>
      </c>
    </row>
    <row r="1383" spans="1:12" x14ac:dyDescent="0.3">
      <c r="A1383" t="s">
        <v>2627</v>
      </c>
      <c r="B1383" t="s">
        <v>9</v>
      </c>
      <c r="C1383" t="s">
        <v>5780</v>
      </c>
      <c r="D1383" t="s">
        <v>28</v>
      </c>
      <c r="F1383" t="s">
        <v>5770</v>
      </c>
      <c r="J1383" t="s">
        <v>5762</v>
      </c>
      <c r="K1383">
        <v>80</v>
      </c>
      <c r="L1383" t="str" cm="1">
        <f t="array" ref="L1383">_xlfn.IFS(
 K1383&lt;=50,"≤50",
 AND(K1383&gt;=51,K1383&lt;=100),"51–100",
 AND(K1383&gt;=101,K1383&lt;=250),"101–250",
 AND(K1383&gt;=251,K1383&lt;=500),"251–500",
 AND(K1383&gt;=501,K1383&lt;=1000),"501–1000",
 K1383&gt;=1001,"1001+"
)</f>
        <v>51–100</v>
      </c>
    </row>
    <row r="1384" spans="1:12" x14ac:dyDescent="0.3">
      <c r="A1384" t="s">
        <v>2628</v>
      </c>
      <c r="B1384" t="s">
        <v>13</v>
      </c>
      <c r="C1384" t="s">
        <v>5777</v>
      </c>
      <c r="D1384" t="s">
        <v>2629</v>
      </c>
      <c r="E1384" t="s">
        <v>15</v>
      </c>
      <c r="F1384" t="s">
        <v>16</v>
      </c>
      <c r="G1384" t="s">
        <v>2630</v>
      </c>
      <c r="J1384" t="s">
        <v>5737</v>
      </c>
      <c r="K1384">
        <v>80</v>
      </c>
      <c r="L1384" t="str" cm="1">
        <f t="array" ref="L1384">_xlfn.IFS(
 K1384&lt;=50,"≤50",
 AND(K1384&gt;=51,K1384&lt;=100),"51–100",
 AND(K1384&gt;=101,K1384&lt;=250),"101–250",
 AND(K1384&gt;=251,K1384&lt;=500),"251–500",
 AND(K1384&gt;=501,K1384&lt;=1000),"501–1000",
 K1384&gt;=1001,"1001+"
)</f>
        <v>51–100</v>
      </c>
    </row>
    <row r="1385" spans="1:12" x14ac:dyDescent="0.3">
      <c r="A1385" t="s">
        <v>2631</v>
      </c>
      <c r="B1385" t="s">
        <v>9</v>
      </c>
      <c r="C1385" t="s">
        <v>5780</v>
      </c>
      <c r="D1385" t="s">
        <v>2632</v>
      </c>
      <c r="F1385" t="s">
        <v>5770</v>
      </c>
      <c r="J1385" t="s">
        <v>5737</v>
      </c>
      <c r="K1385">
        <v>80</v>
      </c>
      <c r="L1385" t="str" cm="1">
        <f t="array" ref="L1385">_xlfn.IFS(
 K1385&lt;=50,"≤50",
 AND(K1385&gt;=51,K1385&lt;=100),"51–100",
 AND(K1385&gt;=101,K1385&lt;=250),"101–250",
 AND(K1385&gt;=251,K1385&lt;=500),"251–500",
 AND(K1385&gt;=501,K1385&lt;=1000),"501–1000",
 K1385&gt;=1001,"1001+"
)</f>
        <v>51–100</v>
      </c>
    </row>
    <row r="1386" spans="1:12" x14ac:dyDescent="0.3">
      <c r="A1386" t="s">
        <v>2633</v>
      </c>
      <c r="B1386" t="s">
        <v>13</v>
      </c>
      <c r="C1386" t="s">
        <v>5777</v>
      </c>
      <c r="D1386" t="s">
        <v>2634</v>
      </c>
      <c r="E1386" t="s">
        <v>15</v>
      </c>
      <c r="F1386" t="s">
        <v>5770</v>
      </c>
      <c r="J1386" t="s">
        <v>5737</v>
      </c>
      <c r="K1386">
        <v>80</v>
      </c>
      <c r="L1386" t="str" cm="1">
        <f t="array" ref="L1386">_xlfn.IFS(
 K1386&lt;=50,"≤50",
 AND(K1386&gt;=51,K1386&lt;=100),"51–100",
 AND(K1386&gt;=101,K1386&lt;=250),"101–250",
 AND(K1386&gt;=251,K1386&lt;=500),"251–500",
 AND(K1386&gt;=501,K1386&lt;=1000),"501–1000",
 K1386&gt;=1001,"1001+"
)</f>
        <v>51–100</v>
      </c>
    </row>
    <row r="1387" spans="1:12" x14ac:dyDescent="0.3">
      <c r="A1387" t="s">
        <v>2635</v>
      </c>
      <c r="B1387" t="s">
        <v>9</v>
      </c>
      <c r="C1387" t="s">
        <v>5780</v>
      </c>
      <c r="D1387" t="s">
        <v>2166</v>
      </c>
      <c r="E1387" t="s">
        <v>15</v>
      </c>
      <c r="F1387" t="s">
        <v>5770</v>
      </c>
      <c r="J1387" t="s">
        <v>5737</v>
      </c>
      <c r="K1387">
        <v>80</v>
      </c>
      <c r="L1387" t="str" cm="1">
        <f t="array" ref="L1387">_xlfn.IFS(
 K1387&lt;=50,"≤50",
 AND(K1387&gt;=51,K1387&lt;=100),"51–100",
 AND(K1387&gt;=101,K1387&lt;=250),"101–250",
 AND(K1387&gt;=251,K1387&lt;=500),"251–500",
 AND(K1387&gt;=501,K1387&lt;=1000),"501–1000",
 K1387&gt;=1001,"1001+"
)</f>
        <v>51–100</v>
      </c>
    </row>
    <row r="1388" spans="1:12" x14ac:dyDescent="0.3">
      <c r="A1388" t="s">
        <v>2636</v>
      </c>
      <c r="B1388" t="s">
        <v>13</v>
      </c>
      <c r="C1388" t="s">
        <v>5777</v>
      </c>
      <c r="D1388" t="s">
        <v>65</v>
      </c>
      <c r="F1388" t="s">
        <v>5770</v>
      </c>
      <c r="J1388" t="s">
        <v>5737</v>
      </c>
      <c r="K1388">
        <v>80</v>
      </c>
      <c r="L1388" t="str" cm="1">
        <f t="array" ref="L1388">_xlfn.IFS(
 K1388&lt;=50,"≤50",
 AND(K1388&gt;=51,K1388&lt;=100),"51–100",
 AND(K1388&gt;=101,K1388&lt;=250),"101–250",
 AND(K1388&gt;=251,K1388&lt;=500),"251–500",
 AND(K1388&gt;=501,K1388&lt;=1000),"501–1000",
 K1388&gt;=1001,"1001+"
)</f>
        <v>51–100</v>
      </c>
    </row>
    <row r="1389" spans="1:12" x14ac:dyDescent="0.3">
      <c r="A1389" t="s">
        <v>2637</v>
      </c>
      <c r="B1389" t="s">
        <v>13</v>
      </c>
      <c r="C1389" t="s">
        <v>5777</v>
      </c>
      <c r="D1389" t="s">
        <v>573</v>
      </c>
      <c r="F1389" t="s">
        <v>5770</v>
      </c>
      <c r="J1389" t="s">
        <v>5737</v>
      </c>
      <c r="K1389">
        <v>80</v>
      </c>
      <c r="L1389" t="str" cm="1">
        <f t="array" ref="L1389">_xlfn.IFS(
 K1389&lt;=50,"≤50",
 AND(K1389&gt;=51,K1389&lt;=100),"51–100",
 AND(K1389&gt;=101,K1389&lt;=250),"101–250",
 AND(K1389&gt;=251,K1389&lt;=500),"251–500",
 AND(K1389&gt;=501,K1389&lt;=1000),"501–1000",
 K1389&gt;=1001,"1001+"
)</f>
        <v>51–100</v>
      </c>
    </row>
    <row r="1390" spans="1:12" x14ac:dyDescent="0.3">
      <c r="A1390" t="s">
        <v>2638</v>
      </c>
      <c r="B1390" t="s">
        <v>11</v>
      </c>
      <c r="C1390" t="s">
        <v>5776</v>
      </c>
      <c r="F1390" t="s">
        <v>5770</v>
      </c>
      <c r="J1390" t="s">
        <v>5737</v>
      </c>
      <c r="K1390">
        <v>80</v>
      </c>
      <c r="L1390" t="str" cm="1">
        <f t="array" ref="L1390">_xlfn.IFS(
 K1390&lt;=50,"≤50",
 AND(K1390&gt;=51,K1390&lt;=100),"51–100",
 AND(K1390&gt;=101,K1390&lt;=250),"101–250",
 AND(K1390&gt;=251,K1390&lt;=500),"251–500",
 AND(K1390&gt;=501,K1390&lt;=1000),"501–1000",
 K1390&gt;=1001,"1001+"
)</f>
        <v>51–100</v>
      </c>
    </row>
    <row r="1391" spans="1:12" x14ac:dyDescent="0.3">
      <c r="A1391" t="s">
        <v>2639</v>
      </c>
      <c r="B1391" t="s">
        <v>13</v>
      </c>
      <c r="C1391" t="s">
        <v>5777</v>
      </c>
      <c r="D1391" t="s">
        <v>2640</v>
      </c>
      <c r="F1391" t="s">
        <v>5770</v>
      </c>
      <c r="J1391" t="s">
        <v>5745</v>
      </c>
      <c r="K1391">
        <v>80</v>
      </c>
      <c r="L1391" t="str" cm="1">
        <f t="array" ref="L1391">_xlfn.IFS(
 K1391&lt;=50,"≤50",
 AND(K1391&gt;=51,K1391&lt;=100),"51–100",
 AND(K1391&gt;=101,K1391&lt;=250),"101–250",
 AND(K1391&gt;=251,K1391&lt;=500),"251–500",
 AND(K1391&gt;=501,K1391&lt;=1000),"501–1000",
 K1391&gt;=1001,"1001+"
)</f>
        <v>51–100</v>
      </c>
    </row>
    <row r="1392" spans="1:12" x14ac:dyDescent="0.3">
      <c r="A1392" t="s">
        <v>2641</v>
      </c>
      <c r="B1392" t="s">
        <v>13</v>
      </c>
      <c r="C1392" t="s">
        <v>5777</v>
      </c>
      <c r="D1392" t="s">
        <v>2642</v>
      </c>
      <c r="E1392" t="s">
        <v>15</v>
      </c>
      <c r="F1392" t="s">
        <v>20</v>
      </c>
      <c r="G1392" t="s">
        <v>893</v>
      </c>
      <c r="J1392" t="s">
        <v>5750</v>
      </c>
      <c r="K1392">
        <v>80</v>
      </c>
      <c r="L1392" t="str" cm="1">
        <f t="array" ref="L1392">_xlfn.IFS(
 K1392&lt;=50,"≤50",
 AND(K1392&gt;=51,K1392&lt;=100),"51–100",
 AND(K1392&gt;=101,K1392&lt;=250),"101–250",
 AND(K1392&gt;=251,K1392&lt;=500),"251–500",
 AND(K1392&gt;=501,K1392&lt;=1000),"501–1000",
 K1392&gt;=1001,"1001+"
)</f>
        <v>51–100</v>
      </c>
    </row>
    <row r="1393" spans="1:12" x14ac:dyDescent="0.3">
      <c r="A1393" t="s">
        <v>2643</v>
      </c>
      <c r="B1393" t="s">
        <v>11</v>
      </c>
      <c r="C1393" t="s">
        <v>5776</v>
      </c>
      <c r="F1393" t="s">
        <v>5770</v>
      </c>
      <c r="J1393" t="s">
        <v>5747</v>
      </c>
      <c r="K1393">
        <v>80</v>
      </c>
      <c r="L1393" t="str" cm="1">
        <f t="array" ref="L1393">_xlfn.IFS(
 K1393&lt;=50,"≤50",
 AND(K1393&gt;=51,K1393&lt;=100),"51–100",
 AND(K1393&gt;=101,K1393&lt;=250),"101–250",
 AND(K1393&gt;=251,K1393&lt;=500),"251–500",
 AND(K1393&gt;=501,K1393&lt;=1000),"501–1000",
 K1393&gt;=1001,"1001+"
)</f>
        <v>51–100</v>
      </c>
    </row>
    <row r="1394" spans="1:12" x14ac:dyDescent="0.3">
      <c r="A1394" t="s">
        <v>2644</v>
      </c>
      <c r="B1394" t="s">
        <v>13</v>
      </c>
      <c r="C1394" t="s">
        <v>5777</v>
      </c>
      <c r="D1394" t="s">
        <v>2645</v>
      </c>
      <c r="E1394" t="s">
        <v>15</v>
      </c>
      <c r="F1394" t="s">
        <v>5770</v>
      </c>
      <c r="J1394" t="s">
        <v>5747</v>
      </c>
      <c r="K1394">
        <v>80</v>
      </c>
      <c r="L1394" t="str" cm="1">
        <f t="array" ref="L1394">_xlfn.IFS(
 K1394&lt;=50,"≤50",
 AND(K1394&gt;=51,K1394&lt;=100),"51–100",
 AND(K1394&gt;=101,K1394&lt;=250),"101–250",
 AND(K1394&gt;=251,K1394&lt;=500),"251–500",
 AND(K1394&gt;=501,K1394&lt;=1000),"501–1000",
 K1394&gt;=1001,"1001+"
)</f>
        <v>51–100</v>
      </c>
    </row>
    <row r="1395" spans="1:12" x14ac:dyDescent="0.3">
      <c r="A1395" t="s">
        <v>2646</v>
      </c>
      <c r="B1395" t="s">
        <v>9</v>
      </c>
      <c r="C1395" t="s">
        <v>5780</v>
      </c>
      <c r="D1395" t="s">
        <v>28</v>
      </c>
      <c r="E1395" t="s">
        <v>15</v>
      </c>
      <c r="F1395" t="s">
        <v>20</v>
      </c>
      <c r="G1395" t="s">
        <v>135</v>
      </c>
      <c r="J1395" t="s">
        <v>5748</v>
      </c>
      <c r="K1395">
        <v>80</v>
      </c>
      <c r="L1395" t="str" cm="1">
        <f t="array" ref="L1395">_xlfn.IFS(
 K1395&lt;=50,"≤50",
 AND(K1395&gt;=51,K1395&lt;=100),"51–100",
 AND(K1395&gt;=101,K1395&lt;=250),"101–250",
 AND(K1395&gt;=251,K1395&lt;=500),"251–500",
 AND(K1395&gt;=501,K1395&lt;=1000),"501–1000",
 K1395&gt;=1001,"1001+"
)</f>
        <v>51–100</v>
      </c>
    </row>
    <row r="1396" spans="1:12" x14ac:dyDescent="0.3">
      <c r="A1396" t="s">
        <v>2647</v>
      </c>
      <c r="B1396" t="s">
        <v>13</v>
      </c>
      <c r="C1396" t="s">
        <v>5777</v>
      </c>
      <c r="D1396" t="s">
        <v>2648</v>
      </c>
      <c r="F1396" t="s">
        <v>20</v>
      </c>
      <c r="G1396" t="s">
        <v>21</v>
      </c>
      <c r="J1396" t="s">
        <v>5738</v>
      </c>
      <c r="K1396">
        <v>80</v>
      </c>
      <c r="L1396" t="str" cm="1">
        <f t="array" ref="L1396">_xlfn.IFS(
 K1396&lt;=50,"≤50",
 AND(K1396&gt;=51,K1396&lt;=100),"51–100",
 AND(K1396&gt;=101,K1396&lt;=250),"101–250",
 AND(K1396&gt;=251,K1396&lt;=500),"251–500",
 AND(K1396&gt;=501,K1396&lt;=1000),"501–1000",
 K1396&gt;=1001,"1001+"
)</f>
        <v>51–100</v>
      </c>
    </row>
    <row r="1397" spans="1:12" x14ac:dyDescent="0.3">
      <c r="A1397" t="s">
        <v>2649</v>
      </c>
      <c r="B1397" t="s">
        <v>13</v>
      </c>
      <c r="C1397" t="s">
        <v>5777</v>
      </c>
      <c r="D1397" t="s">
        <v>346</v>
      </c>
      <c r="E1397" t="s">
        <v>15</v>
      </c>
      <c r="F1397" t="s">
        <v>20</v>
      </c>
      <c r="G1397" t="s">
        <v>330</v>
      </c>
      <c r="J1397" t="s">
        <v>5743</v>
      </c>
      <c r="K1397">
        <v>80</v>
      </c>
      <c r="L1397" t="str" cm="1">
        <f t="array" ref="L1397">_xlfn.IFS(
 K1397&lt;=50,"≤50",
 AND(K1397&gt;=51,K1397&lt;=100),"51–100",
 AND(K1397&gt;=101,K1397&lt;=250),"101–250",
 AND(K1397&gt;=251,K1397&lt;=500),"251–500",
 AND(K1397&gt;=501,K1397&lt;=1000),"501–1000",
 K1397&gt;=1001,"1001+"
)</f>
        <v>51–100</v>
      </c>
    </row>
    <row r="1398" spans="1:12" x14ac:dyDescent="0.3">
      <c r="A1398" t="s">
        <v>2650</v>
      </c>
      <c r="B1398" t="s">
        <v>11</v>
      </c>
      <c r="C1398" t="s">
        <v>5776</v>
      </c>
      <c r="F1398" t="s">
        <v>5770</v>
      </c>
      <c r="J1398" t="s">
        <v>5737</v>
      </c>
      <c r="K1398">
        <v>80</v>
      </c>
      <c r="L1398" t="str" cm="1">
        <f t="array" ref="L1398">_xlfn.IFS(
 K1398&lt;=50,"≤50",
 AND(K1398&gt;=51,K1398&lt;=100),"51–100",
 AND(K1398&gt;=101,K1398&lt;=250),"101–250",
 AND(K1398&gt;=251,K1398&lt;=500),"251–500",
 AND(K1398&gt;=501,K1398&lt;=1000),"501–1000",
 K1398&gt;=1001,"1001+"
)</f>
        <v>51–100</v>
      </c>
    </row>
    <row r="1399" spans="1:12" x14ac:dyDescent="0.3">
      <c r="A1399" t="s">
        <v>2651</v>
      </c>
      <c r="B1399" t="s">
        <v>9</v>
      </c>
      <c r="C1399" t="s">
        <v>5780</v>
      </c>
      <c r="D1399" t="s">
        <v>2652</v>
      </c>
      <c r="F1399" t="s">
        <v>20</v>
      </c>
      <c r="G1399" t="s">
        <v>330</v>
      </c>
      <c r="J1399" t="s">
        <v>5737</v>
      </c>
      <c r="K1399">
        <v>80</v>
      </c>
      <c r="L1399" t="str" cm="1">
        <f t="array" ref="L1399">_xlfn.IFS(
 K1399&lt;=50,"≤50",
 AND(K1399&gt;=51,K1399&lt;=100),"51–100",
 AND(K1399&gt;=101,K1399&lt;=250),"101–250",
 AND(K1399&gt;=251,K1399&lt;=500),"251–500",
 AND(K1399&gt;=501,K1399&lt;=1000),"501–1000",
 K1399&gt;=1001,"1001+"
)</f>
        <v>51–100</v>
      </c>
    </row>
    <row r="1400" spans="1:12" x14ac:dyDescent="0.3">
      <c r="A1400" t="s">
        <v>2653</v>
      </c>
      <c r="B1400" t="s">
        <v>9</v>
      </c>
      <c r="C1400" t="s">
        <v>5780</v>
      </c>
      <c r="D1400" t="s">
        <v>2654</v>
      </c>
      <c r="E1400" t="s">
        <v>15</v>
      </c>
      <c r="F1400" t="s">
        <v>54</v>
      </c>
      <c r="G1400" t="s">
        <v>2655</v>
      </c>
      <c r="J1400" t="s">
        <v>5737</v>
      </c>
      <c r="K1400">
        <v>80</v>
      </c>
      <c r="L1400" t="str" cm="1">
        <f t="array" ref="L1400">_xlfn.IFS(
 K1400&lt;=50,"≤50",
 AND(K1400&gt;=51,K1400&lt;=100),"51–100",
 AND(K1400&gt;=101,K1400&lt;=250),"101–250",
 AND(K1400&gt;=251,K1400&lt;=500),"251–500",
 AND(K1400&gt;=501,K1400&lt;=1000),"501–1000",
 K1400&gt;=1001,"1001+"
)</f>
        <v>51–100</v>
      </c>
    </row>
    <row r="1401" spans="1:12" x14ac:dyDescent="0.3">
      <c r="A1401" t="s">
        <v>2656</v>
      </c>
      <c r="B1401" t="s">
        <v>9</v>
      </c>
      <c r="C1401" t="s">
        <v>5780</v>
      </c>
      <c r="D1401" t="s">
        <v>2657</v>
      </c>
      <c r="F1401" t="s">
        <v>5770</v>
      </c>
      <c r="J1401" t="s">
        <v>5744</v>
      </c>
      <c r="K1401">
        <v>80</v>
      </c>
      <c r="L1401" t="str" cm="1">
        <f t="array" ref="L1401">_xlfn.IFS(
 K1401&lt;=50,"≤50",
 AND(K1401&gt;=51,K1401&lt;=100),"51–100",
 AND(K1401&gt;=101,K1401&lt;=250),"101–250",
 AND(K1401&gt;=251,K1401&lt;=500),"251–500",
 AND(K1401&gt;=501,K1401&lt;=1000),"501–1000",
 K1401&gt;=1001,"1001+"
)</f>
        <v>51–100</v>
      </c>
    </row>
    <row r="1402" spans="1:12" x14ac:dyDescent="0.3">
      <c r="A1402" t="s">
        <v>2658</v>
      </c>
      <c r="B1402" t="s">
        <v>9</v>
      </c>
      <c r="C1402" t="s">
        <v>5780</v>
      </c>
      <c r="D1402" t="s">
        <v>2659</v>
      </c>
      <c r="E1402" t="s">
        <v>15</v>
      </c>
      <c r="F1402" t="s">
        <v>16</v>
      </c>
      <c r="G1402" t="s">
        <v>2660</v>
      </c>
      <c r="J1402" t="s">
        <v>5744</v>
      </c>
      <c r="K1402">
        <v>80</v>
      </c>
      <c r="L1402" t="str" cm="1">
        <f t="array" ref="L1402">_xlfn.IFS(
 K1402&lt;=50,"≤50",
 AND(K1402&gt;=51,K1402&lt;=100),"51–100",
 AND(K1402&gt;=101,K1402&lt;=250),"101–250",
 AND(K1402&gt;=251,K1402&lt;=500),"251–500",
 AND(K1402&gt;=501,K1402&lt;=1000),"501–1000",
 K1402&gt;=1001,"1001+"
)</f>
        <v>51–100</v>
      </c>
    </row>
    <row r="1403" spans="1:12" x14ac:dyDescent="0.3">
      <c r="A1403" t="s">
        <v>2661</v>
      </c>
      <c r="B1403" t="s">
        <v>9</v>
      </c>
      <c r="C1403" t="s">
        <v>5780</v>
      </c>
      <c r="D1403" t="s">
        <v>339</v>
      </c>
      <c r="F1403" t="s">
        <v>20</v>
      </c>
      <c r="G1403" t="s">
        <v>21</v>
      </c>
      <c r="J1403" t="s">
        <v>5751</v>
      </c>
      <c r="K1403">
        <v>80</v>
      </c>
      <c r="L1403" t="str" cm="1">
        <f t="array" ref="L1403">_xlfn.IFS(
 K1403&lt;=50,"≤50",
 AND(K1403&gt;=51,K1403&lt;=100),"51–100",
 AND(K1403&gt;=101,K1403&lt;=250),"101–250",
 AND(K1403&gt;=251,K1403&lt;=500),"251–500",
 AND(K1403&gt;=501,K1403&lt;=1000),"501–1000",
 K1403&gt;=1001,"1001+"
)</f>
        <v>51–100</v>
      </c>
    </row>
    <row r="1404" spans="1:12" x14ac:dyDescent="0.3">
      <c r="A1404" t="s">
        <v>2662</v>
      </c>
      <c r="B1404" t="s">
        <v>9</v>
      </c>
      <c r="C1404" t="s">
        <v>5780</v>
      </c>
      <c r="D1404" t="s">
        <v>28</v>
      </c>
      <c r="E1404" t="s">
        <v>15</v>
      </c>
      <c r="F1404" t="s">
        <v>20</v>
      </c>
      <c r="G1404" t="s">
        <v>21</v>
      </c>
      <c r="J1404" t="s">
        <v>5754</v>
      </c>
      <c r="K1404">
        <v>80</v>
      </c>
      <c r="L1404" t="str" cm="1">
        <f t="array" ref="L1404">_xlfn.IFS(
 K1404&lt;=50,"≤50",
 AND(K1404&gt;=51,K1404&lt;=100),"51–100",
 AND(K1404&gt;=101,K1404&lt;=250),"101–250",
 AND(K1404&gt;=251,K1404&lt;=500),"251–500",
 AND(K1404&gt;=501,K1404&lt;=1000),"501–1000",
 K1404&gt;=1001,"1001+"
)</f>
        <v>51–100</v>
      </c>
    </row>
    <row r="1405" spans="1:12" x14ac:dyDescent="0.3">
      <c r="A1405" t="s">
        <v>2663</v>
      </c>
      <c r="B1405" t="s">
        <v>9</v>
      </c>
      <c r="C1405" t="s">
        <v>5780</v>
      </c>
      <c r="D1405" t="s">
        <v>2664</v>
      </c>
      <c r="F1405" t="s">
        <v>5770</v>
      </c>
      <c r="J1405" t="s">
        <v>5754</v>
      </c>
      <c r="K1405">
        <v>80</v>
      </c>
      <c r="L1405" t="str" cm="1">
        <f t="array" ref="L1405">_xlfn.IFS(
 K1405&lt;=50,"≤50",
 AND(K1405&gt;=51,K1405&lt;=100),"51–100",
 AND(K1405&gt;=101,K1405&lt;=250),"101–250",
 AND(K1405&gt;=251,K1405&lt;=500),"251–500",
 AND(K1405&gt;=501,K1405&lt;=1000),"501–1000",
 K1405&gt;=1001,"1001+"
)</f>
        <v>51–100</v>
      </c>
    </row>
    <row r="1406" spans="1:12" x14ac:dyDescent="0.3">
      <c r="A1406" t="s">
        <v>2665</v>
      </c>
      <c r="B1406" t="s">
        <v>9</v>
      </c>
      <c r="C1406" t="s">
        <v>5780</v>
      </c>
      <c r="D1406" t="s">
        <v>2666</v>
      </c>
      <c r="E1406" t="s">
        <v>15</v>
      </c>
      <c r="F1406" t="s">
        <v>16</v>
      </c>
      <c r="G1406" t="s">
        <v>138</v>
      </c>
      <c r="J1406" t="s">
        <v>5741</v>
      </c>
      <c r="K1406">
        <v>80</v>
      </c>
      <c r="L1406" t="str" cm="1">
        <f t="array" ref="L1406">_xlfn.IFS(
 K1406&lt;=50,"≤50",
 AND(K1406&gt;=51,K1406&lt;=100),"51–100",
 AND(K1406&gt;=101,K1406&lt;=250),"101–250",
 AND(K1406&gt;=251,K1406&lt;=500),"251–500",
 AND(K1406&gt;=501,K1406&lt;=1000),"501–1000",
 K1406&gt;=1001,"1001+"
)</f>
        <v>51–100</v>
      </c>
    </row>
    <row r="1407" spans="1:12" x14ac:dyDescent="0.3">
      <c r="A1407" t="s">
        <v>2667</v>
      </c>
      <c r="B1407" t="s">
        <v>9</v>
      </c>
      <c r="C1407" t="s">
        <v>5780</v>
      </c>
      <c r="D1407" t="s">
        <v>2668</v>
      </c>
      <c r="E1407" t="s">
        <v>15</v>
      </c>
      <c r="F1407" t="s">
        <v>20</v>
      </c>
      <c r="G1407" t="s">
        <v>2669</v>
      </c>
      <c r="J1407" t="s">
        <v>5752</v>
      </c>
      <c r="K1407">
        <v>80</v>
      </c>
      <c r="L1407" t="str" cm="1">
        <f t="array" ref="L1407">_xlfn.IFS(
 K1407&lt;=50,"≤50",
 AND(K1407&gt;=51,K1407&lt;=100),"51–100",
 AND(K1407&gt;=101,K1407&lt;=250),"101–250",
 AND(K1407&gt;=251,K1407&lt;=500),"251–500",
 AND(K1407&gt;=501,K1407&lt;=1000),"501–1000",
 K1407&gt;=1001,"1001+"
)</f>
        <v>51–100</v>
      </c>
    </row>
    <row r="1408" spans="1:12" x14ac:dyDescent="0.3">
      <c r="A1408" t="s">
        <v>2670</v>
      </c>
      <c r="B1408" t="s">
        <v>13</v>
      </c>
      <c r="C1408" t="s">
        <v>5777</v>
      </c>
      <c r="D1408" t="s">
        <v>2671</v>
      </c>
      <c r="F1408" t="s">
        <v>5770</v>
      </c>
      <c r="J1408" t="s">
        <v>5752</v>
      </c>
      <c r="K1408">
        <v>80</v>
      </c>
      <c r="L1408" t="str" cm="1">
        <f t="array" ref="L1408">_xlfn.IFS(
 K1408&lt;=50,"≤50",
 AND(K1408&gt;=51,K1408&lt;=100),"51–100",
 AND(K1408&gt;=101,K1408&lt;=250),"101–250",
 AND(K1408&gt;=251,K1408&lt;=500),"251–500",
 AND(K1408&gt;=501,K1408&lt;=1000),"501–1000",
 K1408&gt;=1001,"1001+"
)</f>
        <v>51–100</v>
      </c>
    </row>
    <row r="1409" spans="1:12" x14ac:dyDescent="0.3">
      <c r="A1409" t="s">
        <v>2672</v>
      </c>
      <c r="B1409" t="s">
        <v>9</v>
      </c>
      <c r="C1409" t="s">
        <v>5780</v>
      </c>
      <c r="D1409" t="s">
        <v>2673</v>
      </c>
      <c r="E1409" t="s">
        <v>15</v>
      </c>
      <c r="F1409" t="s">
        <v>5770</v>
      </c>
      <c r="J1409" t="s">
        <v>5760</v>
      </c>
      <c r="K1409">
        <v>80</v>
      </c>
      <c r="L1409" t="str" cm="1">
        <f t="array" ref="L1409">_xlfn.IFS(
 K1409&lt;=50,"≤50",
 AND(K1409&gt;=51,K1409&lt;=100),"51–100",
 AND(K1409&gt;=101,K1409&lt;=250),"101–250",
 AND(K1409&gt;=251,K1409&lt;=500),"251–500",
 AND(K1409&gt;=501,K1409&lt;=1000),"501–1000",
 K1409&gt;=1001,"1001+"
)</f>
        <v>51–100</v>
      </c>
    </row>
    <row r="1410" spans="1:12" x14ac:dyDescent="0.3">
      <c r="A1410" t="s">
        <v>2674</v>
      </c>
      <c r="B1410" t="s">
        <v>9</v>
      </c>
      <c r="C1410" t="s">
        <v>5780</v>
      </c>
      <c r="D1410" t="s">
        <v>2675</v>
      </c>
      <c r="F1410" t="s">
        <v>5770</v>
      </c>
      <c r="J1410" t="s">
        <v>5740</v>
      </c>
      <c r="K1410">
        <v>80</v>
      </c>
      <c r="L1410" t="str" cm="1">
        <f t="array" ref="L1410">_xlfn.IFS(
 K1410&lt;=50,"≤50",
 AND(K1410&gt;=51,K1410&lt;=100),"51–100",
 AND(K1410&gt;=101,K1410&lt;=250),"101–250",
 AND(K1410&gt;=251,K1410&lt;=500),"251–500",
 AND(K1410&gt;=501,K1410&lt;=1000),"501–1000",
 K1410&gt;=1001,"1001+"
)</f>
        <v>51–100</v>
      </c>
    </row>
    <row r="1411" spans="1:12" x14ac:dyDescent="0.3">
      <c r="A1411" t="s">
        <v>2676</v>
      </c>
      <c r="B1411" t="s">
        <v>13</v>
      </c>
      <c r="C1411" t="s">
        <v>5777</v>
      </c>
      <c r="D1411" t="s">
        <v>2677</v>
      </c>
      <c r="E1411" t="s">
        <v>15</v>
      </c>
      <c r="F1411" t="s">
        <v>54</v>
      </c>
      <c r="G1411" t="s">
        <v>1103</v>
      </c>
      <c r="J1411" t="s">
        <v>5740</v>
      </c>
      <c r="K1411">
        <v>80</v>
      </c>
      <c r="L1411" t="str" cm="1">
        <f t="array" ref="L1411">_xlfn.IFS(
 K1411&lt;=50,"≤50",
 AND(K1411&gt;=51,K1411&lt;=100),"51–100",
 AND(K1411&gt;=101,K1411&lt;=250),"101–250",
 AND(K1411&gt;=251,K1411&lt;=500),"251–500",
 AND(K1411&gt;=501,K1411&lt;=1000),"501–1000",
 K1411&gt;=1001,"1001+"
)</f>
        <v>51–100</v>
      </c>
    </row>
    <row r="1412" spans="1:12" x14ac:dyDescent="0.3">
      <c r="A1412" t="s">
        <v>2678</v>
      </c>
      <c r="B1412" t="s">
        <v>11</v>
      </c>
      <c r="C1412" t="s">
        <v>5776</v>
      </c>
      <c r="F1412" t="s">
        <v>5770</v>
      </c>
      <c r="J1412" t="s">
        <v>5740</v>
      </c>
      <c r="K1412">
        <v>80</v>
      </c>
      <c r="L1412" t="str" cm="1">
        <f t="array" ref="L1412">_xlfn.IFS(
 K1412&lt;=50,"≤50",
 AND(K1412&gt;=51,K1412&lt;=100),"51–100",
 AND(K1412&gt;=101,K1412&lt;=250),"101–250",
 AND(K1412&gt;=251,K1412&lt;=500),"251–500",
 AND(K1412&gt;=501,K1412&lt;=1000),"501–1000",
 K1412&gt;=1001,"1001+"
)</f>
        <v>51–100</v>
      </c>
    </row>
    <row r="1413" spans="1:12" x14ac:dyDescent="0.3">
      <c r="A1413" t="s">
        <v>2679</v>
      </c>
      <c r="B1413" t="s">
        <v>9</v>
      </c>
      <c r="C1413" t="s">
        <v>5780</v>
      </c>
      <c r="D1413" t="s">
        <v>2680</v>
      </c>
      <c r="E1413" t="s">
        <v>15</v>
      </c>
      <c r="F1413" t="s">
        <v>54</v>
      </c>
      <c r="G1413" t="s">
        <v>2681</v>
      </c>
      <c r="J1413" t="s">
        <v>5737</v>
      </c>
      <c r="K1413">
        <v>80</v>
      </c>
      <c r="L1413" t="str" cm="1">
        <f t="array" ref="L1413">_xlfn.IFS(
 K1413&lt;=50,"≤50",
 AND(K1413&gt;=51,K1413&lt;=100),"51–100",
 AND(K1413&gt;=101,K1413&lt;=250),"101–250",
 AND(K1413&gt;=251,K1413&lt;=500),"251–500",
 AND(K1413&gt;=501,K1413&lt;=1000),"501–1000",
 K1413&gt;=1001,"1001+"
)</f>
        <v>51–100</v>
      </c>
    </row>
    <row r="1414" spans="1:12" x14ac:dyDescent="0.3">
      <c r="A1414" t="s">
        <v>2682</v>
      </c>
      <c r="B1414" t="s">
        <v>9</v>
      </c>
      <c r="C1414" t="s">
        <v>5780</v>
      </c>
      <c r="D1414" t="s">
        <v>28</v>
      </c>
      <c r="E1414" t="s">
        <v>15</v>
      </c>
      <c r="F1414" t="s">
        <v>5770</v>
      </c>
      <c r="J1414" t="s">
        <v>5758</v>
      </c>
      <c r="K1414">
        <v>80</v>
      </c>
      <c r="L1414" t="str" cm="1">
        <f t="array" ref="L1414">_xlfn.IFS(
 K1414&lt;=50,"≤50",
 AND(K1414&gt;=51,K1414&lt;=100),"51–100",
 AND(K1414&gt;=101,K1414&lt;=250),"101–250",
 AND(K1414&gt;=251,K1414&lt;=500),"251–500",
 AND(K1414&gt;=501,K1414&lt;=1000),"501–1000",
 K1414&gt;=1001,"1001+"
)</f>
        <v>51–100</v>
      </c>
    </row>
    <row r="1415" spans="1:12" x14ac:dyDescent="0.3">
      <c r="A1415" t="s">
        <v>2683</v>
      </c>
      <c r="B1415" t="s">
        <v>9</v>
      </c>
      <c r="C1415" t="s">
        <v>5780</v>
      </c>
      <c r="D1415" t="s">
        <v>2684</v>
      </c>
      <c r="E1415" t="s">
        <v>15</v>
      </c>
      <c r="F1415" t="s">
        <v>20</v>
      </c>
      <c r="G1415" t="s">
        <v>2685</v>
      </c>
      <c r="J1415" t="s">
        <v>5741</v>
      </c>
      <c r="K1415">
        <v>80</v>
      </c>
      <c r="L1415" t="str" cm="1">
        <f t="array" ref="L1415">_xlfn.IFS(
 K1415&lt;=50,"≤50",
 AND(K1415&gt;=51,K1415&lt;=100),"51–100",
 AND(K1415&gt;=101,K1415&lt;=250),"101–250",
 AND(K1415&gt;=251,K1415&lt;=500),"251–500",
 AND(K1415&gt;=501,K1415&lt;=1000),"501–1000",
 K1415&gt;=1001,"1001+"
)</f>
        <v>51–100</v>
      </c>
    </row>
    <row r="1416" spans="1:12" x14ac:dyDescent="0.3">
      <c r="A1416" t="s">
        <v>2686</v>
      </c>
      <c r="B1416" t="s">
        <v>11</v>
      </c>
      <c r="C1416" t="s">
        <v>5776</v>
      </c>
      <c r="F1416" t="s">
        <v>5770</v>
      </c>
      <c r="J1416" t="s">
        <v>5746</v>
      </c>
      <c r="K1416">
        <v>80</v>
      </c>
      <c r="L1416" t="str" cm="1">
        <f t="array" ref="L1416">_xlfn.IFS(
 K1416&lt;=50,"≤50",
 AND(K1416&gt;=51,K1416&lt;=100),"51–100",
 AND(K1416&gt;=101,K1416&lt;=250),"101–250",
 AND(K1416&gt;=251,K1416&lt;=500),"251–500",
 AND(K1416&gt;=501,K1416&lt;=1000),"501–1000",
 K1416&gt;=1001,"1001+"
)</f>
        <v>51–100</v>
      </c>
    </row>
    <row r="1417" spans="1:12" x14ac:dyDescent="0.3">
      <c r="A1417" t="s">
        <v>2687</v>
      </c>
      <c r="B1417" t="s">
        <v>9</v>
      </c>
      <c r="C1417" t="s">
        <v>5780</v>
      </c>
      <c r="D1417" t="s">
        <v>2414</v>
      </c>
      <c r="F1417" t="s">
        <v>5770</v>
      </c>
      <c r="J1417" t="s">
        <v>5737</v>
      </c>
      <c r="K1417">
        <v>80</v>
      </c>
      <c r="L1417" t="str" cm="1">
        <f t="array" ref="L1417">_xlfn.IFS(
 K1417&lt;=50,"≤50",
 AND(K1417&gt;=51,K1417&lt;=100),"51–100",
 AND(K1417&gt;=101,K1417&lt;=250),"101–250",
 AND(K1417&gt;=251,K1417&lt;=500),"251–500",
 AND(K1417&gt;=501,K1417&lt;=1000),"501–1000",
 K1417&gt;=1001,"1001+"
)</f>
        <v>51–100</v>
      </c>
    </row>
    <row r="1418" spans="1:12" x14ac:dyDescent="0.3">
      <c r="A1418" t="s">
        <v>2688</v>
      </c>
      <c r="B1418" t="s">
        <v>9</v>
      </c>
      <c r="C1418" t="s">
        <v>5780</v>
      </c>
      <c r="D1418" t="s">
        <v>2689</v>
      </c>
      <c r="E1418" t="s">
        <v>15</v>
      </c>
      <c r="F1418" t="s">
        <v>54</v>
      </c>
      <c r="G1418" t="s">
        <v>2690</v>
      </c>
      <c r="J1418" t="s">
        <v>5739</v>
      </c>
      <c r="K1418">
        <v>80</v>
      </c>
      <c r="L1418" t="str" cm="1">
        <f t="array" ref="L1418">_xlfn.IFS(
 K1418&lt;=50,"≤50",
 AND(K1418&gt;=51,K1418&lt;=100),"51–100",
 AND(K1418&gt;=101,K1418&lt;=250),"101–250",
 AND(K1418&gt;=251,K1418&lt;=500),"251–500",
 AND(K1418&gt;=501,K1418&lt;=1000),"501–1000",
 K1418&gt;=1001,"1001+"
)</f>
        <v>51–100</v>
      </c>
    </row>
    <row r="1419" spans="1:12" x14ac:dyDescent="0.3">
      <c r="A1419" t="s">
        <v>2691</v>
      </c>
      <c r="B1419" t="s">
        <v>9</v>
      </c>
      <c r="C1419" t="s">
        <v>5780</v>
      </c>
      <c r="D1419" t="s">
        <v>2692</v>
      </c>
      <c r="F1419" t="s">
        <v>20</v>
      </c>
      <c r="G1419" t="s">
        <v>2693</v>
      </c>
      <c r="J1419" t="s">
        <v>5750</v>
      </c>
      <c r="K1419">
        <v>80</v>
      </c>
      <c r="L1419" t="str" cm="1">
        <f t="array" ref="L1419">_xlfn.IFS(
 K1419&lt;=50,"≤50",
 AND(K1419&gt;=51,K1419&lt;=100),"51–100",
 AND(K1419&gt;=101,K1419&lt;=250),"101–250",
 AND(K1419&gt;=251,K1419&lt;=500),"251–500",
 AND(K1419&gt;=501,K1419&lt;=1000),"501–1000",
 K1419&gt;=1001,"1001+"
)</f>
        <v>51–100</v>
      </c>
    </row>
    <row r="1420" spans="1:12" x14ac:dyDescent="0.3">
      <c r="A1420" t="s">
        <v>2694</v>
      </c>
      <c r="B1420" t="s">
        <v>9</v>
      </c>
      <c r="C1420" t="s">
        <v>5780</v>
      </c>
      <c r="D1420" t="s">
        <v>28</v>
      </c>
      <c r="E1420" t="s">
        <v>15</v>
      </c>
      <c r="F1420" t="s">
        <v>5770</v>
      </c>
      <c r="J1420" t="s">
        <v>5746</v>
      </c>
      <c r="K1420">
        <v>80</v>
      </c>
      <c r="L1420" t="str" cm="1">
        <f t="array" ref="L1420">_xlfn.IFS(
 K1420&lt;=50,"≤50",
 AND(K1420&gt;=51,K1420&lt;=100),"51–100",
 AND(K1420&gt;=101,K1420&lt;=250),"101–250",
 AND(K1420&gt;=251,K1420&lt;=500),"251–500",
 AND(K1420&gt;=501,K1420&lt;=1000),"501–1000",
 K1420&gt;=1001,"1001+"
)</f>
        <v>51–100</v>
      </c>
    </row>
    <row r="1421" spans="1:12" x14ac:dyDescent="0.3">
      <c r="A1421" t="s">
        <v>2695</v>
      </c>
      <c r="B1421" t="s">
        <v>9</v>
      </c>
      <c r="C1421" t="s">
        <v>5780</v>
      </c>
      <c r="D1421" t="s">
        <v>2696</v>
      </c>
      <c r="E1421" t="s">
        <v>15</v>
      </c>
      <c r="F1421" t="s">
        <v>20</v>
      </c>
      <c r="G1421" t="s">
        <v>2697</v>
      </c>
      <c r="J1421" t="s">
        <v>5753</v>
      </c>
      <c r="K1421">
        <v>80</v>
      </c>
      <c r="L1421" t="str" cm="1">
        <f t="array" ref="L1421">_xlfn.IFS(
 K1421&lt;=50,"≤50",
 AND(K1421&gt;=51,K1421&lt;=100),"51–100",
 AND(K1421&gt;=101,K1421&lt;=250),"101–250",
 AND(K1421&gt;=251,K1421&lt;=500),"251–500",
 AND(K1421&gt;=501,K1421&lt;=1000),"501–1000",
 K1421&gt;=1001,"1001+"
)</f>
        <v>51–100</v>
      </c>
    </row>
    <row r="1422" spans="1:12" x14ac:dyDescent="0.3">
      <c r="A1422" t="s">
        <v>2698</v>
      </c>
      <c r="B1422" t="s">
        <v>11</v>
      </c>
      <c r="C1422" t="s">
        <v>5776</v>
      </c>
      <c r="F1422" t="s">
        <v>5770</v>
      </c>
      <c r="J1422" t="s">
        <v>5737</v>
      </c>
      <c r="K1422">
        <v>80</v>
      </c>
      <c r="L1422" t="str" cm="1">
        <f t="array" ref="L1422">_xlfn.IFS(
 K1422&lt;=50,"≤50",
 AND(K1422&gt;=51,K1422&lt;=100),"51–100",
 AND(K1422&gt;=101,K1422&lt;=250),"101–250",
 AND(K1422&gt;=251,K1422&lt;=500),"251–500",
 AND(K1422&gt;=501,K1422&lt;=1000),"501–1000",
 K1422&gt;=1001,"1001+"
)</f>
        <v>51–100</v>
      </c>
    </row>
    <row r="1423" spans="1:12" x14ac:dyDescent="0.3">
      <c r="A1423" t="s">
        <v>2699</v>
      </c>
      <c r="B1423" t="s">
        <v>11</v>
      </c>
      <c r="C1423" t="s">
        <v>5776</v>
      </c>
      <c r="F1423" t="s">
        <v>5770</v>
      </c>
      <c r="J1423" t="s">
        <v>5737</v>
      </c>
      <c r="K1423">
        <v>80</v>
      </c>
      <c r="L1423" t="str" cm="1">
        <f t="array" ref="L1423">_xlfn.IFS(
 K1423&lt;=50,"≤50",
 AND(K1423&gt;=51,K1423&lt;=100),"51–100",
 AND(K1423&gt;=101,K1423&lt;=250),"101–250",
 AND(K1423&gt;=251,K1423&lt;=500),"251–500",
 AND(K1423&gt;=501,K1423&lt;=1000),"501–1000",
 K1423&gt;=1001,"1001+"
)</f>
        <v>51–100</v>
      </c>
    </row>
    <row r="1424" spans="1:12" x14ac:dyDescent="0.3">
      <c r="A1424" t="s">
        <v>2700</v>
      </c>
      <c r="B1424" t="s">
        <v>9</v>
      </c>
      <c r="C1424" t="s">
        <v>5780</v>
      </c>
      <c r="D1424" t="s">
        <v>2701</v>
      </c>
      <c r="F1424" t="s">
        <v>5770</v>
      </c>
      <c r="J1424" t="s">
        <v>5751</v>
      </c>
      <c r="K1424">
        <v>80</v>
      </c>
      <c r="L1424" t="str" cm="1">
        <f t="array" ref="L1424">_xlfn.IFS(
 K1424&lt;=50,"≤50",
 AND(K1424&gt;=51,K1424&lt;=100),"51–100",
 AND(K1424&gt;=101,K1424&lt;=250),"101–250",
 AND(K1424&gt;=251,K1424&lt;=500),"251–500",
 AND(K1424&gt;=501,K1424&lt;=1000),"501–1000",
 K1424&gt;=1001,"1001+"
)</f>
        <v>51–100</v>
      </c>
    </row>
    <row r="1425" spans="1:12" x14ac:dyDescent="0.3">
      <c r="A1425" t="s">
        <v>2702</v>
      </c>
      <c r="B1425" t="s">
        <v>13</v>
      </c>
      <c r="C1425" t="s">
        <v>5777</v>
      </c>
      <c r="D1425" t="s">
        <v>2703</v>
      </c>
      <c r="E1425" t="s">
        <v>15</v>
      </c>
      <c r="F1425" t="s">
        <v>20</v>
      </c>
      <c r="G1425" t="s">
        <v>2574</v>
      </c>
      <c r="J1425" t="s">
        <v>5737</v>
      </c>
      <c r="K1425">
        <v>80</v>
      </c>
      <c r="L1425" t="str" cm="1">
        <f t="array" ref="L1425">_xlfn.IFS(
 K1425&lt;=50,"≤50",
 AND(K1425&gt;=51,K1425&lt;=100),"51–100",
 AND(K1425&gt;=101,K1425&lt;=250),"101–250",
 AND(K1425&gt;=251,K1425&lt;=500),"251–500",
 AND(K1425&gt;=501,K1425&lt;=1000),"501–1000",
 K1425&gt;=1001,"1001+"
)</f>
        <v>51–100</v>
      </c>
    </row>
    <row r="1426" spans="1:12" x14ac:dyDescent="0.3">
      <c r="A1426" t="s">
        <v>2704</v>
      </c>
      <c r="B1426" t="s">
        <v>197</v>
      </c>
      <c r="C1426" t="s">
        <v>5774</v>
      </c>
      <c r="D1426" t="s">
        <v>2705</v>
      </c>
      <c r="E1426" t="s">
        <v>15</v>
      </c>
      <c r="F1426" t="s">
        <v>16</v>
      </c>
      <c r="G1426" t="s">
        <v>2706</v>
      </c>
      <c r="J1426" t="s">
        <v>5737</v>
      </c>
      <c r="K1426">
        <v>80</v>
      </c>
      <c r="L1426" t="str" cm="1">
        <f t="array" ref="L1426">_xlfn.IFS(
 K1426&lt;=50,"≤50",
 AND(K1426&gt;=51,K1426&lt;=100),"51–100",
 AND(K1426&gt;=101,K1426&lt;=250),"101–250",
 AND(K1426&gt;=251,K1426&lt;=500),"251–500",
 AND(K1426&gt;=501,K1426&lt;=1000),"501–1000",
 K1426&gt;=1001,"1001+"
)</f>
        <v>51–100</v>
      </c>
    </row>
    <row r="1427" spans="1:12" x14ac:dyDescent="0.3">
      <c r="A1427" t="s">
        <v>2707</v>
      </c>
      <c r="B1427" t="s">
        <v>11</v>
      </c>
      <c r="C1427" t="s">
        <v>5776</v>
      </c>
      <c r="F1427" t="s">
        <v>5770</v>
      </c>
      <c r="J1427" t="s">
        <v>5744</v>
      </c>
      <c r="K1427">
        <v>80</v>
      </c>
      <c r="L1427" t="str" cm="1">
        <f t="array" ref="L1427">_xlfn.IFS(
 K1427&lt;=50,"≤50",
 AND(K1427&gt;=51,K1427&lt;=100),"51–100",
 AND(K1427&gt;=101,K1427&lt;=250),"101–250",
 AND(K1427&gt;=251,K1427&lt;=500),"251–500",
 AND(K1427&gt;=501,K1427&lt;=1000),"501–1000",
 K1427&gt;=1001,"1001+"
)</f>
        <v>51–100</v>
      </c>
    </row>
    <row r="1428" spans="1:12" x14ac:dyDescent="0.3">
      <c r="A1428" t="s">
        <v>2708</v>
      </c>
      <c r="B1428" t="s">
        <v>9</v>
      </c>
      <c r="C1428" t="s">
        <v>5780</v>
      </c>
      <c r="D1428" t="s">
        <v>28</v>
      </c>
      <c r="E1428" t="s">
        <v>15</v>
      </c>
      <c r="F1428" t="s">
        <v>16</v>
      </c>
      <c r="G1428" t="s">
        <v>45</v>
      </c>
      <c r="J1428" t="s">
        <v>5738</v>
      </c>
      <c r="K1428">
        <v>80</v>
      </c>
      <c r="L1428" t="str" cm="1">
        <f t="array" ref="L1428">_xlfn.IFS(
 K1428&lt;=50,"≤50",
 AND(K1428&gt;=51,K1428&lt;=100),"51–100",
 AND(K1428&gt;=101,K1428&lt;=250),"101–250",
 AND(K1428&gt;=251,K1428&lt;=500),"251–500",
 AND(K1428&gt;=501,K1428&lt;=1000),"501–1000",
 K1428&gt;=1001,"1001+"
)</f>
        <v>51–100</v>
      </c>
    </row>
    <row r="1429" spans="1:12" x14ac:dyDescent="0.3">
      <c r="A1429" t="s">
        <v>2709</v>
      </c>
      <c r="B1429" t="s">
        <v>9</v>
      </c>
      <c r="C1429" t="s">
        <v>5780</v>
      </c>
      <c r="D1429" t="s">
        <v>2710</v>
      </c>
      <c r="E1429" t="s">
        <v>15</v>
      </c>
      <c r="F1429" t="s">
        <v>5769</v>
      </c>
      <c r="G1429" t="s">
        <v>2711</v>
      </c>
      <c r="J1429" t="s">
        <v>5741</v>
      </c>
      <c r="K1429">
        <v>80</v>
      </c>
      <c r="L1429" t="str" cm="1">
        <f t="array" ref="L1429">_xlfn.IFS(
 K1429&lt;=50,"≤50",
 AND(K1429&gt;=51,K1429&lt;=100),"51–100",
 AND(K1429&gt;=101,K1429&lt;=250),"101–250",
 AND(K1429&gt;=251,K1429&lt;=500),"251–500",
 AND(K1429&gt;=501,K1429&lt;=1000),"501–1000",
 K1429&gt;=1001,"1001+"
)</f>
        <v>51–100</v>
      </c>
    </row>
    <row r="1430" spans="1:12" x14ac:dyDescent="0.3">
      <c r="A1430" t="s">
        <v>2712</v>
      </c>
      <c r="B1430" t="s">
        <v>13</v>
      </c>
      <c r="C1430" t="s">
        <v>5777</v>
      </c>
      <c r="D1430" t="s">
        <v>2713</v>
      </c>
      <c r="E1430" t="s">
        <v>15</v>
      </c>
      <c r="F1430" t="s">
        <v>20</v>
      </c>
      <c r="G1430" t="s">
        <v>2714</v>
      </c>
      <c r="J1430" t="s">
        <v>5738</v>
      </c>
      <c r="K1430">
        <v>80</v>
      </c>
      <c r="L1430" t="str" cm="1">
        <f t="array" ref="L1430">_xlfn.IFS(
 K1430&lt;=50,"≤50",
 AND(K1430&gt;=51,K1430&lt;=100),"51–100",
 AND(K1430&gt;=101,K1430&lt;=250),"101–250",
 AND(K1430&gt;=251,K1430&lt;=500),"251–500",
 AND(K1430&gt;=501,K1430&lt;=1000),"501–1000",
 K1430&gt;=1001,"1001+"
)</f>
        <v>51–100</v>
      </c>
    </row>
    <row r="1431" spans="1:12" x14ac:dyDescent="0.3">
      <c r="A1431" t="s">
        <v>2715</v>
      </c>
      <c r="B1431" t="s">
        <v>13</v>
      </c>
      <c r="C1431" t="s">
        <v>5777</v>
      </c>
      <c r="D1431" t="s">
        <v>2716</v>
      </c>
      <c r="E1431" t="s">
        <v>15</v>
      </c>
      <c r="F1431" t="s">
        <v>5770</v>
      </c>
      <c r="J1431" t="s">
        <v>5749</v>
      </c>
      <c r="K1431">
        <v>80</v>
      </c>
      <c r="L1431" t="str" cm="1">
        <f t="array" ref="L1431">_xlfn.IFS(
 K1431&lt;=50,"≤50",
 AND(K1431&gt;=51,K1431&lt;=100),"51–100",
 AND(K1431&gt;=101,K1431&lt;=250),"101–250",
 AND(K1431&gt;=251,K1431&lt;=500),"251–500",
 AND(K1431&gt;=501,K1431&lt;=1000),"501–1000",
 K1431&gt;=1001,"1001+"
)</f>
        <v>51–100</v>
      </c>
    </row>
    <row r="1432" spans="1:12" x14ac:dyDescent="0.3">
      <c r="A1432" t="s">
        <v>2717</v>
      </c>
      <c r="B1432" t="s">
        <v>13</v>
      </c>
      <c r="C1432" t="s">
        <v>5777</v>
      </c>
      <c r="D1432" t="s">
        <v>2718</v>
      </c>
      <c r="E1432" t="s">
        <v>15</v>
      </c>
      <c r="F1432" t="s">
        <v>20</v>
      </c>
      <c r="G1432" t="s">
        <v>2719</v>
      </c>
      <c r="J1432" t="s">
        <v>5737</v>
      </c>
      <c r="K1432">
        <v>80</v>
      </c>
      <c r="L1432" t="str" cm="1">
        <f t="array" ref="L1432">_xlfn.IFS(
 K1432&lt;=50,"≤50",
 AND(K1432&gt;=51,K1432&lt;=100),"51–100",
 AND(K1432&gt;=101,K1432&lt;=250),"101–250",
 AND(K1432&gt;=251,K1432&lt;=500),"251–500",
 AND(K1432&gt;=501,K1432&lt;=1000),"501–1000",
 K1432&gt;=1001,"1001+"
)</f>
        <v>51–100</v>
      </c>
    </row>
    <row r="1433" spans="1:12" x14ac:dyDescent="0.3">
      <c r="A1433" t="s">
        <v>2720</v>
      </c>
      <c r="B1433" t="s">
        <v>9</v>
      </c>
      <c r="C1433" t="s">
        <v>5780</v>
      </c>
      <c r="D1433" t="s">
        <v>28</v>
      </c>
      <c r="F1433" t="s">
        <v>16</v>
      </c>
      <c r="G1433" t="s">
        <v>2721</v>
      </c>
      <c r="J1433" t="s">
        <v>5758</v>
      </c>
      <c r="K1433">
        <v>80</v>
      </c>
      <c r="L1433" t="str" cm="1">
        <f t="array" ref="L1433">_xlfn.IFS(
 K1433&lt;=50,"≤50",
 AND(K1433&gt;=51,K1433&lt;=100),"51–100",
 AND(K1433&gt;=101,K1433&lt;=250),"101–250",
 AND(K1433&gt;=251,K1433&lt;=500),"251–500",
 AND(K1433&gt;=501,K1433&lt;=1000),"501–1000",
 K1433&gt;=1001,"1001+"
)</f>
        <v>51–100</v>
      </c>
    </row>
    <row r="1434" spans="1:12" x14ac:dyDescent="0.3">
      <c r="A1434" t="s">
        <v>2722</v>
      </c>
      <c r="B1434" t="s">
        <v>11</v>
      </c>
      <c r="C1434" t="s">
        <v>5776</v>
      </c>
      <c r="F1434" t="s">
        <v>5770</v>
      </c>
      <c r="J1434" t="s">
        <v>5760</v>
      </c>
      <c r="K1434">
        <v>80</v>
      </c>
      <c r="L1434" t="str" cm="1">
        <f t="array" ref="L1434">_xlfn.IFS(
 K1434&lt;=50,"≤50",
 AND(K1434&gt;=51,K1434&lt;=100),"51–100",
 AND(K1434&gt;=101,K1434&lt;=250),"101–250",
 AND(K1434&gt;=251,K1434&lt;=500),"251–500",
 AND(K1434&gt;=501,K1434&lt;=1000),"501–1000",
 K1434&gt;=1001,"1001+"
)</f>
        <v>51–100</v>
      </c>
    </row>
    <row r="1435" spans="1:12" x14ac:dyDescent="0.3">
      <c r="A1435" t="s">
        <v>2723</v>
      </c>
      <c r="B1435" t="s">
        <v>13</v>
      </c>
      <c r="C1435" t="s">
        <v>5777</v>
      </c>
      <c r="D1435" t="s">
        <v>2724</v>
      </c>
      <c r="E1435" t="s">
        <v>15</v>
      </c>
      <c r="F1435" t="s">
        <v>20</v>
      </c>
      <c r="G1435" t="s">
        <v>135</v>
      </c>
      <c r="J1435" t="s">
        <v>5737</v>
      </c>
      <c r="K1435">
        <v>80</v>
      </c>
      <c r="L1435" t="str" cm="1">
        <f t="array" ref="L1435">_xlfn.IFS(
 K1435&lt;=50,"≤50",
 AND(K1435&gt;=51,K1435&lt;=100),"51–100",
 AND(K1435&gt;=101,K1435&lt;=250),"101–250",
 AND(K1435&gt;=251,K1435&lt;=500),"251–500",
 AND(K1435&gt;=501,K1435&lt;=1000),"501–1000",
 K1435&gt;=1001,"1001+"
)</f>
        <v>51–100</v>
      </c>
    </row>
    <row r="1436" spans="1:12" x14ac:dyDescent="0.3">
      <c r="A1436" t="s">
        <v>2725</v>
      </c>
      <c r="B1436" t="s">
        <v>13</v>
      </c>
      <c r="C1436" t="s">
        <v>5777</v>
      </c>
      <c r="D1436" t="s">
        <v>2726</v>
      </c>
      <c r="E1436" t="s">
        <v>15</v>
      </c>
      <c r="F1436" t="s">
        <v>20</v>
      </c>
      <c r="G1436" t="s">
        <v>135</v>
      </c>
      <c r="J1436" t="s">
        <v>5738</v>
      </c>
      <c r="K1436">
        <v>80</v>
      </c>
      <c r="L1436" t="str" cm="1">
        <f t="array" ref="L1436">_xlfn.IFS(
 K1436&lt;=50,"≤50",
 AND(K1436&gt;=51,K1436&lt;=100),"51–100",
 AND(K1436&gt;=101,K1436&lt;=250),"101–250",
 AND(K1436&gt;=251,K1436&lt;=500),"251–500",
 AND(K1436&gt;=501,K1436&lt;=1000),"501–1000",
 K1436&gt;=1001,"1001+"
)</f>
        <v>51–100</v>
      </c>
    </row>
    <row r="1437" spans="1:12" x14ac:dyDescent="0.3">
      <c r="A1437" t="s">
        <v>2727</v>
      </c>
      <c r="B1437" t="s">
        <v>13</v>
      </c>
      <c r="C1437" t="s">
        <v>5777</v>
      </c>
      <c r="D1437" t="s">
        <v>2728</v>
      </c>
      <c r="E1437" t="s">
        <v>15</v>
      </c>
      <c r="F1437" t="s">
        <v>16</v>
      </c>
      <c r="G1437" t="s">
        <v>2729</v>
      </c>
      <c r="J1437" t="s">
        <v>5737</v>
      </c>
      <c r="K1437">
        <v>80</v>
      </c>
      <c r="L1437" t="str" cm="1">
        <f t="array" ref="L1437">_xlfn.IFS(
 K1437&lt;=50,"≤50",
 AND(K1437&gt;=51,K1437&lt;=100),"51–100",
 AND(K1437&gt;=101,K1437&lt;=250),"101–250",
 AND(K1437&gt;=251,K1437&lt;=500),"251–500",
 AND(K1437&gt;=501,K1437&lt;=1000),"501–1000",
 K1437&gt;=1001,"1001+"
)</f>
        <v>51–100</v>
      </c>
    </row>
    <row r="1438" spans="1:12" x14ac:dyDescent="0.3">
      <c r="A1438" t="s">
        <v>2730</v>
      </c>
      <c r="B1438" t="s">
        <v>9</v>
      </c>
      <c r="C1438" t="s">
        <v>5780</v>
      </c>
      <c r="D1438" t="s">
        <v>301</v>
      </c>
      <c r="E1438" t="s">
        <v>15</v>
      </c>
      <c r="F1438" t="s">
        <v>16</v>
      </c>
      <c r="G1438" t="s">
        <v>2731</v>
      </c>
      <c r="J1438" t="s">
        <v>5737</v>
      </c>
      <c r="K1438">
        <v>80</v>
      </c>
      <c r="L1438" t="str" cm="1">
        <f t="array" ref="L1438">_xlfn.IFS(
 K1438&lt;=50,"≤50",
 AND(K1438&gt;=51,K1438&lt;=100),"51–100",
 AND(K1438&gt;=101,K1438&lt;=250),"101–250",
 AND(K1438&gt;=251,K1438&lt;=500),"251–500",
 AND(K1438&gt;=501,K1438&lt;=1000),"501–1000",
 K1438&gt;=1001,"1001+"
)</f>
        <v>51–100</v>
      </c>
    </row>
    <row r="1439" spans="1:12" x14ac:dyDescent="0.3">
      <c r="A1439" t="s">
        <v>2732</v>
      </c>
      <c r="B1439" t="s">
        <v>9</v>
      </c>
      <c r="C1439" t="s">
        <v>5780</v>
      </c>
      <c r="D1439" t="s">
        <v>841</v>
      </c>
      <c r="F1439" t="s">
        <v>5770</v>
      </c>
      <c r="J1439" t="s">
        <v>5737</v>
      </c>
      <c r="K1439">
        <v>80</v>
      </c>
      <c r="L1439" t="str" cm="1">
        <f t="array" ref="L1439">_xlfn.IFS(
 K1439&lt;=50,"≤50",
 AND(K1439&gt;=51,K1439&lt;=100),"51–100",
 AND(K1439&gt;=101,K1439&lt;=250),"101–250",
 AND(K1439&gt;=251,K1439&lt;=500),"251–500",
 AND(K1439&gt;=501,K1439&lt;=1000),"501–1000",
 K1439&gt;=1001,"1001+"
)</f>
        <v>51–100</v>
      </c>
    </row>
    <row r="1440" spans="1:12" x14ac:dyDescent="0.3">
      <c r="A1440" t="s">
        <v>2733</v>
      </c>
      <c r="B1440" t="s">
        <v>13</v>
      </c>
      <c r="C1440" t="s">
        <v>5777</v>
      </c>
      <c r="D1440" t="s">
        <v>2734</v>
      </c>
      <c r="E1440" t="s">
        <v>15</v>
      </c>
      <c r="F1440" t="s">
        <v>54</v>
      </c>
      <c r="G1440" t="s">
        <v>2735</v>
      </c>
      <c r="J1440" t="s">
        <v>5750</v>
      </c>
      <c r="K1440">
        <v>80</v>
      </c>
      <c r="L1440" t="str" cm="1">
        <f t="array" ref="L1440">_xlfn.IFS(
 K1440&lt;=50,"≤50",
 AND(K1440&gt;=51,K1440&lt;=100),"51–100",
 AND(K1440&gt;=101,K1440&lt;=250),"101–250",
 AND(K1440&gt;=251,K1440&lt;=500),"251–500",
 AND(K1440&gt;=501,K1440&lt;=1000),"501–1000",
 K1440&gt;=1001,"1001+"
)</f>
        <v>51–100</v>
      </c>
    </row>
    <row r="1441" spans="1:12" x14ac:dyDescent="0.3">
      <c r="A1441" t="s">
        <v>2736</v>
      </c>
      <c r="B1441" t="s">
        <v>9</v>
      </c>
      <c r="C1441" t="s">
        <v>5780</v>
      </c>
      <c r="D1441" t="s">
        <v>28</v>
      </c>
      <c r="E1441" t="s">
        <v>15</v>
      </c>
      <c r="F1441" t="s">
        <v>5770</v>
      </c>
      <c r="J1441" t="s">
        <v>5747</v>
      </c>
      <c r="K1441">
        <v>80</v>
      </c>
      <c r="L1441" t="str" cm="1">
        <f t="array" ref="L1441">_xlfn.IFS(
 K1441&lt;=50,"≤50",
 AND(K1441&gt;=51,K1441&lt;=100),"51–100",
 AND(K1441&gt;=101,K1441&lt;=250),"101–250",
 AND(K1441&gt;=251,K1441&lt;=500),"251–500",
 AND(K1441&gt;=501,K1441&lt;=1000),"501–1000",
 K1441&gt;=1001,"1001+"
)</f>
        <v>51–100</v>
      </c>
    </row>
    <row r="1442" spans="1:12" x14ac:dyDescent="0.3">
      <c r="A1442" t="s">
        <v>2737</v>
      </c>
      <c r="B1442" t="s">
        <v>9</v>
      </c>
      <c r="C1442" t="s">
        <v>5780</v>
      </c>
      <c r="D1442" t="s">
        <v>28</v>
      </c>
      <c r="F1442" t="s">
        <v>5770</v>
      </c>
      <c r="J1442" t="s">
        <v>5737</v>
      </c>
      <c r="K1442">
        <v>80</v>
      </c>
      <c r="L1442" t="str" cm="1">
        <f t="array" ref="L1442">_xlfn.IFS(
 K1442&lt;=50,"≤50",
 AND(K1442&gt;=51,K1442&lt;=100),"51–100",
 AND(K1442&gt;=101,K1442&lt;=250),"101–250",
 AND(K1442&gt;=251,K1442&lt;=500),"251–500",
 AND(K1442&gt;=501,K1442&lt;=1000),"501–1000",
 K1442&gt;=1001,"1001+"
)</f>
        <v>51–100</v>
      </c>
    </row>
    <row r="1443" spans="1:12" x14ac:dyDescent="0.3">
      <c r="A1443" t="s">
        <v>2738</v>
      </c>
      <c r="B1443" t="s">
        <v>9</v>
      </c>
      <c r="C1443" t="s">
        <v>5780</v>
      </c>
      <c r="D1443" t="s">
        <v>2739</v>
      </c>
      <c r="E1443" t="s">
        <v>15</v>
      </c>
      <c r="F1443" t="s">
        <v>16</v>
      </c>
      <c r="G1443" t="s">
        <v>45</v>
      </c>
      <c r="J1443" t="s">
        <v>5741</v>
      </c>
      <c r="K1443">
        <v>80</v>
      </c>
      <c r="L1443" t="str" cm="1">
        <f t="array" ref="L1443">_xlfn.IFS(
 K1443&lt;=50,"≤50",
 AND(K1443&gt;=51,K1443&lt;=100),"51–100",
 AND(K1443&gt;=101,K1443&lt;=250),"101–250",
 AND(K1443&gt;=251,K1443&lt;=500),"251–500",
 AND(K1443&gt;=501,K1443&lt;=1000),"501–1000",
 K1443&gt;=1001,"1001+"
)</f>
        <v>51–100</v>
      </c>
    </row>
    <row r="1444" spans="1:12" x14ac:dyDescent="0.3">
      <c r="A1444" t="s">
        <v>2740</v>
      </c>
      <c r="B1444" t="s">
        <v>13</v>
      </c>
      <c r="C1444" t="s">
        <v>5777</v>
      </c>
      <c r="D1444" t="s">
        <v>245</v>
      </c>
      <c r="E1444" t="s">
        <v>15</v>
      </c>
      <c r="F1444" t="s">
        <v>54</v>
      </c>
      <c r="G1444" t="s">
        <v>2741</v>
      </c>
      <c r="J1444" t="s">
        <v>5737</v>
      </c>
      <c r="K1444">
        <v>80</v>
      </c>
      <c r="L1444" t="str" cm="1">
        <f t="array" ref="L1444">_xlfn.IFS(
 K1444&lt;=50,"≤50",
 AND(K1444&gt;=51,K1444&lt;=100),"51–100",
 AND(K1444&gt;=101,K1444&lt;=250),"101–250",
 AND(K1444&gt;=251,K1444&lt;=500),"251–500",
 AND(K1444&gt;=501,K1444&lt;=1000),"501–1000",
 K1444&gt;=1001,"1001+"
)</f>
        <v>51–100</v>
      </c>
    </row>
    <row r="1445" spans="1:12" x14ac:dyDescent="0.3">
      <c r="A1445" t="s">
        <v>2742</v>
      </c>
      <c r="B1445" t="s">
        <v>9</v>
      </c>
      <c r="C1445" t="s">
        <v>5780</v>
      </c>
      <c r="D1445" t="s">
        <v>2743</v>
      </c>
      <c r="E1445" t="s">
        <v>15</v>
      </c>
      <c r="F1445" t="s">
        <v>54</v>
      </c>
      <c r="G1445" t="s">
        <v>2744</v>
      </c>
      <c r="J1445" t="s">
        <v>5744</v>
      </c>
      <c r="K1445">
        <v>80</v>
      </c>
      <c r="L1445" t="str" cm="1">
        <f t="array" ref="L1445">_xlfn.IFS(
 K1445&lt;=50,"≤50",
 AND(K1445&gt;=51,K1445&lt;=100),"51–100",
 AND(K1445&gt;=101,K1445&lt;=250),"101–250",
 AND(K1445&gt;=251,K1445&lt;=500),"251–500",
 AND(K1445&gt;=501,K1445&lt;=1000),"501–1000",
 K1445&gt;=1001,"1001+"
)</f>
        <v>51–100</v>
      </c>
    </row>
    <row r="1446" spans="1:12" x14ac:dyDescent="0.3">
      <c r="A1446" t="s">
        <v>2745</v>
      </c>
      <c r="B1446" t="s">
        <v>13</v>
      </c>
      <c r="C1446" t="s">
        <v>5777</v>
      </c>
      <c r="D1446" t="s">
        <v>314</v>
      </c>
      <c r="F1446" t="s">
        <v>5770</v>
      </c>
      <c r="J1446" t="s">
        <v>5737</v>
      </c>
      <c r="K1446">
        <v>80</v>
      </c>
      <c r="L1446" t="str" cm="1">
        <f t="array" ref="L1446">_xlfn.IFS(
 K1446&lt;=50,"≤50",
 AND(K1446&gt;=51,K1446&lt;=100),"51–100",
 AND(K1446&gt;=101,K1446&lt;=250),"101–250",
 AND(K1446&gt;=251,K1446&lt;=500),"251–500",
 AND(K1446&gt;=501,K1446&lt;=1000),"501–1000",
 K1446&gt;=1001,"1001+"
)</f>
        <v>51–100</v>
      </c>
    </row>
    <row r="1447" spans="1:12" x14ac:dyDescent="0.3">
      <c r="A1447" t="s">
        <v>2746</v>
      </c>
      <c r="B1447" t="s">
        <v>9</v>
      </c>
      <c r="C1447" t="s">
        <v>5780</v>
      </c>
      <c r="D1447" t="s">
        <v>2747</v>
      </c>
      <c r="F1447" t="s">
        <v>54</v>
      </c>
      <c r="G1447" t="s">
        <v>588</v>
      </c>
      <c r="J1447" t="s">
        <v>5737</v>
      </c>
      <c r="K1447">
        <v>80</v>
      </c>
      <c r="L1447" t="str" cm="1">
        <f t="array" ref="L1447">_xlfn.IFS(
 K1447&lt;=50,"≤50",
 AND(K1447&gt;=51,K1447&lt;=100),"51–100",
 AND(K1447&gt;=101,K1447&lt;=250),"101–250",
 AND(K1447&gt;=251,K1447&lt;=500),"251–500",
 AND(K1447&gt;=501,K1447&lt;=1000),"501–1000",
 K1447&gt;=1001,"1001+"
)</f>
        <v>51–100</v>
      </c>
    </row>
    <row r="1448" spans="1:12" x14ac:dyDescent="0.3">
      <c r="A1448" t="s">
        <v>2748</v>
      </c>
      <c r="B1448" t="s">
        <v>9</v>
      </c>
      <c r="C1448" t="s">
        <v>5780</v>
      </c>
      <c r="D1448" t="s">
        <v>28</v>
      </c>
      <c r="E1448" t="s">
        <v>15</v>
      </c>
      <c r="F1448" t="s">
        <v>20</v>
      </c>
      <c r="G1448" t="s">
        <v>2749</v>
      </c>
      <c r="J1448" t="s">
        <v>5738</v>
      </c>
      <c r="K1448">
        <v>80</v>
      </c>
      <c r="L1448" t="str" cm="1">
        <f t="array" ref="L1448">_xlfn.IFS(
 K1448&lt;=50,"≤50",
 AND(K1448&gt;=51,K1448&lt;=100),"51–100",
 AND(K1448&gt;=101,K1448&lt;=250),"101–250",
 AND(K1448&gt;=251,K1448&lt;=500),"251–500",
 AND(K1448&gt;=501,K1448&lt;=1000),"501–1000",
 K1448&gt;=1001,"1001+"
)</f>
        <v>51–100</v>
      </c>
    </row>
    <row r="1449" spans="1:12" x14ac:dyDescent="0.3">
      <c r="A1449" t="s">
        <v>2750</v>
      </c>
      <c r="B1449" t="s">
        <v>9</v>
      </c>
      <c r="C1449" t="s">
        <v>5780</v>
      </c>
      <c r="D1449" t="s">
        <v>28</v>
      </c>
      <c r="E1449" t="s">
        <v>15</v>
      </c>
      <c r="F1449" t="s">
        <v>20</v>
      </c>
      <c r="G1449" t="s">
        <v>2751</v>
      </c>
      <c r="J1449" t="s">
        <v>5743</v>
      </c>
      <c r="K1449">
        <v>80</v>
      </c>
      <c r="L1449" t="str" cm="1">
        <f t="array" ref="L1449">_xlfn.IFS(
 K1449&lt;=50,"≤50",
 AND(K1449&gt;=51,K1449&lt;=100),"51–100",
 AND(K1449&gt;=101,K1449&lt;=250),"101–250",
 AND(K1449&gt;=251,K1449&lt;=500),"251–500",
 AND(K1449&gt;=501,K1449&lt;=1000),"501–1000",
 K1449&gt;=1001,"1001+"
)</f>
        <v>51–100</v>
      </c>
    </row>
    <row r="1450" spans="1:12" x14ac:dyDescent="0.3">
      <c r="A1450" t="s">
        <v>2752</v>
      </c>
      <c r="B1450" t="s">
        <v>11</v>
      </c>
      <c r="C1450" t="s">
        <v>5776</v>
      </c>
      <c r="F1450" t="s">
        <v>5770</v>
      </c>
      <c r="J1450" t="s">
        <v>5746</v>
      </c>
      <c r="K1450">
        <v>80</v>
      </c>
      <c r="L1450" t="str" cm="1">
        <f t="array" ref="L1450">_xlfn.IFS(
 K1450&lt;=50,"≤50",
 AND(K1450&gt;=51,K1450&lt;=100),"51–100",
 AND(K1450&gt;=101,K1450&lt;=250),"101–250",
 AND(K1450&gt;=251,K1450&lt;=500),"251–500",
 AND(K1450&gt;=501,K1450&lt;=1000),"501–1000",
 K1450&gt;=1001,"1001+"
)</f>
        <v>51–100</v>
      </c>
    </row>
    <row r="1451" spans="1:12" x14ac:dyDescent="0.3">
      <c r="A1451" t="s">
        <v>2753</v>
      </c>
      <c r="B1451" t="s">
        <v>13</v>
      </c>
      <c r="C1451" t="s">
        <v>5777</v>
      </c>
      <c r="D1451" t="s">
        <v>2754</v>
      </c>
      <c r="E1451" t="s">
        <v>15</v>
      </c>
      <c r="F1451" t="s">
        <v>5770</v>
      </c>
      <c r="J1451" t="s">
        <v>5737</v>
      </c>
      <c r="K1451">
        <v>80</v>
      </c>
      <c r="L1451" t="str" cm="1">
        <f t="array" ref="L1451">_xlfn.IFS(
 K1451&lt;=50,"≤50",
 AND(K1451&gt;=51,K1451&lt;=100),"51–100",
 AND(K1451&gt;=101,K1451&lt;=250),"101–250",
 AND(K1451&gt;=251,K1451&lt;=500),"251–500",
 AND(K1451&gt;=501,K1451&lt;=1000),"501–1000",
 K1451&gt;=1001,"1001+"
)</f>
        <v>51–100</v>
      </c>
    </row>
    <row r="1452" spans="1:12" x14ac:dyDescent="0.3">
      <c r="A1452" t="s">
        <v>2755</v>
      </c>
      <c r="B1452" t="s">
        <v>9</v>
      </c>
      <c r="C1452" t="s">
        <v>5780</v>
      </c>
      <c r="D1452" t="s">
        <v>1339</v>
      </c>
      <c r="E1452" t="s">
        <v>15</v>
      </c>
      <c r="F1452" t="s">
        <v>5770</v>
      </c>
      <c r="J1452" t="s">
        <v>5744</v>
      </c>
      <c r="K1452">
        <v>80</v>
      </c>
      <c r="L1452" t="str" cm="1">
        <f t="array" ref="L1452">_xlfn.IFS(
 K1452&lt;=50,"≤50",
 AND(K1452&gt;=51,K1452&lt;=100),"51–100",
 AND(K1452&gt;=101,K1452&lt;=250),"101–250",
 AND(K1452&gt;=251,K1452&lt;=500),"251–500",
 AND(K1452&gt;=501,K1452&lt;=1000),"501–1000",
 K1452&gt;=1001,"1001+"
)</f>
        <v>51–100</v>
      </c>
    </row>
    <row r="1453" spans="1:12" x14ac:dyDescent="0.3">
      <c r="A1453" t="s">
        <v>2756</v>
      </c>
      <c r="B1453" t="s">
        <v>9</v>
      </c>
      <c r="C1453" t="s">
        <v>5780</v>
      </c>
      <c r="D1453" t="s">
        <v>2757</v>
      </c>
      <c r="F1453" t="s">
        <v>5770</v>
      </c>
      <c r="J1453" t="s">
        <v>5740</v>
      </c>
      <c r="K1453">
        <v>80</v>
      </c>
      <c r="L1453" t="str" cm="1">
        <f t="array" ref="L1453">_xlfn.IFS(
 K1453&lt;=50,"≤50",
 AND(K1453&gt;=51,K1453&lt;=100),"51–100",
 AND(K1453&gt;=101,K1453&lt;=250),"101–250",
 AND(K1453&gt;=251,K1453&lt;=500),"251–500",
 AND(K1453&gt;=501,K1453&lt;=1000),"501–1000",
 K1453&gt;=1001,"1001+"
)</f>
        <v>51–100</v>
      </c>
    </row>
    <row r="1454" spans="1:12" x14ac:dyDescent="0.3">
      <c r="A1454" t="s">
        <v>2758</v>
      </c>
      <c r="B1454" t="s">
        <v>9</v>
      </c>
      <c r="C1454" t="s">
        <v>5780</v>
      </c>
      <c r="D1454" t="s">
        <v>2759</v>
      </c>
      <c r="F1454" t="s">
        <v>5770</v>
      </c>
      <c r="J1454" t="s">
        <v>5738</v>
      </c>
      <c r="K1454">
        <v>80</v>
      </c>
      <c r="L1454" t="str" cm="1">
        <f t="array" ref="L1454">_xlfn.IFS(
 K1454&lt;=50,"≤50",
 AND(K1454&gt;=51,K1454&lt;=100),"51–100",
 AND(K1454&gt;=101,K1454&lt;=250),"101–250",
 AND(K1454&gt;=251,K1454&lt;=500),"251–500",
 AND(K1454&gt;=501,K1454&lt;=1000),"501–1000",
 K1454&gt;=1001,"1001+"
)</f>
        <v>51–100</v>
      </c>
    </row>
    <row r="1455" spans="1:12" x14ac:dyDescent="0.3">
      <c r="A1455" t="s">
        <v>2760</v>
      </c>
      <c r="B1455" t="s">
        <v>9</v>
      </c>
      <c r="C1455" t="s">
        <v>5780</v>
      </c>
      <c r="D1455" t="s">
        <v>2761</v>
      </c>
      <c r="F1455" t="s">
        <v>20</v>
      </c>
      <c r="G1455" t="s">
        <v>21</v>
      </c>
      <c r="J1455" t="s">
        <v>5737</v>
      </c>
      <c r="K1455">
        <v>80</v>
      </c>
      <c r="L1455" t="str" cm="1">
        <f t="array" ref="L1455">_xlfn.IFS(
 K1455&lt;=50,"≤50",
 AND(K1455&gt;=51,K1455&lt;=100),"51–100",
 AND(K1455&gt;=101,K1455&lt;=250),"101–250",
 AND(K1455&gt;=251,K1455&lt;=500),"251–500",
 AND(K1455&gt;=501,K1455&lt;=1000),"501–1000",
 K1455&gt;=1001,"1001+"
)</f>
        <v>51–100</v>
      </c>
    </row>
    <row r="1456" spans="1:12" x14ac:dyDescent="0.3">
      <c r="A1456" t="s">
        <v>2762</v>
      </c>
      <c r="B1456" t="s">
        <v>9</v>
      </c>
      <c r="C1456" t="s">
        <v>5780</v>
      </c>
      <c r="D1456" t="s">
        <v>28</v>
      </c>
      <c r="E1456" t="s">
        <v>15</v>
      </c>
      <c r="F1456" t="s">
        <v>16</v>
      </c>
      <c r="G1456" t="s">
        <v>2763</v>
      </c>
      <c r="J1456" t="s">
        <v>5737</v>
      </c>
      <c r="K1456">
        <v>80</v>
      </c>
      <c r="L1456" t="str" cm="1">
        <f t="array" ref="L1456">_xlfn.IFS(
 K1456&lt;=50,"≤50",
 AND(K1456&gt;=51,K1456&lt;=100),"51–100",
 AND(K1456&gt;=101,K1456&lt;=250),"101–250",
 AND(K1456&gt;=251,K1456&lt;=500),"251–500",
 AND(K1456&gt;=501,K1456&lt;=1000),"501–1000",
 K1456&gt;=1001,"1001+"
)</f>
        <v>51–100</v>
      </c>
    </row>
    <row r="1457" spans="1:12" x14ac:dyDescent="0.3">
      <c r="A1457" t="s">
        <v>2764</v>
      </c>
      <c r="B1457" t="s">
        <v>9</v>
      </c>
      <c r="C1457" t="s">
        <v>5780</v>
      </c>
      <c r="D1457" t="s">
        <v>2765</v>
      </c>
      <c r="E1457" t="s">
        <v>15</v>
      </c>
      <c r="F1457" t="s">
        <v>54</v>
      </c>
      <c r="G1457" t="s">
        <v>2766</v>
      </c>
      <c r="J1457" t="s">
        <v>5754</v>
      </c>
      <c r="K1457">
        <v>80</v>
      </c>
      <c r="L1457" t="str" cm="1">
        <f t="array" ref="L1457">_xlfn.IFS(
 K1457&lt;=50,"≤50",
 AND(K1457&gt;=51,K1457&lt;=100),"51–100",
 AND(K1457&gt;=101,K1457&lt;=250),"101–250",
 AND(K1457&gt;=251,K1457&lt;=500),"251–500",
 AND(K1457&gt;=501,K1457&lt;=1000),"501–1000",
 K1457&gt;=1001,"1001+"
)</f>
        <v>51–100</v>
      </c>
    </row>
    <row r="1458" spans="1:12" x14ac:dyDescent="0.3">
      <c r="A1458" t="s">
        <v>2767</v>
      </c>
      <c r="B1458" t="s">
        <v>13</v>
      </c>
      <c r="C1458" t="s">
        <v>5777</v>
      </c>
      <c r="D1458" t="s">
        <v>2768</v>
      </c>
      <c r="F1458" t="s">
        <v>20</v>
      </c>
      <c r="G1458" t="s">
        <v>21</v>
      </c>
      <c r="J1458" t="s">
        <v>5737</v>
      </c>
      <c r="K1458">
        <v>80</v>
      </c>
      <c r="L1458" t="str" cm="1">
        <f t="array" ref="L1458">_xlfn.IFS(
 K1458&lt;=50,"≤50",
 AND(K1458&gt;=51,K1458&lt;=100),"51–100",
 AND(K1458&gt;=101,K1458&lt;=250),"101–250",
 AND(K1458&gt;=251,K1458&lt;=500),"251–500",
 AND(K1458&gt;=501,K1458&lt;=1000),"501–1000",
 K1458&gt;=1001,"1001+"
)</f>
        <v>51–100</v>
      </c>
    </row>
    <row r="1459" spans="1:12" x14ac:dyDescent="0.3">
      <c r="A1459" t="s">
        <v>2769</v>
      </c>
      <c r="B1459" t="s">
        <v>9</v>
      </c>
      <c r="C1459" t="s">
        <v>5780</v>
      </c>
      <c r="D1459" t="s">
        <v>841</v>
      </c>
      <c r="F1459" t="s">
        <v>5770</v>
      </c>
      <c r="J1459" t="s">
        <v>5737</v>
      </c>
      <c r="K1459">
        <v>80</v>
      </c>
      <c r="L1459" t="str" cm="1">
        <f t="array" ref="L1459">_xlfn.IFS(
 K1459&lt;=50,"≤50",
 AND(K1459&gt;=51,K1459&lt;=100),"51–100",
 AND(K1459&gt;=101,K1459&lt;=250),"101–250",
 AND(K1459&gt;=251,K1459&lt;=500),"251–500",
 AND(K1459&gt;=501,K1459&lt;=1000),"501–1000",
 K1459&gt;=1001,"1001+"
)</f>
        <v>51–100</v>
      </c>
    </row>
    <row r="1460" spans="1:12" x14ac:dyDescent="0.3">
      <c r="A1460" t="s">
        <v>2770</v>
      </c>
      <c r="B1460" t="s">
        <v>9</v>
      </c>
      <c r="C1460" t="s">
        <v>5780</v>
      </c>
      <c r="D1460" t="s">
        <v>28</v>
      </c>
      <c r="F1460" t="s">
        <v>5770</v>
      </c>
      <c r="J1460" t="s">
        <v>5737</v>
      </c>
      <c r="K1460">
        <v>80</v>
      </c>
      <c r="L1460" t="str" cm="1">
        <f t="array" ref="L1460">_xlfn.IFS(
 K1460&lt;=50,"≤50",
 AND(K1460&gt;=51,K1460&lt;=100),"51–100",
 AND(K1460&gt;=101,K1460&lt;=250),"101–250",
 AND(K1460&gt;=251,K1460&lt;=500),"251–500",
 AND(K1460&gt;=501,K1460&lt;=1000),"501–1000",
 K1460&gt;=1001,"1001+"
)</f>
        <v>51–100</v>
      </c>
    </row>
    <row r="1461" spans="1:12" x14ac:dyDescent="0.3">
      <c r="A1461" t="s">
        <v>2771</v>
      </c>
      <c r="B1461" t="s">
        <v>13</v>
      </c>
      <c r="C1461" t="s">
        <v>5777</v>
      </c>
      <c r="D1461" t="s">
        <v>2772</v>
      </c>
      <c r="E1461" t="s">
        <v>15</v>
      </c>
      <c r="F1461" t="s">
        <v>16</v>
      </c>
      <c r="G1461" t="s">
        <v>138</v>
      </c>
      <c r="J1461" t="s">
        <v>5737</v>
      </c>
      <c r="K1461">
        <v>80</v>
      </c>
      <c r="L1461" t="str" cm="1">
        <f t="array" ref="L1461">_xlfn.IFS(
 K1461&lt;=50,"≤50",
 AND(K1461&gt;=51,K1461&lt;=100),"51–100",
 AND(K1461&gt;=101,K1461&lt;=250),"101–250",
 AND(K1461&gt;=251,K1461&lt;=500),"251–500",
 AND(K1461&gt;=501,K1461&lt;=1000),"501–1000",
 K1461&gt;=1001,"1001+"
)</f>
        <v>51–100</v>
      </c>
    </row>
    <row r="1462" spans="1:12" x14ac:dyDescent="0.3">
      <c r="A1462" t="s">
        <v>2773</v>
      </c>
      <c r="B1462" t="s">
        <v>9</v>
      </c>
      <c r="C1462" t="s">
        <v>5780</v>
      </c>
      <c r="D1462" t="s">
        <v>2774</v>
      </c>
      <c r="E1462" t="s">
        <v>15</v>
      </c>
      <c r="F1462" t="s">
        <v>5770</v>
      </c>
      <c r="J1462" t="s">
        <v>5742</v>
      </c>
      <c r="K1462">
        <v>80</v>
      </c>
      <c r="L1462" t="str" cm="1">
        <f t="array" ref="L1462">_xlfn.IFS(
 K1462&lt;=50,"≤50",
 AND(K1462&gt;=51,K1462&lt;=100),"51–100",
 AND(K1462&gt;=101,K1462&lt;=250),"101–250",
 AND(K1462&gt;=251,K1462&lt;=500),"251–500",
 AND(K1462&gt;=501,K1462&lt;=1000),"501–1000",
 K1462&gt;=1001,"1001+"
)</f>
        <v>51–100</v>
      </c>
    </row>
    <row r="1463" spans="1:12" x14ac:dyDescent="0.3">
      <c r="A1463" t="s">
        <v>2775</v>
      </c>
      <c r="B1463" t="s">
        <v>9</v>
      </c>
      <c r="C1463" t="s">
        <v>5780</v>
      </c>
      <c r="D1463" t="s">
        <v>2776</v>
      </c>
      <c r="F1463" t="s">
        <v>5770</v>
      </c>
      <c r="J1463" t="s">
        <v>5745</v>
      </c>
      <c r="K1463">
        <v>80</v>
      </c>
      <c r="L1463" t="str" cm="1">
        <f t="array" ref="L1463">_xlfn.IFS(
 K1463&lt;=50,"≤50",
 AND(K1463&gt;=51,K1463&lt;=100),"51–100",
 AND(K1463&gt;=101,K1463&lt;=250),"101–250",
 AND(K1463&gt;=251,K1463&lt;=500),"251–500",
 AND(K1463&gt;=501,K1463&lt;=1000),"501–1000",
 K1463&gt;=1001,"1001+"
)</f>
        <v>51–100</v>
      </c>
    </row>
    <row r="1464" spans="1:12" x14ac:dyDescent="0.3">
      <c r="A1464" t="s">
        <v>2777</v>
      </c>
      <c r="B1464" t="s">
        <v>197</v>
      </c>
      <c r="C1464" t="s">
        <v>5774</v>
      </c>
      <c r="D1464" t="s">
        <v>2778</v>
      </c>
      <c r="E1464" t="s">
        <v>15</v>
      </c>
      <c r="F1464" t="s">
        <v>16</v>
      </c>
      <c r="G1464" t="s">
        <v>2779</v>
      </c>
      <c r="J1464" t="s">
        <v>5738</v>
      </c>
      <c r="K1464">
        <v>80</v>
      </c>
      <c r="L1464" t="str" cm="1">
        <f t="array" ref="L1464">_xlfn.IFS(
 K1464&lt;=50,"≤50",
 AND(K1464&gt;=51,K1464&lt;=100),"51–100",
 AND(K1464&gt;=101,K1464&lt;=250),"101–250",
 AND(K1464&gt;=251,K1464&lt;=500),"251–500",
 AND(K1464&gt;=501,K1464&lt;=1000),"501–1000",
 K1464&gt;=1001,"1001+"
)</f>
        <v>51–100</v>
      </c>
    </row>
    <row r="1465" spans="1:12" x14ac:dyDescent="0.3">
      <c r="A1465" t="s">
        <v>2780</v>
      </c>
      <c r="B1465" t="s">
        <v>13</v>
      </c>
      <c r="C1465" t="s">
        <v>5777</v>
      </c>
      <c r="D1465" t="s">
        <v>2781</v>
      </c>
      <c r="F1465" t="s">
        <v>5770</v>
      </c>
      <c r="J1465" t="s">
        <v>5738</v>
      </c>
      <c r="K1465">
        <v>80</v>
      </c>
      <c r="L1465" t="str" cm="1">
        <f t="array" ref="L1465">_xlfn.IFS(
 K1465&lt;=50,"≤50",
 AND(K1465&gt;=51,K1465&lt;=100),"51–100",
 AND(K1465&gt;=101,K1465&lt;=250),"101–250",
 AND(K1465&gt;=251,K1465&lt;=500),"251–500",
 AND(K1465&gt;=501,K1465&lt;=1000),"501–1000",
 K1465&gt;=1001,"1001+"
)</f>
        <v>51–100</v>
      </c>
    </row>
    <row r="1466" spans="1:12" x14ac:dyDescent="0.3">
      <c r="A1466" t="s">
        <v>2782</v>
      </c>
      <c r="B1466" t="s">
        <v>11</v>
      </c>
      <c r="C1466" t="s">
        <v>5776</v>
      </c>
      <c r="F1466" t="s">
        <v>5770</v>
      </c>
      <c r="J1466" t="s">
        <v>5737</v>
      </c>
      <c r="K1466">
        <v>80</v>
      </c>
      <c r="L1466" t="str" cm="1">
        <f t="array" ref="L1466">_xlfn.IFS(
 K1466&lt;=50,"≤50",
 AND(K1466&gt;=51,K1466&lt;=100),"51–100",
 AND(K1466&gt;=101,K1466&lt;=250),"101–250",
 AND(K1466&gt;=251,K1466&lt;=500),"251–500",
 AND(K1466&gt;=501,K1466&lt;=1000),"501–1000",
 K1466&gt;=1001,"1001+"
)</f>
        <v>51–100</v>
      </c>
    </row>
    <row r="1467" spans="1:12" x14ac:dyDescent="0.3">
      <c r="A1467" t="s">
        <v>2783</v>
      </c>
      <c r="B1467" t="s">
        <v>9</v>
      </c>
      <c r="C1467" t="s">
        <v>5780</v>
      </c>
      <c r="D1467" t="s">
        <v>2784</v>
      </c>
      <c r="F1467" t="s">
        <v>5770</v>
      </c>
      <c r="J1467" t="s">
        <v>5737</v>
      </c>
      <c r="K1467">
        <v>80</v>
      </c>
      <c r="L1467" t="str" cm="1">
        <f t="array" ref="L1467">_xlfn.IFS(
 K1467&lt;=50,"≤50",
 AND(K1467&gt;=51,K1467&lt;=100),"51–100",
 AND(K1467&gt;=101,K1467&lt;=250),"101–250",
 AND(K1467&gt;=251,K1467&lt;=500),"251–500",
 AND(K1467&gt;=501,K1467&lt;=1000),"501–1000",
 K1467&gt;=1001,"1001+"
)</f>
        <v>51–100</v>
      </c>
    </row>
    <row r="1468" spans="1:12" x14ac:dyDescent="0.3">
      <c r="A1468" t="s">
        <v>2785</v>
      </c>
      <c r="B1468" t="s">
        <v>9</v>
      </c>
      <c r="C1468" t="s">
        <v>5780</v>
      </c>
      <c r="D1468" t="s">
        <v>2786</v>
      </c>
      <c r="F1468" t="s">
        <v>20</v>
      </c>
      <c r="G1468" t="s">
        <v>2787</v>
      </c>
      <c r="J1468" t="s">
        <v>5737</v>
      </c>
      <c r="K1468">
        <v>80</v>
      </c>
      <c r="L1468" t="str" cm="1">
        <f t="array" ref="L1468">_xlfn.IFS(
 K1468&lt;=50,"≤50",
 AND(K1468&gt;=51,K1468&lt;=100),"51–100",
 AND(K1468&gt;=101,K1468&lt;=250),"101–250",
 AND(K1468&gt;=251,K1468&lt;=500),"251–500",
 AND(K1468&gt;=501,K1468&lt;=1000),"501–1000",
 K1468&gt;=1001,"1001+"
)</f>
        <v>51–100</v>
      </c>
    </row>
    <row r="1469" spans="1:12" x14ac:dyDescent="0.3">
      <c r="A1469" t="s">
        <v>2788</v>
      </c>
      <c r="B1469" t="s">
        <v>9</v>
      </c>
      <c r="C1469" t="s">
        <v>5780</v>
      </c>
      <c r="D1469" t="s">
        <v>2789</v>
      </c>
      <c r="E1469" t="s">
        <v>15</v>
      </c>
      <c r="F1469" t="s">
        <v>54</v>
      </c>
      <c r="G1469" t="s">
        <v>2790</v>
      </c>
      <c r="J1469" t="s">
        <v>5737</v>
      </c>
      <c r="K1469">
        <v>80</v>
      </c>
      <c r="L1469" t="str" cm="1">
        <f t="array" ref="L1469">_xlfn.IFS(
 K1469&lt;=50,"≤50",
 AND(K1469&gt;=51,K1469&lt;=100),"51–100",
 AND(K1469&gt;=101,K1469&lt;=250),"101–250",
 AND(K1469&gt;=251,K1469&lt;=500),"251–500",
 AND(K1469&gt;=501,K1469&lt;=1000),"501–1000",
 K1469&gt;=1001,"1001+"
)</f>
        <v>51–100</v>
      </c>
    </row>
    <row r="1470" spans="1:12" x14ac:dyDescent="0.3">
      <c r="A1470" t="s">
        <v>2791</v>
      </c>
      <c r="B1470" t="s">
        <v>9</v>
      </c>
      <c r="C1470" t="s">
        <v>5780</v>
      </c>
      <c r="D1470" t="s">
        <v>51</v>
      </c>
      <c r="F1470" t="s">
        <v>54</v>
      </c>
      <c r="G1470" t="s">
        <v>2792</v>
      </c>
      <c r="J1470" t="s">
        <v>5737</v>
      </c>
      <c r="K1470">
        <v>80</v>
      </c>
      <c r="L1470" t="str" cm="1">
        <f t="array" ref="L1470">_xlfn.IFS(
 K1470&lt;=50,"≤50",
 AND(K1470&gt;=51,K1470&lt;=100),"51–100",
 AND(K1470&gt;=101,K1470&lt;=250),"101–250",
 AND(K1470&gt;=251,K1470&lt;=500),"251–500",
 AND(K1470&gt;=501,K1470&lt;=1000),"501–1000",
 K1470&gt;=1001,"1001+"
)</f>
        <v>51–100</v>
      </c>
    </row>
    <row r="1471" spans="1:12" x14ac:dyDescent="0.3">
      <c r="A1471" t="s">
        <v>2793</v>
      </c>
      <c r="B1471" t="s">
        <v>9</v>
      </c>
      <c r="C1471" t="s">
        <v>5780</v>
      </c>
      <c r="D1471" t="s">
        <v>28</v>
      </c>
      <c r="E1471" t="s">
        <v>15</v>
      </c>
      <c r="F1471" t="s">
        <v>20</v>
      </c>
      <c r="G1471" t="s">
        <v>2794</v>
      </c>
      <c r="J1471" t="s">
        <v>5737</v>
      </c>
      <c r="K1471">
        <v>80</v>
      </c>
      <c r="L1471" t="str" cm="1">
        <f t="array" ref="L1471">_xlfn.IFS(
 K1471&lt;=50,"≤50",
 AND(K1471&gt;=51,K1471&lt;=100),"51–100",
 AND(K1471&gt;=101,K1471&lt;=250),"101–250",
 AND(K1471&gt;=251,K1471&lt;=500),"251–500",
 AND(K1471&gt;=501,K1471&lt;=1000),"501–1000",
 K1471&gt;=1001,"1001+"
)</f>
        <v>51–100</v>
      </c>
    </row>
    <row r="1472" spans="1:12" x14ac:dyDescent="0.3">
      <c r="A1472" t="s">
        <v>2795</v>
      </c>
      <c r="B1472" t="s">
        <v>9</v>
      </c>
      <c r="C1472" t="s">
        <v>5780</v>
      </c>
      <c r="D1472" t="s">
        <v>2796</v>
      </c>
      <c r="E1472" t="s">
        <v>15</v>
      </c>
      <c r="F1472" t="s">
        <v>5770</v>
      </c>
      <c r="J1472" t="s">
        <v>5742</v>
      </c>
      <c r="K1472">
        <v>80</v>
      </c>
      <c r="L1472" t="str" cm="1">
        <f t="array" ref="L1472">_xlfn.IFS(
 K1472&lt;=50,"≤50",
 AND(K1472&gt;=51,K1472&lt;=100),"51–100",
 AND(K1472&gt;=101,K1472&lt;=250),"101–250",
 AND(K1472&gt;=251,K1472&lt;=500),"251–500",
 AND(K1472&gt;=501,K1472&lt;=1000),"501–1000",
 K1472&gt;=1001,"1001+"
)</f>
        <v>51–100</v>
      </c>
    </row>
    <row r="1473" spans="1:12" x14ac:dyDescent="0.3">
      <c r="A1473" t="s">
        <v>2797</v>
      </c>
      <c r="B1473" t="s">
        <v>13</v>
      </c>
      <c r="C1473" t="s">
        <v>5777</v>
      </c>
      <c r="D1473" t="s">
        <v>2798</v>
      </c>
      <c r="F1473" t="s">
        <v>5770</v>
      </c>
      <c r="J1473" t="s">
        <v>5737</v>
      </c>
      <c r="K1473">
        <v>80</v>
      </c>
      <c r="L1473" t="str" cm="1">
        <f t="array" ref="L1473">_xlfn.IFS(
 K1473&lt;=50,"≤50",
 AND(K1473&gt;=51,K1473&lt;=100),"51–100",
 AND(K1473&gt;=101,K1473&lt;=250),"101–250",
 AND(K1473&gt;=251,K1473&lt;=500),"251–500",
 AND(K1473&gt;=501,K1473&lt;=1000),"501–1000",
 K1473&gt;=1001,"1001+"
)</f>
        <v>51–100</v>
      </c>
    </row>
    <row r="1474" spans="1:12" x14ac:dyDescent="0.3">
      <c r="A1474" t="s">
        <v>2799</v>
      </c>
      <c r="B1474" t="s">
        <v>13</v>
      </c>
      <c r="C1474" t="s">
        <v>5777</v>
      </c>
      <c r="D1474" t="s">
        <v>2800</v>
      </c>
      <c r="E1474" t="s">
        <v>15</v>
      </c>
      <c r="F1474" t="s">
        <v>16</v>
      </c>
      <c r="G1474" t="s">
        <v>1955</v>
      </c>
      <c r="J1474" t="s">
        <v>5744</v>
      </c>
      <c r="K1474">
        <v>80</v>
      </c>
      <c r="L1474" t="str" cm="1">
        <f t="array" ref="L1474">_xlfn.IFS(
 K1474&lt;=50,"≤50",
 AND(K1474&gt;=51,K1474&lt;=100),"51–100",
 AND(K1474&gt;=101,K1474&lt;=250),"101–250",
 AND(K1474&gt;=251,K1474&lt;=500),"251–500",
 AND(K1474&gt;=501,K1474&lt;=1000),"501–1000",
 K1474&gt;=1001,"1001+"
)</f>
        <v>51–100</v>
      </c>
    </row>
    <row r="1475" spans="1:12" x14ac:dyDescent="0.3">
      <c r="A1475" t="s">
        <v>2801</v>
      </c>
      <c r="B1475" t="s">
        <v>9</v>
      </c>
      <c r="C1475" t="s">
        <v>5780</v>
      </c>
      <c r="D1475" t="s">
        <v>2802</v>
      </c>
      <c r="F1475" t="s">
        <v>20</v>
      </c>
      <c r="G1475" t="s">
        <v>21</v>
      </c>
      <c r="J1475" t="s">
        <v>5761</v>
      </c>
      <c r="K1475">
        <v>80</v>
      </c>
      <c r="L1475" t="str" cm="1">
        <f t="array" ref="L1475">_xlfn.IFS(
 K1475&lt;=50,"≤50",
 AND(K1475&gt;=51,K1475&lt;=100),"51–100",
 AND(K1475&gt;=101,K1475&lt;=250),"101–250",
 AND(K1475&gt;=251,K1475&lt;=500),"251–500",
 AND(K1475&gt;=501,K1475&lt;=1000),"501–1000",
 K1475&gt;=1001,"1001+"
)</f>
        <v>51–100</v>
      </c>
    </row>
    <row r="1476" spans="1:12" x14ac:dyDescent="0.3">
      <c r="A1476" t="s">
        <v>2803</v>
      </c>
      <c r="B1476" t="s">
        <v>13</v>
      </c>
      <c r="C1476" t="s">
        <v>5777</v>
      </c>
      <c r="D1476" t="s">
        <v>2804</v>
      </c>
      <c r="F1476" t="s">
        <v>5770</v>
      </c>
      <c r="J1476" t="s">
        <v>5750</v>
      </c>
      <c r="K1476">
        <v>80</v>
      </c>
      <c r="L1476" t="str" cm="1">
        <f t="array" ref="L1476">_xlfn.IFS(
 K1476&lt;=50,"≤50",
 AND(K1476&gt;=51,K1476&lt;=100),"51–100",
 AND(K1476&gt;=101,K1476&lt;=250),"101–250",
 AND(K1476&gt;=251,K1476&lt;=500),"251–500",
 AND(K1476&gt;=501,K1476&lt;=1000),"501–1000",
 K1476&gt;=1001,"1001+"
)</f>
        <v>51–100</v>
      </c>
    </row>
    <row r="1477" spans="1:12" x14ac:dyDescent="0.3">
      <c r="A1477" t="s">
        <v>2805</v>
      </c>
      <c r="B1477" t="s">
        <v>11</v>
      </c>
      <c r="C1477" t="s">
        <v>5776</v>
      </c>
      <c r="F1477" t="s">
        <v>5770</v>
      </c>
      <c r="J1477" t="s">
        <v>5737</v>
      </c>
      <c r="K1477">
        <v>80</v>
      </c>
      <c r="L1477" t="str" cm="1">
        <f t="array" ref="L1477">_xlfn.IFS(
 K1477&lt;=50,"≤50",
 AND(K1477&gt;=51,K1477&lt;=100),"51–100",
 AND(K1477&gt;=101,K1477&lt;=250),"101–250",
 AND(K1477&gt;=251,K1477&lt;=500),"251–500",
 AND(K1477&gt;=501,K1477&lt;=1000),"501–1000",
 K1477&gt;=1001,"1001+"
)</f>
        <v>51–100</v>
      </c>
    </row>
    <row r="1478" spans="1:12" x14ac:dyDescent="0.3">
      <c r="A1478" t="s">
        <v>2806</v>
      </c>
      <c r="B1478" t="s">
        <v>9</v>
      </c>
      <c r="C1478" t="s">
        <v>5780</v>
      </c>
      <c r="D1478" t="s">
        <v>2807</v>
      </c>
      <c r="E1478" t="s">
        <v>15</v>
      </c>
      <c r="F1478" t="s">
        <v>54</v>
      </c>
      <c r="G1478" t="s">
        <v>2808</v>
      </c>
      <c r="J1478" t="s">
        <v>5737</v>
      </c>
      <c r="K1478">
        <v>80</v>
      </c>
      <c r="L1478" t="str" cm="1">
        <f t="array" ref="L1478">_xlfn.IFS(
 K1478&lt;=50,"≤50",
 AND(K1478&gt;=51,K1478&lt;=100),"51–100",
 AND(K1478&gt;=101,K1478&lt;=250),"101–250",
 AND(K1478&gt;=251,K1478&lt;=500),"251–500",
 AND(K1478&gt;=501,K1478&lt;=1000),"501–1000",
 K1478&gt;=1001,"1001+"
)</f>
        <v>51–100</v>
      </c>
    </row>
    <row r="1479" spans="1:12" x14ac:dyDescent="0.3">
      <c r="A1479" t="s">
        <v>2809</v>
      </c>
      <c r="B1479" t="s">
        <v>9</v>
      </c>
      <c r="C1479" t="s">
        <v>5780</v>
      </c>
      <c r="D1479" t="s">
        <v>1473</v>
      </c>
      <c r="F1479" t="s">
        <v>5770</v>
      </c>
      <c r="J1479" t="s">
        <v>5739</v>
      </c>
      <c r="K1479">
        <v>80</v>
      </c>
      <c r="L1479" t="str" cm="1">
        <f t="array" ref="L1479">_xlfn.IFS(
 K1479&lt;=50,"≤50",
 AND(K1479&gt;=51,K1479&lt;=100),"51–100",
 AND(K1479&gt;=101,K1479&lt;=250),"101–250",
 AND(K1479&gt;=251,K1479&lt;=500),"251–500",
 AND(K1479&gt;=501,K1479&lt;=1000),"501–1000",
 K1479&gt;=1001,"1001+"
)</f>
        <v>51–100</v>
      </c>
    </row>
    <row r="1480" spans="1:12" x14ac:dyDescent="0.3">
      <c r="A1480" t="s">
        <v>2810</v>
      </c>
      <c r="B1480" t="s">
        <v>9</v>
      </c>
      <c r="C1480" t="s">
        <v>5780</v>
      </c>
      <c r="D1480" t="s">
        <v>28</v>
      </c>
      <c r="F1480" t="s">
        <v>5770</v>
      </c>
      <c r="J1480" t="s">
        <v>5738</v>
      </c>
      <c r="K1480">
        <v>80</v>
      </c>
      <c r="L1480" t="str" cm="1">
        <f t="array" ref="L1480">_xlfn.IFS(
 K1480&lt;=50,"≤50",
 AND(K1480&gt;=51,K1480&lt;=100),"51–100",
 AND(K1480&gt;=101,K1480&lt;=250),"101–250",
 AND(K1480&gt;=251,K1480&lt;=500),"251–500",
 AND(K1480&gt;=501,K1480&lt;=1000),"501–1000",
 K1480&gt;=1001,"1001+"
)</f>
        <v>51–100</v>
      </c>
    </row>
    <row r="1481" spans="1:12" x14ac:dyDescent="0.3">
      <c r="A1481" t="s">
        <v>2811</v>
      </c>
      <c r="B1481" t="s">
        <v>9</v>
      </c>
      <c r="C1481" t="s">
        <v>5780</v>
      </c>
      <c r="D1481" t="s">
        <v>2812</v>
      </c>
      <c r="F1481" t="s">
        <v>5770</v>
      </c>
      <c r="J1481" t="s">
        <v>5747</v>
      </c>
      <c r="K1481">
        <v>80</v>
      </c>
      <c r="L1481" t="str" cm="1">
        <f t="array" ref="L1481">_xlfn.IFS(
 K1481&lt;=50,"≤50",
 AND(K1481&gt;=51,K1481&lt;=100),"51–100",
 AND(K1481&gt;=101,K1481&lt;=250),"101–250",
 AND(K1481&gt;=251,K1481&lt;=500),"251–500",
 AND(K1481&gt;=501,K1481&lt;=1000),"501–1000",
 K1481&gt;=1001,"1001+"
)</f>
        <v>51–100</v>
      </c>
    </row>
    <row r="1482" spans="1:12" x14ac:dyDescent="0.3">
      <c r="A1482" t="s">
        <v>2813</v>
      </c>
      <c r="B1482" t="s">
        <v>13</v>
      </c>
      <c r="C1482" t="s">
        <v>5777</v>
      </c>
      <c r="D1482" t="s">
        <v>65</v>
      </c>
      <c r="F1482" t="s">
        <v>5770</v>
      </c>
      <c r="J1482" t="s">
        <v>5750</v>
      </c>
      <c r="K1482">
        <v>80</v>
      </c>
      <c r="L1482" t="str" cm="1">
        <f t="array" ref="L1482">_xlfn.IFS(
 K1482&lt;=50,"≤50",
 AND(K1482&gt;=51,K1482&lt;=100),"51–100",
 AND(K1482&gt;=101,K1482&lt;=250),"101–250",
 AND(K1482&gt;=251,K1482&lt;=500),"251–500",
 AND(K1482&gt;=501,K1482&lt;=1000),"501–1000",
 K1482&gt;=1001,"1001+"
)</f>
        <v>51–100</v>
      </c>
    </row>
    <row r="1483" spans="1:12" x14ac:dyDescent="0.3">
      <c r="A1483" t="s">
        <v>2814</v>
      </c>
      <c r="B1483" t="s">
        <v>9</v>
      </c>
      <c r="C1483" t="s">
        <v>5780</v>
      </c>
      <c r="D1483" t="s">
        <v>2815</v>
      </c>
      <c r="F1483" t="s">
        <v>5770</v>
      </c>
      <c r="J1483" t="s">
        <v>5750</v>
      </c>
      <c r="K1483">
        <v>80</v>
      </c>
      <c r="L1483" t="str" cm="1">
        <f t="array" ref="L1483">_xlfn.IFS(
 K1483&lt;=50,"≤50",
 AND(K1483&gt;=51,K1483&lt;=100),"51–100",
 AND(K1483&gt;=101,K1483&lt;=250),"101–250",
 AND(K1483&gt;=251,K1483&lt;=500),"251–500",
 AND(K1483&gt;=501,K1483&lt;=1000),"501–1000",
 K1483&gt;=1001,"1001+"
)</f>
        <v>51–100</v>
      </c>
    </row>
    <row r="1484" spans="1:12" x14ac:dyDescent="0.3">
      <c r="A1484" t="s">
        <v>2816</v>
      </c>
      <c r="B1484" t="s">
        <v>9</v>
      </c>
      <c r="C1484" t="s">
        <v>5780</v>
      </c>
      <c r="D1484" t="s">
        <v>2817</v>
      </c>
      <c r="E1484" t="s">
        <v>15</v>
      </c>
      <c r="F1484" t="s">
        <v>54</v>
      </c>
      <c r="G1484" t="s">
        <v>801</v>
      </c>
      <c r="J1484" t="s">
        <v>5737</v>
      </c>
      <c r="K1484">
        <v>80</v>
      </c>
      <c r="L1484" t="str" cm="1">
        <f t="array" ref="L1484">_xlfn.IFS(
 K1484&lt;=50,"≤50",
 AND(K1484&gt;=51,K1484&lt;=100),"51–100",
 AND(K1484&gt;=101,K1484&lt;=250),"101–250",
 AND(K1484&gt;=251,K1484&lt;=500),"251–500",
 AND(K1484&gt;=501,K1484&lt;=1000),"501–1000",
 K1484&gt;=1001,"1001+"
)</f>
        <v>51–100</v>
      </c>
    </row>
    <row r="1485" spans="1:12" x14ac:dyDescent="0.3">
      <c r="A1485" t="s">
        <v>2818</v>
      </c>
      <c r="B1485" t="s">
        <v>13</v>
      </c>
      <c r="C1485" t="s">
        <v>5777</v>
      </c>
      <c r="D1485" t="s">
        <v>2819</v>
      </c>
      <c r="E1485" t="s">
        <v>15</v>
      </c>
      <c r="F1485" t="s">
        <v>54</v>
      </c>
      <c r="G1485" t="s">
        <v>2820</v>
      </c>
      <c r="J1485" t="s">
        <v>5737</v>
      </c>
      <c r="K1485">
        <v>80</v>
      </c>
      <c r="L1485" t="str" cm="1">
        <f t="array" ref="L1485">_xlfn.IFS(
 K1485&lt;=50,"≤50",
 AND(K1485&gt;=51,K1485&lt;=100),"51–100",
 AND(K1485&gt;=101,K1485&lt;=250),"101–250",
 AND(K1485&gt;=251,K1485&lt;=500),"251–500",
 AND(K1485&gt;=501,K1485&lt;=1000),"501–1000",
 K1485&gt;=1001,"1001+"
)</f>
        <v>51–100</v>
      </c>
    </row>
    <row r="1486" spans="1:12" x14ac:dyDescent="0.3">
      <c r="A1486" t="s">
        <v>2821</v>
      </c>
      <c r="B1486" t="s">
        <v>9</v>
      </c>
      <c r="C1486" t="s">
        <v>5780</v>
      </c>
      <c r="D1486" t="s">
        <v>2822</v>
      </c>
      <c r="E1486" t="s">
        <v>15</v>
      </c>
      <c r="F1486" t="s">
        <v>54</v>
      </c>
      <c r="G1486" t="s">
        <v>526</v>
      </c>
      <c r="J1486" t="s">
        <v>5737</v>
      </c>
      <c r="K1486">
        <v>80</v>
      </c>
      <c r="L1486" t="str" cm="1">
        <f t="array" ref="L1486">_xlfn.IFS(
 K1486&lt;=50,"≤50",
 AND(K1486&gt;=51,K1486&lt;=100),"51–100",
 AND(K1486&gt;=101,K1486&lt;=250),"101–250",
 AND(K1486&gt;=251,K1486&lt;=500),"251–500",
 AND(K1486&gt;=501,K1486&lt;=1000),"501–1000",
 K1486&gt;=1001,"1001+"
)</f>
        <v>51–100</v>
      </c>
    </row>
    <row r="1487" spans="1:12" x14ac:dyDescent="0.3">
      <c r="A1487" t="s">
        <v>2823</v>
      </c>
      <c r="B1487" t="s">
        <v>9</v>
      </c>
      <c r="C1487" t="s">
        <v>5780</v>
      </c>
      <c r="D1487" t="s">
        <v>28</v>
      </c>
      <c r="E1487" t="s">
        <v>15</v>
      </c>
      <c r="F1487" t="s">
        <v>20</v>
      </c>
      <c r="G1487" t="s">
        <v>21</v>
      </c>
      <c r="J1487" t="s">
        <v>5738</v>
      </c>
      <c r="K1487">
        <v>80</v>
      </c>
      <c r="L1487" t="str" cm="1">
        <f t="array" ref="L1487">_xlfn.IFS(
 K1487&lt;=50,"≤50",
 AND(K1487&gt;=51,K1487&lt;=100),"51–100",
 AND(K1487&gt;=101,K1487&lt;=250),"101–250",
 AND(K1487&gt;=251,K1487&lt;=500),"251–500",
 AND(K1487&gt;=501,K1487&lt;=1000),"501–1000",
 K1487&gt;=1001,"1001+"
)</f>
        <v>51–100</v>
      </c>
    </row>
    <row r="1488" spans="1:12" x14ac:dyDescent="0.3">
      <c r="A1488" t="s">
        <v>2824</v>
      </c>
      <c r="B1488" t="s">
        <v>11</v>
      </c>
      <c r="C1488" t="s">
        <v>5776</v>
      </c>
      <c r="F1488" t="s">
        <v>5770</v>
      </c>
      <c r="J1488" t="s">
        <v>5738</v>
      </c>
      <c r="K1488">
        <v>80</v>
      </c>
      <c r="L1488" t="str" cm="1">
        <f t="array" ref="L1488">_xlfn.IFS(
 K1488&lt;=50,"≤50",
 AND(K1488&gt;=51,K1488&lt;=100),"51–100",
 AND(K1488&gt;=101,K1488&lt;=250),"101–250",
 AND(K1488&gt;=251,K1488&lt;=500),"251–500",
 AND(K1488&gt;=501,K1488&lt;=1000),"501–1000",
 K1488&gt;=1001,"1001+"
)</f>
        <v>51–100</v>
      </c>
    </row>
    <row r="1489" spans="1:12" x14ac:dyDescent="0.3">
      <c r="A1489" t="s">
        <v>2825</v>
      </c>
      <c r="B1489" t="s">
        <v>9</v>
      </c>
      <c r="C1489" t="s">
        <v>5780</v>
      </c>
      <c r="D1489" t="s">
        <v>28</v>
      </c>
      <c r="E1489" t="s">
        <v>15</v>
      </c>
      <c r="F1489" t="s">
        <v>5770</v>
      </c>
      <c r="J1489" t="s">
        <v>5737</v>
      </c>
      <c r="K1489">
        <v>80</v>
      </c>
      <c r="L1489" t="str" cm="1">
        <f t="array" ref="L1489">_xlfn.IFS(
 K1489&lt;=50,"≤50",
 AND(K1489&gt;=51,K1489&lt;=100),"51–100",
 AND(K1489&gt;=101,K1489&lt;=250),"101–250",
 AND(K1489&gt;=251,K1489&lt;=500),"251–500",
 AND(K1489&gt;=501,K1489&lt;=1000),"501–1000",
 K1489&gt;=1001,"1001+"
)</f>
        <v>51–100</v>
      </c>
    </row>
    <row r="1490" spans="1:12" x14ac:dyDescent="0.3">
      <c r="A1490" t="s">
        <v>2826</v>
      </c>
      <c r="B1490" t="s">
        <v>11</v>
      </c>
      <c r="C1490" t="s">
        <v>5776</v>
      </c>
      <c r="F1490" t="s">
        <v>5770</v>
      </c>
      <c r="J1490" t="s">
        <v>5737</v>
      </c>
      <c r="K1490">
        <v>80</v>
      </c>
      <c r="L1490" t="str" cm="1">
        <f t="array" ref="L1490">_xlfn.IFS(
 K1490&lt;=50,"≤50",
 AND(K1490&gt;=51,K1490&lt;=100),"51–100",
 AND(K1490&gt;=101,K1490&lt;=250),"101–250",
 AND(K1490&gt;=251,K1490&lt;=500),"251–500",
 AND(K1490&gt;=501,K1490&lt;=1000),"501–1000",
 K1490&gt;=1001,"1001+"
)</f>
        <v>51–100</v>
      </c>
    </row>
    <row r="1491" spans="1:12" x14ac:dyDescent="0.3">
      <c r="A1491" t="s">
        <v>2827</v>
      </c>
      <c r="B1491" t="s">
        <v>13</v>
      </c>
      <c r="C1491" t="s">
        <v>5777</v>
      </c>
      <c r="D1491" t="s">
        <v>2828</v>
      </c>
      <c r="E1491" t="s">
        <v>15</v>
      </c>
      <c r="F1491" t="s">
        <v>20</v>
      </c>
      <c r="G1491" t="s">
        <v>117</v>
      </c>
      <c r="J1491" t="s">
        <v>5742</v>
      </c>
      <c r="K1491">
        <v>80</v>
      </c>
      <c r="L1491" t="str" cm="1">
        <f t="array" ref="L1491">_xlfn.IFS(
 K1491&lt;=50,"≤50",
 AND(K1491&gt;=51,K1491&lt;=100),"51–100",
 AND(K1491&gt;=101,K1491&lt;=250),"101–250",
 AND(K1491&gt;=251,K1491&lt;=500),"251–500",
 AND(K1491&gt;=501,K1491&lt;=1000),"501–1000",
 K1491&gt;=1001,"1001+"
)</f>
        <v>51–100</v>
      </c>
    </row>
    <row r="1492" spans="1:12" x14ac:dyDescent="0.3">
      <c r="A1492" t="s">
        <v>2829</v>
      </c>
      <c r="B1492" t="s">
        <v>11</v>
      </c>
      <c r="C1492" t="s">
        <v>5776</v>
      </c>
      <c r="F1492" t="s">
        <v>5770</v>
      </c>
      <c r="J1492" t="s">
        <v>5739</v>
      </c>
      <c r="K1492">
        <v>80</v>
      </c>
      <c r="L1492" t="str" cm="1">
        <f t="array" ref="L1492">_xlfn.IFS(
 K1492&lt;=50,"≤50",
 AND(K1492&gt;=51,K1492&lt;=100),"51–100",
 AND(K1492&gt;=101,K1492&lt;=250),"101–250",
 AND(K1492&gt;=251,K1492&lt;=500),"251–500",
 AND(K1492&gt;=501,K1492&lt;=1000),"501–1000",
 K1492&gt;=1001,"1001+"
)</f>
        <v>51–100</v>
      </c>
    </row>
    <row r="1493" spans="1:12" x14ac:dyDescent="0.3">
      <c r="A1493" t="s">
        <v>2830</v>
      </c>
      <c r="B1493" t="s">
        <v>11</v>
      </c>
      <c r="C1493" t="s">
        <v>5776</v>
      </c>
      <c r="F1493" t="s">
        <v>5770</v>
      </c>
      <c r="J1493" t="s">
        <v>5761</v>
      </c>
      <c r="K1493">
        <v>80</v>
      </c>
      <c r="L1493" t="str" cm="1">
        <f t="array" ref="L1493">_xlfn.IFS(
 K1493&lt;=50,"≤50",
 AND(K1493&gt;=51,K1493&lt;=100),"51–100",
 AND(K1493&gt;=101,K1493&lt;=250),"101–250",
 AND(K1493&gt;=251,K1493&lt;=500),"251–500",
 AND(K1493&gt;=501,K1493&lt;=1000),"501–1000",
 K1493&gt;=1001,"1001+"
)</f>
        <v>51–100</v>
      </c>
    </row>
    <row r="1494" spans="1:12" x14ac:dyDescent="0.3">
      <c r="A1494" t="s">
        <v>2831</v>
      </c>
      <c r="B1494" t="s">
        <v>9</v>
      </c>
      <c r="C1494" t="s">
        <v>5780</v>
      </c>
      <c r="D1494" t="s">
        <v>2832</v>
      </c>
      <c r="F1494" t="s">
        <v>20</v>
      </c>
      <c r="G1494" t="s">
        <v>135</v>
      </c>
      <c r="J1494" t="s">
        <v>5737</v>
      </c>
      <c r="K1494">
        <v>80</v>
      </c>
      <c r="L1494" t="str" cm="1">
        <f t="array" ref="L1494">_xlfn.IFS(
 K1494&lt;=50,"≤50",
 AND(K1494&gt;=51,K1494&lt;=100),"51–100",
 AND(K1494&gt;=101,K1494&lt;=250),"101–250",
 AND(K1494&gt;=251,K1494&lt;=500),"251–500",
 AND(K1494&gt;=501,K1494&lt;=1000),"501–1000",
 K1494&gt;=1001,"1001+"
)</f>
        <v>51–100</v>
      </c>
    </row>
    <row r="1495" spans="1:12" x14ac:dyDescent="0.3">
      <c r="A1495" t="s">
        <v>2833</v>
      </c>
      <c r="B1495" t="s">
        <v>13</v>
      </c>
      <c r="C1495" t="s">
        <v>5777</v>
      </c>
      <c r="D1495" t="s">
        <v>2834</v>
      </c>
      <c r="F1495" t="s">
        <v>20</v>
      </c>
      <c r="G1495" t="s">
        <v>21</v>
      </c>
      <c r="J1495" t="s">
        <v>5753</v>
      </c>
      <c r="K1495">
        <v>80</v>
      </c>
      <c r="L1495" t="str" cm="1">
        <f t="array" ref="L1495">_xlfn.IFS(
 K1495&lt;=50,"≤50",
 AND(K1495&gt;=51,K1495&lt;=100),"51–100",
 AND(K1495&gt;=101,K1495&lt;=250),"101–250",
 AND(K1495&gt;=251,K1495&lt;=500),"251–500",
 AND(K1495&gt;=501,K1495&lt;=1000),"501–1000",
 K1495&gt;=1001,"1001+"
)</f>
        <v>51–100</v>
      </c>
    </row>
    <row r="1496" spans="1:12" x14ac:dyDescent="0.3">
      <c r="A1496" t="s">
        <v>2835</v>
      </c>
      <c r="B1496" t="s">
        <v>9</v>
      </c>
      <c r="C1496" t="s">
        <v>5780</v>
      </c>
      <c r="D1496" t="s">
        <v>2836</v>
      </c>
      <c r="F1496" t="s">
        <v>20</v>
      </c>
      <c r="G1496" t="s">
        <v>2837</v>
      </c>
      <c r="J1496" t="s">
        <v>5741</v>
      </c>
      <c r="K1496">
        <v>80</v>
      </c>
      <c r="L1496" t="str" cm="1">
        <f t="array" ref="L1496">_xlfn.IFS(
 K1496&lt;=50,"≤50",
 AND(K1496&gt;=51,K1496&lt;=100),"51–100",
 AND(K1496&gt;=101,K1496&lt;=250),"101–250",
 AND(K1496&gt;=251,K1496&lt;=500),"251–500",
 AND(K1496&gt;=501,K1496&lt;=1000),"501–1000",
 K1496&gt;=1001,"1001+"
)</f>
        <v>51–100</v>
      </c>
    </row>
    <row r="1497" spans="1:12" x14ac:dyDescent="0.3">
      <c r="A1497" t="s">
        <v>2838</v>
      </c>
      <c r="B1497" t="s">
        <v>11</v>
      </c>
      <c r="C1497" t="s">
        <v>5776</v>
      </c>
      <c r="F1497" t="s">
        <v>5770</v>
      </c>
      <c r="J1497" t="s">
        <v>5737</v>
      </c>
      <c r="K1497">
        <v>80</v>
      </c>
      <c r="L1497" t="str" cm="1">
        <f t="array" ref="L1497">_xlfn.IFS(
 K1497&lt;=50,"≤50",
 AND(K1497&gt;=51,K1497&lt;=100),"51–100",
 AND(K1497&gt;=101,K1497&lt;=250),"101–250",
 AND(K1497&gt;=251,K1497&lt;=500),"251–500",
 AND(K1497&gt;=501,K1497&lt;=1000),"501–1000",
 K1497&gt;=1001,"1001+"
)</f>
        <v>51–100</v>
      </c>
    </row>
    <row r="1498" spans="1:12" x14ac:dyDescent="0.3">
      <c r="A1498" t="s">
        <v>2839</v>
      </c>
      <c r="B1498" t="s">
        <v>13</v>
      </c>
      <c r="C1498" t="s">
        <v>5777</v>
      </c>
      <c r="D1498" t="s">
        <v>2840</v>
      </c>
      <c r="F1498" t="s">
        <v>5770</v>
      </c>
      <c r="J1498" t="s">
        <v>5740</v>
      </c>
      <c r="K1498">
        <v>80</v>
      </c>
      <c r="L1498" t="str" cm="1">
        <f t="array" ref="L1498">_xlfn.IFS(
 K1498&lt;=50,"≤50",
 AND(K1498&gt;=51,K1498&lt;=100),"51–100",
 AND(K1498&gt;=101,K1498&lt;=250),"101–250",
 AND(K1498&gt;=251,K1498&lt;=500),"251–500",
 AND(K1498&gt;=501,K1498&lt;=1000),"501–1000",
 K1498&gt;=1001,"1001+"
)</f>
        <v>51–100</v>
      </c>
    </row>
    <row r="1499" spans="1:12" x14ac:dyDescent="0.3">
      <c r="A1499" t="s">
        <v>2841</v>
      </c>
      <c r="B1499" t="s">
        <v>197</v>
      </c>
      <c r="C1499" t="s">
        <v>5774</v>
      </c>
      <c r="D1499" t="s">
        <v>2842</v>
      </c>
      <c r="F1499" t="s">
        <v>5770</v>
      </c>
      <c r="J1499" t="s">
        <v>5737</v>
      </c>
      <c r="K1499">
        <v>80</v>
      </c>
      <c r="L1499" t="str" cm="1">
        <f t="array" ref="L1499">_xlfn.IFS(
 K1499&lt;=50,"≤50",
 AND(K1499&gt;=51,K1499&lt;=100),"51–100",
 AND(K1499&gt;=101,K1499&lt;=250),"101–250",
 AND(K1499&gt;=251,K1499&lt;=500),"251–500",
 AND(K1499&gt;=501,K1499&lt;=1000),"501–1000",
 K1499&gt;=1001,"1001+"
)</f>
        <v>51–100</v>
      </c>
    </row>
    <row r="1500" spans="1:12" x14ac:dyDescent="0.3">
      <c r="A1500" t="s">
        <v>2843</v>
      </c>
      <c r="B1500" t="s">
        <v>13</v>
      </c>
      <c r="C1500" t="s">
        <v>5777</v>
      </c>
      <c r="D1500" t="s">
        <v>2844</v>
      </c>
      <c r="F1500" t="s">
        <v>20</v>
      </c>
      <c r="G1500" t="s">
        <v>135</v>
      </c>
      <c r="J1500" t="s">
        <v>5737</v>
      </c>
      <c r="K1500">
        <v>80</v>
      </c>
      <c r="L1500" t="str" cm="1">
        <f t="array" ref="L1500">_xlfn.IFS(
 K1500&lt;=50,"≤50",
 AND(K1500&gt;=51,K1500&lt;=100),"51–100",
 AND(K1500&gt;=101,K1500&lt;=250),"101–250",
 AND(K1500&gt;=251,K1500&lt;=500),"251–500",
 AND(K1500&gt;=501,K1500&lt;=1000),"501–1000",
 K1500&gt;=1001,"1001+"
)</f>
        <v>51–100</v>
      </c>
    </row>
    <row r="1501" spans="1:12" x14ac:dyDescent="0.3">
      <c r="A1501" t="s">
        <v>2845</v>
      </c>
      <c r="B1501" t="s">
        <v>11</v>
      </c>
      <c r="C1501" t="s">
        <v>5776</v>
      </c>
      <c r="F1501" t="s">
        <v>5770</v>
      </c>
      <c r="J1501" t="s">
        <v>5754</v>
      </c>
      <c r="K1501">
        <v>80</v>
      </c>
      <c r="L1501" t="str" cm="1">
        <f t="array" ref="L1501">_xlfn.IFS(
 K1501&lt;=50,"≤50",
 AND(K1501&gt;=51,K1501&lt;=100),"51–100",
 AND(K1501&gt;=101,K1501&lt;=250),"101–250",
 AND(K1501&gt;=251,K1501&lt;=500),"251–500",
 AND(K1501&gt;=501,K1501&lt;=1000),"501–1000",
 K1501&gt;=1001,"1001+"
)</f>
        <v>51–100</v>
      </c>
    </row>
    <row r="1502" spans="1:12" x14ac:dyDescent="0.3">
      <c r="A1502" t="s">
        <v>2846</v>
      </c>
      <c r="B1502" t="s">
        <v>13</v>
      </c>
      <c r="C1502" t="s">
        <v>5777</v>
      </c>
      <c r="D1502" t="s">
        <v>2847</v>
      </c>
      <c r="E1502" t="s">
        <v>15</v>
      </c>
      <c r="F1502" t="s">
        <v>16</v>
      </c>
      <c r="G1502" t="s">
        <v>2848</v>
      </c>
      <c r="J1502" t="s">
        <v>5754</v>
      </c>
      <c r="K1502">
        <v>80</v>
      </c>
      <c r="L1502" t="str" cm="1">
        <f t="array" ref="L1502">_xlfn.IFS(
 K1502&lt;=50,"≤50",
 AND(K1502&gt;=51,K1502&lt;=100),"51–100",
 AND(K1502&gt;=101,K1502&lt;=250),"101–250",
 AND(K1502&gt;=251,K1502&lt;=500),"251–500",
 AND(K1502&gt;=501,K1502&lt;=1000),"501–1000",
 K1502&gt;=1001,"1001+"
)</f>
        <v>51–100</v>
      </c>
    </row>
    <row r="1503" spans="1:12" x14ac:dyDescent="0.3">
      <c r="A1503" t="s">
        <v>2849</v>
      </c>
      <c r="B1503" t="s">
        <v>13</v>
      </c>
      <c r="C1503" t="s">
        <v>5777</v>
      </c>
      <c r="D1503" t="s">
        <v>2850</v>
      </c>
      <c r="E1503" t="s">
        <v>15</v>
      </c>
      <c r="F1503" t="s">
        <v>5770</v>
      </c>
      <c r="J1503" t="s">
        <v>5762</v>
      </c>
      <c r="K1503">
        <v>80</v>
      </c>
      <c r="L1503" t="str" cm="1">
        <f t="array" ref="L1503">_xlfn.IFS(
 K1503&lt;=50,"≤50",
 AND(K1503&gt;=51,K1503&lt;=100),"51–100",
 AND(K1503&gt;=101,K1503&lt;=250),"101–250",
 AND(K1503&gt;=251,K1503&lt;=500),"251–500",
 AND(K1503&gt;=501,K1503&lt;=1000),"501–1000",
 K1503&gt;=1001,"1001+"
)</f>
        <v>51–100</v>
      </c>
    </row>
    <row r="1504" spans="1:12" x14ac:dyDescent="0.3">
      <c r="A1504" t="s">
        <v>2851</v>
      </c>
      <c r="B1504" t="s">
        <v>9</v>
      </c>
      <c r="C1504" t="s">
        <v>5780</v>
      </c>
      <c r="D1504" t="s">
        <v>2852</v>
      </c>
      <c r="E1504" t="s">
        <v>15</v>
      </c>
      <c r="F1504" t="s">
        <v>20</v>
      </c>
      <c r="G1504" t="s">
        <v>2853</v>
      </c>
      <c r="J1504" t="s">
        <v>5738</v>
      </c>
      <c r="K1504">
        <v>80</v>
      </c>
      <c r="L1504" t="str" cm="1">
        <f t="array" ref="L1504">_xlfn.IFS(
 K1504&lt;=50,"≤50",
 AND(K1504&gt;=51,K1504&lt;=100),"51–100",
 AND(K1504&gt;=101,K1504&lt;=250),"101–250",
 AND(K1504&gt;=251,K1504&lt;=500),"251–500",
 AND(K1504&gt;=501,K1504&lt;=1000),"501–1000",
 K1504&gt;=1001,"1001+"
)</f>
        <v>51–100</v>
      </c>
    </row>
    <row r="1505" spans="1:12" x14ac:dyDescent="0.3">
      <c r="A1505" t="s">
        <v>2854</v>
      </c>
      <c r="B1505" t="s">
        <v>9</v>
      </c>
      <c r="C1505" t="s">
        <v>5780</v>
      </c>
      <c r="D1505" t="s">
        <v>2855</v>
      </c>
      <c r="E1505" t="s">
        <v>15</v>
      </c>
      <c r="F1505" t="s">
        <v>16</v>
      </c>
      <c r="G1505" t="s">
        <v>286</v>
      </c>
      <c r="J1505" t="s">
        <v>5758</v>
      </c>
      <c r="K1505">
        <v>80</v>
      </c>
      <c r="L1505" t="str" cm="1">
        <f t="array" ref="L1505">_xlfn.IFS(
 K1505&lt;=50,"≤50",
 AND(K1505&gt;=51,K1505&lt;=100),"51–100",
 AND(K1505&gt;=101,K1505&lt;=250),"101–250",
 AND(K1505&gt;=251,K1505&lt;=500),"251–500",
 AND(K1505&gt;=501,K1505&lt;=1000),"501–1000",
 K1505&gt;=1001,"1001+"
)</f>
        <v>51–100</v>
      </c>
    </row>
    <row r="1506" spans="1:12" x14ac:dyDescent="0.3">
      <c r="A1506" t="s">
        <v>2856</v>
      </c>
      <c r="B1506" t="s">
        <v>9</v>
      </c>
      <c r="C1506" t="s">
        <v>5780</v>
      </c>
      <c r="D1506" t="s">
        <v>2857</v>
      </c>
      <c r="F1506" t="s">
        <v>54</v>
      </c>
      <c r="G1506" t="s">
        <v>2858</v>
      </c>
      <c r="J1506" t="s">
        <v>5737</v>
      </c>
      <c r="K1506">
        <v>80</v>
      </c>
      <c r="L1506" t="str" cm="1">
        <f t="array" ref="L1506">_xlfn.IFS(
 K1506&lt;=50,"≤50",
 AND(K1506&gt;=51,K1506&lt;=100),"51–100",
 AND(K1506&gt;=101,K1506&lt;=250),"101–250",
 AND(K1506&gt;=251,K1506&lt;=500),"251–500",
 AND(K1506&gt;=501,K1506&lt;=1000),"501–1000",
 K1506&gt;=1001,"1001+"
)</f>
        <v>51–100</v>
      </c>
    </row>
    <row r="1507" spans="1:12" x14ac:dyDescent="0.3">
      <c r="A1507" t="s">
        <v>2859</v>
      </c>
      <c r="B1507" t="s">
        <v>9</v>
      </c>
      <c r="C1507" t="s">
        <v>5780</v>
      </c>
      <c r="D1507" t="s">
        <v>841</v>
      </c>
      <c r="F1507" t="s">
        <v>5770</v>
      </c>
      <c r="J1507" t="s">
        <v>5737</v>
      </c>
      <c r="K1507">
        <v>80</v>
      </c>
      <c r="L1507" t="str" cm="1">
        <f t="array" ref="L1507">_xlfn.IFS(
 K1507&lt;=50,"≤50",
 AND(K1507&gt;=51,K1507&lt;=100),"51–100",
 AND(K1507&gt;=101,K1507&lt;=250),"101–250",
 AND(K1507&gt;=251,K1507&lt;=500),"251–500",
 AND(K1507&gt;=501,K1507&lt;=1000),"501–1000",
 K1507&gt;=1001,"1001+"
)</f>
        <v>51–100</v>
      </c>
    </row>
    <row r="1508" spans="1:12" x14ac:dyDescent="0.3">
      <c r="A1508" t="s">
        <v>2860</v>
      </c>
      <c r="B1508" t="s">
        <v>13</v>
      </c>
      <c r="C1508" t="s">
        <v>5777</v>
      </c>
      <c r="D1508" t="s">
        <v>2861</v>
      </c>
      <c r="E1508" t="s">
        <v>15</v>
      </c>
      <c r="F1508" t="s">
        <v>5770</v>
      </c>
      <c r="J1508" t="s">
        <v>5738</v>
      </c>
      <c r="K1508">
        <v>80</v>
      </c>
      <c r="L1508" t="str" cm="1">
        <f t="array" ref="L1508">_xlfn.IFS(
 K1508&lt;=50,"≤50",
 AND(K1508&gt;=51,K1508&lt;=100),"51–100",
 AND(K1508&gt;=101,K1508&lt;=250),"101–250",
 AND(K1508&gt;=251,K1508&lt;=500),"251–500",
 AND(K1508&gt;=501,K1508&lt;=1000),"501–1000",
 K1508&gt;=1001,"1001+"
)</f>
        <v>51–100</v>
      </c>
    </row>
    <row r="1509" spans="1:12" x14ac:dyDescent="0.3">
      <c r="A1509" t="s">
        <v>2862</v>
      </c>
      <c r="B1509" t="s">
        <v>9</v>
      </c>
      <c r="C1509" t="s">
        <v>5780</v>
      </c>
      <c r="D1509" t="s">
        <v>2863</v>
      </c>
      <c r="F1509" t="s">
        <v>5770</v>
      </c>
      <c r="J1509" t="s">
        <v>5738</v>
      </c>
      <c r="K1509">
        <v>80</v>
      </c>
      <c r="L1509" t="str" cm="1">
        <f t="array" ref="L1509">_xlfn.IFS(
 K1509&lt;=50,"≤50",
 AND(K1509&gt;=51,K1509&lt;=100),"51–100",
 AND(K1509&gt;=101,K1509&lt;=250),"101–250",
 AND(K1509&gt;=251,K1509&lt;=500),"251–500",
 AND(K1509&gt;=501,K1509&lt;=1000),"501–1000",
 K1509&gt;=1001,"1001+"
)</f>
        <v>51–100</v>
      </c>
    </row>
    <row r="1510" spans="1:12" x14ac:dyDescent="0.3">
      <c r="A1510" t="s">
        <v>2864</v>
      </c>
      <c r="B1510" t="s">
        <v>9</v>
      </c>
      <c r="C1510" t="s">
        <v>5780</v>
      </c>
      <c r="D1510" t="s">
        <v>2865</v>
      </c>
      <c r="E1510" t="s">
        <v>15</v>
      </c>
      <c r="F1510" t="s">
        <v>16</v>
      </c>
      <c r="G1510" t="s">
        <v>2866</v>
      </c>
      <c r="J1510" t="s">
        <v>5741</v>
      </c>
      <c r="K1510">
        <v>80</v>
      </c>
      <c r="L1510" t="str" cm="1">
        <f t="array" ref="L1510">_xlfn.IFS(
 K1510&lt;=50,"≤50",
 AND(K1510&gt;=51,K1510&lt;=100),"51–100",
 AND(K1510&gt;=101,K1510&lt;=250),"101–250",
 AND(K1510&gt;=251,K1510&lt;=500),"251–500",
 AND(K1510&gt;=501,K1510&lt;=1000),"501–1000",
 K1510&gt;=1001,"1001+"
)</f>
        <v>51–100</v>
      </c>
    </row>
    <row r="1511" spans="1:12" x14ac:dyDescent="0.3">
      <c r="A1511" t="s">
        <v>2867</v>
      </c>
      <c r="B1511" t="s">
        <v>9</v>
      </c>
      <c r="C1511" t="s">
        <v>5780</v>
      </c>
      <c r="D1511" t="s">
        <v>2868</v>
      </c>
      <c r="E1511" t="s">
        <v>15</v>
      </c>
      <c r="F1511" t="s">
        <v>5770</v>
      </c>
      <c r="J1511" t="s">
        <v>5737</v>
      </c>
      <c r="K1511">
        <v>80</v>
      </c>
      <c r="L1511" t="str" cm="1">
        <f t="array" ref="L1511">_xlfn.IFS(
 K1511&lt;=50,"≤50",
 AND(K1511&gt;=51,K1511&lt;=100),"51–100",
 AND(K1511&gt;=101,K1511&lt;=250),"101–250",
 AND(K1511&gt;=251,K1511&lt;=500),"251–500",
 AND(K1511&gt;=501,K1511&lt;=1000),"501–1000",
 K1511&gt;=1001,"1001+"
)</f>
        <v>51–100</v>
      </c>
    </row>
    <row r="1512" spans="1:12" x14ac:dyDescent="0.3">
      <c r="A1512" t="s">
        <v>2869</v>
      </c>
      <c r="B1512" t="s">
        <v>9</v>
      </c>
      <c r="C1512" t="s">
        <v>5780</v>
      </c>
      <c r="D1512" t="s">
        <v>51</v>
      </c>
      <c r="E1512" t="s">
        <v>15</v>
      </c>
      <c r="F1512" t="s">
        <v>5770</v>
      </c>
      <c r="J1512" t="s">
        <v>5745</v>
      </c>
      <c r="K1512">
        <v>80</v>
      </c>
      <c r="L1512" t="str" cm="1">
        <f t="array" ref="L1512">_xlfn.IFS(
 K1512&lt;=50,"≤50",
 AND(K1512&gt;=51,K1512&lt;=100),"51–100",
 AND(K1512&gt;=101,K1512&lt;=250),"101–250",
 AND(K1512&gt;=251,K1512&lt;=500),"251–500",
 AND(K1512&gt;=501,K1512&lt;=1000),"501–1000",
 K1512&gt;=1001,"1001+"
)</f>
        <v>51–100</v>
      </c>
    </row>
    <row r="1513" spans="1:12" x14ac:dyDescent="0.3">
      <c r="A1513" t="s">
        <v>2870</v>
      </c>
      <c r="B1513" t="s">
        <v>13</v>
      </c>
      <c r="C1513" t="s">
        <v>5777</v>
      </c>
      <c r="D1513" t="s">
        <v>2871</v>
      </c>
      <c r="F1513" t="s">
        <v>5770</v>
      </c>
      <c r="J1513" t="s">
        <v>5742</v>
      </c>
      <c r="K1513">
        <v>80</v>
      </c>
      <c r="L1513" t="str" cm="1">
        <f t="array" ref="L1513">_xlfn.IFS(
 K1513&lt;=50,"≤50",
 AND(K1513&gt;=51,K1513&lt;=100),"51–100",
 AND(K1513&gt;=101,K1513&lt;=250),"101–250",
 AND(K1513&gt;=251,K1513&lt;=500),"251–500",
 AND(K1513&gt;=501,K1513&lt;=1000),"501–1000",
 K1513&gt;=1001,"1001+"
)</f>
        <v>51–100</v>
      </c>
    </row>
    <row r="1514" spans="1:12" x14ac:dyDescent="0.3">
      <c r="A1514" t="s">
        <v>2872</v>
      </c>
      <c r="B1514" t="s">
        <v>13</v>
      </c>
      <c r="C1514" t="s">
        <v>5777</v>
      </c>
      <c r="D1514" t="s">
        <v>2873</v>
      </c>
      <c r="E1514" t="s">
        <v>15</v>
      </c>
      <c r="F1514" t="s">
        <v>54</v>
      </c>
      <c r="G1514" t="s">
        <v>2874</v>
      </c>
      <c r="J1514" t="s">
        <v>5761</v>
      </c>
      <c r="K1514">
        <v>80</v>
      </c>
      <c r="L1514" t="str" cm="1">
        <f t="array" ref="L1514">_xlfn.IFS(
 K1514&lt;=50,"≤50",
 AND(K1514&gt;=51,K1514&lt;=100),"51–100",
 AND(K1514&gt;=101,K1514&lt;=250),"101–250",
 AND(K1514&gt;=251,K1514&lt;=500),"251–500",
 AND(K1514&gt;=501,K1514&lt;=1000),"501–1000",
 K1514&gt;=1001,"1001+"
)</f>
        <v>51–100</v>
      </c>
    </row>
    <row r="1515" spans="1:12" x14ac:dyDescent="0.3">
      <c r="A1515" t="s">
        <v>2875</v>
      </c>
      <c r="B1515" t="s">
        <v>9</v>
      </c>
      <c r="C1515" t="s">
        <v>5780</v>
      </c>
      <c r="D1515" t="s">
        <v>2876</v>
      </c>
      <c r="E1515" t="s">
        <v>15</v>
      </c>
      <c r="F1515" t="s">
        <v>16</v>
      </c>
      <c r="G1515" t="s">
        <v>2877</v>
      </c>
      <c r="J1515" t="s">
        <v>5737</v>
      </c>
      <c r="K1515">
        <v>80</v>
      </c>
      <c r="L1515" t="str" cm="1">
        <f t="array" ref="L1515">_xlfn.IFS(
 K1515&lt;=50,"≤50",
 AND(K1515&gt;=51,K1515&lt;=100),"51–100",
 AND(K1515&gt;=101,K1515&lt;=250),"101–250",
 AND(K1515&gt;=251,K1515&lt;=500),"251–500",
 AND(K1515&gt;=501,K1515&lt;=1000),"501–1000",
 K1515&gt;=1001,"1001+"
)</f>
        <v>51–100</v>
      </c>
    </row>
    <row r="1516" spans="1:12" x14ac:dyDescent="0.3">
      <c r="A1516" t="s">
        <v>2878</v>
      </c>
      <c r="B1516" t="s">
        <v>9</v>
      </c>
      <c r="C1516" t="s">
        <v>5780</v>
      </c>
      <c r="D1516" t="s">
        <v>2879</v>
      </c>
      <c r="F1516" t="s">
        <v>5770</v>
      </c>
      <c r="J1516" t="s">
        <v>5738</v>
      </c>
      <c r="K1516">
        <v>80</v>
      </c>
      <c r="L1516" t="str" cm="1">
        <f t="array" ref="L1516">_xlfn.IFS(
 K1516&lt;=50,"≤50",
 AND(K1516&gt;=51,K1516&lt;=100),"51–100",
 AND(K1516&gt;=101,K1516&lt;=250),"101–250",
 AND(K1516&gt;=251,K1516&lt;=500),"251–500",
 AND(K1516&gt;=501,K1516&lt;=1000),"501–1000",
 K1516&gt;=1001,"1001+"
)</f>
        <v>51–100</v>
      </c>
    </row>
    <row r="1517" spans="1:12" x14ac:dyDescent="0.3">
      <c r="A1517" t="s">
        <v>2880</v>
      </c>
      <c r="B1517" t="s">
        <v>9</v>
      </c>
      <c r="C1517" t="s">
        <v>5780</v>
      </c>
      <c r="D1517" t="s">
        <v>317</v>
      </c>
      <c r="E1517" t="s">
        <v>15</v>
      </c>
      <c r="F1517" t="s">
        <v>20</v>
      </c>
      <c r="G1517" t="s">
        <v>425</v>
      </c>
      <c r="J1517" t="s">
        <v>5743</v>
      </c>
      <c r="K1517">
        <v>80</v>
      </c>
      <c r="L1517" t="str" cm="1">
        <f t="array" ref="L1517">_xlfn.IFS(
 K1517&lt;=50,"≤50",
 AND(K1517&gt;=51,K1517&lt;=100),"51–100",
 AND(K1517&gt;=101,K1517&lt;=250),"101–250",
 AND(K1517&gt;=251,K1517&lt;=500),"251–500",
 AND(K1517&gt;=501,K1517&lt;=1000),"501–1000",
 K1517&gt;=1001,"1001+"
)</f>
        <v>51–100</v>
      </c>
    </row>
    <row r="1518" spans="1:12" x14ac:dyDescent="0.3">
      <c r="A1518" t="s">
        <v>2881</v>
      </c>
      <c r="B1518" t="s">
        <v>9</v>
      </c>
      <c r="C1518" t="s">
        <v>5780</v>
      </c>
      <c r="D1518" t="s">
        <v>28</v>
      </c>
      <c r="E1518" t="s">
        <v>15</v>
      </c>
      <c r="F1518" t="s">
        <v>16</v>
      </c>
      <c r="G1518" t="s">
        <v>1298</v>
      </c>
      <c r="J1518" t="s">
        <v>5743</v>
      </c>
      <c r="K1518">
        <v>80</v>
      </c>
      <c r="L1518" t="str" cm="1">
        <f t="array" ref="L1518">_xlfn.IFS(
 K1518&lt;=50,"≤50",
 AND(K1518&gt;=51,K1518&lt;=100),"51–100",
 AND(K1518&gt;=101,K1518&lt;=250),"101–250",
 AND(K1518&gt;=251,K1518&lt;=500),"251–500",
 AND(K1518&gt;=501,K1518&lt;=1000),"501–1000",
 K1518&gt;=1001,"1001+"
)</f>
        <v>51–100</v>
      </c>
    </row>
    <row r="1519" spans="1:12" x14ac:dyDescent="0.3">
      <c r="A1519" t="s">
        <v>2882</v>
      </c>
      <c r="B1519" t="s">
        <v>13</v>
      </c>
      <c r="C1519" t="s">
        <v>5777</v>
      </c>
      <c r="D1519" t="s">
        <v>2883</v>
      </c>
      <c r="F1519" t="s">
        <v>5770</v>
      </c>
      <c r="J1519" t="s">
        <v>5737</v>
      </c>
      <c r="K1519">
        <v>80</v>
      </c>
      <c r="L1519" t="str" cm="1">
        <f t="array" ref="L1519">_xlfn.IFS(
 K1519&lt;=50,"≤50",
 AND(K1519&gt;=51,K1519&lt;=100),"51–100",
 AND(K1519&gt;=101,K1519&lt;=250),"101–250",
 AND(K1519&gt;=251,K1519&lt;=500),"251–500",
 AND(K1519&gt;=501,K1519&lt;=1000),"501–1000",
 K1519&gt;=1001,"1001+"
)</f>
        <v>51–100</v>
      </c>
    </row>
    <row r="1520" spans="1:12" x14ac:dyDescent="0.3">
      <c r="A1520" t="s">
        <v>2884</v>
      </c>
      <c r="B1520" t="s">
        <v>9</v>
      </c>
      <c r="C1520" t="s">
        <v>5780</v>
      </c>
      <c r="D1520" t="s">
        <v>2885</v>
      </c>
      <c r="E1520" t="s">
        <v>15</v>
      </c>
      <c r="F1520" t="s">
        <v>16</v>
      </c>
      <c r="G1520" t="s">
        <v>88</v>
      </c>
      <c r="J1520" t="s">
        <v>5744</v>
      </c>
      <c r="K1520">
        <v>80</v>
      </c>
      <c r="L1520" t="str" cm="1">
        <f t="array" ref="L1520">_xlfn.IFS(
 K1520&lt;=50,"≤50",
 AND(K1520&gt;=51,K1520&lt;=100),"51–100",
 AND(K1520&gt;=101,K1520&lt;=250),"101–250",
 AND(K1520&gt;=251,K1520&lt;=500),"251–500",
 AND(K1520&gt;=501,K1520&lt;=1000),"501–1000",
 K1520&gt;=1001,"1001+"
)</f>
        <v>51–100</v>
      </c>
    </row>
    <row r="1521" spans="1:12" x14ac:dyDescent="0.3">
      <c r="A1521" t="s">
        <v>2886</v>
      </c>
      <c r="B1521" t="s">
        <v>9</v>
      </c>
      <c r="C1521" t="s">
        <v>5780</v>
      </c>
      <c r="D1521" t="s">
        <v>2887</v>
      </c>
      <c r="E1521" t="s">
        <v>15</v>
      </c>
      <c r="F1521" t="s">
        <v>20</v>
      </c>
      <c r="G1521" t="s">
        <v>2888</v>
      </c>
      <c r="J1521" t="s">
        <v>5751</v>
      </c>
      <c r="K1521">
        <v>80</v>
      </c>
      <c r="L1521" t="str" cm="1">
        <f t="array" ref="L1521">_xlfn.IFS(
 K1521&lt;=50,"≤50",
 AND(K1521&gt;=51,K1521&lt;=100),"51–100",
 AND(K1521&gt;=101,K1521&lt;=250),"101–250",
 AND(K1521&gt;=251,K1521&lt;=500),"251–500",
 AND(K1521&gt;=501,K1521&lt;=1000),"501–1000",
 K1521&gt;=1001,"1001+"
)</f>
        <v>51–100</v>
      </c>
    </row>
    <row r="1522" spans="1:12" x14ac:dyDescent="0.3">
      <c r="A1522" t="s">
        <v>2889</v>
      </c>
      <c r="B1522" t="s">
        <v>9</v>
      </c>
      <c r="C1522" t="s">
        <v>5780</v>
      </c>
      <c r="D1522" t="s">
        <v>2890</v>
      </c>
      <c r="E1522" t="s">
        <v>15</v>
      </c>
      <c r="F1522" t="s">
        <v>16</v>
      </c>
      <c r="G1522" t="s">
        <v>2891</v>
      </c>
      <c r="J1522" t="s">
        <v>5742</v>
      </c>
      <c r="K1522">
        <v>80</v>
      </c>
      <c r="L1522" t="str" cm="1">
        <f t="array" ref="L1522">_xlfn.IFS(
 K1522&lt;=50,"≤50",
 AND(K1522&gt;=51,K1522&lt;=100),"51–100",
 AND(K1522&gt;=101,K1522&lt;=250),"101–250",
 AND(K1522&gt;=251,K1522&lt;=500),"251–500",
 AND(K1522&gt;=501,K1522&lt;=1000),"501–1000",
 K1522&gt;=1001,"1001+"
)</f>
        <v>51–100</v>
      </c>
    </row>
    <row r="1523" spans="1:12" x14ac:dyDescent="0.3">
      <c r="A1523" t="s">
        <v>2892</v>
      </c>
      <c r="B1523" t="s">
        <v>9</v>
      </c>
      <c r="C1523" t="s">
        <v>5780</v>
      </c>
      <c r="D1523" t="s">
        <v>2893</v>
      </c>
      <c r="E1523" t="s">
        <v>15</v>
      </c>
      <c r="F1523" t="s">
        <v>16</v>
      </c>
      <c r="G1523" t="s">
        <v>2894</v>
      </c>
      <c r="J1523" t="s">
        <v>5741</v>
      </c>
      <c r="K1523">
        <v>80</v>
      </c>
      <c r="L1523" t="str" cm="1">
        <f t="array" ref="L1523">_xlfn.IFS(
 K1523&lt;=50,"≤50",
 AND(K1523&gt;=51,K1523&lt;=100),"51–100",
 AND(K1523&gt;=101,K1523&lt;=250),"101–250",
 AND(K1523&gt;=251,K1523&lt;=500),"251–500",
 AND(K1523&gt;=501,K1523&lt;=1000),"501–1000",
 K1523&gt;=1001,"1001+"
)</f>
        <v>51–100</v>
      </c>
    </row>
    <row r="1524" spans="1:12" x14ac:dyDescent="0.3">
      <c r="A1524" t="s">
        <v>2895</v>
      </c>
      <c r="B1524" t="s">
        <v>9</v>
      </c>
      <c r="C1524" t="s">
        <v>5780</v>
      </c>
      <c r="D1524" t="s">
        <v>28</v>
      </c>
      <c r="F1524" t="s">
        <v>5770</v>
      </c>
      <c r="J1524" t="s">
        <v>5752</v>
      </c>
      <c r="K1524">
        <v>80</v>
      </c>
      <c r="L1524" t="str" cm="1">
        <f t="array" ref="L1524">_xlfn.IFS(
 K1524&lt;=50,"≤50",
 AND(K1524&gt;=51,K1524&lt;=100),"51–100",
 AND(K1524&gt;=101,K1524&lt;=250),"101–250",
 AND(K1524&gt;=251,K1524&lt;=500),"251–500",
 AND(K1524&gt;=501,K1524&lt;=1000),"501–1000",
 K1524&gt;=1001,"1001+"
)</f>
        <v>51–100</v>
      </c>
    </row>
    <row r="1525" spans="1:12" x14ac:dyDescent="0.3">
      <c r="A1525" t="s">
        <v>2896</v>
      </c>
      <c r="B1525" t="s">
        <v>13</v>
      </c>
      <c r="C1525" t="s">
        <v>5777</v>
      </c>
      <c r="D1525" t="s">
        <v>2897</v>
      </c>
      <c r="F1525" t="s">
        <v>5770</v>
      </c>
      <c r="J1525" t="s">
        <v>5752</v>
      </c>
      <c r="K1525">
        <v>80</v>
      </c>
      <c r="L1525" t="str" cm="1">
        <f t="array" ref="L1525">_xlfn.IFS(
 K1525&lt;=50,"≤50",
 AND(K1525&gt;=51,K1525&lt;=100),"51–100",
 AND(K1525&gt;=101,K1525&lt;=250),"101–250",
 AND(K1525&gt;=251,K1525&lt;=500),"251–500",
 AND(K1525&gt;=501,K1525&lt;=1000),"501–1000",
 K1525&gt;=1001,"1001+"
)</f>
        <v>51–100</v>
      </c>
    </row>
    <row r="1526" spans="1:12" x14ac:dyDescent="0.3">
      <c r="A1526" t="s">
        <v>2898</v>
      </c>
      <c r="B1526" t="s">
        <v>11</v>
      </c>
      <c r="C1526" t="s">
        <v>5776</v>
      </c>
      <c r="F1526" t="s">
        <v>5770</v>
      </c>
      <c r="J1526" t="s">
        <v>5752</v>
      </c>
      <c r="K1526">
        <v>80</v>
      </c>
      <c r="L1526" t="str" cm="1">
        <f t="array" ref="L1526">_xlfn.IFS(
 K1526&lt;=50,"≤50",
 AND(K1526&gt;=51,K1526&lt;=100),"51–100",
 AND(K1526&gt;=101,K1526&lt;=250),"101–250",
 AND(K1526&gt;=251,K1526&lt;=500),"251–500",
 AND(K1526&gt;=501,K1526&lt;=1000),"501–1000",
 K1526&gt;=1001,"1001+"
)</f>
        <v>51–100</v>
      </c>
    </row>
    <row r="1527" spans="1:12" x14ac:dyDescent="0.3">
      <c r="A1527" t="s">
        <v>2899</v>
      </c>
      <c r="B1527" t="s">
        <v>13</v>
      </c>
      <c r="C1527" t="s">
        <v>5777</v>
      </c>
      <c r="D1527" t="s">
        <v>2900</v>
      </c>
      <c r="F1527" t="s">
        <v>5770</v>
      </c>
      <c r="J1527" t="s">
        <v>5752</v>
      </c>
      <c r="K1527">
        <v>80</v>
      </c>
      <c r="L1527" t="str" cm="1">
        <f t="array" ref="L1527">_xlfn.IFS(
 K1527&lt;=50,"≤50",
 AND(K1527&gt;=51,K1527&lt;=100),"51–100",
 AND(K1527&gt;=101,K1527&lt;=250),"101–250",
 AND(K1527&gt;=251,K1527&lt;=500),"251–500",
 AND(K1527&gt;=501,K1527&lt;=1000),"501–1000",
 K1527&gt;=1001,"1001+"
)</f>
        <v>51–100</v>
      </c>
    </row>
    <row r="1528" spans="1:12" x14ac:dyDescent="0.3">
      <c r="A1528" t="s">
        <v>2901</v>
      </c>
      <c r="B1528" t="s">
        <v>9</v>
      </c>
      <c r="C1528" t="s">
        <v>5780</v>
      </c>
      <c r="D1528" t="s">
        <v>2902</v>
      </c>
      <c r="E1528" t="s">
        <v>15</v>
      </c>
      <c r="F1528" t="s">
        <v>5770</v>
      </c>
      <c r="J1528" t="s">
        <v>5737</v>
      </c>
      <c r="K1528">
        <v>82</v>
      </c>
      <c r="L1528" t="str" cm="1">
        <f t="array" ref="L1528">_xlfn.IFS(
 K1528&lt;=50,"≤50",
 AND(K1528&gt;=51,K1528&lt;=100),"51–100",
 AND(K1528&gt;=101,K1528&lt;=250),"101–250",
 AND(K1528&gt;=251,K1528&lt;=500),"251–500",
 AND(K1528&gt;=501,K1528&lt;=1000),"501–1000",
 K1528&gt;=1001,"1001+"
)</f>
        <v>51–100</v>
      </c>
    </row>
    <row r="1529" spans="1:12" x14ac:dyDescent="0.3">
      <c r="A1529" t="s">
        <v>2903</v>
      </c>
      <c r="B1529" t="s">
        <v>11</v>
      </c>
      <c r="C1529" t="s">
        <v>5776</v>
      </c>
      <c r="F1529" t="s">
        <v>5770</v>
      </c>
      <c r="J1529" t="s">
        <v>5737</v>
      </c>
      <c r="K1529">
        <v>82</v>
      </c>
      <c r="L1529" t="str" cm="1">
        <f t="array" ref="L1529">_xlfn.IFS(
 K1529&lt;=50,"≤50",
 AND(K1529&gt;=51,K1529&lt;=100),"51–100",
 AND(K1529&gt;=101,K1529&lt;=250),"101–250",
 AND(K1529&gt;=251,K1529&lt;=500),"251–500",
 AND(K1529&gt;=501,K1529&lt;=1000),"501–1000",
 K1529&gt;=1001,"1001+"
)</f>
        <v>51–100</v>
      </c>
    </row>
    <row r="1530" spans="1:12" x14ac:dyDescent="0.3">
      <c r="A1530" t="s">
        <v>2904</v>
      </c>
      <c r="B1530" t="s">
        <v>9</v>
      </c>
      <c r="C1530" t="s">
        <v>5780</v>
      </c>
      <c r="D1530" t="s">
        <v>2905</v>
      </c>
      <c r="E1530" t="s">
        <v>15</v>
      </c>
      <c r="F1530" t="s">
        <v>54</v>
      </c>
      <c r="G1530" t="s">
        <v>145</v>
      </c>
      <c r="J1530" t="s">
        <v>5753</v>
      </c>
      <c r="K1530">
        <v>82</v>
      </c>
      <c r="L1530" t="str" cm="1">
        <f t="array" ref="L1530">_xlfn.IFS(
 K1530&lt;=50,"≤50",
 AND(K1530&gt;=51,K1530&lt;=100),"51–100",
 AND(K1530&gt;=101,K1530&lt;=250),"101–250",
 AND(K1530&gt;=251,K1530&lt;=500),"251–500",
 AND(K1530&gt;=501,K1530&lt;=1000),"501–1000",
 K1530&gt;=1001,"1001+"
)</f>
        <v>51–100</v>
      </c>
    </row>
    <row r="1531" spans="1:12" x14ac:dyDescent="0.3">
      <c r="A1531" t="s">
        <v>2906</v>
      </c>
      <c r="B1531" t="s">
        <v>13</v>
      </c>
      <c r="C1531" t="s">
        <v>5777</v>
      </c>
      <c r="D1531" t="s">
        <v>112</v>
      </c>
      <c r="F1531" t="s">
        <v>20</v>
      </c>
      <c r="G1531" t="s">
        <v>2907</v>
      </c>
      <c r="J1531" t="s">
        <v>5746</v>
      </c>
      <c r="K1531">
        <v>82</v>
      </c>
      <c r="L1531" t="str" cm="1">
        <f t="array" ref="L1531">_xlfn.IFS(
 K1531&lt;=50,"≤50",
 AND(K1531&gt;=51,K1531&lt;=100),"51–100",
 AND(K1531&gt;=101,K1531&lt;=250),"101–250",
 AND(K1531&gt;=251,K1531&lt;=500),"251–500",
 AND(K1531&gt;=501,K1531&lt;=1000),"501–1000",
 K1531&gt;=1001,"1001+"
)</f>
        <v>51–100</v>
      </c>
    </row>
    <row r="1532" spans="1:12" x14ac:dyDescent="0.3">
      <c r="A1532" t="s">
        <v>2908</v>
      </c>
      <c r="B1532" t="s">
        <v>9</v>
      </c>
      <c r="C1532" t="s">
        <v>5780</v>
      </c>
      <c r="D1532" t="s">
        <v>28</v>
      </c>
      <c r="E1532" t="s">
        <v>15</v>
      </c>
      <c r="F1532" t="s">
        <v>54</v>
      </c>
      <c r="G1532" t="s">
        <v>2909</v>
      </c>
      <c r="J1532" t="s">
        <v>5752</v>
      </c>
      <c r="K1532">
        <v>83</v>
      </c>
      <c r="L1532" t="str" cm="1">
        <f t="array" ref="L1532">_xlfn.IFS(
 K1532&lt;=50,"≤50",
 AND(K1532&gt;=51,K1532&lt;=100),"51–100",
 AND(K1532&gt;=101,K1532&lt;=250),"101–250",
 AND(K1532&gt;=251,K1532&lt;=500),"251–500",
 AND(K1532&gt;=501,K1532&lt;=1000),"501–1000",
 K1532&gt;=1001,"1001+"
)</f>
        <v>51–100</v>
      </c>
    </row>
    <row r="1533" spans="1:12" x14ac:dyDescent="0.3">
      <c r="A1533" t="s">
        <v>2910</v>
      </c>
      <c r="B1533" t="s">
        <v>11</v>
      </c>
      <c r="C1533" t="s">
        <v>5776</v>
      </c>
      <c r="F1533" t="s">
        <v>5770</v>
      </c>
      <c r="J1533" t="s">
        <v>5737</v>
      </c>
      <c r="K1533">
        <v>83</v>
      </c>
      <c r="L1533" t="str" cm="1">
        <f t="array" ref="L1533">_xlfn.IFS(
 K1533&lt;=50,"≤50",
 AND(K1533&gt;=51,K1533&lt;=100),"51–100",
 AND(K1533&gt;=101,K1533&lt;=250),"101–250",
 AND(K1533&gt;=251,K1533&lt;=500),"251–500",
 AND(K1533&gt;=501,K1533&lt;=1000),"501–1000",
 K1533&gt;=1001,"1001+"
)</f>
        <v>51–100</v>
      </c>
    </row>
    <row r="1534" spans="1:12" x14ac:dyDescent="0.3">
      <c r="A1534" t="s">
        <v>2911</v>
      </c>
      <c r="B1534" t="s">
        <v>9</v>
      </c>
      <c r="C1534" t="s">
        <v>5780</v>
      </c>
      <c r="D1534" t="s">
        <v>2912</v>
      </c>
      <c r="E1534" t="s">
        <v>15</v>
      </c>
      <c r="F1534" t="s">
        <v>20</v>
      </c>
      <c r="G1534" t="s">
        <v>425</v>
      </c>
      <c r="J1534" t="s">
        <v>5737</v>
      </c>
      <c r="K1534">
        <v>85</v>
      </c>
      <c r="L1534" t="str" cm="1">
        <f t="array" ref="L1534">_xlfn.IFS(
 K1534&lt;=50,"≤50",
 AND(K1534&gt;=51,K1534&lt;=100),"51–100",
 AND(K1534&gt;=101,K1534&lt;=250),"101–250",
 AND(K1534&gt;=251,K1534&lt;=500),"251–500",
 AND(K1534&gt;=501,K1534&lt;=1000),"501–1000",
 K1534&gt;=1001,"1001+"
)</f>
        <v>51–100</v>
      </c>
    </row>
    <row r="1535" spans="1:12" x14ac:dyDescent="0.3">
      <c r="A1535" t="s">
        <v>2913</v>
      </c>
      <c r="B1535" t="s">
        <v>13</v>
      </c>
      <c r="C1535" t="s">
        <v>5777</v>
      </c>
      <c r="D1535" t="s">
        <v>2388</v>
      </c>
      <c r="F1535" t="s">
        <v>5770</v>
      </c>
      <c r="J1535" t="s">
        <v>5745</v>
      </c>
      <c r="K1535">
        <v>85</v>
      </c>
      <c r="L1535" t="str" cm="1">
        <f t="array" ref="L1535">_xlfn.IFS(
 K1535&lt;=50,"≤50",
 AND(K1535&gt;=51,K1535&lt;=100),"51–100",
 AND(K1535&gt;=101,K1535&lt;=250),"101–250",
 AND(K1535&gt;=251,K1535&lt;=500),"251–500",
 AND(K1535&gt;=501,K1535&lt;=1000),"501–1000",
 K1535&gt;=1001,"1001+"
)</f>
        <v>51–100</v>
      </c>
    </row>
    <row r="1536" spans="1:12" x14ac:dyDescent="0.3">
      <c r="A1536" t="s">
        <v>2914</v>
      </c>
      <c r="B1536" t="s">
        <v>13</v>
      </c>
      <c r="C1536" t="s">
        <v>5777</v>
      </c>
      <c r="D1536" t="s">
        <v>2915</v>
      </c>
      <c r="E1536" t="s">
        <v>15</v>
      </c>
      <c r="F1536" t="s">
        <v>20</v>
      </c>
      <c r="G1536" t="s">
        <v>42</v>
      </c>
      <c r="J1536" t="s">
        <v>5738</v>
      </c>
      <c r="K1536">
        <v>85</v>
      </c>
      <c r="L1536" t="str" cm="1">
        <f t="array" ref="L1536">_xlfn.IFS(
 K1536&lt;=50,"≤50",
 AND(K1536&gt;=51,K1536&lt;=100),"51–100",
 AND(K1536&gt;=101,K1536&lt;=250),"101–250",
 AND(K1536&gt;=251,K1536&lt;=500),"251–500",
 AND(K1536&gt;=501,K1536&lt;=1000),"501–1000",
 K1536&gt;=1001,"1001+"
)</f>
        <v>51–100</v>
      </c>
    </row>
    <row r="1537" spans="1:12" x14ac:dyDescent="0.3">
      <c r="A1537" t="s">
        <v>2916</v>
      </c>
      <c r="B1537" t="s">
        <v>13</v>
      </c>
      <c r="C1537" t="s">
        <v>5777</v>
      </c>
      <c r="D1537" t="s">
        <v>2917</v>
      </c>
      <c r="E1537" t="s">
        <v>15</v>
      </c>
      <c r="F1537" t="s">
        <v>5770</v>
      </c>
      <c r="J1537" t="s">
        <v>5737</v>
      </c>
      <c r="K1537">
        <v>85</v>
      </c>
      <c r="L1537" t="str" cm="1">
        <f t="array" ref="L1537">_xlfn.IFS(
 K1537&lt;=50,"≤50",
 AND(K1537&gt;=51,K1537&lt;=100),"51–100",
 AND(K1537&gt;=101,K1537&lt;=250),"101–250",
 AND(K1537&gt;=251,K1537&lt;=500),"251–500",
 AND(K1537&gt;=501,K1537&lt;=1000),"501–1000",
 K1537&gt;=1001,"1001+"
)</f>
        <v>51–100</v>
      </c>
    </row>
    <row r="1538" spans="1:12" x14ac:dyDescent="0.3">
      <c r="A1538" t="s">
        <v>2918</v>
      </c>
      <c r="B1538" t="s">
        <v>9</v>
      </c>
      <c r="C1538" t="s">
        <v>5780</v>
      </c>
      <c r="D1538" t="s">
        <v>2919</v>
      </c>
      <c r="F1538" t="s">
        <v>5770</v>
      </c>
      <c r="J1538" t="s">
        <v>5737</v>
      </c>
      <c r="K1538">
        <v>85</v>
      </c>
      <c r="L1538" t="str" cm="1">
        <f t="array" ref="L1538">_xlfn.IFS(
 K1538&lt;=50,"≤50",
 AND(K1538&gt;=51,K1538&lt;=100),"51–100",
 AND(K1538&gt;=101,K1538&lt;=250),"101–250",
 AND(K1538&gt;=251,K1538&lt;=500),"251–500",
 AND(K1538&gt;=501,K1538&lt;=1000),"501–1000",
 K1538&gt;=1001,"1001+"
)</f>
        <v>51–100</v>
      </c>
    </row>
    <row r="1539" spans="1:12" x14ac:dyDescent="0.3">
      <c r="A1539" t="s">
        <v>2920</v>
      </c>
      <c r="B1539" t="s">
        <v>13</v>
      </c>
      <c r="C1539" t="s">
        <v>5777</v>
      </c>
      <c r="D1539" t="s">
        <v>2921</v>
      </c>
      <c r="E1539" t="s">
        <v>15</v>
      </c>
      <c r="F1539" t="s">
        <v>20</v>
      </c>
      <c r="G1539" t="s">
        <v>135</v>
      </c>
      <c r="J1539" t="s">
        <v>5738</v>
      </c>
      <c r="K1539">
        <v>85</v>
      </c>
      <c r="L1539" t="str" cm="1">
        <f t="array" ref="L1539">_xlfn.IFS(
 K1539&lt;=50,"≤50",
 AND(K1539&gt;=51,K1539&lt;=100),"51–100",
 AND(K1539&gt;=101,K1539&lt;=250),"101–250",
 AND(K1539&gt;=251,K1539&lt;=500),"251–500",
 AND(K1539&gt;=501,K1539&lt;=1000),"501–1000",
 K1539&gt;=1001,"1001+"
)</f>
        <v>51–100</v>
      </c>
    </row>
    <row r="1540" spans="1:12" x14ac:dyDescent="0.3">
      <c r="A1540" t="s">
        <v>2922</v>
      </c>
      <c r="B1540" t="s">
        <v>9</v>
      </c>
      <c r="C1540" t="s">
        <v>5780</v>
      </c>
      <c r="D1540" t="s">
        <v>28</v>
      </c>
      <c r="E1540" t="s">
        <v>15</v>
      </c>
      <c r="F1540" t="s">
        <v>16</v>
      </c>
      <c r="G1540" t="s">
        <v>2923</v>
      </c>
      <c r="J1540" t="s">
        <v>5753</v>
      </c>
      <c r="K1540">
        <v>85</v>
      </c>
      <c r="L1540" t="str" cm="1">
        <f t="array" ref="L1540">_xlfn.IFS(
 K1540&lt;=50,"≤50",
 AND(K1540&gt;=51,K1540&lt;=100),"51–100",
 AND(K1540&gt;=101,K1540&lt;=250),"101–250",
 AND(K1540&gt;=251,K1540&lt;=500),"251–500",
 AND(K1540&gt;=501,K1540&lt;=1000),"501–1000",
 K1540&gt;=1001,"1001+"
)</f>
        <v>51–100</v>
      </c>
    </row>
    <row r="1541" spans="1:12" x14ac:dyDescent="0.3">
      <c r="A1541" t="s">
        <v>2924</v>
      </c>
      <c r="B1541" t="s">
        <v>11</v>
      </c>
      <c r="C1541" t="s">
        <v>5776</v>
      </c>
      <c r="E1541" t="s">
        <v>15</v>
      </c>
      <c r="F1541" t="s">
        <v>5770</v>
      </c>
      <c r="J1541" t="s">
        <v>5752</v>
      </c>
      <c r="K1541">
        <v>85</v>
      </c>
      <c r="L1541" t="str" cm="1">
        <f t="array" ref="L1541">_xlfn.IFS(
 K1541&lt;=50,"≤50",
 AND(K1541&gt;=51,K1541&lt;=100),"51–100",
 AND(K1541&gt;=101,K1541&lt;=250),"101–250",
 AND(K1541&gt;=251,K1541&lt;=500),"251–500",
 AND(K1541&gt;=501,K1541&lt;=1000),"501–1000",
 K1541&gt;=1001,"1001+"
)</f>
        <v>51–100</v>
      </c>
    </row>
    <row r="1542" spans="1:12" x14ac:dyDescent="0.3">
      <c r="A1542" t="s">
        <v>2925</v>
      </c>
      <c r="B1542" t="s">
        <v>11</v>
      </c>
      <c r="C1542" t="s">
        <v>5776</v>
      </c>
      <c r="F1542" t="s">
        <v>5770</v>
      </c>
      <c r="J1542" t="s">
        <v>5752</v>
      </c>
      <c r="K1542">
        <v>85</v>
      </c>
      <c r="L1542" t="str" cm="1">
        <f t="array" ref="L1542">_xlfn.IFS(
 K1542&lt;=50,"≤50",
 AND(K1542&gt;=51,K1542&lt;=100),"51–100",
 AND(K1542&gt;=101,K1542&lt;=250),"101–250",
 AND(K1542&gt;=251,K1542&lt;=500),"251–500",
 AND(K1542&gt;=501,K1542&lt;=1000),"501–1000",
 K1542&gt;=1001,"1001+"
)</f>
        <v>51–100</v>
      </c>
    </row>
    <row r="1543" spans="1:12" x14ac:dyDescent="0.3">
      <c r="A1543" t="s">
        <v>2926</v>
      </c>
      <c r="B1543" t="s">
        <v>9</v>
      </c>
      <c r="C1543" t="s">
        <v>5780</v>
      </c>
      <c r="D1543" t="s">
        <v>2927</v>
      </c>
      <c r="E1543" t="s">
        <v>15</v>
      </c>
      <c r="F1543" t="s">
        <v>20</v>
      </c>
      <c r="G1543" t="s">
        <v>383</v>
      </c>
      <c r="J1543" t="s">
        <v>5751</v>
      </c>
      <c r="K1543">
        <v>85</v>
      </c>
      <c r="L1543" t="str" cm="1">
        <f t="array" ref="L1543">_xlfn.IFS(
 K1543&lt;=50,"≤50",
 AND(K1543&gt;=51,K1543&lt;=100),"51–100",
 AND(K1543&gt;=101,K1543&lt;=250),"101–250",
 AND(K1543&gt;=251,K1543&lt;=500),"251–500",
 AND(K1543&gt;=501,K1543&lt;=1000),"501–1000",
 K1543&gt;=1001,"1001+"
)</f>
        <v>51–100</v>
      </c>
    </row>
    <row r="1544" spans="1:12" x14ac:dyDescent="0.3">
      <c r="A1544" t="s">
        <v>2928</v>
      </c>
      <c r="B1544" t="s">
        <v>9</v>
      </c>
      <c r="C1544" t="s">
        <v>5780</v>
      </c>
      <c r="D1544" t="s">
        <v>2929</v>
      </c>
      <c r="E1544" t="s">
        <v>15</v>
      </c>
      <c r="F1544" t="s">
        <v>20</v>
      </c>
      <c r="G1544" t="s">
        <v>21</v>
      </c>
      <c r="J1544" t="s">
        <v>5741</v>
      </c>
      <c r="K1544">
        <v>85</v>
      </c>
      <c r="L1544" t="str" cm="1">
        <f t="array" ref="L1544">_xlfn.IFS(
 K1544&lt;=50,"≤50",
 AND(K1544&gt;=51,K1544&lt;=100),"51–100",
 AND(K1544&gt;=101,K1544&lt;=250),"101–250",
 AND(K1544&gt;=251,K1544&lt;=500),"251–500",
 AND(K1544&gt;=501,K1544&lt;=1000),"501–1000",
 K1544&gt;=1001,"1001+"
)</f>
        <v>51–100</v>
      </c>
    </row>
    <row r="1545" spans="1:12" x14ac:dyDescent="0.3">
      <c r="A1545" t="s">
        <v>2930</v>
      </c>
      <c r="B1545" t="s">
        <v>9</v>
      </c>
      <c r="C1545" t="s">
        <v>5780</v>
      </c>
      <c r="D1545" t="s">
        <v>2931</v>
      </c>
      <c r="E1545" t="s">
        <v>15</v>
      </c>
      <c r="F1545" t="s">
        <v>20</v>
      </c>
      <c r="G1545" t="s">
        <v>2932</v>
      </c>
      <c r="J1545" t="s">
        <v>5737</v>
      </c>
      <c r="K1545">
        <v>85</v>
      </c>
      <c r="L1545" t="str" cm="1">
        <f t="array" ref="L1545">_xlfn.IFS(
 K1545&lt;=50,"≤50",
 AND(K1545&gt;=51,K1545&lt;=100),"51–100",
 AND(K1545&gt;=101,K1545&lt;=250),"101–250",
 AND(K1545&gt;=251,K1545&lt;=500),"251–500",
 AND(K1545&gt;=501,K1545&lt;=1000),"501–1000",
 K1545&gt;=1001,"1001+"
)</f>
        <v>51–100</v>
      </c>
    </row>
    <row r="1546" spans="1:12" x14ac:dyDescent="0.3">
      <c r="A1546" t="s">
        <v>2933</v>
      </c>
      <c r="B1546" t="s">
        <v>11</v>
      </c>
      <c r="C1546" t="s">
        <v>5776</v>
      </c>
      <c r="F1546" t="s">
        <v>5770</v>
      </c>
      <c r="J1546" t="s">
        <v>5737</v>
      </c>
      <c r="K1546">
        <v>85</v>
      </c>
      <c r="L1546" t="str" cm="1">
        <f t="array" ref="L1546">_xlfn.IFS(
 K1546&lt;=50,"≤50",
 AND(K1546&gt;=51,K1546&lt;=100),"51–100",
 AND(K1546&gt;=101,K1546&lt;=250),"101–250",
 AND(K1546&gt;=251,K1546&lt;=500),"251–500",
 AND(K1546&gt;=501,K1546&lt;=1000),"501–1000",
 K1546&gt;=1001,"1001+"
)</f>
        <v>51–100</v>
      </c>
    </row>
    <row r="1547" spans="1:12" x14ac:dyDescent="0.3">
      <c r="A1547" t="s">
        <v>2934</v>
      </c>
      <c r="B1547" t="s">
        <v>9</v>
      </c>
      <c r="C1547" t="s">
        <v>5780</v>
      </c>
      <c r="D1547" t="s">
        <v>2935</v>
      </c>
      <c r="E1547" t="s">
        <v>15</v>
      </c>
      <c r="F1547" t="s">
        <v>16</v>
      </c>
      <c r="G1547" t="s">
        <v>2936</v>
      </c>
      <c r="J1547" t="s">
        <v>5738</v>
      </c>
      <c r="K1547">
        <v>85</v>
      </c>
      <c r="L1547" t="str" cm="1">
        <f t="array" ref="L1547">_xlfn.IFS(
 K1547&lt;=50,"≤50",
 AND(K1547&gt;=51,K1547&lt;=100),"51–100",
 AND(K1547&gt;=101,K1547&lt;=250),"101–250",
 AND(K1547&gt;=251,K1547&lt;=500),"251–500",
 AND(K1547&gt;=501,K1547&lt;=1000),"501–1000",
 K1547&gt;=1001,"1001+"
)</f>
        <v>51–100</v>
      </c>
    </row>
    <row r="1548" spans="1:12" x14ac:dyDescent="0.3">
      <c r="A1548" t="s">
        <v>2937</v>
      </c>
      <c r="B1548" t="s">
        <v>9</v>
      </c>
      <c r="C1548" t="s">
        <v>5780</v>
      </c>
      <c r="D1548" t="s">
        <v>2938</v>
      </c>
      <c r="E1548" t="s">
        <v>15</v>
      </c>
      <c r="F1548" t="s">
        <v>16</v>
      </c>
      <c r="G1548" t="s">
        <v>138</v>
      </c>
      <c r="J1548" t="s">
        <v>5737</v>
      </c>
      <c r="K1548">
        <v>85</v>
      </c>
      <c r="L1548" t="str" cm="1">
        <f t="array" ref="L1548">_xlfn.IFS(
 K1548&lt;=50,"≤50",
 AND(K1548&gt;=51,K1548&lt;=100),"51–100",
 AND(K1548&gt;=101,K1548&lt;=250),"101–250",
 AND(K1548&gt;=251,K1548&lt;=500),"251–500",
 AND(K1548&gt;=501,K1548&lt;=1000),"501–1000",
 K1548&gt;=1001,"1001+"
)</f>
        <v>51–100</v>
      </c>
    </row>
    <row r="1549" spans="1:12" x14ac:dyDescent="0.3">
      <c r="A1549" t="s">
        <v>2939</v>
      </c>
      <c r="B1549" t="s">
        <v>9</v>
      </c>
      <c r="C1549" t="s">
        <v>5780</v>
      </c>
      <c r="D1549" t="s">
        <v>2940</v>
      </c>
      <c r="E1549" t="s">
        <v>15</v>
      </c>
      <c r="F1549" t="s">
        <v>5769</v>
      </c>
      <c r="G1549" t="s">
        <v>2941</v>
      </c>
      <c r="J1549" t="s">
        <v>5749</v>
      </c>
      <c r="K1549">
        <v>85</v>
      </c>
      <c r="L1549" t="str" cm="1">
        <f t="array" ref="L1549">_xlfn.IFS(
 K1549&lt;=50,"≤50",
 AND(K1549&gt;=51,K1549&lt;=100),"51–100",
 AND(K1549&gt;=101,K1549&lt;=250),"101–250",
 AND(K1549&gt;=251,K1549&lt;=500),"251–500",
 AND(K1549&gt;=501,K1549&lt;=1000),"501–1000",
 K1549&gt;=1001,"1001+"
)</f>
        <v>51–100</v>
      </c>
    </row>
    <row r="1550" spans="1:12" x14ac:dyDescent="0.3">
      <c r="A1550" t="s">
        <v>2942</v>
      </c>
      <c r="B1550" t="s">
        <v>9</v>
      </c>
      <c r="C1550" t="s">
        <v>5780</v>
      </c>
      <c r="D1550" t="s">
        <v>2943</v>
      </c>
      <c r="E1550" t="s">
        <v>15</v>
      </c>
      <c r="F1550" t="s">
        <v>54</v>
      </c>
      <c r="G1550" t="s">
        <v>2944</v>
      </c>
      <c r="J1550" t="s">
        <v>5739</v>
      </c>
      <c r="K1550">
        <v>85</v>
      </c>
      <c r="L1550" t="str" cm="1">
        <f t="array" ref="L1550">_xlfn.IFS(
 K1550&lt;=50,"≤50",
 AND(K1550&gt;=51,K1550&lt;=100),"51–100",
 AND(K1550&gt;=101,K1550&lt;=250),"101–250",
 AND(K1550&gt;=251,K1550&lt;=500),"251–500",
 AND(K1550&gt;=501,K1550&lt;=1000),"501–1000",
 K1550&gt;=1001,"1001+"
)</f>
        <v>51–100</v>
      </c>
    </row>
    <row r="1551" spans="1:12" x14ac:dyDescent="0.3">
      <c r="A1551" t="s">
        <v>2945</v>
      </c>
      <c r="B1551" t="s">
        <v>9</v>
      </c>
      <c r="C1551" t="s">
        <v>5780</v>
      </c>
      <c r="D1551" t="s">
        <v>2946</v>
      </c>
      <c r="E1551" t="s">
        <v>15</v>
      </c>
      <c r="F1551" t="s">
        <v>20</v>
      </c>
      <c r="G1551" t="s">
        <v>117</v>
      </c>
      <c r="J1551" t="s">
        <v>5737</v>
      </c>
      <c r="K1551">
        <v>85</v>
      </c>
      <c r="L1551" t="str" cm="1">
        <f t="array" ref="L1551">_xlfn.IFS(
 K1551&lt;=50,"≤50",
 AND(K1551&gt;=51,K1551&lt;=100),"51–100",
 AND(K1551&gt;=101,K1551&lt;=250),"101–250",
 AND(K1551&gt;=251,K1551&lt;=500),"251–500",
 AND(K1551&gt;=501,K1551&lt;=1000),"501–1000",
 K1551&gt;=1001,"1001+"
)</f>
        <v>51–100</v>
      </c>
    </row>
    <row r="1552" spans="1:12" x14ac:dyDescent="0.3">
      <c r="A1552" t="s">
        <v>2947</v>
      </c>
      <c r="B1552" t="s">
        <v>9</v>
      </c>
      <c r="C1552" t="s">
        <v>5780</v>
      </c>
      <c r="D1552" t="s">
        <v>2948</v>
      </c>
      <c r="E1552" t="s">
        <v>15</v>
      </c>
      <c r="F1552" t="s">
        <v>20</v>
      </c>
      <c r="G1552" t="s">
        <v>2949</v>
      </c>
      <c r="J1552" t="s">
        <v>5737</v>
      </c>
      <c r="K1552">
        <v>85</v>
      </c>
      <c r="L1552" t="str" cm="1">
        <f t="array" ref="L1552">_xlfn.IFS(
 K1552&lt;=50,"≤50",
 AND(K1552&gt;=51,K1552&lt;=100),"51–100",
 AND(K1552&gt;=101,K1552&lt;=250),"101–250",
 AND(K1552&gt;=251,K1552&lt;=500),"251–500",
 AND(K1552&gt;=501,K1552&lt;=1000),"501–1000",
 K1552&gt;=1001,"1001+"
)</f>
        <v>51–100</v>
      </c>
    </row>
    <row r="1553" spans="1:12" x14ac:dyDescent="0.3">
      <c r="A1553" t="s">
        <v>2950</v>
      </c>
      <c r="B1553" t="s">
        <v>9</v>
      </c>
      <c r="C1553" t="s">
        <v>5780</v>
      </c>
      <c r="D1553" t="s">
        <v>2951</v>
      </c>
      <c r="F1553" t="s">
        <v>16</v>
      </c>
      <c r="G1553" t="s">
        <v>2952</v>
      </c>
      <c r="J1553" t="s">
        <v>5758</v>
      </c>
      <c r="K1553">
        <v>85</v>
      </c>
      <c r="L1553" t="str" cm="1">
        <f t="array" ref="L1553">_xlfn.IFS(
 K1553&lt;=50,"≤50",
 AND(K1553&gt;=51,K1553&lt;=100),"51–100",
 AND(K1553&gt;=101,K1553&lt;=250),"101–250",
 AND(K1553&gt;=251,K1553&lt;=500),"251–500",
 AND(K1553&gt;=501,K1553&lt;=1000),"501–1000",
 K1553&gt;=1001,"1001+"
)</f>
        <v>51–100</v>
      </c>
    </row>
    <row r="1554" spans="1:12" x14ac:dyDescent="0.3">
      <c r="A1554" t="s">
        <v>2953</v>
      </c>
      <c r="B1554" t="s">
        <v>9</v>
      </c>
      <c r="C1554" t="s">
        <v>5780</v>
      </c>
      <c r="D1554" t="s">
        <v>2954</v>
      </c>
      <c r="E1554" t="s">
        <v>15</v>
      </c>
      <c r="F1554" t="s">
        <v>20</v>
      </c>
      <c r="G1554" t="s">
        <v>2955</v>
      </c>
      <c r="J1554" t="s">
        <v>5746</v>
      </c>
      <c r="K1554">
        <v>85</v>
      </c>
      <c r="L1554" t="str" cm="1">
        <f t="array" ref="L1554">_xlfn.IFS(
 K1554&lt;=50,"≤50",
 AND(K1554&gt;=51,K1554&lt;=100),"51–100",
 AND(K1554&gt;=101,K1554&lt;=250),"101–250",
 AND(K1554&gt;=251,K1554&lt;=500),"251–500",
 AND(K1554&gt;=501,K1554&lt;=1000),"501–1000",
 K1554&gt;=1001,"1001+"
)</f>
        <v>51–100</v>
      </c>
    </row>
    <row r="1555" spans="1:12" x14ac:dyDescent="0.3">
      <c r="A1555" t="s">
        <v>2956</v>
      </c>
      <c r="B1555" t="s">
        <v>11</v>
      </c>
      <c r="C1555" t="s">
        <v>5776</v>
      </c>
      <c r="E1555" t="s">
        <v>15</v>
      </c>
      <c r="F1555" t="s">
        <v>5770</v>
      </c>
      <c r="J1555" t="s">
        <v>5744</v>
      </c>
      <c r="K1555">
        <v>85</v>
      </c>
      <c r="L1555" t="str" cm="1">
        <f t="array" ref="L1555">_xlfn.IFS(
 K1555&lt;=50,"≤50",
 AND(K1555&gt;=51,K1555&lt;=100),"51–100",
 AND(K1555&gt;=101,K1555&lt;=250),"101–250",
 AND(K1555&gt;=251,K1555&lt;=500),"251–500",
 AND(K1555&gt;=501,K1555&lt;=1000),"501–1000",
 K1555&gt;=1001,"1001+"
)</f>
        <v>51–100</v>
      </c>
    </row>
    <row r="1556" spans="1:12" x14ac:dyDescent="0.3">
      <c r="A1556" t="s">
        <v>2957</v>
      </c>
      <c r="B1556" t="s">
        <v>13</v>
      </c>
      <c r="C1556" t="s">
        <v>5777</v>
      </c>
      <c r="D1556" t="s">
        <v>2958</v>
      </c>
      <c r="F1556" t="s">
        <v>5770</v>
      </c>
      <c r="J1556" t="s">
        <v>5742</v>
      </c>
      <c r="K1556">
        <v>85</v>
      </c>
      <c r="L1556" t="str" cm="1">
        <f t="array" ref="L1556">_xlfn.IFS(
 K1556&lt;=50,"≤50",
 AND(K1556&gt;=51,K1556&lt;=100),"51–100",
 AND(K1556&gt;=101,K1556&lt;=250),"101–250",
 AND(K1556&gt;=251,K1556&lt;=500),"251–500",
 AND(K1556&gt;=501,K1556&lt;=1000),"501–1000",
 K1556&gt;=1001,"1001+"
)</f>
        <v>51–100</v>
      </c>
    </row>
    <row r="1557" spans="1:12" x14ac:dyDescent="0.3">
      <c r="A1557" t="s">
        <v>2959</v>
      </c>
      <c r="B1557" t="s">
        <v>9</v>
      </c>
      <c r="C1557" t="s">
        <v>5780</v>
      </c>
      <c r="D1557" t="s">
        <v>28</v>
      </c>
      <c r="F1557" t="s">
        <v>5770</v>
      </c>
      <c r="J1557" t="s">
        <v>5737</v>
      </c>
      <c r="K1557">
        <v>85</v>
      </c>
      <c r="L1557" t="str" cm="1">
        <f t="array" ref="L1557">_xlfn.IFS(
 K1557&lt;=50,"≤50",
 AND(K1557&gt;=51,K1557&lt;=100),"51–100",
 AND(K1557&gt;=101,K1557&lt;=250),"101–250",
 AND(K1557&gt;=251,K1557&lt;=500),"251–500",
 AND(K1557&gt;=501,K1557&lt;=1000),"501–1000",
 K1557&gt;=1001,"1001+"
)</f>
        <v>51–100</v>
      </c>
    </row>
    <row r="1558" spans="1:12" x14ac:dyDescent="0.3">
      <c r="A1558" t="s">
        <v>2960</v>
      </c>
      <c r="B1558" t="s">
        <v>9</v>
      </c>
      <c r="C1558" t="s">
        <v>5780</v>
      </c>
      <c r="D1558" t="s">
        <v>2961</v>
      </c>
      <c r="E1558" t="s">
        <v>15</v>
      </c>
      <c r="F1558" t="s">
        <v>5770</v>
      </c>
      <c r="J1558" t="s">
        <v>5737</v>
      </c>
      <c r="K1558">
        <v>85</v>
      </c>
      <c r="L1558" t="str" cm="1">
        <f t="array" ref="L1558">_xlfn.IFS(
 K1558&lt;=50,"≤50",
 AND(K1558&gt;=51,K1558&lt;=100),"51–100",
 AND(K1558&gt;=101,K1558&lt;=250),"101–250",
 AND(K1558&gt;=251,K1558&lt;=500),"251–500",
 AND(K1558&gt;=501,K1558&lt;=1000),"501–1000",
 K1558&gt;=1001,"1001+"
)</f>
        <v>51–100</v>
      </c>
    </row>
    <row r="1559" spans="1:12" x14ac:dyDescent="0.3">
      <c r="A1559" t="s">
        <v>2962</v>
      </c>
      <c r="B1559" t="s">
        <v>9</v>
      </c>
      <c r="C1559" t="s">
        <v>5780</v>
      </c>
      <c r="D1559" t="s">
        <v>51</v>
      </c>
      <c r="F1559" t="s">
        <v>54</v>
      </c>
      <c r="G1559" t="s">
        <v>2963</v>
      </c>
      <c r="J1559" t="s">
        <v>5737</v>
      </c>
      <c r="K1559">
        <v>85</v>
      </c>
      <c r="L1559" t="str" cm="1">
        <f t="array" ref="L1559">_xlfn.IFS(
 K1559&lt;=50,"≤50",
 AND(K1559&gt;=51,K1559&lt;=100),"51–100",
 AND(K1559&gt;=101,K1559&lt;=250),"101–250",
 AND(K1559&gt;=251,K1559&lt;=500),"251–500",
 AND(K1559&gt;=501,K1559&lt;=1000),"501–1000",
 K1559&gt;=1001,"1001+"
)</f>
        <v>51–100</v>
      </c>
    </row>
    <row r="1560" spans="1:12" x14ac:dyDescent="0.3">
      <c r="A1560" t="s">
        <v>2964</v>
      </c>
      <c r="B1560" t="s">
        <v>9</v>
      </c>
      <c r="C1560" t="s">
        <v>5780</v>
      </c>
      <c r="D1560" t="s">
        <v>2965</v>
      </c>
      <c r="F1560" t="s">
        <v>5770</v>
      </c>
      <c r="J1560" t="s">
        <v>5737</v>
      </c>
      <c r="K1560">
        <v>86</v>
      </c>
      <c r="L1560" t="str" cm="1">
        <f t="array" ref="L1560">_xlfn.IFS(
 K1560&lt;=50,"≤50",
 AND(K1560&gt;=51,K1560&lt;=100),"51–100",
 AND(K1560&gt;=101,K1560&lt;=250),"101–250",
 AND(K1560&gt;=251,K1560&lt;=500),"251–500",
 AND(K1560&gt;=501,K1560&lt;=1000),"501–1000",
 K1560&gt;=1001,"1001+"
)</f>
        <v>51–100</v>
      </c>
    </row>
    <row r="1561" spans="1:12" x14ac:dyDescent="0.3">
      <c r="A1561" t="s">
        <v>2966</v>
      </c>
      <c r="B1561" t="s">
        <v>9</v>
      </c>
      <c r="C1561" t="s">
        <v>5780</v>
      </c>
      <c r="D1561" t="s">
        <v>2967</v>
      </c>
      <c r="E1561" t="s">
        <v>15</v>
      </c>
      <c r="F1561" t="s">
        <v>16</v>
      </c>
      <c r="G1561" t="s">
        <v>2968</v>
      </c>
      <c r="J1561" t="s">
        <v>5737</v>
      </c>
      <c r="K1561">
        <v>86</v>
      </c>
      <c r="L1561" t="str" cm="1">
        <f t="array" ref="L1561">_xlfn.IFS(
 K1561&lt;=50,"≤50",
 AND(K1561&gt;=51,K1561&lt;=100),"51–100",
 AND(K1561&gt;=101,K1561&lt;=250),"101–250",
 AND(K1561&gt;=251,K1561&lt;=500),"251–500",
 AND(K1561&gt;=501,K1561&lt;=1000),"501–1000",
 K1561&gt;=1001,"1001+"
)</f>
        <v>51–100</v>
      </c>
    </row>
    <row r="1562" spans="1:12" x14ac:dyDescent="0.3">
      <c r="A1562" t="s">
        <v>2969</v>
      </c>
      <c r="B1562" t="s">
        <v>9</v>
      </c>
      <c r="C1562" t="s">
        <v>5780</v>
      </c>
      <c r="D1562" t="s">
        <v>28</v>
      </c>
      <c r="E1562" t="s">
        <v>15</v>
      </c>
      <c r="F1562" t="s">
        <v>54</v>
      </c>
      <c r="G1562" t="s">
        <v>2970</v>
      </c>
      <c r="J1562" t="s">
        <v>5742</v>
      </c>
      <c r="K1562">
        <v>86</v>
      </c>
      <c r="L1562" t="str" cm="1">
        <f t="array" ref="L1562">_xlfn.IFS(
 K1562&lt;=50,"≤50",
 AND(K1562&gt;=51,K1562&lt;=100),"51–100",
 AND(K1562&gt;=101,K1562&lt;=250),"101–250",
 AND(K1562&gt;=251,K1562&lt;=500),"251–500",
 AND(K1562&gt;=501,K1562&lt;=1000),"501–1000",
 K1562&gt;=1001,"1001+"
)</f>
        <v>51–100</v>
      </c>
    </row>
    <row r="1563" spans="1:12" x14ac:dyDescent="0.3">
      <c r="A1563" t="s">
        <v>2971</v>
      </c>
      <c r="B1563" t="s">
        <v>13</v>
      </c>
      <c r="C1563" t="s">
        <v>5777</v>
      </c>
      <c r="D1563" t="s">
        <v>2972</v>
      </c>
      <c r="E1563" t="s">
        <v>15</v>
      </c>
      <c r="F1563" t="s">
        <v>16</v>
      </c>
      <c r="G1563" t="s">
        <v>1298</v>
      </c>
      <c r="J1563" t="s">
        <v>5737</v>
      </c>
      <c r="K1563">
        <v>88</v>
      </c>
      <c r="L1563" t="str" cm="1">
        <f t="array" ref="L1563">_xlfn.IFS(
 K1563&lt;=50,"≤50",
 AND(K1563&gt;=51,K1563&lt;=100),"51–100",
 AND(K1563&gt;=101,K1563&lt;=250),"101–250",
 AND(K1563&gt;=251,K1563&lt;=500),"251–500",
 AND(K1563&gt;=501,K1563&lt;=1000),"501–1000",
 K1563&gt;=1001,"1001+"
)</f>
        <v>51–100</v>
      </c>
    </row>
    <row r="1564" spans="1:12" x14ac:dyDescent="0.3">
      <c r="A1564" t="s">
        <v>2973</v>
      </c>
      <c r="B1564" t="s">
        <v>9</v>
      </c>
      <c r="C1564" t="s">
        <v>5780</v>
      </c>
      <c r="D1564" t="s">
        <v>28</v>
      </c>
      <c r="E1564" t="s">
        <v>15</v>
      </c>
      <c r="F1564" t="s">
        <v>54</v>
      </c>
      <c r="G1564" t="s">
        <v>2974</v>
      </c>
      <c r="J1564" t="s">
        <v>5748</v>
      </c>
      <c r="K1564">
        <v>89</v>
      </c>
      <c r="L1564" t="str" cm="1">
        <f t="array" ref="L1564">_xlfn.IFS(
 K1564&lt;=50,"≤50",
 AND(K1564&gt;=51,K1564&lt;=100),"51–100",
 AND(K1564&gt;=101,K1564&lt;=250),"101–250",
 AND(K1564&gt;=251,K1564&lt;=500),"251–500",
 AND(K1564&gt;=501,K1564&lt;=1000),"501–1000",
 K1564&gt;=1001,"1001+"
)</f>
        <v>51–100</v>
      </c>
    </row>
    <row r="1565" spans="1:12" x14ac:dyDescent="0.3">
      <c r="A1565" t="s">
        <v>2975</v>
      </c>
      <c r="B1565" t="s">
        <v>9</v>
      </c>
      <c r="C1565" t="s">
        <v>5780</v>
      </c>
      <c r="D1565" t="s">
        <v>2976</v>
      </c>
      <c r="E1565" t="s">
        <v>15</v>
      </c>
      <c r="F1565" t="s">
        <v>54</v>
      </c>
      <c r="G1565" t="s">
        <v>2977</v>
      </c>
      <c r="J1565" t="s">
        <v>5737</v>
      </c>
      <c r="K1565">
        <v>90</v>
      </c>
      <c r="L1565" t="str" cm="1">
        <f t="array" ref="L1565">_xlfn.IFS(
 K1565&lt;=50,"≤50",
 AND(K1565&gt;=51,K1565&lt;=100),"51–100",
 AND(K1565&gt;=101,K1565&lt;=250),"101–250",
 AND(K1565&gt;=251,K1565&lt;=500),"251–500",
 AND(K1565&gt;=501,K1565&lt;=1000),"501–1000",
 K1565&gt;=1001,"1001+"
)</f>
        <v>51–100</v>
      </c>
    </row>
    <row r="1566" spans="1:12" x14ac:dyDescent="0.3">
      <c r="A1566" t="s">
        <v>2978</v>
      </c>
      <c r="B1566" t="s">
        <v>9</v>
      </c>
      <c r="C1566" t="s">
        <v>5780</v>
      </c>
      <c r="D1566" t="s">
        <v>2979</v>
      </c>
      <c r="F1566" t="s">
        <v>20</v>
      </c>
      <c r="G1566" t="s">
        <v>21</v>
      </c>
      <c r="J1566" t="s">
        <v>5738</v>
      </c>
      <c r="K1566">
        <v>90</v>
      </c>
      <c r="L1566" t="str" cm="1">
        <f t="array" ref="L1566">_xlfn.IFS(
 K1566&lt;=50,"≤50",
 AND(K1566&gt;=51,K1566&lt;=100),"51–100",
 AND(K1566&gt;=101,K1566&lt;=250),"101–250",
 AND(K1566&gt;=251,K1566&lt;=500),"251–500",
 AND(K1566&gt;=501,K1566&lt;=1000),"501–1000",
 K1566&gt;=1001,"1001+"
)</f>
        <v>51–100</v>
      </c>
    </row>
    <row r="1567" spans="1:12" x14ac:dyDescent="0.3">
      <c r="A1567" t="s">
        <v>2980</v>
      </c>
      <c r="B1567" t="s">
        <v>13</v>
      </c>
      <c r="C1567" t="s">
        <v>5777</v>
      </c>
      <c r="D1567" t="s">
        <v>2981</v>
      </c>
      <c r="F1567" t="s">
        <v>20</v>
      </c>
      <c r="G1567" t="s">
        <v>2982</v>
      </c>
      <c r="J1567" t="s">
        <v>5737</v>
      </c>
      <c r="K1567">
        <v>90</v>
      </c>
      <c r="L1567" t="str" cm="1">
        <f t="array" ref="L1567">_xlfn.IFS(
 K1567&lt;=50,"≤50",
 AND(K1567&gt;=51,K1567&lt;=100),"51–100",
 AND(K1567&gt;=101,K1567&lt;=250),"101–250",
 AND(K1567&gt;=251,K1567&lt;=500),"251–500",
 AND(K1567&gt;=501,K1567&lt;=1000),"501–1000",
 K1567&gt;=1001,"1001+"
)</f>
        <v>51–100</v>
      </c>
    </row>
    <row r="1568" spans="1:12" x14ac:dyDescent="0.3">
      <c r="A1568" t="s">
        <v>2983</v>
      </c>
      <c r="B1568" t="s">
        <v>13</v>
      </c>
      <c r="C1568" t="s">
        <v>5777</v>
      </c>
      <c r="D1568" t="s">
        <v>2984</v>
      </c>
      <c r="E1568" t="s">
        <v>15</v>
      </c>
      <c r="F1568" t="s">
        <v>20</v>
      </c>
      <c r="G1568" t="s">
        <v>117</v>
      </c>
      <c r="J1568" t="s">
        <v>5749</v>
      </c>
      <c r="K1568">
        <v>90</v>
      </c>
      <c r="L1568" t="str" cm="1">
        <f t="array" ref="L1568">_xlfn.IFS(
 K1568&lt;=50,"≤50",
 AND(K1568&gt;=51,K1568&lt;=100),"51–100",
 AND(K1568&gt;=101,K1568&lt;=250),"101–250",
 AND(K1568&gt;=251,K1568&lt;=500),"251–500",
 AND(K1568&gt;=501,K1568&lt;=1000),"501–1000",
 K1568&gt;=1001,"1001+"
)</f>
        <v>51–100</v>
      </c>
    </row>
    <row r="1569" spans="1:12" x14ac:dyDescent="0.3">
      <c r="A1569" t="s">
        <v>2985</v>
      </c>
      <c r="B1569" t="s">
        <v>11</v>
      </c>
      <c r="C1569" t="s">
        <v>5776</v>
      </c>
      <c r="F1569" t="s">
        <v>5770</v>
      </c>
      <c r="J1569" t="s">
        <v>5737</v>
      </c>
      <c r="K1569">
        <v>90</v>
      </c>
      <c r="L1569" t="str" cm="1">
        <f t="array" ref="L1569">_xlfn.IFS(
 K1569&lt;=50,"≤50",
 AND(K1569&gt;=51,K1569&lt;=100),"51–100",
 AND(K1569&gt;=101,K1569&lt;=250),"101–250",
 AND(K1569&gt;=251,K1569&lt;=500),"251–500",
 AND(K1569&gt;=501,K1569&lt;=1000),"501–1000",
 K1569&gt;=1001,"1001+"
)</f>
        <v>51–100</v>
      </c>
    </row>
    <row r="1570" spans="1:12" x14ac:dyDescent="0.3">
      <c r="A1570" t="s">
        <v>2986</v>
      </c>
      <c r="B1570" t="s">
        <v>9</v>
      </c>
      <c r="C1570" t="s">
        <v>5780</v>
      </c>
      <c r="D1570" t="s">
        <v>51</v>
      </c>
      <c r="F1570" t="s">
        <v>54</v>
      </c>
      <c r="G1570" t="s">
        <v>588</v>
      </c>
      <c r="J1570" t="s">
        <v>5737</v>
      </c>
      <c r="K1570">
        <v>90</v>
      </c>
      <c r="L1570" t="str" cm="1">
        <f t="array" ref="L1570">_xlfn.IFS(
 K1570&lt;=50,"≤50",
 AND(K1570&gt;=51,K1570&lt;=100),"51–100",
 AND(K1570&gt;=101,K1570&lt;=250),"101–250",
 AND(K1570&gt;=251,K1570&lt;=500),"251–500",
 AND(K1570&gt;=501,K1570&lt;=1000),"501–1000",
 K1570&gt;=1001,"1001+"
)</f>
        <v>51–100</v>
      </c>
    </row>
    <row r="1571" spans="1:12" x14ac:dyDescent="0.3">
      <c r="A1571" t="s">
        <v>2987</v>
      </c>
      <c r="B1571" t="s">
        <v>13</v>
      </c>
      <c r="C1571" t="s">
        <v>5777</v>
      </c>
      <c r="D1571" t="s">
        <v>2988</v>
      </c>
      <c r="E1571" t="s">
        <v>15</v>
      </c>
      <c r="F1571" t="s">
        <v>54</v>
      </c>
      <c r="G1571" t="s">
        <v>2989</v>
      </c>
      <c r="J1571" t="s">
        <v>5737</v>
      </c>
      <c r="K1571">
        <v>90</v>
      </c>
      <c r="L1571" t="str" cm="1">
        <f t="array" ref="L1571">_xlfn.IFS(
 K1571&lt;=50,"≤50",
 AND(K1571&gt;=51,K1571&lt;=100),"51–100",
 AND(K1571&gt;=101,K1571&lt;=250),"101–250",
 AND(K1571&gt;=251,K1571&lt;=500),"251–500",
 AND(K1571&gt;=501,K1571&lt;=1000),"501–1000",
 K1571&gt;=1001,"1001+"
)</f>
        <v>51–100</v>
      </c>
    </row>
    <row r="1572" spans="1:12" x14ac:dyDescent="0.3">
      <c r="A1572" t="s">
        <v>2990</v>
      </c>
      <c r="B1572" t="s">
        <v>9</v>
      </c>
      <c r="C1572" t="s">
        <v>5780</v>
      </c>
      <c r="D1572" t="s">
        <v>2991</v>
      </c>
      <c r="E1572" t="s">
        <v>15</v>
      </c>
      <c r="F1572" t="s">
        <v>16</v>
      </c>
      <c r="G1572" t="s">
        <v>2992</v>
      </c>
      <c r="J1572" t="s">
        <v>5742</v>
      </c>
      <c r="K1572">
        <v>90</v>
      </c>
      <c r="L1572" t="str" cm="1">
        <f t="array" ref="L1572">_xlfn.IFS(
 K1572&lt;=50,"≤50",
 AND(K1572&gt;=51,K1572&lt;=100),"51–100",
 AND(K1572&gt;=101,K1572&lt;=250),"101–250",
 AND(K1572&gt;=251,K1572&lt;=500),"251–500",
 AND(K1572&gt;=501,K1572&lt;=1000),"501–1000",
 K1572&gt;=1001,"1001+"
)</f>
        <v>51–100</v>
      </c>
    </row>
    <row r="1573" spans="1:12" x14ac:dyDescent="0.3">
      <c r="A1573" t="s">
        <v>2993</v>
      </c>
      <c r="B1573" t="s">
        <v>11</v>
      </c>
      <c r="C1573" t="s">
        <v>5776</v>
      </c>
      <c r="F1573" t="s">
        <v>5770</v>
      </c>
      <c r="J1573" t="s">
        <v>5741</v>
      </c>
      <c r="K1573">
        <v>90</v>
      </c>
      <c r="L1573" t="str" cm="1">
        <f t="array" ref="L1573">_xlfn.IFS(
 K1573&lt;=50,"≤50",
 AND(K1573&gt;=51,K1573&lt;=100),"51–100",
 AND(K1573&gt;=101,K1573&lt;=250),"101–250",
 AND(K1573&gt;=251,K1573&lt;=500),"251–500",
 AND(K1573&gt;=501,K1573&lt;=1000),"501–1000",
 K1573&gt;=1001,"1001+"
)</f>
        <v>51–100</v>
      </c>
    </row>
    <row r="1574" spans="1:12" x14ac:dyDescent="0.3">
      <c r="A1574" t="s">
        <v>2994</v>
      </c>
      <c r="B1574" t="s">
        <v>9</v>
      </c>
      <c r="C1574" t="s">
        <v>5780</v>
      </c>
      <c r="D1574" t="s">
        <v>28</v>
      </c>
      <c r="F1574" t="s">
        <v>5770</v>
      </c>
      <c r="J1574" t="s">
        <v>5737</v>
      </c>
      <c r="K1574">
        <v>90</v>
      </c>
      <c r="L1574" t="str" cm="1">
        <f t="array" ref="L1574">_xlfn.IFS(
 K1574&lt;=50,"≤50",
 AND(K1574&gt;=51,K1574&lt;=100),"51–100",
 AND(K1574&gt;=101,K1574&lt;=250),"101–250",
 AND(K1574&gt;=251,K1574&lt;=500),"251–500",
 AND(K1574&gt;=501,K1574&lt;=1000),"501–1000",
 K1574&gt;=1001,"1001+"
)</f>
        <v>51–100</v>
      </c>
    </row>
    <row r="1575" spans="1:12" x14ac:dyDescent="0.3">
      <c r="A1575" t="s">
        <v>2995</v>
      </c>
      <c r="B1575" t="s">
        <v>9</v>
      </c>
      <c r="C1575" t="s">
        <v>5780</v>
      </c>
      <c r="D1575" t="s">
        <v>2996</v>
      </c>
      <c r="E1575" t="s">
        <v>15</v>
      </c>
      <c r="F1575" t="s">
        <v>16</v>
      </c>
      <c r="G1575" t="s">
        <v>2997</v>
      </c>
      <c r="J1575" t="s">
        <v>5738</v>
      </c>
      <c r="K1575">
        <v>90</v>
      </c>
      <c r="L1575" t="str" cm="1">
        <f t="array" ref="L1575">_xlfn.IFS(
 K1575&lt;=50,"≤50",
 AND(K1575&gt;=51,K1575&lt;=100),"51–100",
 AND(K1575&gt;=101,K1575&lt;=250),"101–250",
 AND(K1575&gt;=251,K1575&lt;=500),"251–500",
 AND(K1575&gt;=501,K1575&lt;=1000),"501–1000",
 K1575&gt;=1001,"1001+"
)</f>
        <v>51–100</v>
      </c>
    </row>
    <row r="1576" spans="1:12" x14ac:dyDescent="0.3">
      <c r="A1576" t="s">
        <v>2998</v>
      </c>
      <c r="B1576" t="s">
        <v>11</v>
      </c>
      <c r="C1576" t="s">
        <v>5776</v>
      </c>
      <c r="F1576" t="s">
        <v>5770</v>
      </c>
      <c r="J1576" t="s">
        <v>5737</v>
      </c>
      <c r="K1576">
        <v>90</v>
      </c>
      <c r="L1576" t="str" cm="1">
        <f t="array" ref="L1576">_xlfn.IFS(
 K1576&lt;=50,"≤50",
 AND(K1576&gt;=51,K1576&lt;=100),"51–100",
 AND(K1576&gt;=101,K1576&lt;=250),"101–250",
 AND(K1576&gt;=251,K1576&lt;=500),"251–500",
 AND(K1576&gt;=501,K1576&lt;=1000),"501–1000",
 K1576&gt;=1001,"1001+"
)</f>
        <v>51–100</v>
      </c>
    </row>
    <row r="1577" spans="1:12" x14ac:dyDescent="0.3">
      <c r="A1577" t="s">
        <v>2999</v>
      </c>
      <c r="B1577" t="s">
        <v>11</v>
      </c>
      <c r="C1577" t="s">
        <v>5776</v>
      </c>
      <c r="F1577" t="s">
        <v>5770</v>
      </c>
      <c r="J1577" t="s">
        <v>5753</v>
      </c>
      <c r="K1577">
        <v>90</v>
      </c>
      <c r="L1577" t="str" cm="1">
        <f t="array" ref="L1577">_xlfn.IFS(
 K1577&lt;=50,"≤50",
 AND(K1577&gt;=51,K1577&lt;=100),"51–100",
 AND(K1577&gt;=101,K1577&lt;=250),"101–250",
 AND(K1577&gt;=251,K1577&lt;=500),"251–500",
 AND(K1577&gt;=501,K1577&lt;=1000),"501–1000",
 K1577&gt;=1001,"1001+"
)</f>
        <v>51–100</v>
      </c>
    </row>
    <row r="1578" spans="1:12" x14ac:dyDescent="0.3">
      <c r="A1578" t="s">
        <v>3000</v>
      </c>
      <c r="B1578" t="s">
        <v>13</v>
      </c>
      <c r="C1578" t="s">
        <v>5777</v>
      </c>
      <c r="D1578" t="s">
        <v>3001</v>
      </c>
      <c r="E1578" t="s">
        <v>15</v>
      </c>
      <c r="F1578" t="s">
        <v>5770</v>
      </c>
      <c r="J1578" t="s">
        <v>5740</v>
      </c>
      <c r="K1578">
        <v>90</v>
      </c>
      <c r="L1578" t="str" cm="1">
        <f t="array" ref="L1578">_xlfn.IFS(
 K1578&lt;=50,"≤50",
 AND(K1578&gt;=51,K1578&lt;=100),"51–100",
 AND(K1578&gt;=101,K1578&lt;=250),"101–250",
 AND(K1578&gt;=251,K1578&lt;=500),"251–500",
 AND(K1578&gt;=501,K1578&lt;=1000),"501–1000",
 K1578&gt;=1001,"1001+"
)</f>
        <v>51–100</v>
      </c>
    </row>
    <row r="1579" spans="1:12" x14ac:dyDescent="0.3">
      <c r="A1579" t="s">
        <v>3002</v>
      </c>
      <c r="B1579" t="s">
        <v>13</v>
      </c>
      <c r="C1579" t="s">
        <v>5777</v>
      </c>
      <c r="D1579" t="s">
        <v>3003</v>
      </c>
      <c r="E1579" t="s">
        <v>15</v>
      </c>
      <c r="F1579" t="s">
        <v>5770</v>
      </c>
      <c r="J1579" t="s">
        <v>5740</v>
      </c>
      <c r="K1579">
        <v>90</v>
      </c>
      <c r="L1579" t="str" cm="1">
        <f t="array" ref="L1579">_xlfn.IFS(
 K1579&lt;=50,"≤50",
 AND(K1579&gt;=51,K1579&lt;=100),"51–100",
 AND(K1579&gt;=101,K1579&lt;=250),"101–250",
 AND(K1579&gt;=251,K1579&lt;=500),"251–500",
 AND(K1579&gt;=501,K1579&lt;=1000),"501–1000",
 K1579&gt;=1001,"1001+"
)</f>
        <v>51–100</v>
      </c>
    </row>
    <row r="1580" spans="1:12" x14ac:dyDescent="0.3">
      <c r="A1580" t="s">
        <v>3004</v>
      </c>
      <c r="B1580" t="s">
        <v>9</v>
      </c>
      <c r="C1580" t="s">
        <v>5780</v>
      </c>
      <c r="D1580" t="s">
        <v>28</v>
      </c>
      <c r="E1580" t="s">
        <v>15</v>
      </c>
      <c r="F1580" t="s">
        <v>20</v>
      </c>
      <c r="G1580" t="s">
        <v>3005</v>
      </c>
      <c r="J1580" t="s">
        <v>5737</v>
      </c>
      <c r="K1580">
        <v>90</v>
      </c>
      <c r="L1580" t="str" cm="1">
        <f t="array" ref="L1580">_xlfn.IFS(
 K1580&lt;=50,"≤50",
 AND(K1580&gt;=51,K1580&lt;=100),"51–100",
 AND(K1580&gt;=101,K1580&lt;=250),"101–250",
 AND(K1580&gt;=251,K1580&lt;=500),"251–500",
 AND(K1580&gt;=501,K1580&lt;=1000),"501–1000",
 K1580&gt;=1001,"1001+"
)</f>
        <v>51–100</v>
      </c>
    </row>
    <row r="1581" spans="1:12" x14ac:dyDescent="0.3">
      <c r="A1581" t="s">
        <v>3006</v>
      </c>
      <c r="B1581" t="s">
        <v>9</v>
      </c>
      <c r="C1581" t="s">
        <v>5780</v>
      </c>
      <c r="D1581" t="s">
        <v>3007</v>
      </c>
      <c r="E1581" t="s">
        <v>15</v>
      </c>
      <c r="F1581" t="s">
        <v>54</v>
      </c>
      <c r="G1581" t="s">
        <v>3008</v>
      </c>
      <c r="J1581" t="s">
        <v>5737</v>
      </c>
      <c r="K1581">
        <v>90</v>
      </c>
      <c r="L1581" t="str" cm="1">
        <f t="array" ref="L1581">_xlfn.IFS(
 K1581&lt;=50,"≤50",
 AND(K1581&gt;=51,K1581&lt;=100),"51–100",
 AND(K1581&gt;=101,K1581&lt;=250),"101–250",
 AND(K1581&gt;=251,K1581&lt;=500),"251–500",
 AND(K1581&gt;=501,K1581&lt;=1000),"501–1000",
 K1581&gt;=1001,"1001+"
)</f>
        <v>51–100</v>
      </c>
    </row>
    <row r="1582" spans="1:12" x14ac:dyDescent="0.3">
      <c r="A1582" t="s">
        <v>3009</v>
      </c>
      <c r="B1582" t="s">
        <v>9</v>
      </c>
      <c r="C1582" t="s">
        <v>5780</v>
      </c>
      <c r="D1582" t="s">
        <v>28</v>
      </c>
      <c r="F1582" t="s">
        <v>5770</v>
      </c>
      <c r="J1582" t="s">
        <v>5737</v>
      </c>
      <c r="K1582">
        <v>90</v>
      </c>
      <c r="L1582" t="str" cm="1">
        <f t="array" ref="L1582">_xlfn.IFS(
 K1582&lt;=50,"≤50",
 AND(K1582&gt;=51,K1582&lt;=100),"51–100",
 AND(K1582&gt;=101,K1582&lt;=250),"101–250",
 AND(K1582&gt;=251,K1582&lt;=500),"251–500",
 AND(K1582&gt;=501,K1582&lt;=1000),"501–1000",
 K1582&gt;=1001,"1001+"
)</f>
        <v>51–100</v>
      </c>
    </row>
    <row r="1583" spans="1:12" x14ac:dyDescent="0.3">
      <c r="A1583" t="s">
        <v>3010</v>
      </c>
      <c r="B1583" t="s">
        <v>13</v>
      </c>
      <c r="C1583" t="s">
        <v>5777</v>
      </c>
      <c r="D1583" t="s">
        <v>245</v>
      </c>
      <c r="F1583" t="s">
        <v>5770</v>
      </c>
      <c r="J1583" t="s">
        <v>5737</v>
      </c>
      <c r="K1583">
        <v>90</v>
      </c>
      <c r="L1583" t="str" cm="1">
        <f t="array" ref="L1583">_xlfn.IFS(
 K1583&lt;=50,"≤50",
 AND(K1583&gt;=51,K1583&lt;=100),"51–100",
 AND(K1583&gt;=101,K1583&lt;=250),"101–250",
 AND(K1583&gt;=251,K1583&lt;=500),"251–500",
 AND(K1583&gt;=501,K1583&lt;=1000),"501–1000",
 K1583&gt;=1001,"1001+"
)</f>
        <v>51–100</v>
      </c>
    </row>
    <row r="1584" spans="1:12" x14ac:dyDescent="0.3">
      <c r="A1584" t="s">
        <v>3011</v>
      </c>
      <c r="B1584" t="s">
        <v>9</v>
      </c>
      <c r="C1584" t="s">
        <v>5780</v>
      </c>
      <c r="D1584" t="s">
        <v>28</v>
      </c>
      <c r="F1584" t="s">
        <v>20</v>
      </c>
      <c r="G1584" t="s">
        <v>3012</v>
      </c>
      <c r="J1584" t="s">
        <v>5737</v>
      </c>
      <c r="K1584">
        <v>90</v>
      </c>
      <c r="L1584" t="str" cm="1">
        <f t="array" ref="L1584">_xlfn.IFS(
 K1584&lt;=50,"≤50",
 AND(K1584&gt;=51,K1584&lt;=100),"51–100",
 AND(K1584&gt;=101,K1584&lt;=250),"101–250",
 AND(K1584&gt;=251,K1584&lt;=500),"251–500",
 AND(K1584&gt;=501,K1584&lt;=1000),"501–1000",
 K1584&gt;=1001,"1001+"
)</f>
        <v>51–100</v>
      </c>
    </row>
    <row r="1585" spans="1:12" x14ac:dyDescent="0.3">
      <c r="A1585" t="s">
        <v>3013</v>
      </c>
      <c r="B1585" t="s">
        <v>13</v>
      </c>
      <c r="C1585" t="s">
        <v>5777</v>
      </c>
      <c r="D1585" t="s">
        <v>231</v>
      </c>
      <c r="F1585" t="s">
        <v>5770</v>
      </c>
      <c r="J1585" t="s">
        <v>5738</v>
      </c>
      <c r="K1585">
        <v>90</v>
      </c>
      <c r="L1585" t="str" cm="1">
        <f t="array" ref="L1585">_xlfn.IFS(
 K1585&lt;=50,"≤50",
 AND(K1585&gt;=51,K1585&lt;=100),"51–100",
 AND(K1585&gt;=101,K1585&lt;=250),"101–250",
 AND(K1585&gt;=251,K1585&lt;=500),"251–500",
 AND(K1585&gt;=501,K1585&lt;=1000),"501–1000",
 K1585&gt;=1001,"1001+"
)</f>
        <v>51–100</v>
      </c>
    </row>
    <row r="1586" spans="1:12" x14ac:dyDescent="0.3">
      <c r="A1586" t="s">
        <v>3014</v>
      </c>
      <c r="B1586" t="s">
        <v>9</v>
      </c>
      <c r="C1586" t="s">
        <v>5780</v>
      </c>
      <c r="D1586" t="s">
        <v>3015</v>
      </c>
      <c r="E1586" t="s">
        <v>15</v>
      </c>
      <c r="F1586" t="s">
        <v>20</v>
      </c>
      <c r="G1586" t="s">
        <v>425</v>
      </c>
      <c r="J1586" t="s">
        <v>5748</v>
      </c>
      <c r="K1586">
        <v>90</v>
      </c>
      <c r="L1586" t="str" cm="1">
        <f t="array" ref="L1586">_xlfn.IFS(
 K1586&lt;=50,"≤50",
 AND(K1586&gt;=51,K1586&lt;=100),"51–100",
 AND(K1586&gt;=101,K1586&lt;=250),"101–250",
 AND(K1586&gt;=251,K1586&lt;=500),"251–500",
 AND(K1586&gt;=501,K1586&lt;=1000),"501–1000",
 K1586&gt;=1001,"1001+"
)</f>
        <v>51–100</v>
      </c>
    </row>
    <row r="1587" spans="1:12" x14ac:dyDescent="0.3">
      <c r="A1587" t="s">
        <v>3016</v>
      </c>
      <c r="B1587" t="s">
        <v>9</v>
      </c>
      <c r="C1587" t="s">
        <v>5780</v>
      </c>
      <c r="D1587" t="s">
        <v>301</v>
      </c>
      <c r="F1587" t="s">
        <v>20</v>
      </c>
      <c r="G1587" t="s">
        <v>1414</v>
      </c>
      <c r="J1587" t="s">
        <v>5746</v>
      </c>
      <c r="K1587">
        <v>90</v>
      </c>
      <c r="L1587" t="str" cm="1">
        <f t="array" ref="L1587">_xlfn.IFS(
 K1587&lt;=50,"≤50",
 AND(K1587&gt;=51,K1587&lt;=100),"51–100",
 AND(K1587&gt;=101,K1587&lt;=250),"101–250",
 AND(K1587&gt;=251,K1587&lt;=500),"251–500",
 AND(K1587&gt;=501,K1587&lt;=1000),"501–1000",
 K1587&gt;=1001,"1001+"
)</f>
        <v>51–100</v>
      </c>
    </row>
    <row r="1588" spans="1:12" x14ac:dyDescent="0.3">
      <c r="A1588" t="s">
        <v>3017</v>
      </c>
      <c r="B1588" t="s">
        <v>13</v>
      </c>
      <c r="C1588" t="s">
        <v>5777</v>
      </c>
      <c r="D1588" t="s">
        <v>3018</v>
      </c>
      <c r="F1588" t="s">
        <v>5770</v>
      </c>
      <c r="J1588" t="s">
        <v>5738</v>
      </c>
      <c r="K1588">
        <v>90</v>
      </c>
      <c r="L1588" t="str" cm="1">
        <f t="array" ref="L1588">_xlfn.IFS(
 K1588&lt;=50,"≤50",
 AND(K1588&gt;=51,K1588&lt;=100),"51–100",
 AND(K1588&gt;=101,K1588&lt;=250),"101–250",
 AND(K1588&gt;=251,K1588&lt;=500),"251–500",
 AND(K1588&gt;=501,K1588&lt;=1000),"501–1000",
 K1588&gt;=1001,"1001+"
)</f>
        <v>51–100</v>
      </c>
    </row>
    <row r="1589" spans="1:12" x14ac:dyDescent="0.3">
      <c r="A1589" t="s">
        <v>3019</v>
      </c>
      <c r="B1589" t="s">
        <v>9</v>
      </c>
      <c r="C1589" t="s">
        <v>5780</v>
      </c>
      <c r="D1589" t="s">
        <v>3020</v>
      </c>
      <c r="E1589" t="s">
        <v>15</v>
      </c>
      <c r="F1589" t="s">
        <v>20</v>
      </c>
      <c r="G1589" t="s">
        <v>3021</v>
      </c>
      <c r="J1589" t="s">
        <v>5743</v>
      </c>
      <c r="K1589">
        <v>90</v>
      </c>
      <c r="L1589" t="str" cm="1">
        <f t="array" ref="L1589">_xlfn.IFS(
 K1589&lt;=50,"≤50",
 AND(K1589&gt;=51,K1589&lt;=100),"51–100",
 AND(K1589&gt;=101,K1589&lt;=250),"101–250",
 AND(K1589&gt;=251,K1589&lt;=500),"251–500",
 AND(K1589&gt;=501,K1589&lt;=1000),"501–1000",
 K1589&gt;=1001,"1001+"
)</f>
        <v>51–100</v>
      </c>
    </row>
    <row r="1590" spans="1:12" x14ac:dyDescent="0.3">
      <c r="A1590" t="s">
        <v>3022</v>
      </c>
      <c r="B1590" t="s">
        <v>197</v>
      </c>
      <c r="C1590" t="s">
        <v>5774</v>
      </c>
      <c r="D1590" t="s">
        <v>3023</v>
      </c>
      <c r="F1590" t="s">
        <v>5770</v>
      </c>
      <c r="J1590" t="s">
        <v>5737</v>
      </c>
      <c r="K1590">
        <v>90</v>
      </c>
      <c r="L1590" t="str" cm="1">
        <f t="array" ref="L1590">_xlfn.IFS(
 K1590&lt;=50,"≤50",
 AND(K1590&gt;=51,K1590&lt;=100),"51–100",
 AND(K1590&gt;=101,K1590&lt;=250),"101–250",
 AND(K1590&gt;=251,K1590&lt;=500),"251–500",
 AND(K1590&gt;=501,K1590&lt;=1000),"501–1000",
 K1590&gt;=1001,"1001+"
)</f>
        <v>51–100</v>
      </c>
    </row>
    <row r="1591" spans="1:12" x14ac:dyDescent="0.3">
      <c r="A1591" t="s">
        <v>3024</v>
      </c>
      <c r="B1591" t="s">
        <v>11</v>
      </c>
      <c r="C1591" t="s">
        <v>5776</v>
      </c>
      <c r="F1591" t="s">
        <v>54</v>
      </c>
      <c r="G1591" t="s">
        <v>3025</v>
      </c>
      <c r="J1591" t="s">
        <v>5737</v>
      </c>
      <c r="K1591">
        <v>90</v>
      </c>
      <c r="L1591" t="str" cm="1">
        <f t="array" ref="L1591">_xlfn.IFS(
 K1591&lt;=50,"≤50",
 AND(K1591&gt;=51,K1591&lt;=100),"51–100",
 AND(K1591&gt;=101,K1591&lt;=250),"101–250",
 AND(K1591&gt;=251,K1591&lt;=500),"251–500",
 AND(K1591&gt;=501,K1591&lt;=1000),"501–1000",
 K1591&gt;=1001,"1001+"
)</f>
        <v>51–100</v>
      </c>
    </row>
    <row r="1592" spans="1:12" x14ac:dyDescent="0.3">
      <c r="A1592" t="s">
        <v>3026</v>
      </c>
      <c r="B1592" t="s">
        <v>9</v>
      </c>
      <c r="C1592" t="s">
        <v>5780</v>
      </c>
      <c r="D1592" t="s">
        <v>3027</v>
      </c>
      <c r="F1592" t="s">
        <v>5770</v>
      </c>
      <c r="J1592" t="s">
        <v>5751</v>
      </c>
      <c r="K1592">
        <v>90</v>
      </c>
      <c r="L1592" t="str" cm="1">
        <f t="array" ref="L1592">_xlfn.IFS(
 K1592&lt;=50,"≤50",
 AND(K1592&gt;=51,K1592&lt;=100),"51–100",
 AND(K1592&gt;=101,K1592&lt;=250),"101–250",
 AND(K1592&gt;=251,K1592&lt;=500),"251–500",
 AND(K1592&gt;=501,K1592&lt;=1000),"501–1000",
 K1592&gt;=1001,"1001+"
)</f>
        <v>51–100</v>
      </c>
    </row>
    <row r="1593" spans="1:12" x14ac:dyDescent="0.3">
      <c r="A1593" t="s">
        <v>3028</v>
      </c>
      <c r="B1593" t="s">
        <v>9</v>
      </c>
      <c r="C1593" t="s">
        <v>5780</v>
      </c>
      <c r="D1593" t="s">
        <v>3029</v>
      </c>
      <c r="F1593" t="s">
        <v>20</v>
      </c>
      <c r="G1593" t="s">
        <v>135</v>
      </c>
      <c r="J1593" t="s">
        <v>5752</v>
      </c>
      <c r="K1593">
        <v>90</v>
      </c>
      <c r="L1593" t="str" cm="1">
        <f t="array" ref="L1593">_xlfn.IFS(
 K1593&lt;=50,"≤50",
 AND(K1593&gt;=51,K1593&lt;=100),"51–100",
 AND(K1593&gt;=101,K1593&lt;=250),"101–250",
 AND(K1593&gt;=251,K1593&lt;=500),"251–500",
 AND(K1593&gt;=501,K1593&lt;=1000),"501–1000",
 K1593&gt;=1001,"1001+"
)</f>
        <v>51–100</v>
      </c>
    </row>
    <row r="1594" spans="1:12" x14ac:dyDescent="0.3">
      <c r="A1594" t="s">
        <v>3030</v>
      </c>
      <c r="B1594" t="s">
        <v>13</v>
      </c>
      <c r="C1594" t="s">
        <v>5777</v>
      </c>
      <c r="D1594" t="s">
        <v>3031</v>
      </c>
      <c r="F1594" t="s">
        <v>20</v>
      </c>
      <c r="G1594" t="s">
        <v>21</v>
      </c>
      <c r="J1594" t="s">
        <v>5750</v>
      </c>
      <c r="K1594">
        <v>90</v>
      </c>
      <c r="L1594" t="str" cm="1">
        <f t="array" ref="L1594">_xlfn.IFS(
 K1594&lt;=50,"≤50",
 AND(K1594&gt;=51,K1594&lt;=100),"51–100",
 AND(K1594&gt;=101,K1594&lt;=250),"101–250",
 AND(K1594&gt;=251,K1594&lt;=500),"251–500",
 AND(K1594&gt;=501,K1594&lt;=1000),"501–1000",
 K1594&gt;=1001,"1001+"
)</f>
        <v>51–100</v>
      </c>
    </row>
    <row r="1595" spans="1:12" x14ac:dyDescent="0.3">
      <c r="A1595" t="s">
        <v>3032</v>
      </c>
      <c r="B1595" t="s">
        <v>13</v>
      </c>
      <c r="C1595" t="s">
        <v>5777</v>
      </c>
      <c r="D1595" t="s">
        <v>3033</v>
      </c>
      <c r="E1595" t="s">
        <v>15</v>
      </c>
      <c r="F1595" t="s">
        <v>5770</v>
      </c>
      <c r="J1595" t="s">
        <v>5737</v>
      </c>
      <c r="K1595">
        <v>90</v>
      </c>
      <c r="L1595" t="str" cm="1">
        <f t="array" ref="L1595">_xlfn.IFS(
 K1595&lt;=50,"≤50",
 AND(K1595&gt;=51,K1595&lt;=100),"51–100",
 AND(K1595&gt;=101,K1595&lt;=250),"101–250",
 AND(K1595&gt;=251,K1595&lt;=500),"251–500",
 AND(K1595&gt;=501,K1595&lt;=1000),"501–1000",
 K1595&gt;=1001,"1001+"
)</f>
        <v>51–100</v>
      </c>
    </row>
    <row r="1596" spans="1:12" x14ac:dyDescent="0.3">
      <c r="A1596" t="s">
        <v>3034</v>
      </c>
      <c r="B1596" t="s">
        <v>9</v>
      </c>
      <c r="C1596" t="s">
        <v>5780</v>
      </c>
      <c r="D1596" t="s">
        <v>3035</v>
      </c>
      <c r="E1596" t="s">
        <v>15</v>
      </c>
      <c r="F1596" t="s">
        <v>20</v>
      </c>
      <c r="G1596" t="s">
        <v>3036</v>
      </c>
      <c r="J1596" t="s">
        <v>5744</v>
      </c>
      <c r="K1596">
        <v>90</v>
      </c>
      <c r="L1596" t="str" cm="1">
        <f t="array" ref="L1596">_xlfn.IFS(
 K1596&lt;=50,"≤50",
 AND(K1596&gt;=51,K1596&lt;=100),"51–100",
 AND(K1596&gt;=101,K1596&lt;=250),"101–250",
 AND(K1596&gt;=251,K1596&lt;=500),"251–500",
 AND(K1596&gt;=501,K1596&lt;=1000),"501–1000",
 K1596&gt;=1001,"1001+"
)</f>
        <v>51–100</v>
      </c>
    </row>
    <row r="1597" spans="1:12" x14ac:dyDescent="0.3">
      <c r="A1597" t="s">
        <v>3037</v>
      </c>
      <c r="B1597" t="s">
        <v>9</v>
      </c>
      <c r="C1597" t="s">
        <v>5780</v>
      </c>
      <c r="D1597" t="s">
        <v>3038</v>
      </c>
      <c r="E1597" t="s">
        <v>15</v>
      </c>
      <c r="F1597" t="s">
        <v>20</v>
      </c>
      <c r="G1597" t="s">
        <v>3039</v>
      </c>
      <c r="J1597" t="s">
        <v>5739</v>
      </c>
      <c r="K1597">
        <v>90</v>
      </c>
      <c r="L1597" t="str" cm="1">
        <f t="array" ref="L1597">_xlfn.IFS(
 K1597&lt;=50,"≤50",
 AND(K1597&gt;=51,K1597&lt;=100),"51–100",
 AND(K1597&gt;=101,K1597&lt;=250),"101–250",
 AND(K1597&gt;=251,K1597&lt;=500),"251–500",
 AND(K1597&gt;=501,K1597&lt;=1000),"501–1000",
 K1597&gt;=1001,"1001+"
)</f>
        <v>51–100</v>
      </c>
    </row>
    <row r="1598" spans="1:12" x14ac:dyDescent="0.3">
      <c r="A1598" t="s">
        <v>3040</v>
      </c>
      <c r="B1598" t="s">
        <v>9</v>
      </c>
      <c r="C1598" t="s">
        <v>5780</v>
      </c>
      <c r="D1598" t="s">
        <v>28</v>
      </c>
      <c r="F1598" t="s">
        <v>20</v>
      </c>
      <c r="G1598" t="s">
        <v>21</v>
      </c>
      <c r="J1598" t="s">
        <v>5758</v>
      </c>
      <c r="K1598">
        <v>90</v>
      </c>
      <c r="L1598" t="str" cm="1">
        <f t="array" ref="L1598">_xlfn.IFS(
 K1598&lt;=50,"≤50",
 AND(K1598&gt;=51,K1598&lt;=100),"51–100",
 AND(K1598&gt;=101,K1598&lt;=250),"101–250",
 AND(K1598&gt;=251,K1598&lt;=500),"251–500",
 AND(K1598&gt;=501,K1598&lt;=1000),"501–1000",
 K1598&gt;=1001,"1001+"
)</f>
        <v>51–100</v>
      </c>
    </row>
    <row r="1599" spans="1:12" x14ac:dyDescent="0.3">
      <c r="A1599" t="s">
        <v>3041</v>
      </c>
      <c r="B1599" t="s">
        <v>9</v>
      </c>
      <c r="C1599" t="s">
        <v>5780</v>
      </c>
      <c r="D1599" t="s">
        <v>3042</v>
      </c>
      <c r="E1599" t="s">
        <v>15</v>
      </c>
      <c r="F1599" t="s">
        <v>5770</v>
      </c>
      <c r="J1599" t="s">
        <v>5754</v>
      </c>
      <c r="K1599">
        <v>90</v>
      </c>
      <c r="L1599" t="str" cm="1">
        <f t="array" ref="L1599">_xlfn.IFS(
 K1599&lt;=50,"≤50",
 AND(K1599&gt;=51,K1599&lt;=100),"51–100",
 AND(K1599&gt;=101,K1599&lt;=250),"101–250",
 AND(K1599&gt;=251,K1599&lt;=500),"251–500",
 AND(K1599&gt;=501,K1599&lt;=1000),"501–1000",
 K1599&gt;=1001,"1001+"
)</f>
        <v>51–100</v>
      </c>
    </row>
    <row r="1600" spans="1:12" x14ac:dyDescent="0.3">
      <c r="A1600" t="s">
        <v>3043</v>
      </c>
      <c r="B1600" t="s">
        <v>9</v>
      </c>
      <c r="C1600" t="s">
        <v>5780</v>
      </c>
      <c r="D1600" t="s">
        <v>3044</v>
      </c>
      <c r="E1600" t="s">
        <v>15</v>
      </c>
      <c r="F1600" t="s">
        <v>16</v>
      </c>
      <c r="G1600" t="s">
        <v>138</v>
      </c>
      <c r="J1600" t="s">
        <v>5737</v>
      </c>
      <c r="K1600">
        <v>90</v>
      </c>
      <c r="L1600" t="str" cm="1">
        <f t="array" ref="L1600">_xlfn.IFS(
 K1600&lt;=50,"≤50",
 AND(K1600&gt;=51,K1600&lt;=100),"51–100",
 AND(K1600&gt;=101,K1600&lt;=250),"101–250",
 AND(K1600&gt;=251,K1600&lt;=500),"251–500",
 AND(K1600&gt;=501,K1600&lt;=1000),"501–1000",
 K1600&gt;=1001,"1001+"
)</f>
        <v>51–100</v>
      </c>
    </row>
    <row r="1601" spans="1:12" x14ac:dyDescent="0.3">
      <c r="A1601" t="s">
        <v>3045</v>
      </c>
      <c r="B1601" t="s">
        <v>13</v>
      </c>
      <c r="C1601" t="s">
        <v>5777</v>
      </c>
      <c r="D1601" t="s">
        <v>3046</v>
      </c>
      <c r="E1601" t="s">
        <v>15</v>
      </c>
      <c r="F1601" t="s">
        <v>54</v>
      </c>
      <c r="G1601" t="s">
        <v>3047</v>
      </c>
      <c r="J1601" t="s">
        <v>5742</v>
      </c>
      <c r="K1601">
        <v>90</v>
      </c>
      <c r="L1601" t="str" cm="1">
        <f t="array" ref="L1601">_xlfn.IFS(
 K1601&lt;=50,"≤50",
 AND(K1601&gt;=51,K1601&lt;=100),"51–100",
 AND(K1601&gt;=101,K1601&lt;=250),"101–250",
 AND(K1601&gt;=251,K1601&lt;=500),"251–500",
 AND(K1601&gt;=501,K1601&lt;=1000),"501–1000",
 K1601&gt;=1001,"1001+"
)</f>
        <v>51–100</v>
      </c>
    </row>
    <row r="1602" spans="1:12" x14ac:dyDescent="0.3">
      <c r="A1602" t="s">
        <v>3048</v>
      </c>
      <c r="B1602" t="s">
        <v>13</v>
      </c>
      <c r="C1602" t="s">
        <v>5777</v>
      </c>
      <c r="D1602" t="s">
        <v>112</v>
      </c>
      <c r="E1602" t="s">
        <v>15</v>
      </c>
      <c r="F1602" t="s">
        <v>54</v>
      </c>
      <c r="G1602" t="s">
        <v>588</v>
      </c>
      <c r="J1602" t="s">
        <v>5737</v>
      </c>
      <c r="K1602">
        <v>90</v>
      </c>
      <c r="L1602" t="str" cm="1">
        <f t="array" ref="L1602">_xlfn.IFS(
 K1602&lt;=50,"≤50",
 AND(K1602&gt;=51,K1602&lt;=100),"51–100",
 AND(K1602&gt;=101,K1602&lt;=250),"101–250",
 AND(K1602&gt;=251,K1602&lt;=500),"251–500",
 AND(K1602&gt;=501,K1602&lt;=1000),"501–1000",
 K1602&gt;=1001,"1001+"
)</f>
        <v>51–100</v>
      </c>
    </row>
    <row r="1603" spans="1:12" x14ac:dyDescent="0.3">
      <c r="A1603" t="s">
        <v>3049</v>
      </c>
      <c r="B1603" t="s">
        <v>9</v>
      </c>
      <c r="C1603" t="s">
        <v>5780</v>
      </c>
      <c r="D1603" t="s">
        <v>3050</v>
      </c>
      <c r="F1603" t="s">
        <v>5770</v>
      </c>
      <c r="J1603" t="s">
        <v>5737</v>
      </c>
      <c r="K1603">
        <v>90</v>
      </c>
      <c r="L1603" t="str" cm="1">
        <f t="array" ref="L1603">_xlfn.IFS(
 K1603&lt;=50,"≤50",
 AND(K1603&gt;=51,K1603&lt;=100),"51–100",
 AND(K1603&gt;=101,K1603&lt;=250),"101–250",
 AND(K1603&gt;=251,K1603&lt;=500),"251–500",
 AND(K1603&gt;=501,K1603&lt;=1000),"501–1000",
 K1603&gt;=1001,"1001+"
)</f>
        <v>51–100</v>
      </c>
    </row>
    <row r="1604" spans="1:12" x14ac:dyDescent="0.3">
      <c r="A1604" t="s">
        <v>3051</v>
      </c>
      <c r="B1604" t="s">
        <v>13</v>
      </c>
      <c r="C1604" t="s">
        <v>5777</v>
      </c>
      <c r="D1604" t="s">
        <v>3052</v>
      </c>
      <c r="E1604" t="s">
        <v>15</v>
      </c>
      <c r="F1604" t="s">
        <v>5770</v>
      </c>
      <c r="J1604" t="s">
        <v>5739</v>
      </c>
      <c r="K1604">
        <v>90</v>
      </c>
      <c r="L1604" t="str" cm="1">
        <f t="array" ref="L1604">_xlfn.IFS(
 K1604&lt;=50,"≤50",
 AND(K1604&gt;=51,K1604&lt;=100),"51–100",
 AND(K1604&gt;=101,K1604&lt;=250),"101–250",
 AND(K1604&gt;=251,K1604&lt;=500),"251–500",
 AND(K1604&gt;=501,K1604&lt;=1000),"501–1000",
 K1604&gt;=1001,"1001+"
)</f>
        <v>51–100</v>
      </c>
    </row>
    <row r="1605" spans="1:12" x14ac:dyDescent="0.3">
      <c r="A1605" t="s">
        <v>3053</v>
      </c>
      <c r="B1605" t="s">
        <v>9</v>
      </c>
      <c r="C1605" t="s">
        <v>5780</v>
      </c>
      <c r="D1605" t="s">
        <v>3054</v>
      </c>
      <c r="E1605" t="s">
        <v>15</v>
      </c>
      <c r="F1605" t="s">
        <v>54</v>
      </c>
      <c r="G1605" t="s">
        <v>3055</v>
      </c>
      <c r="J1605" t="s">
        <v>5753</v>
      </c>
      <c r="K1605">
        <v>90</v>
      </c>
      <c r="L1605" t="str" cm="1">
        <f t="array" ref="L1605">_xlfn.IFS(
 K1605&lt;=50,"≤50",
 AND(K1605&gt;=51,K1605&lt;=100),"51–100",
 AND(K1605&gt;=101,K1605&lt;=250),"101–250",
 AND(K1605&gt;=251,K1605&lt;=500),"251–500",
 AND(K1605&gt;=501,K1605&lt;=1000),"501–1000",
 K1605&gt;=1001,"1001+"
)</f>
        <v>51–100</v>
      </c>
    </row>
    <row r="1606" spans="1:12" x14ac:dyDescent="0.3">
      <c r="A1606" t="s">
        <v>3056</v>
      </c>
      <c r="B1606" t="s">
        <v>9</v>
      </c>
      <c r="C1606" t="s">
        <v>5780</v>
      </c>
      <c r="D1606" t="s">
        <v>3057</v>
      </c>
      <c r="E1606" t="s">
        <v>15</v>
      </c>
      <c r="F1606" t="s">
        <v>16</v>
      </c>
      <c r="G1606" t="s">
        <v>3058</v>
      </c>
      <c r="J1606" t="s">
        <v>5738</v>
      </c>
      <c r="K1606">
        <v>90</v>
      </c>
      <c r="L1606" t="str" cm="1">
        <f t="array" ref="L1606">_xlfn.IFS(
 K1606&lt;=50,"≤50",
 AND(K1606&gt;=51,K1606&lt;=100),"51–100",
 AND(K1606&gt;=101,K1606&lt;=250),"101–250",
 AND(K1606&gt;=251,K1606&lt;=500),"251–500",
 AND(K1606&gt;=501,K1606&lt;=1000),"501–1000",
 K1606&gt;=1001,"1001+"
)</f>
        <v>51–100</v>
      </c>
    </row>
    <row r="1607" spans="1:12" x14ac:dyDescent="0.3">
      <c r="A1607" t="s">
        <v>3059</v>
      </c>
      <c r="B1607" t="s">
        <v>11</v>
      </c>
      <c r="C1607" t="s">
        <v>5776</v>
      </c>
      <c r="F1607" t="s">
        <v>5770</v>
      </c>
      <c r="J1607" t="s">
        <v>5737</v>
      </c>
      <c r="K1607">
        <v>90</v>
      </c>
      <c r="L1607" t="str" cm="1">
        <f t="array" ref="L1607">_xlfn.IFS(
 K1607&lt;=50,"≤50",
 AND(K1607&gt;=51,K1607&lt;=100),"51–100",
 AND(K1607&gt;=101,K1607&lt;=250),"101–250",
 AND(K1607&gt;=251,K1607&lt;=500),"251–500",
 AND(K1607&gt;=501,K1607&lt;=1000),"501–1000",
 K1607&gt;=1001,"1001+"
)</f>
        <v>51–100</v>
      </c>
    </row>
    <row r="1608" spans="1:12" x14ac:dyDescent="0.3">
      <c r="A1608" t="s">
        <v>3060</v>
      </c>
      <c r="B1608" t="s">
        <v>9</v>
      </c>
      <c r="C1608" t="s">
        <v>5780</v>
      </c>
      <c r="D1608" t="s">
        <v>3061</v>
      </c>
      <c r="F1608" t="s">
        <v>5770</v>
      </c>
      <c r="J1608" t="s">
        <v>5761</v>
      </c>
      <c r="K1608">
        <v>90</v>
      </c>
      <c r="L1608" t="str" cm="1">
        <f t="array" ref="L1608">_xlfn.IFS(
 K1608&lt;=50,"≤50",
 AND(K1608&gt;=51,K1608&lt;=100),"51–100",
 AND(K1608&gt;=101,K1608&lt;=250),"101–250",
 AND(K1608&gt;=251,K1608&lt;=500),"251–500",
 AND(K1608&gt;=501,K1608&lt;=1000),"501–1000",
 K1608&gt;=1001,"1001+"
)</f>
        <v>51–100</v>
      </c>
    </row>
    <row r="1609" spans="1:12" x14ac:dyDescent="0.3">
      <c r="A1609" t="s">
        <v>3062</v>
      </c>
      <c r="B1609" t="s">
        <v>9</v>
      </c>
      <c r="C1609" t="s">
        <v>5780</v>
      </c>
      <c r="D1609" t="s">
        <v>3063</v>
      </c>
      <c r="E1609" t="s">
        <v>15</v>
      </c>
      <c r="F1609" t="s">
        <v>54</v>
      </c>
      <c r="G1609" t="s">
        <v>3064</v>
      </c>
      <c r="J1609" t="s">
        <v>5742</v>
      </c>
      <c r="K1609">
        <v>90</v>
      </c>
      <c r="L1609" t="str" cm="1">
        <f t="array" ref="L1609">_xlfn.IFS(
 K1609&lt;=50,"≤50",
 AND(K1609&gt;=51,K1609&lt;=100),"51–100",
 AND(K1609&gt;=101,K1609&lt;=250),"101–250",
 AND(K1609&gt;=251,K1609&lt;=500),"251–500",
 AND(K1609&gt;=501,K1609&lt;=1000),"501–1000",
 K1609&gt;=1001,"1001+"
)</f>
        <v>51–100</v>
      </c>
    </row>
    <row r="1610" spans="1:12" x14ac:dyDescent="0.3">
      <c r="A1610" t="s">
        <v>3065</v>
      </c>
      <c r="B1610" t="s">
        <v>13</v>
      </c>
      <c r="C1610" t="s">
        <v>5777</v>
      </c>
      <c r="D1610" t="s">
        <v>3066</v>
      </c>
      <c r="E1610" t="s">
        <v>15</v>
      </c>
      <c r="F1610" t="s">
        <v>54</v>
      </c>
      <c r="G1610" t="s">
        <v>3067</v>
      </c>
      <c r="J1610" t="s">
        <v>5737</v>
      </c>
      <c r="K1610">
        <v>90</v>
      </c>
      <c r="L1610" t="str" cm="1">
        <f t="array" ref="L1610">_xlfn.IFS(
 K1610&lt;=50,"≤50",
 AND(K1610&gt;=51,K1610&lt;=100),"51–100",
 AND(K1610&gt;=101,K1610&lt;=250),"101–250",
 AND(K1610&gt;=251,K1610&lt;=500),"251–500",
 AND(K1610&gt;=501,K1610&lt;=1000),"501–1000",
 K1610&gt;=1001,"1001+"
)</f>
        <v>51–100</v>
      </c>
    </row>
    <row r="1611" spans="1:12" x14ac:dyDescent="0.3">
      <c r="A1611" t="s">
        <v>3068</v>
      </c>
      <c r="B1611" t="s">
        <v>9</v>
      </c>
      <c r="C1611" t="s">
        <v>5780</v>
      </c>
      <c r="D1611" t="s">
        <v>28</v>
      </c>
      <c r="E1611" t="s">
        <v>15</v>
      </c>
      <c r="F1611" t="s">
        <v>5770</v>
      </c>
      <c r="J1611" t="s">
        <v>5744</v>
      </c>
      <c r="K1611">
        <v>90</v>
      </c>
      <c r="L1611" t="str" cm="1">
        <f t="array" ref="L1611">_xlfn.IFS(
 K1611&lt;=50,"≤50",
 AND(K1611&gt;=51,K1611&lt;=100),"51–100",
 AND(K1611&gt;=101,K1611&lt;=250),"101–250",
 AND(K1611&gt;=251,K1611&lt;=500),"251–500",
 AND(K1611&gt;=501,K1611&lt;=1000),"501–1000",
 K1611&gt;=1001,"1001+"
)</f>
        <v>51–100</v>
      </c>
    </row>
    <row r="1612" spans="1:12" x14ac:dyDescent="0.3">
      <c r="A1612" t="s">
        <v>3069</v>
      </c>
      <c r="B1612" t="s">
        <v>9</v>
      </c>
      <c r="C1612" t="s">
        <v>5780</v>
      </c>
      <c r="D1612" t="s">
        <v>28</v>
      </c>
      <c r="F1612" t="s">
        <v>5770</v>
      </c>
      <c r="J1612" t="s">
        <v>5762</v>
      </c>
      <c r="K1612">
        <v>90</v>
      </c>
      <c r="L1612" t="str" cm="1">
        <f t="array" ref="L1612">_xlfn.IFS(
 K1612&lt;=50,"≤50",
 AND(K1612&gt;=51,K1612&lt;=100),"51–100",
 AND(K1612&gt;=101,K1612&lt;=250),"101–250",
 AND(K1612&gt;=251,K1612&lt;=500),"251–500",
 AND(K1612&gt;=501,K1612&lt;=1000),"501–1000",
 K1612&gt;=1001,"1001+"
)</f>
        <v>51–100</v>
      </c>
    </row>
    <row r="1613" spans="1:12" x14ac:dyDescent="0.3">
      <c r="A1613" t="s">
        <v>3070</v>
      </c>
      <c r="B1613" t="s">
        <v>13</v>
      </c>
      <c r="C1613" t="s">
        <v>5777</v>
      </c>
      <c r="D1613" t="s">
        <v>245</v>
      </c>
      <c r="E1613" t="s">
        <v>15</v>
      </c>
      <c r="F1613" t="s">
        <v>5770</v>
      </c>
      <c r="J1613" t="s">
        <v>5754</v>
      </c>
      <c r="K1613">
        <v>90</v>
      </c>
      <c r="L1613" t="str" cm="1">
        <f t="array" ref="L1613">_xlfn.IFS(
 K1613&lt;=50,"≤50",
 AND(K1613&gt;=51,K1613&lt;=100),"51–100",
 AND(K1613&gt;=101,K1613&lt;=250),"101–250",
 AND(K1613&gt;=251,K1613&lt;=500),"251–500",
 AND(K1613&gt;=501,K1613&lt;=1000),"501–1000",
 K1613&gt;=1001,"1001+"
)</f>
        <v>51–100</v>
      </c>
    </row>
    <row r="1614" spans="1:12" x14ac:dyDescent="0.3">
      <c r="A1614" t="s">
        <v>3071</v>
      </c>
      <c r="B1614" t="s">
        <v>13</v>
      </c>
      <c r="C1614" t="s">
        <v>5777</v>
      </c>
      <c r="D1614" t="s">
        <v>3072</v>
      </c>
      <c r="E1614" t="s">
        <v>15</v>
      </c>
      <c r="F1614" t="s">
        <v>54</v>
      </c>
      <c r="G1614" t="s">
        <v>2369</v>
      </c>
      <c r="J1614" t="s">
        <v>5737</v>
      </c>
      <c r="K1614">
        <v>90</v>
      </c>
      <c r="L1614" t="str" cm="1">
        <f t="array" ref="L1614">_xlfn.IFS(
 K1614&lt;=50,"≤50",
 AND(K1614&gt;=51,K1614&lt;=100),"51–100",
 AND(K1614&gt;=101,K1614&lt;=250),"101–250",
 AND(K1614&gt;=251,K1614&lt;=500),"251–500",
 AND(K1614&gt;=501,K1614&lt;=1000),"501–1000",
 K1614&gt;=1001,"1001+"
)</f>
        <v>51–100</v>
      </c>
    </row>
    <row r="1615" spans="1:12" x14ac:dyDescent="0.3">
      <c r="A1615" t="s">
        <v>3073</v>
      </c>
      <c r="B1615" t="s">
        <v>9</v>
      </c>
      <c r="C1615" t="s">
        <v>5780</v>
      </c>
      <c r="D1615" t="s">
        <v>3074</v>
      </c>
      <c r="E1615" t="s">
        <v>15</v>
      </c>
      <c r="F1615" t="s">
        <v>54</v>
      </c>
      <c r="G1615" t="s">
        <v>3075</v>
      </c>
      <c r="J1615" t="s">
        <v>5747</v>
      </c>
      <c r="K1615">
        <v>90</v>
      </c>
      <c r="L1615" t="str" cm="1">
        <f t="array" ref="L1615">_xlfn.IFS(
 K1615&lt;=50,"≤50",
 AND(K1615&gt;=51,K1615&lt;=100),"51–100",
 AND(K1615&gt;=101,K1615&lt;=250),"101–250",
 AND(K1615&gt;=251,K1615&lt;=500),"251–500",
 AND(K1615&gt;=501,K1615&lt;=1000),"501–1000",
 K1615&gt;=1001,"1001+"
)</f>
        <v>51–100</v>
      </c>
    </row>
    <row r="1616" spans="1:12" x14ac:dyDescent="0.3">
      <c r="A1616" t="s">
        <v>3076</v>
      </c>
      <c r="B1616" t="s">
        <v>9</v>
      </c>
      <c r="C1616" t="s">
        <v>5780</v>
      </c>
      <c r="D1616" t="s">
        <v>3077</v>
      </c>
      <c r="F1616" t="s">
        <v>5770</v>
      </c>
      <c r="J1616" t="s">
        <v>5737</v>
      </c>
      <c r="K1616">
        <v>90</v>
      </c>
      <c r="L1616" t="str" cm="1">
        <f t="array" ref="L1616">_xlfn.IFS(
 K1616&lt;=50,"≤50",
 AND(K1616&gt;=51,K1616&lt;=100),"51–100",
 AND(K1616&gt;=101,K1616&lt;=250),"101–250",
 AND(K1616&gt;=251,K1616&lt;=500),"251–500",
 AND(K1616&gt;=501,K1616&lt;=1000),"501–1000",
 K1616&gt;=1001,"1001+"
)</f>
        <v>51–100</v>
      </c>
    </row>
    <row r="1617" spans="1:12" x14ac:dyDescent="0.3">
      <c r="A1617" t="s">
        <v>3078</v>
      </c>
      <c r="B1617" t="s">
        <v>9</v>
      </c>
      <c r="C1617" t="s">
        <v>5780</v>
      </c>
      <c r="D1617" t="s">
        <v>3079</v>
      </c>
      <c r="E1617" t="s">
        <v>15</v>
      </c>
      <c r="F1617" t="s">
        <v>16</v>
      </c>
      <c r="G1617" t="s">
        <v>138</v>
      </c>
      <c r="J1617" t="s">
        <v>5737</v>
      </c>
      <c r="K1617">
        <v>90</v>
      </c>
      <c r="L1617" t="str" cm="1">
        <f t="array" ref="L1617">_xlfn.IFS(
 K1617&lt;=50,"≤50",
 AND(K1617&gt;=51,K1617&lt;=100),"51–100",
 AND(K1617&gt;=101,K1617&lt;=250),"101–250",
 AND(K1617&gt;=251,K1617&lt;=500),"251–500",
 AND(K1617&gt;=501,K1617&lt;=1000),"501–1000",
 K1617&gt;=1001,"1001+"
)</f>
        <v>51–100</v>
      </c>
    </row>
    <row r="1618" spans="1:12" x14ac:dyDescent="0.3">
      <c r="A1618" t="s">
        <v>3080</v>
      </c>
      <c r="B1618" t="s">
        <v>11</v>
      </c>
      <c r="C1618" t="s">
        <v>5776</v>
      </c>
      <c r="E1618" t="s">
        <v>15</v>
      </c>
      <c r="F1618" t="s">
        <v>5770</v>
      </c>
      <c r="J1618" t="s">
        <v>5737</v>
      </c>
      <c r="K1618">
        <v>90</v>
      </c>
      <c r="L1618" t="str" cm="1">
        <f t="array" ref="L1618">_xlfn.IFS(
 K1618&lt;=50,"≤50",
 AND(K1618&gt;=51,K1618&lt;=100),"51–100",
 AND(K1618&gt;=101,K1618&lt;=250),"101–250",
 AND(K1618&gt;=251,K1618&lt;=500),"251–500",
 AND(K1618&gt;=501,K1618&lt;=1000),"501–1000",
 K1618&gt;=1001,"1001+"
)</f>
        <v>51–100</v>
      </c>
    </row>
    <row r="1619" spans="1:12" x14ac:dyDescent="0.3">
      <c r="A1619" t="s">
        <v>3081</v>
      </c>
      <c r="B1619" t="s">
        <v>9</v>
      </c>
      <c r="C1619" t="s">
        <v>5780</v>
      </c>
      <c r="D1619" t="s">
        <v>3082</v>
      </c>
      <c r="E1619" t="s">
        <v>15</v>
      </c>
      <c r="F1619" t="s">
        <v>20</v>
      </c>
      <c r="G1619" t="s">
        <v>3083</v>
      </c>
      <c r="J1619" t="s">
        <v>5751</v>
      </c>
      <c r="K1619">
        <v>90</v>
      </c>
      <c r="L1619" t="str" cm="1">
        <f t="array" ref="L1619">_xlfn.IFS(
 K1619&lt;=50,"≤50",
 AND(K1619&gt;=51,K1619&lt;=100),"51–100",
 AND(K1619&gt;=101,K1619&lt;=250),"101–250",
 AND(K1619&gt;=251,K1619&lt;=500),"251–500",
 AND(K1619&gt;=501,K1619&lt;=1000),"501–1000",
 K1619&gt;=1001,"1001+"
)</f>
        <v>51–100</v>
      </c>
    </row>
    <row r="1620" spans="1:12" x14ac:dyDescent="0.3">
      <c r="A1620" t="s">
        <v>3084</v>
      </c>
      <c r="B1620" t="s">
        <v>9</v>
      </c>
      <c r="C1620" t="s">
        <v>5780</v>
      </c>
      <c r="D1620" t="s">
        <v>3085</v>
      </c>
      <c r="E1620" t="s">
        <v>15</v>
      </c>
      <c r="F1620" t="s">
        <v>16</v>
      </c>
      <c r="G1620" t="s">
        <v>3086</v>
      </c>
      <c r="J1620" t="s">
        <v>5738</v>
      </c>
      <c r="K1620">
        <v>90</v>
      </c>
      <c r="L1620" t="str" cm="1">
        <f t="array" ref="L1620">_xlfn.IFS(
 K1620&lt;=50,"≤50",
 AND(K1620&gt;=51,K1620&lt;=100),"51–100",
 AND(K1620&gt;=101,K1620&lt;=250),"101–250",
 AND(K1620&gt;=251,K1620&lt;=500),"251–500",
 AND(K1620&gt;=501,K1620&lt;=1000),"501–1000",
 K1620&gt;=1001,"1001+"
)</f>
        <v>51–100</v>
      </c>
    </row>
    <row r="1621" spans="1:12" x14ac:dyDescent="0.3">
      <c r="A1621" t="s">
        <v>3087</v>
      </c>
      <c r="B1621" t="s">
        <v>9</v>
      </c>
      <c r="C1621" t="s">
        <v>5780</v>
      </c>
      <c r="D1621" t="s">
        <v>3088</v>
      </c>
      <c r="E1621" t="s">
        <v>15</v>
      </c>
      <c r="F1621" t="s">
        <v>16</v>
      </c>
      <c r="G1621" t="s">
        <v>3089</v>
      </c>
      <c r="J1621" t="s">
        <v>5740</v>
      </c>
      <c r="K1621">
        <v>90</v>
      </c>
      <c r="L1621" t="str" cm="1">
        <f t="array" ref="L1621">_xlfn.IFS(
 K1621&lt;=50,"≤50",
 AND(K1621&gt;=51,K1621&lt;=100),"51–100",
 AND(K1621&gt;=101,K1621&lt;=250),"101–250",
 AND(K1621&gt;=251,K1621&lt;=500),"251–500",
 AND(K1621&gt;=501,K1621&lt;=1000),"501–1000",
 K1621&gt;=1001,"1001+"
)</f>
        <v>51–100</v>
      </c>
    </row>
    <row r="1622" spans="1:12" x14ac:dyDescent="0.3">
      <c r="A1622" t="s">
        <v>3090</v>
      </c>
      <c r="B1622" t="s">
        <v>9</v>
      </c>
      <c r="C1622" t="s">
        <v>5780</v>
      </c>
      <c r="D1622" t="s">
        <v>28</v>
      </c>
      <c r="F1622" t="s">
        <v>5770</v>
      </c>
      <c r="J1622" t="s">
        <v>5738</v>
      </c>
      <c r="K1622">
        <v>90</v>
      </c>
      <c r="L1622" t="str" cm="1">
        <f t="array" ref="L1622">_xlfn.IFS(
 K1622&lt;=50,"≤50",
 AND(K1622&gt;=51,K1622&lt;=100),"51–100",
 AND(K1622&gt;=101,K1622&lt;=250),"101–250",
 AND(K1622&gt;=251,K1622&lt;=500),"251–500",
 AND(K1622&gt;=501,K1622&lt;=1000),"501–1000",
 K1622&gt;=1001,"1001+"
)</f>
        <v>51–100</v>
      </c>
    </row>
    <row r="1623" spans="1:12" x14ac:dyDescent="0.3">
      <c r="A1623" t="s">
        <v>3091</v>
      </c>
      <c r="B1623" t="s">
        <v>13</v>
      </c>
      <c r="C1623" t="s">
        <v>5777</v>
      </c>
      <c r="D1623" t="s">
        <v>3092</v>
      </c>
      <c r="E1623" t="s">
        <v>15</v>
      </c>
      <c r="F1623" t="s">
        <v>54</v>
      </c>
      <c r="G1623" t="s">
        <v>588</v>
      </c>
      <c r="J1623" t="s">
        <v>5737</v>
      </c>
      <c r="K1623">
        <v>90</v>
      </c>
      <c r="L1623" t="str" cm="1">
        <f t="array" ref="L1623">_xlfn.IFS(
 K1623&lt;=50,"≤50",
 AND(K1623&gt;=51,K1623&lt;=100),"51–100",
 AND(K1623&gt;=101,K1623&lt;=250),"101–250",
 AND(K1623&gt;=251,K1623&lt;=500),"251–500",
 AND(K1623&gt;=501,K1623&lt;=1000),"501–1000",
 K1623&gt;=1001,"1001+"
)</f>
        <v>51–100</v>
      </c>
    </row>
    <row r="1624" spans="1:12" x14ac:dyDescent="0.3">
      <c r="A1624" t="s">
        <v>3093</v>
      </c>
      <c r="B1624" t="s">
        <v>9</v>
      </c>
      <c r="C1624" t="s">
        <v>5780</v>
      </c>
      <c r="D1624" t="s">
        <v>28</v>
      </c>
      <c r="F1624" t="s">
        <v>20</v>
      </c>
      <c r="G1624" t="s">
        <v>21</v>
      </c>
      <c r="J1624" t="s">
        <v>5743</v>
      </c>
      <c r="K1624">
        <v>90</v>
      </c>
      <c r="L1624" t="str" cm="1">
        <f t="array" ref="L1624">_xlfn.IFS(
 K1624&lt;=50,"≤50",
 AND(K1624&gt;=51,K1624&lt;=100),"51–100",
 AND(K1624&gt;=101,K1624&lt;=250),"101–250",
 AND(K1624&gt;=251,K1624&lt;=500),"251–500",
 AND(K1624&gt;=501,K1624&lt;=1000),"501–1000",
 K1624&gt;=1001,"1001+"
)</f>
        <v>51–100</v>
      </c>
    </row>
    <row r="1625" spans="1:12" x14ac:dyDescent="0.3">
      <c r="A1625" t="s">
        <v>3094</v>
      </c>
      <c r="B1625" t="s">
        <v>197</v>
      </c>
      <c r="C1625" t="s">
        <v>5774</v>
      </c>
      <c r="D1625" t="s">
        <v>3095</v>
      </c>
      <c r="E1625" t="s">
        <v>15</v>
      </c>
      <c r="F1625" t="s">
        <v>54</v>
      </c>
      <c r="G1625" t="s">
        <v>3096</v>
      </c>
      <c r="J1625" t="s">
        <v>5737</v>
      </c>
      <c r="K1625">
        <v>90</v>
      </c>
      <c r="L1625" t="str" cm="1">
        <f t="array" ref="L1625">_xlfn.IFS(
 K1625&lt;=50,"≤50",
 AND(K1625&gt;=51,K1625&lt;=100),"51–100",
 AND(K1625&gt;=101,K1625&lt;=250),"101–250",
 AND(K1625&gt;=251,K1625&lt;=500),"251–500",
 AND(K1625&gt;=501,K1625&lt;=1000),"501–1000",
 K1625&gt;=1001,"1001+"
)</f>
        <v>51–100</v>
      </c>
    </row>
    <row r="1626" spans="1:12" x14ac:dyDescent="0.3">
      <c r="A1626" t="s">
        <v>3097</v>
      </c>
      <c r="B1626" t="s">
        <v>11</v>
      </c>
      <c r="C1626" t="s">
        <v>5776</v>
      </c>
      <c r="F1626" t="s">
        <v>5770</v>
      </c>
      <c r="J1626" t="s">
        <v>5737</v>
      </c>
      <c r="K1626">
        <v>90</v>
      </c>
      <c r="L1626" t="str" cm="1">
        <f t="array" ref="L1626">_xlfn.IFS(
 K1626&lt;=50,"≤50",
 AND(K1626&gt;=51,K1626&lt;=100),"51–100",
 AND(K1626&gt;=101,K1626&lt;=250),"101–250",
 AND(K1626&gt;=251,K1626&lt;=500),"251–500",
 AND(K1626&gt;=501,K1626&lt;=1000),"501–1000",
 K1626&gt;=1001,"1001+"
)</f>
        <v>51–100</v>
      </c>
    </row>
    <row r="1627" spans="1:12" x14ac:dyDescent="0.3">
      <c r="A1627" t="s">
        <v>3098</v>
      </c>
      <c r="B1627" t="s">
        <v>197</v>
      </c>
      <c r="C1627" t="s">
        <v>5774</v>
      </c>
      <c r="D1627" t="s">
        <v>707</v>
      </c>
      <c r="F1627" t="s">
        <v>5770</v>
      </c>
      <c r="J1627" t="s">
        <v>5748</v>
      </c>
      <c r="K1627">
        <v>90</v>
      </c>
      <c r="L1627" t="str" cm="1">
        <f t="array" ref="L1627">_xlfn.IFS(
 K1627&lt;=50,"≤50",
 AND(K1627&gt;=51,K1627&lt;=100),"51–100",
 AND(K1627&gt;=101,K1627&lt;=250),"101–250",
 AND(K1627&gt;=251,K1627&lt;=500),"251–500",
 AND(K1627&gt;=501,K1627&lt;=1000),"501–1000",
 K1627&gt;=1001,"1001+"
)</f>
        <v>51–100</v>
      </c>
    </row>
    <row r="1628" spans="1:12" x14ac:dyDescent="0.3">
      <c r="A1628" t="s">
        <v>3099</v>
      </c>
      <c r="B1628" t="s">
        <v>9</v>
      </c>
      <c r="C1628" t="s">
        <v>5780</v>
      </c>
      <c r="D1628" t="s">
        <v>28</v>
      </c>
      <c r="F1628" t="s">
        <v>5770</v>
      </c>
      <c r="J1628" t="s">
        <v>5737</v>
      </c>
      <c r="K1628">
        <v>90</v>
      </c>
      <c r="L1628" t="str" cm="1">
        <f t="array" ref="L1628">_xlfn.IFS(
 K1628&lt;=50,"≤50",
 AND(K1628&gt;=51,K1628&lt;=100),"51–100",
 AND(K1628&gt;=101,K1628&lt;=250),"101–250",
 AND(K1628&gt;=251,K1628&lt;=500),"251–500",
 AND(K1628&gt;=501,K1628&lt;=1000),"501–1000",
 K1628&gt;=1001,"1001+"
)</f>
        <v>51–100</v>
      </c>
    </row>
    <row r="1629" spans="1:12" x14ac:dyDescent="0.3">
      <c r="A1629" t="s">
        <v>3100</v>
      </c>
      <c r="B1629" t="s">
        <v>11</v>
      </c>
      <c r="C1629" t="s">
        <v>5776</v>
      </c>
      <c r="F1629" t="s">
        <v>5770</v>
      </c>
      <c r="J1629" t="s">
        <v>5738</v>
      </c>
      <c r="K1629">
        <v>90</v>
      </c>
      <c r="L1629" t="str" cm="1">
        <f t="array" ref="L1629">_xlfn.IFS(
 K1629&lt;=50,"≤50",
 AND(K1629&gt;=51,K1629&lt;=100),"51–100",
 AND(K1629&gt;=101,K1629&lt;=250),"101–250",
 AND(K1629&gt;=251,K1629&lt;=500),"251–500",
 AND(K1629&gt;=501,K1629&lt;=1000),"501–1000",
 K1629&gt;=1001,"1001+"
)</f>
        <v>51–100</v>
      </c>
    </row>
    <row r="1630" spans="1:12" x14ac:dyDescent="0.3">
      <c r="A1630" t="s">
        <v>3101</v>
      </c>
      <c r="B1630" t="s">
        <v>9</v>
      </c>
      <c r="C1630" t="s">
        <v>5780</v>
      </c>
      <c r="D1630" t="s">
        <v>3102</v>
      </c>
      <c r="E1630" t="s">
        <v>15</v>
      </c>
      <c r="F1630" t="s">
        <v>5770</v>
      </c>
      <c r="J1630" t="s">
        <v>5744</v>
      </c>
      <c r="K1630">
        <v>90</v>
      </c>
      <c r="L1630" t="str" cm="1">
        <f t="array" ref="L1630">_xlfn.IFS(
 K1630&lt;=50,"≤50",
 AND(K1630&gt;=51,K1630&lt;=100),"51–100",
 AND(K1630&gt;=101,K1630&lt;=250),"101–250",
 AND(K1630&gt;=251,K1630&lt;=500),"251–500",
 AND(K1630&gt;=501,K1630&lt;=1000),"501–1000",
 K1630&gt;=1001,"1001+"
)</f>
        <v>51–100</v>
      </c>
    </row>
    <row r="1631" spans="1:12" x14ac:dyDescent="0.3">
      <c r="A1631" t="s">
        <v>3103</v>
      </c>
      <c r="B1631" t="s">
        <v>13</v>
      </c>
      <c r="C1631" t="s">
        <v>5777</v>
      </c>
      <c r="D1631" t="s">
        <v>112</v>
      </c>
      <c r="F1631" t="s">
        <v>54</v>
      </c>
      <c r="G1631" t="s">
        <v>588</v>
      </c>
      <c r="J1631" t="s">
        <v>5760</v>
      </c>
      <c r="K1631">
        <v>90</v>
      </c>
      <c r="L1631" t="str" cm="1">
        <f t="array" ref="L1631">_xlfn.IFS(
 K1631&lt;=50,"≤50",
 AND(K1631&gt;=51,K1631&lt;=100),"51–100",
 AND(K1631&gt;=101,K1631&lt;=250),"101–250",
 AND(K1631&gt;=251,K1631&lt;=500),"251–500",
 AND(K1631&gt;=501,K1631&lt;=1000),"501–1000",
 K1631&gt;=1001,"1001+"
)</f>
        <v>51–100</v>
      </c>
    </row>
    <row r="1632" spans="1:12" x14ac:dyDescent="0.3">
      <c r="A1632" t="s">
        <v>3104</v>
      </c>
      <c r="B1632" t="s">
        <v>417</v>
      </c>
      <c r="C1632" t="s">
        <v>5778</v>
      </c>
      <c r="D1632" t="s">
        <v>3105</v>
      </c>
      <c r="F1632" t="s">
        <v>5770</v>
      </c>
      <c r="J1632" t="s">
        <v>5762</v>
      </c>
      <c r="K1632">
        <v>90</v>
      </c>
      <c r="L1632" t="str" cm="1">
        <f t="array" ref="L1632">_xlfn.IFS(
 K1632&lt;=50,"≤50",
 AND(K1632&gt;=51,K1632&lt;=100),"51–100",
 AND(K1632&gt;=101,K1632&lt;=250),"101–250",
 AND(K1632&gt;=251,K1632&lt;=500),"251–500",
 AND(K1632&gt;=501,K1632&lt;=1000),"501–1000",
 K1632&gt;=1001,"1001+"
)</f>
        <v>51–100</v>
      </c>
    </row>
    <row r="1633" spans="1:12" x14ac:dyDescent="0.3">
      <c r="A1633" t="s">
        <v>3106</v>
      </c>
      <c r="B1633" t="s">
        <v>13</v>
      </c>
      <c r="C1633" t="s">
        <v>5777</v>
      </c>
      <c r="D1633" t="s">
        <v>3107</v>
      </c>
      <c r="E1633" t="s">
        <v>15</v>
      </c>
      <c r="F1633" t="s">
        <v>5770</v>
      </c>
      <c r="J1633" t="s">
        <v>5737</v>
      </c>
      <c r="K1633">
        <v>90</v>
      </c>
      <c r="L1633" t="str" cm="1">
        <f t="array" ref="L1633">_xlfn.IFS(
 K1633&lt;=50,"≤50",
 AND(K1633&gt;=51,K1633&lt;=100),"51–100",
 AND(K1633&gt;=101,K1633&lt;=250),"101–250",
 AND(K1633&gt;=251,K1633&lt;=500),"251–500",
 AND(K1633&gt;=501,K1633&lt;=1000),"501–1000",
 K1633&gt;=1001,"1001+"
)</f>
        <v>51–100</v>
      </c>
    </row>
    <row r="1634" spans="1:12" x14ac:dyDescent="0.3">
      <c r="A1634" t="s">
        <v>3108</v>
      </c>
      <c r="B1634" t="s">
        <v>9</v>
      </c>
      <c r="C1634" t="s">
        <v>5780</v>
      </c>
      <c r="D1634" t="s">
        <v>3109</v>
      </c>
      <c r="E1634" t="s">
        <v>15</v>
      </c>
      <c r="F1634" t="s">
        <v>20</v>
      </c>
      <c r="G1634" t="s">
        <v>3110</v>
      </c>
      <c r="J1634" t="s">
        <v>5761</v>
      </c>
      <c r="K1634">
        <v>90</v>
      </c>
      <c r="L1634" t="str" cm="1">
        <f t="array" ref="L1634">_xlfn.IFS(
 K1634&lt;=50,"≤50",
 AND(K1634&gt;=51,K1634&lt;=100),"51–100",
 AND(K1634&gt;=101,K1634&lt;=250),"101–250",
 AND(K1634&gt;=251,K1634&lt;=500),"251–500",
 AND(K1634&gt;=501,K1634&lt;=1000),"501–1000",
 K1634&gt;=1001,"1001+"
)</f>
        <v>51–100</v>
      </c>
    </row>
    <row r="1635" spans="1:12" x14ac:dyDescent="0.3">
      <c r="A1635" t="s">
        <v>3111</v>
      </c>
      <c r="B1635" t="s">
        <v>13</v>
      </c>
      <c r="C1635" t="s">
        <v>5777</v>
      </c>
      <c r="D1635" t="s">
        <v>3112</v>
      </c>
      <c r="E1635" t="s">
        <v>15</v>
      </c>
      <c r="F1635" t="s">
        <v>20</v>
      </c>
      <c r="G1635" t="s">
        <v>3113</v>
      </c>
      <c r="J1635" t="s">
        <v>5737</v>
      </c>
      <c r="K1635">
        <v>90</v>
      </c>
      <c r="L1635" t="str" cm="1">
        <f t="array" ref="L1635">_xlfn.IFS(
 K1635&lt;=50,"≤50",
 AND(K1635&gt;=51,K1635&lt;=100),"51–100",
 AND(K1635&gt;=101,K1635&lt;=250),"101–250",
 AND(K1635&gt;=251,K1635&lt;=500),"251–500",
 AND(K1635&gt;=501,K1635&lt;=1000),"501–1000",
 K1635&gt;=1001,"1001+"
)</f>
        <v>51–100</v>
      </c>
    </row>
    <row r="1636" spans="1:12" x14ac:dyDescent="0.3">
      <c r="A1636" t="s">
        <v>3114</v>
      </c>
      <c r="B1636" t="s">
        <v>13</v>
      </c>
      <c r="C1636" t="s">
        <v>5777</v>
      </c>
      <c r="D1636" t="s">
        <v>3115</v>
      </c>
      <c r="E1636" t="s">
        <v>15</v>
      </c>
      <c r="F1636" t="s">
        <v>20</v>
      </c>
      <c r="G1636" t="s">
        <v>135</v>
      </c>
      <c r="J1636" t="s">
        <v>5738</v>
      </c>
      <c r="K1636">
        <v>90</v>
      </c>
      <c r="L1636" t="str" cm="1">
        <f t="array" ref="L1636">_xlfn.IFS(
 K1636&lt;=50,"≤50",
 AND(K1636&gt;=51,K1636&lt;=100),"51–100",
 AND(K1636&gt;=101,K1636&lt;=250),"101–250",
 AND(K1636&gt;=251,K1636&lt;=500),"251–500",
 AND(K1636&gt;=501,K1636&lt;=1000),"501–1000",
 K1636&gt;=1001,"1001+"
)</f>
        <v>51–100</v>
      </c>
    </row>
    <row r="1637" spans="1:12" x14ac:dyDescent="0.3">
      <c r="A1637" t="s">
        <v>3116</v>
      </c>
      <c r="B1637" t="s">
        <v>9</v>
      </c>
      <c r="C1637" t="s">
        <v>5780</v>
      </c>
      <c r="D1637" t="s">
        <v>3117</v>
      </c>
      <c r="E1637" t="s">
        <v>15</v>
      </c>
      <c r="F1637" t="s">
        <v>54</v>
      </c>
      <c r="G1637" t="s">
        <v>3118</v>
      </c>
      <c r="J1637" t="s">
        <v>5748</v>
      </c>
      <c r="K1637">
        <v>90</v>
      </c>
      <c r="L1637" t="str" cm="1">
        <f t="array" ref="L1637">_xlfn.IFS(
 K1637&lt;=50,"≤50",
 AND(K1637&gt;=51,K1637&lt;=100),"51–100",
 AND(K1637&gt;=101,K1637&lt;=250),"101–250",
 AND(K1637&gt;=251,K1637&lt;=500),"251–500",
 AND(K1637&gt;=501,K1637&lt;=1000),"501–1000",
 K1637&gt;=1001,"1001+"
)</f>
        <v>51–100</v>
      </c>
    </row>
    <row r="1638" spans="1:12" x14ac:dyDescent="0.3">
      <c r="A1638" t="s">
        <v>3119</v>
      </c>
      <c r="B1638" t="s">
        <v>9</v>
      </c>
      <c r="C1638" t="s">
        <v>5780</v>
      </c>
      <c r="D1638" t="s">
        <v>3120</v>
      </c>
      <c r="E1638" t="s">
        <v>15</v>
      </c>
      <c r="F1638" t="s">
        <v>20</v>
      </c>
      <c r="G1638" t="s">
        <v>3121</v>
      </c>
      <c r="J1638" t="s">
        <v>5737</v>
      </c>
      <c r="K1638">
        <v>90</v>
      </c>
      <c r="L1638" t="str" cm="1">
        <f t="array" ref="L1638">_xlfn.IFS(
 K1638&lt;=50,"≤50",
 AND(K1638&gt;=51,K1638&lt;=100),"51–100",
 AND(K1638&gt;=101,K1638&lt;=250),"101–250",
 AND(K1638&gt;=251,K1638&lt;=500),"251–500",
 AND(K1638&gt;=501,K1638&lt;=1000),"501–1000",
 K1638&gt;=1001,"1001+"
)</f>
        <v>51–100</v>
      </c>
    </row>
    <row r="1639" spans="1:12" x14ac:dyDescent="0.3">
      <c r="A1639" t="s">
        <v>3122</v>
      </c>
      <c r="B1639" t="s">
        <v>9</v>
      </c>
      <c r="C1639" t="s">
        <v>5780</v>
      </c>
      <c r="D1639" t="s">
        <v>3123</v>
      </c>
      <c r="E1639" t="s">
        <v>15</v>
      </c>
      <c r="F1639" t="s">
        <v>20</v>
      </c>
      <c r="G1639" t="s">
        <v>135</v>
      </c>
      <c r="J1639" t="s">
        <v>5738</v>
      </c>
      <c r="K1639">
        <v>90</v>
      </c>
      <c r="L1639" t="str" cm="1">
        <f t="array" ref="L1639">_xlfn.IFS(
 K1639&lt;=50,"≤50",
 AND(K1639&gt;=51,K1639&lt;=100),"51–100",
 AND(K1639&gt;=101,K1639&lt;=250),"101–250",
 AND(K1639&gt;=251,K1639&lt;=500),"251–500",
 AND(K1639&gt;=501,K1639&lt;=1000),"501–1000",
 K1639&gt;=1001,"1001+"
)</f>
        <v>51–100</v>
      </c>
    </row>
    <row r="1640" spans="1:12" x14ac:dyDescent="0.3">
      <c r="A1640" t="s">
        <v>3124</v>
      </c>
      <c r="B1640" t="s">
        <v>9</v>
      </c>
      <c r="C1640" t="s">
        <v>5780</v>
      </c>
      <c r="D1640" t="s">
        <v>3125</v>
      </c>
      <c r="E1640" t="s">
        <v>15</v>
      </c>
      <c r="F1640" t="s">
        <v>20</v>
      </c>
      <c r="G1640" t="s">
        <v>185</v>
      </c>
      <c r="H1640" t="s">
        <v>15</v>
      </c>
      <c r="I1640" t="s">
        <v>3126</v>
      </c>
      <c r="J1640" t="s">
        <v>5737</v>
      </c>
      <c r="K1640">
        <v>90</v>
      </c>
      <c r="L1640" t="str" cm="1">
        <f t="array" ref="L1640">_xlfn.IFS(
 K1640&lt;=50,"≤50",
 AND(K1640&gt;=51,K1640&lt;=100),"51–100",
 AND(K1640&gt;=101,K1640&lt;=250),"101–250",
 AND(K1640&gt;=251,K1640&lt;=500),"251–500",
 AND(K1640&gt;=501,K1640&lt;=1000),"501–1000",
 K1640&gt;=1001,"1001+"
)</f>
        <v>51–100</v>
      </c>
    </row>
    <row r="1641" spans="1:12" x14ac:dyDescent="0.3">
      <c r="A1641" t="s">
        <v>3127</v>
      </c>
      <c r="B1641" t="s">
        <v>9</v>
      </c>
      <c r="C1641" t="s">
        <v>5780</v>
      </c>
      <c r="D1641" t="s">
        <v>3128</v>
      </c>
      <c r="F1641" t="s">
        <v>5770</v>
      </c>
      <c r="J1641" t="s">
        <v>5737</v>
      </c>
      <c r="K1641">
        <v>90</v>
      </c>
      <c r="L1641" t="str" cm="1">
        <f t="array" ref="L1641">_xlfn.IFS(
 K1641&lt;=50,"≤50",
 AND(K1641&gt;=51,K1641&lt;=100),"51–100",
 AND(K1641&gt;=101,K1641&lt;=250),"101–250",
 AND(K1641&gt;=251,K1641&lt;=500),"251–500",
 AND(K1641&gt;=501,K1641&lt;=1000),"501–1000",
 K1641&gt;=1001,"1001+"
)</f>
        <v>51–100</v>
      </c>
    </row>
    <row r="1642" spans="1:12" x14ac:dyDescent="0.3">
      <c r="A1642" t="s">
        <v>3129</v>
      </c>
      <c r="B1642" t="s">
        <v>9</v>
      </c>
      <c r="C1642" t="s">
        <v>5780</v>
      </c>
      <c r="D1642" t="s">
        <v>3130</v>
      </c>
      <c r="E1642" t="s">
        <v>15</v>
      </c>
      <c r="F1642" t="s">
        <v>16</v>
      </c>
      <c r="G1642" t="s">
        <v>3131</v>
      </c>
      <c r="J1642" t="s">
        <v>5744</v>
      </c>
      <c r="K1642">
        <v>90</v>
      </c>
      <c r="L1642" t="str" cm="1">
        <f t="array" ref="L1642">_xlfn.IFS(
 K1642&lt;=50,"≤50",
 AND(K1642&gt;=51,K1642&lt;=100),"51–100",
 AND(K1642&gt;=101,K1642&lt;=250),"101–250",
 AND(K1642&gt;=251,K1642&lt;=500),"251–500",
 AND(K1642&gt;=501,K1642&lt;=1000),"501–1000",
 K1642&gt;=1001,"1001+"
)</f>
        <v>51–100</v>
      </c>
    </row>
    <row r="1643" spans="1:12" x14ac:dyDescent="0.3">
      <c r="A1643" t="s">
        <v>3132</v>
      </c>
      <c r="B1643" t="s">
        <v>13</v>
      </c>
      <c r="C1643" t="s">
        <v>5777</v>
      </c>
      <c r="D1643" t="s">
        <v>3133</v>
      </c>
      <c r="E1643" t="s">
        <v>15</v>
      </c>
      <c r="F1643" t="s">
        <v>5770</v>
      </c>
      <c r="J1643" t="s">
        <v>5753</v>
      </c>
      <c r="K1643">
        <v>90</v>
      </c>
      <c r="L1643" t="str" cm="1">
        <f t="array" ref="L1643">_xlfn.IFS(
 K1643&lt;=50,"≤50",
 AND(K1643&gt;=51,K1643&lt;=100),"51–100",
 AND(K1643&gt;=101,K1643&lt;=250),"101–250",
 AND(K1643&gt;=251,K1643&lt;=500),"251–500",
 AND(K1643&gt;=501,K1643&lt;=1000),"501–1000",
 K1643&gt;=1001,"1001+"
)</f>
        <v>51–100</v>
      </c>
    </row>
    <row r="1644" spans="1:12" x14ac:dyDescent="0.3">
      <c r="A1644" t="s">
        <v>3134</v>
      </c>
      <c r="B1644" t="s">
        <v>9</v>
      </c>
      <c r="C1644" t="s">
        <v>5780</v>
      </c>
      <c r="D1644" t="s">
        <v>3135</v>
      </c>
      <c r="F1644" t="s">
        <v>5770</v>
      </c>
      <c r="J1644" t="s">
        <v>5745</v>
      </c>
      <c r="K1644">
        <v>92</v>
      </c>
      <c r="L1644" t="str" cm="1">
        <f t="array" ref="L1644">_xlfn.IFS(
 K1644&lt;=50,"≤50",
 AND(K1644&gt;=51,K1644&lt;=100),"51–100",
 AND(K1644&gt;=101,K1644&lt;=250),"101–250",
 AND(K1644&gt;=251,K1644&lt;=500),"251–500",
 AND(K1644&gt;=501,K1644&lt;=1000),"501–1000",
 K1644&gt;=1001,"1001+"
)</f>
        <v>51–100</v>
      </c>
    </row>
    <row r="1645" spans="1:12" x14ac:dyDescent="0.3">
      <c r="A1645" t="s">
        <v>3136</v>
      </c>
      <c r="B1645" t="s">
        <v>13</v>
      </c>
      <c r="C1645" t="s">
        <v>5777</v>
      </c>
      <c r="D1645" t="s">
        <v>3137</v>
      </c>
      <c r="F1645" t="s">
        <v>20</v>
      </c>
      <c r="G1645" t="s">
        <v>3138</v>
      </c>
      <c r="J1645" t="s">
        <v>5746</v>
      </c>
      <c r="K1645">
        <v>93</v>
      </c>
      <c r="L1645" t="str" cm="1">
        <f t="array" ref="L1645">_xlfn.IFS(
 K1645&lt;=50,"≤50",
 AND(K1645&gt;=51,K1645&lt;=100),"51–100",
 AND(K1645&gt;=101,K1645&lt;=250),"101–250",
 AND(K1645&gt;=251,K1645&lt;=500),"251–500",
 AND(K1645&gt;=501,K1645&lt;=1000),"501–1000",
 K1645&gt;=1001,"1001+"
)</f>
        <v>51–100</v>
      </c>
    </row>
    <row r="1646" spans="1:12" x14ac:dyDescent="0.3">
      <c r="A1646" t="s">
        <v>3139</v>
      </c>
      <c r="B1646" t="s">
        <v>13</v>
      </c>
      <c r="C1646" t="s">
        <v>5777</v>
      </c>
      <c r="D1646" t="s">
        <v>3140</v>
      </c>
      <c r="E1646" t="s">
        <v>15</v>
      </c>
      <c r="F1646" t="s">
        <v>20</v>
      </c>
      <c r="G1646" t="s">
        <v>21</v>
      </c>
      <c r="J1646" t="s">
        <v>5753</v>
      </c>
      <c r="K1646">
        <v>93</v>
      </c>
      <c r="L1646" t="str" cm="1">
        <f t="array" ref="L1646">_xlfn.IFS(
 K1646&lt;=50,"≤50",
 AND(K1646&gt;=51,K1646&lt;=100),"51–100",
 AND(K1646&gt;=101,K1646&lt;=250),"101–250",
 AND(K1646&gt;=251,K1646&lt;=500),"251–500",
 AND(K1646&gt;=501,K1646&lt;=1000),"501–1000",
 K1646&gt;=1001,"1001+"
)</f>
        <v>51–100</v>
      </c>
    </row>
    <row r="1647" spans="1:12" x14ac:dyDescent="0.3">
      <c r="A1647" t="s">
        <v>3141</v>
      </c>
      <c r="B1647" t="s">
        <v>13</v>
      </c>
      <c r="C1647" t="s">
        <v>5777</v>
      </c>
      <c r="D1647" t="s">
        <v>3142</v>
      </c>
      <c r="E1647" t="s">
        <v>15</v>
      </c>
      <c r="F1647" t="s">
        <v>5770</v>
      </c>
      <c r="J1647" t="s">
        <v>5748</v>
      </c>
      <c r="K1647">
        <v>94</v>
      </c>
      <c r="L1647" t="str" cm="1">
        <f t="array" ref="L1647">_xlfn.IFS(
 K1647&lt;=50,"≤50",
 AND(K1647&gt;=51,K1647&lt;=100),"51–100",
 AND(K1647&gt;=101,K1647&lt;=250),"101–250",
 AND(K1647&gt;=251,K1647&lt;=500),"251–500",
 AND(K1647&gt;=501,K1647&lt;=1000),"501–1000",
 K1647&gt;=1001,"1001+"
)</f>
        <v>51–100</v>
      </c>
    </row>
    <row r="1648" spans="1:12" x14ac:dyDescent="0.3">
      <c r="A1648" t="s">
        <v>3143</v>
      </c>
      <c r="B1648" t="s">
        <v>9</v>
      </c>
      <c r="C1648" t="s">
        <v>5780</v>
      </c>
      <c r="D1648" t="s">
        <v>3144</v>
      </c>
      <c r="E1648" t="s">
        <v>15</v>
      </c>
      <c r="F1648" t="s">
        <v>5770</v>
      </c>
      <c r="J1648" t="s">
        <v>5746</v>
      </c>
      <c r="K1648">
        <v>95</v>
      </c>
      <c r="L1648" t="str" cm="1">
        <f t="array" ref="L1648">_xlfn.IFS(
 K1648&lt;=50,"≤50",
 AND(K1648&gt;=51,K1648&lt;=100),"51–100",
 AND(K1648&gt;=101,K1648&lt;=250),"101–250",
 AND(K1648&gt;=251,K1648&lt;=500),"251–500",
 AND(K1648&gt;=501,K1648&lt;=1000),"501–1000",
 K1648&gt;=1001,"1001+"
)</f>
        <v>51–100</v>
      </c>
    </row>
    <row r="1649" spans="1:12" x14ac:dyDescent="0.3">
      <c r="A1649" t="s">
        <v>3145</v>
      </c>
      <c r="B1649" t="s">
        <v>9</v>
      </c>
      <c r="C1649" t="s">
        <v>5780</v>
      </c>
      <c r="D1649" t="s">
        <v>3146</v>
      </c>
      <c r="E1649" t="s">
        <v>15</v>
      </c>
      <c r="F1649" t="s">
        <v>20</v>
      </c>
      <c r="G1649" t="s">
        <v>21</v>
      </c>
      <c r="J1649" t="s">
        <v>5754</v>
      </c>
      <c r="K1649">
        <v>95</v>
      </c>
      <c r="L1649" t="str" cm="1">
        <f t="array" ref="L1649">_xlfn.IFS(
 K1649&lt;=50,"≤50",
 AND(K1649&gt;=51,K1649&lt;=100),"51–100",
 AND(K1649&gt;=101,K1649&lt;=250),"101–250",
 AND(K1649&gt;=251,K1649&lt;=500),"251–500",
 AND(K1649&gt;=501,K1649&lt;=1000),"501–1000",
 K1649&gt;=1001,"1001+"
)</f>
        <v>51–100</v>
      </c>
    </row>
    <row r="1650" spans="1:12" x14ac:dyDescent="0.3">
      <c r="A1650" t="s">
        <v>3147</v>
      </c>
      <c r="B1650" t="s">
        <v>9</v>
      </c>
      <c r="C1650" t="s">
        <v>5780</v>
      </c>
      <c r="D1650" t="s">
        <v>3148</v>
      </c>
      <c r="E1650" t="s">
        <v>15</v>
      </c>
      <c r="F1650" t="s">
        <v>16</v>
      </c>
      <c r="G1650" t="s">
        <v>3149</v>
      </c>
      <c r="J1650" t="s">
        <v>5745</v>
      </c>
      <c r="K1650">
        <v>95</v>
      </c>
      <c r="L1650" t="str" cm="1">
        <f t="array" ref="L1650">_xlfn.IFS(
 K1650&lt;=50,"≤50",
 AND(K1650&gt;=51,K1650&lt;=100),"51–100",
 AND(K1650&gt;=101,K1650&lt;=250),"101–250",
 AND(K1650&gt;=251,K1650&lt;=500),"251–500",
 AND(K1650&gt;=501,K1650&lt;=1000),"501–1000",
 K1650&gt;=1001,"1001+"
)</f>
        <v>51–100</v>
      </c>
    </row>
    <row r="1651" spans="1:12" x14ac:dyDescent="0.3">
      <c r="A1651" t="s">
        <v>3150</v>
      </c>
      <c r="B1651" t="s">
        <v>13</v>
      </c>
      <c r="C1651" t="s">
        <v>5777</v>
      </c>
      <c r="D1651" t="s">
        <v>3151</v>
      </c>
      <c r="E1651" t="s">
        <v>15</v>
      </c>
      <c r="F1651" t="s">
        <v>20</v>
      </c>
      <c r="G1651" t="s">
        <v>3152</v>
      </c>
      <c r="J1651" t="s">
        <v>5751</v>
      </c>
      <c r="K1651">
        <v>95</v>
      </c>
      <c r="L1651" t="str" cm="1">
        <f t="array" ref="L1651">_xlfn.IFS(
 K1651&lt;=50,"≤50",
 AND(K1651&gt;=51,K1651&lt;=100),"51–100",
 AND(K1651&gt;=101,K1651&lt;=250),"101–250",
 AND(K1651&gt;=251,K1651&lt;=500),"251–500",
 AND(K1651&gt;=501,K1651&lt;=1000),"501–1000",
 K1651&gt;=1001,"1001+"
)</f>
        <v>51–100</v>
      </c>
    </row>
    <row r="1652" spans="1:12" x14ac:dyDescent="0.3">
      <c r="A1652" t="s">
        <v>3153</v>
      </c>
      <c r="B1652" t="s">
        <v>13</v>
      </c>
      <c r="C1652" t="s">
        <v>5777</v>
      </c>
      <c r="D1652" t="s">
        <v>576</v>
      </c>
      <c r="F1652" t="s">
        <v>54</v>
      </c>
      <c r="G1652" t="s">
        <v>3154</v>
      </c>
      <c r="J1652" t="s">
        <v>5738</v>
      </c>
      <c r="K1652">
        <v>95</v>
      </c>
      <c r="L1652" t="str" cm="1">
        <f t="array" ref="L1652">_xlfn.IFS(
 K1652&lt;=50,"≤50",
 AND(K1652&gt;=51,K1652&lt;=100),"51–100",
 AND(K1652&gt;=101,K1652&lt;=250),"101–250",
 AND(K1652&gt;=251,K1652&lt;=500),"251–500",
 AND(K1652&gt;=501,K1652&lt;=1000),"501–1000",
 K1652&gt;=1001,"1001+"
)</f>
        <v>51–100</v>
      </c>
    </row>
    <row r="1653" spans="1:12" x14ac:dyDescent="0.3">
      <c r="A1653" t="s">
        <v>3155</v>
      </c>
      <c r="B1653" t="s">
        <v>13</v>
      </c>
      <c r="C1653" t="s">
        <v>5777</v>
      </c>
      <c r="D1653" t="s">
        <v>3156</v>
      </c>
      <c r="F1653" t="s">
        <v>5770</v>
      </c>
      <c r="J1653" t="s">
        <v>5737</v>
      </c>
      <c r="K1653">
        <v>96</v>
      </c>
      <c r="L1653" t="str" cm="1">
        <f t="array" ref="L1653">_xlfn.IFS(
 K1653&lt;=50,"≤50",
 AND(K1653&gt;=51,K1653&lt;=100),"51–100",
 AND(K1653&gt;=101,K1653&lt;=250),"101–250",
 AND(K1653&gt;=251,K1653&lt;=500),"251–500",
 AND(K1653&gt;=501,K1653&lt;=1000),"501–1000",
 K1653&gt;=1001,"1001+"
)</f>
        <v>51–100</v>
      </c>
    </row>
    <row r="1654" spans="1:12" x14ac:dyDescent="0.3">
      <c r="A1654" t="s">
        <v>3157</v>
      </c>
      <c r="B1654" t="s">
        <v>13</v>
      </c>
      <c r="C1654" t="s">
        <v>5777</v>
      </c>
      <c r="D1654" t="s">
        <v>3158</v>
      </c>
      <c r="F1654" t="s">
        <v>5770</v>
      </c>
      <c r="J1654" t="s">
        <v>5746</v>
      </c>
      <c r="K1654">
        <v>96</v>
      </c>
      <c r="L1654" t="str" cm="1">
        <f t="array" ref="L1654">_xlfn.IFS(
 K1654&lt;=50,"≤50",
 AND(K1654&gt;=51,K1654&lt;=100),"51–100",
 AND(K1654&gt;=101,K1654&lt;=250),"101–250",
 AND(K1654&gt;=251,K1654&lt;=500),"251–500",
 AND(K1654&gt;=501,K1654&lt;=1000),"501–1000",
 K1654&gt;=1001,"1001+"
)</f>
        <v>51–100</v>
      </c>
    </row>
    <row r="1655" spans="1:12" x14ac:dyDescent="0.3">
      <c r="A1655" t="s">
        <v>3159</v>
      </c>
      <c r="B1655" t="s">
        <v>9</v>
      </c>
      <c r="C1655" t="s">
        <v>5780</v>
      </c>
      <c r="D1655" t="s">
        <v>3160</v>
      </c>
      <c r="E1655" t="s">
        <v>15</v>
      </c>
      <c r="F1655" t="s">
        <v>54</v>
      </c>
      <c r="G1655" t="s">
        <v>588</v>
      </c>
      <c r="J1655" t="s">
        <v>5738</v>
      </c>
      <c r="K1655">
        <v>96</v>
      </c>
      <c r="L1655" t="str" cm="1">
        <f t="array" ref="L1655">_xlfn.IFS(
 K1655&lt;=50,"≤50",
 AND(K1655&gt;=51,K1655&lt;=100),"51–100",
 AND(K1655&gt;=101,K1655&lt;=250),"101–250",
 AND(K1655&gt;=251,K1655&lt;=500),"251–500",
 AND(K1655&gt;=501,K1655&lt;=1000),"501–1000",
 K1655&gt;=1001,"1001+"
)</f>
        <v>51–100</v>
      </c>
    </row>
    <row r="1656" spans="1:12" x14ac:dyDescent="0.3">
      <c r="A1656" t="s">
        <v>3161</v>
      </c>
      <c r="B1656" t="s">
        <v>13</v>
      </c>
      <c r="C1656" t="s">
        <v>5777</v>
      </c>
      <c r="D1656" t="s">
        <v>3162</v>
      </c>
      <c r="F1656" t="s">
        <v>5770</v>
      </c>
      <c r="J1656" t="s">
        <v>5738</v>
      </c>
      <c r="K1656">
        <v>96</v>
      </c>
      <c r="L1656" t="str" cm="1">
        <f t="array" ref="L1656">_xlfn.IFS(
 K1656&lt;=50,"≤50",
 AND(K1656&gt;=51,K1656&lt;=100),"51–100",
 AND(K1656&gt;=101,K1656&lt;=250),"101–250",
 AND(K1656&gt;=251,K1656&lt;=500),"251–500",
 AND(K1656&gt;=501,K1656&lt;=1000),"501–1000",
 K1656&gt;=1001,"1001+"
)</f>
        <v>51–100</v>
      </c>
    </row>
    <row r="1657" spans="1:12" x14ac:dyDescent="0.3">
      <c r="A1657" t="s">
        <v>3163</v>
      </c>
      <c r="B1657" t="s">
        <v>9</v>
      </c>
      <c r="C1657" t="s">
        <v>5780</v>
      </c>
      <c r="D1657" t="s">
        <v>3164</v>
      </c>
      <c r="E1657" t="s">
        <v>15</v>
      </c>
      <c r="F1657" t="s">
        <v>16</v>
      </c>
      <c r="G1657" t="s">
        <v>3165</v>
      </c>
      <c r="J1657" t="s">
        <v>5739</v>
      </c>
      <c r="K1657">
        <v>97</v>
      </c>
      <c r="L1657" t="str" cm="1">
        <f t="array" ref="L1657">_xlfn.IFS(
 K1657&lt;=50,"≤50",
 AND(K1657&gt;=51,K1657&lt;=100),"51–100",
 AND(K1657&gt;=101,K1657&lt;=250),"101–250",
 AND(K1657&gt;=251,K1657&lt;=500),"251–500",
 AND(K1657&gt;=501,K1657&lt;=1000),"501–1000",
 K1657&gt;=1001,"1001+"
)</f>
        <v>51–100</v>
      </c>
    </row>
    <row r="1658" spans="1:12" x14ac:dyDescent="0.3">
      <c r="A1658" t="s">
        <v>3166</v>
      </c>
      <c r="B1658" t="s">
        <v>13</v>
      </c>
      <c r="C1658" t="s">
        <v>5777</v>
      </c>
      <c r="D1658" t="s">
        <v>3167</v>
      </c>
      <c r="F1658" t="s">
        <v>5770</v>
      </c>
      <c r="J1658" t="s">
        <v>5737</v>
      </c>
      <c r="K1658">
        <v>98</v>
      </c>
      <c r="L1658" t="str" cm="1">
        <f t="array" ref="L1658">_xlfn.IFS(
 K1658&lt;=50,"≤50",
 AND(K1658&gt;=51,K1658&lt;=100),"51–100",
 AND(K1658&gt;=101,K1658&lt;=250),"101–250",
 AND(K1658&gt;=251,K1658&lt;=500),"251–500",
 AND(K1658&gt;=501,K1658&lt;=1000),"501–1000",
 K1658&gt;=1001,"1001+"
)</f>
        <v>51–100</v>
      </c>
    </row>
    <row r="1659" spans="1:12" x14ac:dyDescent="0.3">
      <c r="A1659" t="s">
        <v>3168</v>
      </c>
      <c r="B1659" t="s">
        <v>9</v>
      </c>
      <c r="C1659" t="s">
        <v>5780</v>
      </c>
      <c r="D1659" t="s">
        <v>28</v>
      </c>
      <c r="F1659" t="s">
        <v>5770</v>
      </c>
      <c r="J1659" t="s">
        <v>5737</v>
      </c>
      <c r="K1659">
        <v>99</v>
      </c>
      <c r="L1659" t="str" cm="1">
        <f t="array" ref="L1659">_xlfn.IFS(
 K1659&lt;=50,"≤50",
 AND(K1659&gt;=51,K1659&lt;=100),"51–100",
 AND(K1659&gt;=101,K1659&lt;=250),"101–250",
 AND(K1659&gt;=251,K1659&lt;=500),"251–500",
 AND(K1659&gt;=501,K1659&lt;=1000),"501–1000",
 K1659&gt;=1001,"1001+"
)</f>
        <v>51–100</v>
      </c>
    </row>
    <row r="1660" spans="1:12" x14ac:dyDescent="0.3">
      <c r="A1660" t="s">
        <v>3169</v>
      </c>
      <c r="B1660" t="s">
        <v>197</v>
      </c>
      <c r="C1660" t="s">
        <v>5774</v>
      </c>
      <c r="D1660" t="s">
        <v>707</v>
      </c>
      <c r="F1660" t="s">
        <v>5770</v>
      </c>
      <c r="J1660" t="s">
        <v>5761</v>
      </c>
      <c r="K1660">
        <v>99</v>
      </c>
      <c r="L1660" t="str" cm="1">
        <f t="array" ref="L1660">_xlfn.IFS(
 K1660&lt;=50,"≤50",
 AND(K1660&gt;=51,K1660&lt;=100),"51–100",
 AND(K1660&gt;=101,K1660&lt;=250),"101–250",
 AND(K1660&gt;=251,K1660&lt;=500),"251–500",
 AND(K1660&gt;=501,K1660&lt;=1000),"501–1000",
 K1660&gt;=1001,"1001+"
)</f>
        <v>51–100</v>
      </c>
    </row>
    <row r="1661" spans="1:12" x14ac:dyDescent="0.3">
      <c r="A1661" t="s">
        <v>3170</v>
      </c>
      <c r="B1661" t="s">
        <v>9</v>
      </c>
      <c r="C1661" t="s">
        <v>5780</v>
      </c>
      <c r="D1661" t="s">
        <v>3171</v>
      </c>
      <c r="E1661" t="s">
        <v>15</v>
      </c>
      <c r="F1661" t="s">
        <v>54</v>
      </c>
      <c r="G1661" t="s">
        <v>3172</v>
      </c>
      <c r="J1661" t="s">
        <v>5737</v>
      </c>
      <c r="K1661">
        <v>99</v>
      </c>
      <c r="L1661" t="str" cm="1">
        <f t="array" ref="L1661">_xlfn.IFS(
 K1661&lt;=50,"≤50",
 AND(K1661&gt;=51,K1661&lt;=100),"51–100",
 AND(K1661&gt;=101,K1661&lt;=250),"101–250",
 AND(K1661&gt;=251,K1661&lt;=500),"251–500",
 AND(K1661&gt;=501,K1661&lt;=1000),"501–1000",
 K1661&gt;=1001,"1001+"
)</f>
        <v>51–100</v>
      </c>
    </row>
    <row r="1662" spans="1:12" x14ac:dyDescent="0.3">
      <c r="A1662" t="s">
        <v>3173</v>
      </c>
      <c r="B1662" t="s">
        <v>9</v>
      </c>
      <c r="C1662" t="s">
        <v>5780</v>
      </c>
      <c r="D1662" t="s">
        <v>3174</v>
      </c>
      <c r="F1662" t="s">
        <v>20</v>
      </c>
      <c r="G1662" t="s">
        <v>3175</v>
      </c>
      <c r="J1662" t="s">
        <v>5737</v>
      </c>
      <c r="K1662">
        <v>100</v>
      </c>
      <c r="L1662" t="str" cm="1">
        <f t="array" ref="L1662">_xlfn.IFS(
 K1662&lt;=50,"≤50",
 AND(K1662&gt;=51,K1662&lt;=100),"51–100",
 AND(K1662&gt;=101,K1662&lt;=250),"101–250",
 AND(K1662&gt;=251,K1662&lt;=500),"251–500",
 AND(K1662&gt;=501,K1662&lt;=1000),"501–1000",
 K1662&gt;=1001,"1001+"
)</f>
        <v>51–100</v>
      </c>
    </row>
    <row r="1663" spans="1:12" x14ac:dyDescent="0.3">
      <c r="A1663" t="s">
        <v>3176</v>
      </c>
      <c r="B1663" t="s">
        <v>13</v>
      </c>
      <c r="C1663" t="s">
        <v>5777</v>
      </c>
      <c r="D1663" t="s">
        <v>3177</v>
      </c>
      <c r="E1663" t="s">
        <v>15</v>
      </c>
      <c r="F1663" t="s">
        <v>16</v>
      </c>
      <c r="G1663" t="s">
        <v>3178</v>
      </c>
      <c r="J1663" t="s">
        <v>5737</v>
      </c>
      <c r="K1663">
        <v>100</v>
      </c>
      <c r="L1663" t="str" cm="1">
        <f t="array" ref="L1663">_xlfn.IFS(
 K1663&lt;=50,"≤50",
 AND(K1663&gt;=51,K1663&lt;=100),"51–100",
 AND(K1663&gt;=101,K1663&lt;=250),"101–250",
 AND(K1663&gt;=251,K1663&lt;=500),"251–500",
 AND(K1663&gt;=501,K1663&lt;=1000),"501–1000",
 K1663&gt;=1001,"1001+"
)</f>
        <v>51–100</v>
      </c>
    </row>
    <row r="1664" spans="1:12" x14ac:dyDescent="0.3">
      <c r="A1664" t="s">
        <v>3179</v>
      </c>
      <c r="B1664" t="s">
        <v>9</v>
      </c>
      <c r="C1664" t="s">
        <v>5780</v>
      </c>
      <c r="D1664" t="s">
        <v>3180</v>
      </c>
      <c r="E1664" t="s">
        <v>15</v>
      </c>
      <c r="F1664" t="s">
        <v>54</v>
      </c>
      <c r="G1664" t="s">
        <v>3181</v>
      </c>
      <c r="J1664" t="s">
        <v>5737</v>
      </c>
      <c r="K1664">
        <v>100</v>
      </c>
      <c r="L1664" t="str" cm="1">
        <f t="array" ref="L1664">_xlfn.IFS(
 K1664&lt;=50,"≤50",
 AND(K1664&gt;=51,K1664&lt;=100),"51–100",
 AND(K1664&gt;=101,K1664&lt;=250),"101–250",
 AND(K1664&gt;=251,K1664&lt;=500),"251–500",
 AND(K1664&gt;=501,K1664&lt;=1000),"501–1000",
 K1664&gt;=1001,"1001+"
)</f>
        <v>51–100</v>
      </c>
    </row>
    <row r="1665" spans="1:12" x14ac:dyDescent="0.3">
      <c r="A1665" t="s">
        <v>3182</v>
      </c>
      <c r="B1665" t="s">
        <v>9</v>
      </c>
      <c r="C1665" t="s">
        <v>5780</v>
      </c>
      <c r="D1665" t="s">
        <v>3183</v>
      </c>
      <c r="F1665" t="s">
        <v>16</v>
      </c>
      <c r="G1665" t="s">
        <v>3184</v>
      </c>
      <c r="J1665" t="s">
        <v>5753</v>
      </c>
      <c r="K1665">
        <v>100</v>
      </c>
      <c r="L1665" t="str" cm="1">
        <f t="array" ref="L1665">_xlfn.IFS(
 K1665&lt;=50,"≤50",
 AND(K1665&gt;=51,K1665&lt;=100),"51–100",
 AND(K1665&gt;=101,K1665&lt;=250),"101–250",
 AND(K1665&gt;=251,K1665&lt;=500),"251–500",
 AND(K1665&gt;=501,K1665&lt;=1000),"501–1000",
 K1665&gt;=1001,"1001+"
)</f>
        <v>51–100</v>
      </c>
    </row>
    <row r="1666" spans="1:12" x14ac:dyDescent="0.3">
      <c r="A1666" t="s">
        <v>3185</v>
      </c>
      <c r="B1666" t="s">
        <v>13</v>
      </c>
      <c r="C1666" t="s">
        <v>5777</v>
      </c>
      <c r="D1666" t="s">
        <v>3186</v>
      </c>
      <c r="E1666" t="s">
        <v>15</v>
      </c>
      <c r="F1666" t="s">
        <v>20</v>
      </c>
      <c r="G1666" t="s">
        <v>3187</v>
      </c>
      <c r="J1666" t="s">
        <v>5737</v>
      </c>
      <c r="K1666">
        <v>100</v>
      </c>
      <c r="L1666" t="str" cm="1">
        <f t="array" ref="L1666">_xlfn.IFS(
 K1666&lt;=50,"≤50",
 AND(K1666&gt;=51,K1666&lt;=100),"51–100",
 AND(K1666&gt;=101,K1666&lt;=250),"101–250",
 AND(K1666&gt;=251,K1666&lt;=500),"251–500",
 AND(K1666&gt;=501,K1666&lt;=1000),"501–1000",
 K1666&gt;=1001,"1001+"
)</f>
        <v>51–100</v>
      </c>
    </row>
    <row r="1667" spans="1:12" x14ac:dyDescent="0.3">
      <c r="A1667" t="s">
        <v>3188</v>
      </c>
      <c r="B1667" t="s">
        <v>13</v>
      </c>
      <c r="C1667" t="s">
        <v>5777</v>
      </c>
      <c r="D1667" t="s">
        <v>3189</v>
      </c>
      <c r="F1667" t="s">
        <v>16</v>
      </c>
      <c r="G1667" t="s">
        <v>3190</v>
      </c>
      <c r="J1667" t="s">
        <v>5737</v>
      </c>
      <c r="K1667">
        <v>100</v>
      </c>
      <c r="L1667" t="str" cm="1">
        <f t="array" ref="L1667">_xlfn.IFS(
 K1667&lt;=50,"≤50",
 AND(K1667&gt;=51,K1667&lt;=100),"51–100",
 AND(K1667&gt;=101,K1667&lt;=250),"101–250",
 AND(K1667&gt;=251,K1667&lt;=500),"251–500",
 AND(K1667&gt;=501,K1667&lt;=1000),"501–1000",
 K1667&gt;=1001,"1001+"
)</f>
        <v>51–100</v>
      </c>
    </row>
    <row r="1668" spans="1:12" x14ac:dyDescent="0.3">
      <c r="A1668" t="s">
        <v>3191</v>
      </c>
      <c r="B1668" t="s">
        <v>13</v>
      </c>
      <c r="C1668" t="s">
        <v>5777</v>
      </c>
      <c r="D1668" t="s">
        <v>369</v>
      </c>
      <c r="F1668" t="s">
        <v>20</v>
      </c>
      <c r="G1668" t="s">
        <v>3192</v>
      </c>
      <c r="J1668" t="s">
        <v>5737</v>
      </c>
      <c r="K1668">
        <v>100</v>
      </c>
      <c r="L1668" t="str" cm="1">
        <f t="array" ref="L1668">_xlfn.IFS(
 K1668&lt;=50,"≤50",
 AND(K1668&gt;=51,K1668&lt;=100),"51–100",
 AND(K1668&gt;=101,K1668&lt;=250),"101–250",
 AND(K1668&gt;=251,K1668&lt;=500),"251–500",
 AND(K1668&gt;=501,K1668&lt;=1000),"501–1000",
 K1668&gt;=1001,"1001+"
)</f>
        <v>51–100</v>
      </c>
    </row>
    <row r="1669" spans="1:12" x14ac:dyDescent="0.3">
      <c r="A1669" t="s">
        <v>3193</v>
      </c>
      <c r="B1669" t="s">
        <v>13</v>
      </c>
      <c r="C1669" t="s">
        <v>5777</v>
      </c>
      <c r="D1669" t="s">
        <v>3186</v>
      </c>
      <c r="E1669" t="s">
        <v>15</v>
      </c>
      <c r="F1669" t="s">
        <v>20</v>
      </c>
      <c r="G1669" t="s">
        <v>3194</v>
      </c>
      <c r="J1669" t="s">
        <v>5737</v>
      </c>
      <c r="K1669">
        <v>100</v>
      </c>
      <c r="L1669" t="str" cm="1">
        <f t="array" ref="L1669">_xlfn.IFS(
 K1669&lt;=50,"≤50",
 AND(K1669&gt;=51,K1669&lt;=100),"51–100",
 AND(K1669&gt;=101,K1669&lt;=250),"101–250",
 AND(K1669&gt;=251,K1669&lt;=500),"251–500",
 AND(K1669&gt;=501,K1669&lt;=1000),"501–1000",
 K1669&gt;=1001,"1001+"
)</f>
        <v>51–100</v>
      </c>
    </row>
    <row r="1670" spans="1:12" x14ac:dyDescent="0.3">
      <c r="A1670" t="s">
        <v>3195</v>
      </c>
      <c r="B1670" t="s">
        <v>13</v>
      </c>
      <c r="C1670" t="s">
        <v>5777</v>
      </c>
      <c r="D1670" t="s">
        <v>3196</v>
      </c>
      <c r="E1670" t="s">
        <v>15</v>
      </c>
      <c r="F1670" t="s">
        <v>16</v>
      </c>
      <c r="G1670" t="s">
        <v>3197</v>
      </c>
      <c r="J1670" t="s">
        <v>5737</v>
      </c>
      <c r="K1670">
        <v>100</v>
      </c>
      <c r="L1670" t="str" cm="1">
        <f t="array" ref="L1670">_xlfn.IFS(
 K1670&lt;=50,"≤50",
 AND(K1670&gt;=51,K1670&lt;=100),"51–100",
 AND(K1670&gt;=101,K1670&lt;=250),"101–250",
 AND(K1670&gt;=251,K1670&lt;=500),"251–500",
 AND(K1670&gt;=501,K1670&lt;=1000),"501–1000",
 K1670&gt;=1001,"1001+"
)</f>
        <v>51–100</v>
      </c>
    </row>
    <row r="1671" spans="1:12" x14ac:dyDescent="0.3">
      <c r="A1671" t="s">
        <v>3198</v>
      </c>
      <c r="B1671" t="s">
        <v>9</v>
      </c>
      <c r="C1671" t="s">
        <v>5780</v>
      </c>
      <c r="D1671" t="s">
        <v>3199</v>
      </c>
      <c r="E1671" t="s">
        <v>15</v>
      </c>
      <c r="F1671" t="s">
        <v>20</v>
      </c>
      <c r="G1671" t="s">
        <v>1222</v>
      </c>
      <c r="J1671" t="s">
        <v>5738</v>
      </c>
      <c r="K1671">
        <v>100</v>
      </c>
      <c r="L1671" t="str" cm="1">
        <f t="array" ref="L1671">_xlfn.IFS(
 K1671&lt;=50,"≤50",
 AND(K1671&gt;=51,K1671&lt;=100),"51–100",
 AND(K1671&gt;=101,K1671&lt;=250),"101–250",
 AND(K1671&gt;=251,K1671&lt;=500),"251–500",
 AND(K1671&gt;=501,K1671&lt;=1000),"501–1000",
 K1671&gt;=1001,"1001+"
)</f>
        <v>51–100</v>
      </c>
    </row>
    <row r="1672" spans="1:12" x14ac:dyDescent="0.3">
      <c r="A1672" t="s">
        <v>3200</v>
      </c>
      <c r="B1672" t="s">
        <v>197</v>
      </c>
      <c r="C1672" t="s">
        <v>5774</v>
      </c>
      <c r="D1672" t="s">
        <v>3201</v>
      </c>
      <c r="E1672" t="s">
        <v>15</v>
      </c>
      <c r="F1672" t="s">
        <v>54</v>
      </c>
      <c r="G1672" t="s">
        <v>3202</v>
      </c>
      <c r="J1672" t="s">
        <v>5737</v>
      </c>
      <c r="K1672">
        <v>100</v>
      </c>
      <c r="L1672" t="str" cm="1">
        <f t="array" ref="L1672">_xlfn.IFS(
 K1672&lt;=50,"≤50",
 AND(K1672&gt;=51,K1672&lt;=100),"51–100",
 AND(K1672&gt;=101,K1672&lt;=250),"101–250",
 AND(K1672&gt;=251,K1672&lt;=500),"251–500",
 AND(K1672&gt;=501,K1672&lt;=1000),"501–1000",
 K1672&gt;=1001,"1001+"
)</f>
        <v>51–100</v>
      </c>
    </row>
    <row r="1673" spans="1:12" x14ac:dyDescent="0.3">
      <c r="A1673" t="s">
        <v>3203</v>
      </c>
      <c r="B1673" t="s">
        <v>9</v>
      </c>
      <c r="C1673" t="s">
        <v>5780</v>
      </c>
      <c r="D1673" t="s">
        <v>3204</v>
      </c>
      <c r="E1673" t="s">
        <v>15</v>
      </c>
      <c r="F1673" t="s">
        <v>5770</v>
      </c>
      <c r="J1673" t="s">
        <v>5737</v>
      </c>
      <c r="K1673">
        <v>100</v>
      </c>
      <c r="L1673" t="str" cm="1">
        <f t="array" ref="L1673">_xlfn.IFS(
 K1673&lt;=50,"≤50",
 AND(K1673&gt;=51,K1673&lt;=100),"51–100",
 AND(K1673&gt;=101,K1673&lt;=250),"101–250",
 AND(K1673&gt;=251,K1673&lt;=500),"251–500",
 AND(K1673&gt;=501,K1673&lt;=1000),"501–1000",
 K1673&gt;=1001,"1001+"
)</f>
        <v>51–100</v>
      </c>
    </row>
    <row r="1674" spans="1:12" x14ac:dyDescent="0.3">
      <c r="A1674" t="s">
        <v>3205</v>
      </c>
      <c r="B1674" t="s">
        <v>9</v>
      </c>
      <c r="C1674" t="s">
        <v>5780</v>
      </c>
      <c r="D1674" t="s">
        <v>3206</v>
      </c>
      <c r="E1674" t="s">
        <v>15</v>
      </c>
      <c r="F1674" t="s">
        <v>54</v>
      </c>
      <c r="G1674" t="s">
        <v>801</v>
      </c>
      <c r="J1674" t="s">
        <v>5737</v>
      </c>
      <c r="K1674">
        <v>100</v>
      </c>
      <c r="L1674" t="str" cm="1">
        <f t="array" ref="L1674">_xlfn.IFS(
 K1674&lt;=50,"≤50",
 AND(K1674&gt;=51,K1674&lt;=100),"51–100",
 AND(K1674&gt;=101,K1674&lt;=250),"101–250",
 AND(K1674&gt;=251,K1674&lt;=500),"251–500",
 AND(K1674&gt;=501,K1674&lt;=1000),"501–1000",
 K1674&gt;=1001,"1001+"
)</f>
        <v>51–100</v>
      </c>
    </row>
    <row r="1675" spans="1:12" x14ac:dyDescent="0.3">
      <c r="A1675" t="s">
        <v>3207</v>
      </c>
      <c r="B1675" t="s">
        <v>9</v>
      </c>
      <c r="C1675" t="s">
        <v>5780</v>
      </c>
      <c r="D1675" t="s">
        <v>3208</v>
      </c>
      <c r="F1675" t="s">
        <v>5770</v>
      </c>
      <c r="J1675" t="s">
        <v>5744</v>
      </c>
      <c r="K1675">
        <v>100</v>
      </c>
      <c r="L1675" t="str" cm="1">
        <f t="array" ref="L1675">_xlfn.IFS(
 K1675&lt;=50,"≤50",
 AND(K1675&gt;=51,K1675&lt;=100),"51–100",
 AND(K1675&gt;=101,K1675&lt;=250),"101–250",
 AND(K1675&gt;=251,K1675&lt;=500),"251–500",
 AND(K1675&gt;=501,K1675&lt;=1000),"501–1000",
 K1675&gt;=1001,"1001+"
)</f>
        <v>51–100</v>
      </c>
    </row>
    <row r="1676" spans="1:12" x14ac:dyDescent="0.3">
      <c r="A1676" t="s">
        <v>3209</v>
      </c>
      <c r="B1676" t="s">
        <v>9</v>
      </c>
      <c r="C1676" t="s">
        <v>5780</v>
      </c>
      <c r="D1676" t="s">
        <v>28</v>
      </c>
      <c r="F1676" t="s">
        <v>5770</v>
      </c>
      <c r="J1676" t="s">
        <v>5737</v>
      </c>
      <c r="K1676">
        <v>100</v>
      </c>
      <c r="L1676" t="str" cm="1">
        <f t="array" ref="L1676">_xlfn.IFS(
 K1676&lt;=50,"≤50",
 AND(K1676&gt;=51,K1676&lt;=100),"51–100",
 AND(K1676&gt;=101,K1676&lt;=250),"101–250",
 AND(K1676&gt;=251,K1676&lt;=500),"251–500",
 AND(K1676&gt;=501,K1676&lt;=1000),"501–1000",
 K1676&gt;=1001,"1001+"
)</f>
        <v>51–100</v>
      </c>
    </row>
    <row r="1677" spans="1:12" x14ac:dyDescent="0.3">
      <c r="A1677" t="s">
        <v>3210</v>
      </c>
      <c r="B1677" t="s">
        <v>9</v>
      </c>
      <c r="C1677" t="s">
        <v>5780</v>
      </c>
      <c r="D1677" t="s">
        <v>3211</v>
      </c>
      <c r="E1677" t="s">
        <v>15</v>
      </c>
      <c r="F1677" t="s">
        <v>20</v>
      </c>
      <c r="G1677" t="s">
        <v>21</v>
      </c>
      <c r="J1677" t="s">
        <v>5738</v>
      </c>
      <c r="K1677">
        <v>100</v>
      </c>
      <c r="L1677" t="str" cm="1">
        <f t="array" ref="L1677">_xlfn.IFS(
 K1677&lt;=50,"≤50",
 AND(K1677&gt;=51,K1677&lt;=100),"51–100",
 AND(K1677&gt;=101,K1677&lt;=250),"101–250",
 AND(K1677&gt;=251,K1677&lt;=500),"251–500",
 AND(K1677&gt;=501,K1677&lt;=1000),"501–1000",
 K1677&gt;=1001,"1001+"
)</f>
        <v>51–100</v>
      </c>
    </row>
    <row r="1678" spans="1:12" x14ac:dyDescent="0.3">
      <c r="A1678" t="s">
        <v>3212</v>
      </c>
      <c r="B1678" t="s">
        <v>9</v>
      </c>
      <c r="C1678" t="s">
        <v>5780</v>
      </c>
      <c r="D1678" t="s">
        <v>3213</v>
      </c>
      <c r="F1678" t="s">
        <v>54</v>
      </c>
      <c r="G1678" t="s">
        <v>3214</v>
      </c>
      <c r="J1678" t="s">
        <v>5737</v>
      </c>
      <c r="K1678">
        <v>100</v>
      </c>
      <c r="L1678" t="str" cm="1">
        <f t="array" ref="L1678">_xlfn.IFS(
 K1678&lt;=50,"≤50",
 AND(K1678&gt;=51,K1678&lt;=100),"51–100",
 AND(K1678&gt;=101,K1678&lt;=250),"101–250",
 AND(K1678&gt;=251,K1678&lt;=500),"251–500",
 AND(K1678&gt;=501,K1678&lt;=1000),"501–1000",
 K1678&gt;=1001,"1001+"
)</f>
        <v>51–100</v>
      </c>
    </row>
    <row r="1679" spans="1:12" x14ac:dyDescent="0.3">
      <c r="A1679" t="s">
        <v>3215</v>
      </c>
      <c r="B1679" t="s">
        <v>9</v>
      </c>
      <c r="C1679" t="s">
        <v>5780</v>
      </c>
      <c r="D1679" t="s">
        <v>3216</v>
      </c>
      <c r="E1679" t="s">
        <v>15</v>
      </c>
      <c r="F1679" t="s">
        <v>20</v>
      </c>
      <c r="G1679" t="s">
        <v>21</v>
      </c>
      <c r="J1679" t="s">
        <v>5737</v>
      </c>
      <c r="K1679">
        <v>100</v>
      </c>
      <c r="L1679" t="str" cm="1">
        <f t="array" ref="L1679">_xlfn.IFS(
 K1679&lt;=50,"≤50",
 AND(K1679&gt;=51,K1679&lt;=100),"51–100",
 AND(K1679&gt;=101,K1679&lt;=250),"101–250",
 AND(K1679&gt;=251,K1679&lt;=500),"251–500",
 AND(K1679&gt;=501,K1679&lt;=1000),"501–1000",
 K1679&gt;=1001,"1001+"
)</f>
        <v>51–100</v>
      </c>
    </row>
    <row r="1680" spans="1:12" x14ac:dyDescent="0.3">
      <c r="A1680" t="s">
        <v>3217</v>
      </c>
      <c r="B1680" t="s">
        <v>11</v>
      </c>
      <c r="C1680" t="s">
        <v>5776</v>
      </c>
      <c r="F1680" t="s">
        <v>5770</v>
      </c>
      <c r="J1680" t="s">
        <v>5757</v>
      </c>
      <c r="K1680">
        <v>100</v>
      </c>
      <c r="L1680" t="str" cm="1">
        <f t="array" ref="L1680">_xlfn.IFS(
 K1680&lt;=50,"≤50",
 AND(K1680&gt;=51,K1680&lt;=100),"51–100",
 AND(K1680&gt;=101,K1680&lt;=250),"101–250",
 AND(K1680&gt;=251,K1680&lt;=500),"251–500",
 AND(K1680&gt;=501,K1680&lt;=1000),"501–1000",
 K1680&gt;=1001,"1001+"
)</f>
        <v>51–100</v>
      </c>
    </row>
    <row r="1681" spans="1:12" x14ac:dyDescent="0.3">
      <c r="A1681" t="s">
        <v>3218</v>
      </c>
      <c r="B1681" t="s">
        <v>13</v>
      </c>
      <c r="C1681" t="s">
        <v>5777</v>
      </c>
      <c r="D1681" t="s">
        <v>3219</v>
      </c>
      <c r="E1681" t="s">
        <v>15</v>
      </c>
      <c r="F1681" t="s">
        <v>54</v>
      </c>
      <c r="G1681" t="s">
        <v>3220</v>
      </c>
      <c r="J1681" t="s">
        <v>5737</v>
      </c>
      <c r="K1681">
        <v>100</v>
      </c>
      <c r="L1681" t="str" cm="1">
        <f t="array" ref="L1681">_xlfn.IFS(
 K1681&lt;=50,"≤50",
 AND(K1681&gt;=51,K1681&lt;=100),"51–100",
 AND(K1681&gt;=101,K1681&lt;=250),"101–250",
 AND(K1681&gt;=251,K1681&lt;=500),"251–500",
 AND(K1681&gt;=501,K1681&lt;=1000),"501–1000",
 K1681&gt;=1001,"1001+"
)</f>
        <v>51–100</v>
      </c>
    </row>
    <row r="1682" spans="1:12" x14ac:dyDescent="0.3">
      <c r="A1682" t="s">
        <v>3221</v>
      </c>
      <c r="B1682" t="s">
        <v>13</v>
      </c>
      <c r="C1682" t="s">
        <v>5777</v>
      </c>
      <c r="D1682" t="s">
        <v>3222</v>
      </c>
      <c r="E1682" t="s">
        <v>15</v>
      </c>
      <c r="F1682" t="s">
        <v>16</v>
      </c>
      <c r="G1682" t="s">
        <v>3223</v>
      </c>
      <c r="J1682" t="s">
        <v>5737</v>
      </c>
      <c r="K1682">
        <v>100</v>
      </c>
      <c r="L1682" t="str" cm="1">
        <f t="array" ref="L1682">_xlfn.IFS(
 K1682&lt;=50,"≤50",
 AND(K1682&gt;=51,K1682&lt;=100),"51–100",
 AND(K1682&gt;=101,K1682&lt;=250),"101–250",
 AND(K1682&gt;=251,K1682&lt;=500),"251–500",
 AND(K1682&gt;=501,K1682&lt;=1000),"501–1000",
 K1682&gt;=1001,"1001+"
)</f>
        <v>51–100</v>
      </c>
    </row>
    <row r="1683" spans="1:12" x14ac:dyDescent="0.3">
      <c r="A1683" t="s">
        <v>3224</v>
      </c>
      <c r="B1683" t="s">
        <v>13</v>
      </c>
      <c r="C1683" t="s">
        <v>5777</v>
      </c>
      <c r="D1683" t="s">
        <v>3225</v>
      </c>
      <c r="E1683" t="s">
        <v>15</v>
      </c>
      <c r="F1683" t="s">
        <v>54</v>
      </c>
      <c r="G1683" t="s">
        <v>3226</v>
      </c>
      <c r="J1683" t="s">
        <v>5737</v>
      </c>
      <c r="K1683">
        <v>100</v>
      </c>
      <c r="L1683" t="str" cm="1">
        <f t="array" ref="L1683">_xlfn.IFS(
 K1683&lt;=50,"≤50",
 AND(K1683&gt;=51,K1683&lt;=100),"51–100",
 AND(K1683&gt;=101,K1683&lt;=250),"101–250",
 AND(K1683&gt;=251,K1683&lt;=500),"251–500",
 AND(K1683&gt;=501,K1683&lt;=1000),"501–1000",
 K1683&gt;=1001,"1001+"
)</f>
        <v>51–100</v>
      </c>
    </row>
    <row r="1684" spans="1:12" x14ac:dyDescent="0.3">
      <c r="A1684" t="s">
        <v>3227</v>
      </c>
      <c r="B1684" t="s">
        <v>9</v>
      </c>
      <c r="C1684" t="s">
        <v>5780</v>
      </c>
      <c r="D1684" t="s">
        <v>3228</v>
      </c>
      <c r="F1684" t="s">
        <v>20</v>
      </c>
      <c r="G1684" t="s">
        <v>135</v>
      </c>
      <c r="J1684" t="s">
        <v>5738</v>
      </c>
      <c r="K1684">
        <v>100</v>
      </c>
      <c r="L1684" t="str" cm="1">
        <f t="array" ref="L1684">_xlfn.IFS(
 K1684&lt;=50,"≤50",
 AND(K1684&gt;=51,K1684&lt;=100),"51–100",
 AND(K1684&gt;=101,K1684&lt;=250),"101–250",
 AND(K1684&gt;=251,K1684&lt;=500),"251–500",
 AND(K1684&gt;=501,K1684&lt;=1000),"501–1000",
 K1684&gt;=1001,"1001+"
)</f>
        <v>51–100</v>
      </c>
    </row>
    <row r="1685" spans="1:12" x14ac:dyDescent="0.3">
      <c r="A1685" t="s">
        <v>3229</v>
      </c>
      <c r="B1685" t="s">
        <v>13</v>
      </c>
      <c r="C1685" t="s">
        <v>5777</v>
      </c>
      <c r="D1685" t="s">
        <v>3230</v>
      </c>
      <c r="E1685" t="s">
        <v>15</v>
      </c>
      <c r="F1685" t="s">
        <v>20</v>
      </c>
      <c r="G1685" t="s">
        <v>21</v>
      </c>
      <c r="J1685" t="s">
        <v>5737</v>
      </c>
      <c r="K1685">
        <v>100</v>
      </c>
      <c r="L1685" t="str" cm="1">
        <f t="array" ref="L1685">_xlfn.IFS(
 K1685&lt;=50,"≤50",
 AND(K1685&gt;=51,K1685&lt;=100),"51–100",
 AND(K1685&gt;=101,K1685&lt;=250),"101–250",
 AND(K1685&gt;=251,K1685&lt;=500),"251–500",
 AND(K1685&gt;=501,K1685&lt;=1000),"501–1000",
 K1685&gt;=1001,"1001+"
)</f>
        <v>51–100</v>
      </c>
    </row>
    <row r="1686" spans="1:12" x14ac:dyDescent="0.3">
      <c r="A1686" t="s">
        <v>3231</v>
      </c>
      <c r="B1686" t="s">
        <v>11</v>
      </c>
      <c r="C1686" t="s">
        <v>5776</v>
      </c>
      <c r="F1686" t="s">
        <v>5770</v>
      </c>
      <c r="J1686" t="s">
        <v>5737</v>
      </c>
      <c r="K1686">
        <v>100</v>
      </c>
      <c r="L1686" t="str" cm="1">
        <f t="array" ref="L1686">_xlfn.IFS(
 K1686&lt;=50,"≤50",
 AND(K1686&gt;=51,K1686&lt;=100),"51–100",
 AND(K1686&gt;=101,K1686&lt;=250),"101–250",
 AND(K1686&gt;=251,K1686&lt;=500),"251–500",
 AND(K1686&gt;=501,K1686&lt;=1000),"501–1000",
 K1686&gt;=1001,"1001+"
)</f>
        <v>51–100</v>
      </c>
    </row>
    <row r="1687" spans="1:12" x14ac:dyDescent="0.3">
      <c r="A1687" t="s">
        <v>3232</v>
      </c>
      <c r="B1687" t="s">
        <v>13</v>
      </c>
      <c r="C1687" t="s">
        <v>5777</v>
      </c>
      <c r="D1687" t="s">
        <v>3233</v>
      </c>
      <c r="E1687" t="s">
        <v>15</v>
      </c>
      <c r="F1687" t="s">
        <v>20</v>
      </c>
      <c r="G1687" t="s">
        <v>3234</v>
      </c>
      <c r="J1687" t="s">
        <v>5750</v>
      </c>
      <c r="K1687">
        <v>100</v>
      </c>
      <c r="L1687" t="str" cm="1">
        <f t="array" ref="L1687">_xlfn.IFS(
 K1687&lt;=50,"≤50",
 AND(K1687&gt;=51,K1687&lt;=100),"51–100",
 AND(K1687&gt;=101,K1687&lt;=250),"101–250",
 AND(K1687&gt;=251,K1687&lt;=500),"251–500",
 AND(K1687&gt;=501,K1687&lt;=1000),"501–1000",
 K1687&gt;=1001,"1001+"
)</f>
        <v>51–100</v>
      </c>
    </row>
    <row r="1688" spans="1:12" x14ac:dyDescent="0.3">
      <c r="A1688" t="s">
        <v>3235</v>
      </c>
      <c r="B1688" t="s">
        <v>9</v>
      </c>
      <c r="C1688" t="s">
        <v>5780</v>
      </c>
      <c r="D1688" t="s">
        <v>3236</v>
      </c>
      <c r="F1688" t="s">
        <v>5770</v>
      </c>
      <c r="J1688" t="s">
        <v>5760</v>
      </c>
      <c r="K1688">
        <v>100</v>
      </c>
      <c r="L1688" t="str" cm="1">
        <f t="array" ref="L1688">_xlfn.IFS(
 K1688&lt;=50,"≤50",
 AND(K1688&gt;=51,K1688&lt;=100),"51–100",
 AND(K1688&gt;=101,K1688&lt;=250),"101–250",
 AND(K1688&gt;=251,K1688&lt;=500),"251–500",
 AND(K1688&gt;=501,K1688&lt;=1000),"501–1000",
 K1688&gt;=1001,"1001+"
)</f>
        <v>51–100</v>
      </c>
    </row>
    <row r="1689" spans="1:12" x14ac:dyDescent="0.3">
      <c r="A1689" t="s">
        <v>3237</v>
      </c>
      <c r="B1689" t="s">
        <v>9</v>
      </c>
      <c r="C1689" t="s">
        <v>5780</v>
      </c>
      <c r="D1689" t="s">
        <v>3238</v>
      </c>
      <c r="E1689" t="s">
        <v>15</v>
      </c>
      <c r="F1689" t="s">
        <v>16</v>
      </c>
      <c r="G1689" t="s">
        <v>3239</v>
      </c>
      <c r="J1689" t="s">
        <v>5737</v>
      </c>
      <c r="K1689">
        <v>100</v>
      </c>
      <c r="L1689" t="str" cm="1">
        <f t="array" ref="L1689">_xlfn.IFS(
 K1689&lt;=50,"≤50",
 AND(K1689&gt;=51,K1689&lt;=100),"51–100",
 AND(K1689&gt;=101,K1689&lt;=250),"101–250",
 AND(K1689&gt;=251,K1689&lt;=500),"251–500",
 AND(K1689&gt;=501,K1689&lt;=1000),"501–1000",
 K1689&gt;=1001,"1001+"
)</f>
        <v>51–100</v>
      </c>
    </row>
    <row r="1690" spans="1:12" x14ac:dyDescent="0.3">
      <c r="A1690" t="s">
        <v>3240</v>
      </c>
      <c r="B1690" t="s">
        <v>11</v>
      </c>
      <c r="C1690" t="s">
        <v>5776</v>
      </c>
      <c r="F1690" t="s">
        <v>5770</v>
      </c>
      <c r="J1690" t="s">
        <v>5737</v>
      </c>
      <c r="K1690">
        <v>100</v>
      </c>
      <c r="L1690" t="str" cm="1">
        <f t="array" ref="L1690">_xlfn.IFS(
 K1690&lt;=50,"≤50",
 AND(K1690&gt;=51,K1690&lt;=100),"51–100",
 AND(K1690&gt;=101,K1690&lt;=250),"101–250",
 AND(K1690&gt;=251,K1690&lt;=500),"251–500",
 AND(K1690&gt;=501,K1690&lt;=1000),"501–1000",
 K1690&gt;=1001,"1001+"
)</f>
        <v>51–100</v>
      </c>
    </row>
    <row r="1691" spans="1:12" x14ac:dyDescent="0.3">
      <c r="A1691" t="s">
        <v>3241</v>
      </c>
      <c r="B1691" t="s">
        <v>9</v>
      </c>
      <c r="C1691" t="s">
        <v>5780</v>
      </c>
      <c r="D1691" t="s">
        <v>3242</v>
      </c>
      <c r="E1691" t="s">
        <v>15</v>
      </c>
      <c r="F1691" t="s">
        <v>16</v>
      </c>
      <c r="G1691" t="s">
        <v>88</v>
      </c>
      <c r="J1691" t="s">
        <v>5744</v>
      </c>
      <c r="K1691">
        <v>100</v>
      </c>
      <c r="L1691" t="str" cm="1">
        <f t="array" ref="L1691">_xlfn.IFS(
 K1691&lt;=50,"≤50",
 AND(K1691&gt;=51,K1691&lt;=100),"51–100",
 AND(K1691&gt;=101,K1691&lt;=250),"101–250",
 AND(K1691&gt;=251,K1691&lt;=500),"251–500",
 AND(K1691&gt;=501,K1691&lt;=1000),"501–1000",
 K1691&gt;=1001,"1001+"
)</f>
        <v>51–100</v>
      </c>
    </row>
    <row r="1692" spans="1:12" x14ac:dyDescent="0.3">
      <c r="A1692" t="s">
        <v>3243</v>
      </c>
      <c r="B1692" t="s">
        <v>13</v>
      </c>
      <c r="C1692" t="s">
        <v>5777</v>
      </c>
      <c r="D1692" t="s">
        <v>2050</v>
      </c>
      <c r="E1692" t="s">
        <v>15</v>
      </c>
      <c r="F1692" t="s">
        <v>54</v>
      </c>
      <c r="G1692" t="s">
        <v>1036</v>
      </c>
      <c r="H1692" t="s">
        <v>15</v>
      </c>
      <c r="I1692" t="s">
        <v>3244</v>
      </c>
      <c r="J1692" t="s">
        <v>5744</v>
      </c>
      <c r="K1692">
        <v>100</v>
      </c>
      <c r="L1692" t="str" cm="1">
        <f t="array" ref="L1692">_xlfn.IFS(
 K1692&lt;=50,"≤50",
 AND(K1692&gt;=51,K1692&lt;=100),"51–100",
 AND(K1692&gt;=101,K1692&lt;=250),"101–250",
 AND(K1692&gt;=251,K1692&lt;=500),"251–500",
 AND(K1692&gt;=501,K1692&lt;=1000),"501–1000",
 K1692&gt;=1001,"1001+"
)</f>
        <v>51–100</v>
      </c>
    </row>
    <row r="1693" spans="1:12" x14ac:dyDescent="0.3">
      <c r="A1693" t="s">
        <v>3245</v>
      </c>
      <c r="B1693" t="s">
        <v>13</v>
      </c>
      <c r="C1693" t="s">
        <v>5777</v>
      </c>
      <c r="D1693" t="s">
        <v>3246</v>
      </c>
      <c r="F1693" t="s">
        <v>5770</v>
      </c>
      <c r="J1693" t="s">
        <v>5737</v>
      </c>
      <c r="K1693">
        <v>100</v>
      </c>
      <c r="L1693" t="str" cm="1">
        <f t="array" ref="L1693">_xlfn.IFS(
 K1693&lt;=50,"≤50",
 AND(K1693&gt;=51,K1693&lt;=100),"51–100",
 AND(K1693&gt;=101,K1693&lt;=250),"101–250",
 AND(K1693&gt;=251,K1693&lt;=500),"251–500",
 AND(K1693&gt;=501,K1693&lt;=1000),"501–1000",
 K1693&gt;=1001,"1001+"
)</f>
        <v>51–100</v>
      </c>
    </row>
    <row r="1694" spans="1:12" x14ac:dyDescent="0.3">
      <c r="A1694" t="s">
        <v>3247</v>
      </c>
      <c r="B1694" t="s">
        <v>11</v>
      </c>
      <c r="C1694" t="s">
        <v>5776</v>
      </c>
      <c r="F1694" t="s">
        <v>5770</v>
      </c>
      <c r="J1694" t="s">
        <v>5737</v>
      </c>
      <c r="K1694">
        <v>100</v>
      </c>
      <c r="L1694" t="str" cm="1">
        <f t="array" ref="L1694">_xlfn.IFS(
 K1694&lt;=50,"≤50",
 AND(K1694&gt;=51,K1694&lt;=100),"51–100",
 AND(K1694&gt;=101,K1694&lt;=250),"101–250",
 AND(K1694&gt;=251,K1694&lt;=500),"251–500",
 AND(K1694&gt;=501,K1694&lt;=1000),"501–1000",
 K1694&gt;=1001,"1001+"
)</f>
        <v>51–100</v>
      </c>
    </row>
    <row r="1695" spans="1:12" x14ac:dyDescent="0.3">
      <c r="A1695" t="s">
        <v>3248</v>
      </c>
      <c r="B1695" t="s">
        <v>9</v>
      </c>
      <c r="C1695" t="s">
        <v>5780</v>
      </c>
      <c r="D1695" t="s">
        <v>3249</v>
      </c>
      <c r="E1695" t="s">
        <v>15</v>
      </c>
      <c r="F1695" t="s">
        <v>16</v>
      </c>
      <c r="G1695" t="s">
        <v>3250</v>
      </c>
      <c r="J1695" t="s">
        <v>5760</v>
      </c>
      <c r="K1695">
        <v>100</v>
      </c>
      <c r="L1695" t="str" cm="1">
        <f t="array" ref="L1695">_xlfn.IFS(
 K1695&lt;=50,"≤50",
 AND(K1695&gt;=51,K1695&lt;=100),"51–100",
 AND(K1695&gt;=101,K1695&lt;=250),"101–250",
 AND(K1695&gt;=251,K1695&lt;=500),"251–500",
 AND(K1695&gt;=501,K1695&lt;=1000),"501–1000",
 K1695&gt;=1001,"1001+"
)</f>
        <v>51–100</v>
      </c>
    </row>
    <row r="1696" spans="1:12" x14ac:dyDescent="0.3">
      <c r="A1696" t="s">
        <v>3251</v>
      </c>
      <c r="B1696" t="s">
        <v>13</v>
      </c>
      <c r="C1696" t="s">
        <v>5777</v>
      </c>
      <c r="D1696" t="s">
        <v>3252</v>
      </c>
      <c r="E1696" t="s">
        <v>15</v>
      </c>
      <c r="F1696" t="s">
        <v>20</v>
      </c>
      <c r="G1696" t="s">
        <v>3253</v>
      </c>
      <c r="J1696" t="s">
        <v>5737</v>
      </c>
      <c r="K1696">
        <v>100</v>
      </c>
      <c r="L1696" t="str" cm="1">
        <f t="array" ref="L1696">_xlfn.IFS(
 K1696&lt;=50,"≤50",
 AND(K1696&gt;=51,K1696&lt;=100),"51–100",
 AND(K1696&gt;=101,K1696&lt;=250),"101–250",
 AND(K1696&gt;=251,K1696&lt;=500),"251–500",
 AND(K1696&gt;=501,K1696&lt;=1000),"501–1000",
 K1696&gt;=1001,"1001+"
)</f>
        <v>51–100</v>
      </c>
    </row>
    <row r="1697" spans="1:12" x14ac:dyDescent="0.3">
      <c r="A1697" t="s">
        <v>3254</v>
      </c>
      <c r="B1697" t="s">
        <v>9</v>
      </c>
      <c r="C1697" t="s">
        <v>5780</v>
      </c>
      <c r="D1697" t="s">
        <v>51</v>
      </c>
      <c r="F1697" t="s">
        <v>5770</v>
      </c>
      <c r="J1697" t="s">
        <v>5750</v>
      </c>
      <c r="K1697">
        <v>100</v>
      </c>
      <c r="L1697" t="str" cm="1">
        <f t="array" ref="L1697">_xlfn.IFS(
 K1697&lt;=50,"≤50",
 AND(K1697&gt;=51,K1697&lt;=100),"51–100",
 AND(K1697&gt;=101,K1697&lt;=250),"101–250",
 AND(K1697&gt;=251,K1697&lt;=500),"251–500",
 AND(K1697&gt;=501,K1697&lt;=1000),"501–1000",
 K1697&gt;=1001,"1001+"
)</f>
        <v>51–100</v>
      </c>
    </row>
    <row r="1698" spans="1:12" x14ac:dyDescent="0.3">
      <c r="A1698" t="s">
        <v>3255</v>
      </c>
      <c r="B1698" t="s">
        <v>13</v>
      </c>
      <c r="C1698" t="s">
        <v>5777</v>
      </c>
      <c r="D1698" t="s">
        <v>3256</v>
      </c>
      <c r="F1698" t="s">
        <v>5770</v>
      </c>
      <c r="J1698" t="s">
        <v>5737</v>
      </c>
      <c r="K1698">
        <v>100</v>
      </c>
      <c r="L1698" t="str" cm="1">
        <f t="array" ref="L1698">_xlfn.IFS(
 K1698&lt;=50,"≤50",
 AND(K1698&gt;=51,K1698&lt;=100),"51–100",
 AND(K1698&gt;=101,K1698&lt;=250),"101–250",
 AND(K1698&gt;=251,K1698&lt;=500),"251–500",
 AND(K1698&gt;=501,K1698&lt;=1000),"501–1000",
 K1698&gt;=1001,"1001+"
)</f>
        <v>51–100</v>
      </c>
    </row>
    <row r="1699" spans="1:12" x14ac:dyDescent="0.3">
      <c r="A1699" t="s">
        <v>3257</v>
      </c>
      <c r="B1699" t="s">
        <v>11</v>
      </c>
      <c r="C1699" t="s">
        <v>5776</v>
      </c>
      <c r="F1699" t="s">
        <v>5770</v>
      </c>
      <c r="J1699" t="s">
        <v>5737</v>
      </c>
      <c r="K1699">
        <v>100</v>
      </c>
      <c r="L1699" t="str" cm="1">
        <f t="array" ref="L1699">_xlfn.IFS(
 K1699&lt;=50,"≤50",
 AND(K1699&gt;=51,K1699&lt;=100),"51–100",
 AND(K1699&gt;=101,K1699&lt;=250),"101–250",
 AND(K1699&gt;=251,K1699&lt;=500),"251–500",
 AND(K1699&gt;=501,K1699&lt;=1000),"501–1000",
 K1699&gt;=1001,"1001+"
)</f>
        <v>51–100</v>
      </c>
    </row>
    <row r="1700" spans="1:12" x14ac:dyDescent="0.3">
      <c r="A1700" t="s">
        <v>3258</v>
      </c>
      <c r="B1700" t="s">
        <v>13</v>
      </c>
      <c r="C1700" t="s">
        <v>5777</v>
      </c>
      <c r="D1700" t="s">
        <v>3259</v>
      </c>
      <c r="E1700" t="s">
        <v>15</v>
      </c>
      <c r="F1700" t="s">
        <v>16</v>
      </c>
      <c r="G1700" t="s">
        <v>3260</v>
      </c>
      <c r="J1700" t="s">
        <v>5760</v>
      </c>
      <c r="K1700">
        <v>100</v>
      </c>
      <c r="L1700" t="str" cm="1">
        <f t="array" ref="L1700">_xlfn.IFS(
 K1700&lt;=50,"≤50",
 AND(K1700&gt;=51,K1700&lt;=100),"51–100",
 AND(K1700&gt;=101,K1700&lt;=250),"101–250",
 AND(K1700&gt;=251,K1700&lt;=500),"251–500",
 AND(K1700&gt;=501,K1700&lt;=1000),"501–1000",
 K1700&gt;=1001,"1001+"
)</f>
        <v>51–100</v>
      </c>
    </row>
    <row r="1701" spans="1:12" x14ac:dyDescent="0.3">
      <c r="A1701" t="s">
        <v>3261</v>
      </c>
      <c r="B1701" t="s">
        <v>13</v>
      </c>
      <c r="C1701" t="s">
        <v>5777</v>
      </c>
      <c r="D1701" t="s">
        <v>3262</v>
      </c>
      <c r="E1701" t="s">
        <v>15</v>
      </c>
      <c r="F1701" t="s">
        <v>20</v>
      </c>
      <c r="G1701" t="s">
        <v>3263</v>
      </c>
      <c r="J1701" t="s">
        <v>5746</v>
      </c>
      <c r="K1701">
        <v>100</v>
      </c>
      <c r="L1701" t="str" cm="1">
        <f t="array" ref="L1701">_xlfn.IFS(
 K1701&lt;=50,"≤50",
 AND(K1701&gt;=51,K1701&lt;=100),"51–100",
 AND(K1701&gt;=101,K1701&lt;=250),"101–250",
 AND(K1701&gt;=251,K1701&lt;=500),"251–500",
 AND(K1701&gt;=501,K1701&lt;=1000),"501–1000",
 K1701&gt;=1001,"1001+"
)</f>
        <v>51–100</v>
      </c>
    </row>
    <row r="1702" spans="1:12" x14ac:dyDescent="0.3">
      <c r="A1702" t="s">
        <v>3264</v>
      </c>
      <c r="B1702" t="s">
        <v>13</v>
      </c>
      <c r="C1702" t="s">
        <v>5777</v>
      </c>
      <c r="D1702" t="s">
        <v>3265</v>
      </c>
      <c r="E1702" t="s">
        <v>15</v>
      </c>
      <c r="F1702" t="s">
        <v>20</v>
      </c>
      <c r="G1702" t="s">
        <v>3266</v>
      </c>
      <c r="J1702" t="s">
        <v>5737</v>
      </c>
      <c r="K1702">
        <v>100</v>
      </c>
      <c r="L1702" t="str" cm="1">
        <f t="array" ref="L1702">_xlfn.IFS(
 K1702&lt;=50,"≤50",
 AND(K1702&gt;=51,K1702&lt;=100),"51–100",
 AND(K1702&gt;=101,K1702&lt;=250),"101–250",
 AND(K1702&gt;=251,K1702&lt;=500),"251–500",
 AND(K1702&gt;=501,K1702&lt;=1000),"501–1000",
 K1702&gt;=1001,"1001+"
)</f>
        <v>51–100</v>
      </c>
    </row>
    <row r="1703" spans="1:12" x14ac:dyDescent="0.3">
      <c r="A1703" t="s">
        <v>3267</v>
      </c>
      <c r="B1703" t="s">
        <v>13</v>
      </c>
      <c r="C1703" t="s">
        <v>5777</v>
      </c>
      <c r="D1703" t="s">
        <v>3268</v>
      </c>
      <c r="F1703" t="s">
        <v>54</v>
      </c>
      <c r="G1703" t="s">
        <v>218</v>
      </c>
      <c r="J1703" t="s">
        <v>5737</v>
      </c>
      <c r="K1703">
        <v>100</v>
      </c>
      <c r="L1703" t="str" cm="1">
        <f t="array" ref="L1703">_xlfn.IFS(
 K1703&lt;=50,"≤50",
 AND(K1703&gt;=51,K1703&lt;=100),"51–100",
 AND(K1703&gt;=101,K1703&lt;=250),"101–250",
 AND(K1703&gt;=251,K1703&lt;=500),"251–500",
 AND(K1703&gt;=501,K1703&lt;=1000),"501–1000",
 K1703&gt;=1001,"1001+"
)</f>
        <v>51–100</v>
      </c>
    </row>
    <row r="1704" spans="1:12" x14ac:dyDescent="0.3">
      <c r="A1704" t="s">
        <v>3269</v>
      </c>
      <c r="B1704" t="s">
        <v>13</v>
      </c>
      <c r="C1704" t="s">
        <v>5777</v>
      </c>
      <c r="D1704" t="s">
        <v>3270</v>
      </c>
      <c r="E1704" t="s">
        <v>15</v>
      </c>
      <c r="F1704" t="s">
        <v>20</v>
      </c>
      <c r="G1704" t="s">
        <v>3271</v>
      </c>
      <c r="J1704" t="s">
        <v>5738</v>
      </c>
      <c r="K1704">
        <v>100</v>
      </c>
      <c r="L1704" t="str" cm="1">
        <f t="array" ref="L1704">_xlfn.IFS(
 K1704&lt;=50,"≤50",
 AND(K1704&gt;=51,K1704&lt;=100),"51–100",
 AND(K1704&gt;=101,K1704&lt;=250),"101–250",
 AND(K1704&gt;=251,K1704&lt;=500),"251–500",
 AND(K1704&gt;=501,K1704&lt;=1000),"501–1000",
 K1704&gt;=1001,"1001+"
)</f>
        <v>51–100</v>
      </c>
    </row>
    <row r="1705" spans="1:12" x14ac:dyDescent="0.3">
      <c r="A1705" t="s">
        <v>3272</v>
      </c>
      <c r="B1705" t="s">
        <v>11</v>
      </c>
      <c r="C1705" t="s">
        <v>5776</v>
      </c>
      <c r="E1705" t="s">
        <v>15</v>
      </c>
      <c r="F1705" t="s">
        <v>5770</v>
      </c>
      <c r="J1705" t="s">
        <v>5738</v>
      </c>
      <c r="K1705">
        <v>100</v>
      </c>
      <c r="L1705" t="str" cm="1">
        <f t="array" ref="L1705">_xlfn.IFS(
 K1705&lt;=50,"≤50",
 AND(K1705&gt;=51,K1705&lt;=100),"51–100",
 AND(K1705&gt;=101,K1705&lt;=250),"101–250",
 AND(K1705&gt;=251,K1705&lt;=500),"251–500",
 AND(K1705&gt;=501,K1705&lt;=1000),"501–1000",
 K1705&gt;=1001,"1001+"
)</f>
        <v>51–100</v>
      </c>
    </row>
    <row r="1706" spans="1:12" x14ac:dyDescent="0.3">
      <c r="A1706" t="s">
        <v>3273</v>
      </c>
      <c r="B1706" t="s">
        <v>13</v>
      </c>
      <c r="C1706" t="s">
        <v>5777</v>
      </c>
      <c r="D1706" t="s">
        <v>3274</v>
      </c>
      <c r="E1706" t="s">
        <v>15</v>
      </c>
      <c r="F1706" t="s">
        <v>54</v>
      </c>
      <c r="G1706" t="s">
        <v>971</v>
      </c>
      <c r="J1706" t="s">
        <v>5738</v>
      </c>
      <c r="K1706">
        <v>100</v>
      </c>
      <c r="L1706" t="str" cm="1">
        <f t="array" ref="L1706">_xlfn.IFS(
 K1706&lt;=50,"≤50",
 AND(K1706&gt;=51,K1706&lt;=100),"51–100",
 AND(K1706&gt;=101,K1706&lt;=250),"101–250",
 AND(K1706&gt;=251,K1706&lt;=500),"251–500",
 AND(K1706&gt;=501,K1706&lt;=1000),"501–1000",
 K1706&gt;=1001,"1001+"
)</f>
        <v>51–100</v>
      </c>
    </row>
    <row r="1707" spans="1:12" x14ac:dyDescent="0.3">
      <c r="A1707" t="s">
        <v>3275</v>
      </c>
      <c r="B1707" t="s">
        <v>9</v>
      </c>
      <c r="C1707" t="s">
        <v>5780</v>
      </c>
      <c r="D1707" t="s">
        <v>28</v>
      </c>
      <c r="F1707" t="s">
        <v>5770</v>
      </c>
      <c r="J1707" t="s">
        <v>5743</v>
      </c>
      <c r="K1707">
        <v>100</v>
      </c>
      <c r="L1707" t="str" cm="1">
        <f t="array" ref="L1707">_xlfn.IFS(
 K1707&lt;=50,"≤50",
 AND(K1707&gt;=51,K1707&lt;=100),"51–100",
 AND(K1707&gt;=101,K1707&lt;=250),"101–250",
 AND(K1707&gt;=251,K1707&lt;=500),"251–500",
 AND(K1707&gt;=501,K1707&lt;=1000),"501–1000",
 K1707&gt;=1001,"1001+"
)</f>
        <v>51–100</v>
      </c>
    </row>
    <row r="1708" spans="1:12" x14ac:dyDescent="0.3">
      <c r="A1708" t="s">
        <v>3276</v>
      </c>
      <c r="B1708" t="s">
        <v>13</v>
      </c>
      <c r="C1708" t="s">
        <v>5777</v>
      </c>
      <c r="D1708" t="s">
        <v>3277</v>
      </c>
      <c r="E1708" t="s">
        <v>15</v>
      </c>
      <c r="F1708" t="s">
        <v>16</v>
      </c>
      <c r="G1708" t="s">
        <v>3278</v>
      </c>
      <c r="J1708" t="s">
        <v>5737</v>
      </c>
      <c r="K1708">
        <v>100</v>
      </c>
      <c r="L1708" t="str" cm="1">
        <f t="array" ref="L1708">_xlfn.IFS(
 K1708&lt;=50,"≤50",
 AND(K1708&gt;=51,K1708&lt;=100),"51–100",
 AND(K1708&gt;=101,K1708&lt;=250),"101–250",
 AND(K1708&gt;=251,K1708&lt;=500),"251–500",
 AND(K1708&gt;=501,K1708&lt;=1000),"501–1000",
 K1708&gt;=1001,"1001+"
)</f>
        <v>51–100</v>
      </c>
    </row>
    <row r="1709" spans="1:12" x14ac:dyDescent="0.3">
      <c r="A1709" t="s">
        <v>3279</v>
      </c>
      <c r="B1709" t="s">
        <v>9</v>
      </c>
      <c r="C1709" t="s">
        <v>5780</v>
      </c>
      <c r="D1709" t="s">
        <v>28</v>
      </c>
      <c r="E1709" t="s">
        <v>15</v>
      </c>
      <c r="F1709" t="s">
        <v>5770</v>
      </c>
      <c r="J1709" t="s">
        <v>5737</v>
      </c>
      <c r="K1709">
        <v>100</v>
      </c>
      <c r="L1709" t="str" cm="1">
        <f t="array" ref="L1709">_xlfn.IFS(
 K1709&lt;=50,"≤50",
 AND(K1709&gt;=51,K1709&lt;=100),"51–100",
 AND(K1709&gt;=101,K1709&lt;=250),"101–250",
 AND(K1709&gt;=251,K1709&lt;=500),"251–500",
 AND(K1709&gt;=501,K1709&lt;=1000),"501–1000",
 K1709&gt;=1001,"1001+"
)</f>
        <v>51–100</v>
      </c>
    </row>
    <row r="1710" spans="1:12" x14ac:dyDescent="0.3">
      <c r="A1710" t="s">
        <v>3280</v>
      </c>
      <c r="B1710" t="s">
        <v>9</v>
      </c>
      <c r="C1710" t="s">
        <v>5780</v>
      </c>
      <c r="D1710" t="s">
        <v>2166</v>
      </c>
      <c r="E1710" t="s">
        <v>15</v>
      </c>
      <c r="F1710" t="s">
        <v>5770</v>
      </c>
      <c r="J1710" t="s">
        <v>5737</v>
      </c>
      <c r="K1710">
        <v>100</v>
      </c>
      <c r="L1710" t="str" cm="1">
        <f t="array" ref="L1710">_xlfn.IFS(
 K1710&lt;=50,"≤50",
 AND(K1710&gt;=51,K1710&lt;=100),"51–100",
 AND(K1710&gt;=101,K1710&lt;=250),"101–250",
 AND(K1710&gt;=251,K1710&lt;=500),"251–500",
 AND(K1710&gt;=501,K1710&lt;=1000),"501–1000",
 K1710&gt;=1001,"1001+"
)</f>
        <v>51–100</v>
      </c>
    </row>
    <row r="1711" spans="1:12" x14ac:dyDescent="0.3">
      <c r="A1711" t="s">
        <v>3281</v>
      </c>
      <c r="B1711" t="s">
        <v>9</v>
      </c>
      <c r="C1711" t="s">
        <v>5780</v>
      </c>
      <c r="D1711" t="s">
        <v>3282</v>
      </c>
      <c r="F1711" t="s">
        <v>5770</v>
      </c>
      <c r="J1711" t="s">
        <v>5737</v>
      </c>
      <c r="K1711">
        <v>100</v>
      </c>
      <c r="L1711" t="str" cm="1">
        <f t="array" ref="L1711">_xlfn.IFS(
 K1711&lt;=50,"≤50",
 AND(K1711&gt;=51,K1711&lt;=100),"51–100",
 AND(K1711&gt;=101,K1711&lt;=250),"101–250",
 AND(K1711&gt;=251,K1711&lt;=500),"251–500",
 AND(K1711&gt;=501,K1711&lt;=1000),"501–1000",
 K1711&gt;=1001,"1001+"
)</f>
        <v>51–100</v>
      </c>
    </row>
    <row r="1712" spans="1:12" x14ac:dyDescent="0.3">
      <c r="A1712" t="s">
        <v>3283</v>
      </c>
      <c r="B1712" t="s">
        <v>9</v>
      </c>
      <c r="C1712" t="s">
        <v>5780</v>
      </c>
      <c r="D1712" t="s">
        <v>28</v>
      </c>
      <c r="F1712" t="s">
        <v>5770</v>
      </c>
      <c r="J1712" t="s">
        <v>5737</v>
      </c>
      <c r="K1712">
        <v>100</v>
      </c>
      <c r="L1712" t="str" cm="1">
        <f t="array" ref="L1712">_xlfn.IFS(
 K1712&lt;=50,"≤50",
 AND(K1712&gt;=51,K1712&lt;=100),"51–100",
 AND(K1712&gt;=101,K1712&lt;=250),"101–250",
 AND(K1712&gt;=251,K1712&lt;=500),"251–500",
 AND(K1712&gt;=501,K1712&lt;=1000),"501–1000",
 K1712&gt;=1001,"1001+"
)</f>
        <v>51–100</v>
      </c>
    </row>
    <row r="1713" spans="1:12" x14ac:dyDescent="0.3">
      <c r="A1713" t="s">
        <v>3284</v>
      </c>
      <c r="B1713" t="s">
        <v>9</v>
      </c>
      <c r="C1713" t="s">
        <v>5780</v>
      </c>
      <c r="D1713" t="s">
        <v>28</v>
      </c>
      <c r="E1713" t="s">
        <v>15</v>
      </c>
      <c r="F1713" t="s">
        <v>5770</v>
      </c>
      <c r="J1713" t="s">
        <v>5737</v>
      </c>
      <c r="K1713">
        <v>100</v>
      </c>
      <c r="L1713" t="str" cm="1">
        <f t="array" ref="L1713">_xlfn.IFS(
 K1713&lt;=50,"≤50",
 AND(K1713&gt;=51,K1713&lt;=100),"51–100",
 AND(K1713&gt;=101,K1713&lt;=250),"101–250",
 AND(K1713&gt;=251,K1713&lt;=500),"251–500",
 AND(K1713&gt;=501,K1713&lt;=1000),"501–1000",
 K1713&gt;=1001,"1001+"
)</f>
        <v>51–100</v>
      </c>
    </row>
    <row r="1714" spans="1:12" x14ac:dyDescent="0.3">
      <c r="A1714" t="s">
        <v>3285</v>
      </c>
      <c r="B1714" t="s">
        <v>13</v>
      </c>
      <c r="C1714" t="s">
        <v>5777</v>
      </c>
      <c r="D1714" t="s">
        <v>3286</v>
      </c>
      <c r="F1714" t="s">
        <v>5770</v>
      </c>
      <c r="J1714" t="s">
        <v>5737</v>
      </c>
      <c r="K1714">
        <v>100</v>
      </c>
      <c r="L1714" t="str" cm="1">
        <f t="array" ref="L1714">_xlfn.IFS(
 K1714&lt;=50,"≤50",
 AND(K1714&gt;=51,K1714&lt;=100),"51–100",
 AND(K1714&gt;=101,K1714&lt;=250),"101–250",
 AND(K1714&gt;=251,K1714&lt;=500),"251–500",
 AND(K1714&gt;=501,K1714&lt;=1000),"501–1000",
 K1714&gt;=1001,"1001+"
)</f>
        <v>51–100</v>
      </c>
    </row>
    <row r="1715" spans="1:12" x14ac:dyDescent="0.3">
      <c r="A1715" t="s">
        <v>3287</v>
      </c>
      <c r="B1715" t="s">
        <v>13</v>
      </c>
      <c r="C1715" t="s">
        <v>5777</v>
      </c>
      <c r="D1715" t="s">
        <v>3288</v>
      </c>
      <c r="F1715" t="s">
        <v>5770</v>
      </c>
      <c r="J1715" t="s">
        <v>5737</v>
      </c>
      <c r="K1715">
        <v>100</v>
      </c>
      <c r="L1715" t="str" cm="1">
        <f t="array" ref="L1715">_xlfn.IFS(
 K1715&lt;=50,"≤50",
 AND(K1715&gt;=51,K1715&lt;=100),"51–100",
 AND(K1715&gt;=101,K1715&lt;=250),"101–250",
 AND(K1715&gt;=251,K1715&lt;=500),"251–500",
 AND(K1715&gt;=501,K1715&lt;=1000),"501–1000",
 K1715&gt;=1001,"1001+"
)</f>
        <v>51–100</v>
      </c>
    </row>
    <row r="1716" spans="1:12" x14ac:dyDescent="0.3">
      <c r="A1716" t="s">
        <v>3289</v>
      </c>
      <c r="B1716" t="s">
        <v>9</v>
      </c>
      <c r="C1716" t="s">
        <v>5780</v>
      </c>
      <c r="D1716" t="s">
        <v>224</v>
      </c>
      <c r="E1716" t="s">
        <v>15</v>
      </c>
      <c r="F1716" t="s">
        <v>5770</v>
      </c>
      <c r="J1716" t="s">
        <v>5737</v>
      </c>
      <c r="K1716">
        <v>100</v>
      </c>
      <c r="L1716" t="str" cm="1">
        <f t="array" ref="L1716">_xlfn.IFS(
 K1716&lt;=50,"≤50",
 AND(K1716&gt;=51,K1716&lt;=100),"51–100",
 AND(K1716&gt;=101,K1716&lt;=250),"101–250",
 AND(K1716&gt;=251,K1716&lt;=500),"251–500",
 AND(K1716&gt;=501,K1716&lt;=1000),"501–1000",
 K1716&gt;=1001,"1001+"
)</f>
        <v>51–100</v>
      </c>
    </row>
    <row r="1717" spans="1:12" x14ac:dyDescent="0.3">
      <c r="A1717" t="s">
        <v>3290</v>
      </c>
      <c r="B1717" t="s">
        <v>13</v>
      </c>
      <c r="C1717" t="s">
        <v>5777</v>
      </c>
      <c r="D1717" t="s">
        <v>245</v>
      </c>
      <c r="E1717" t="s">
        <v>15</v>
      </c>
      <c r="F1717" t="s">
        <v>5770</v>
      </c>
      <c r="J1717" t="s">
        <v>5753</v>
      </c>
      <c r="K1717">
        <v>100</v>
      </c>
      <c r="L1717" t="str" cm="1">
        <f t="array" ref="L1717">_xlfn.IFS(
 K1717&lt;=50,"≤50",
 AND(K1717&gt;=51,K1717&lt;=100),"51–100",
 AND(K1717&gt;=101,K1717&lt;=250),"101–250",
 AND(K1717&gt;=251,K1717&lt;=500),"251–500",
 AND(K1717&gt;=501,K1717&lt;=1000),"501–1000",
 K1717&gt;=1001,"1001+"
)</f>
        <v>51–100</v>
      </c>
    </row>
    <row r="1718" spans="1:12" x14ac:dyDescent="0.3">
      <c r="A1718" t="s">
        <v>3291</v>
      </c>
      <c r="B1718" t="s">
        <v>11</v>
      </c>
      <c r="C1718" t="s">
        <v>5776</v>
      </c>
      <c r="F1718" t="s">
        <v>5770</v>
      </c>
      <c r="J1718" t="s">
        <v>5753</v>
      </c>
      <c r="K1718">
        <v>100</v>
      </c>
      <c r="L1718" t="str" cm="1">
        <f t="array" ref="L1718">_xlfn.IFS(
 K1718&lt;=50,"≤50",
 AND(K1718&gt;=51,K1718&lt;=100),"51–100",
 AND(K1718&gt;=101,K1718&lt;=250),"101–250",
 AND(K1718&gt;=251,K1718&lt;=500),"251–500",
 AND(K1718&gt;=501,K1718&lt;=1000),"501–1000",
 K1718&gt;=1001,"1001+"
)</f>
        <v>51–100</v>
      </c>
    </row>
    <row r="1719" spans="1:12" x14ac:dyDescent="0.3">
      <c r="A1719" t="s">
        <v>3292</v>
      </c>
      <c r="B1719" t="s">
        <v>13</v>
      </c>
      <c r="C1719" t="s">
        <v>5777</v>
      </c>
      <c r="D1719" t="s">
        <v>3293</v>
      </c>
      <c r="E1719" t="s">
        <v>15</v>
      </c>
      <c r="F1719" t="s">
        <v>20</v>
      </c>
      <c r="G1719" t="s">
        <v>2574</v>
      </c>
      <c r="J1719" t="s">
        <v>5754</v>
      </c>
      <c r="K1719">
        <v>100</v>
      </c>
      <c r="L1719" t="str" cm="1">
        <f t="array" ref="L1719">_xlfn.IFS(
 K1719&lt;=50,"≤50",
 AND(K1719&gt;=51,K1719&lt;=100),"51–100",
 AND(K1719&gt;=101,K1719&lt;=250),"101–250",
 AND(K1719&gt;=251,K1719&lt;=500),"251–500",
 AND(K1719&gt;=501,K1719&lt;=1000),"501–1000",
 K1719&gt;=1001,"1001+"
)</f>
        <v>51–100</v>
      </c>
    </row>
    <row r="1720" spans="1:12" x14ac:dyDescent="0.3">
      <c r="A1720" t="s">
        <v>3294</v>
      </c>
      <c r="B1720" t="s">
        <v>11</v>
      </c>
      <c r="C1720" t="s">
        <v>5776</v>
      </c>
      <c r="F1720" t="s">
        <v>5770</v>
      </c>
      <c r="J1720" t="s">
        <v>5742</v>
      </c>
      <c r="K1720">
        <v>100</v>
      </c>
      <c r="L1720" t="str" cm="1">
        <f t="array" ref="L1720">_xlfn.IFS(
 K1720&lt;=50,"≤50",
 AND(K1720&gt;=51,K1720&lt;=100),"51–100",
 AND(K1720&gt;=101,K1720&lt;=250),"101–250",
 AND(K1720&gt;=251,K1720&lt;=500),"251–500",
 AND(K1720&gt;=501,K1720&lt;=1000),"501–1000",
 K1720&gt;=1001,"1001+"
)</f>
        <v>51–100</v>
      </c>
    </row>
    <row r="1721" spans="1:12" x14ac:dyDescent="0.3">
      <c r="A1721" t="s">
        <v>3295</v>
      </c>
      <c r="B1721" t="s">
        <v>9</v>
      </c>
      <c r="C1721" t="s">
        <v>5780</v>
      </c>
      <c r="D1721" t="s">
        <v>28</v>
      </c>
      <c r="E1721" t="s">
        <v>15</v>
      </c>
      <c r="F1721" t="s">
        <v>20</v>
      </c>
      <c r="G1721" t="s">
        <v>135</v>
      </c>
      <c r="J1721" t="s">
        <v>5750</v>
      </c>
      <c r="K1721">
        <v>100</v>
      </c>
      <c r="L1721" t="str" cm="1">
        <f t="array" ref="L1721">_xlfn.IFS(
 K1721&lt;=50,"≤50",
 AND(K1721&gt;=51,K1721&lt;=100),"51–100",
 AND(K1721&gt;=101,K1721&lt;=250),"101–250",
 AND(K1721&gt;=251,K1721&lt;=500),"251–500",
 AND(K1721&gt;=501,K1721&lt;=1000),"501–1000",
 K1721&gt;=1001,"1001+"
)</f>
        <v>51–100</v>
      </c>
    </row>
    <row r="1722" spans="1:12" x14ac:dyDescent="0.3">
      <c r="A1722" t="s">
        <v>3296</v>
      </c>
      <c r="B1722" t="s">
        <v>13</v>
      </c>
      <c r="C1722" t="s">
        <v>5777</v>
      </c>
      <c r="D1722" t="s">
        <v>245</v>
      </c>
      <c r="F1722" t="s">
        <v>5770</v>
      </c>
      <c r="J1722" t="s">
        <v>5760</v>
      </c>
      <c r="K1722">
        <v>100</v>
      </c>
      <c r="L1722" t="str" cm="1">
        <f t="array" ref="L1722">_xlfn.IFS(
 K1722&lt;=50,"≤50",
 AND(K1722&gt;=51,K1722&lt;=100),"51–100",
 AND(K1722&gt;=101,K1722&lt;=250),"101–250",
 AND(K1722&gt;=251,K1722&lt;=500),"251–500",
 AND(K1722&gt;=501,K1722&lt;=1000),"501–1000",
 K1722&gt;=1001,"1001+"
)</f>
        <v>51–100</v>
      </c>
    </row>
    <row r="1723" spans="1:12" x14ac:dyDescent="0.3">
      <c r="A1723" t="s">
        <v>3297</v>
      </c>
      <c r="B1723" t="s">
        <v>197</v>
      </c>
      <c r="C1723" t="s">
        <v>5774</v>
      </c>
      <c r="D1723" t="s">
        <v>3298</v>
      </c>
      <c r="E1723" t="s">
        <v>15</v>
      </c>
      <c r="F1723" t="s">
        <v>54</v>
      </c>
      <c r="G1723" t="s">
        <v>3299</v>
      </c>
      <c r="J1723" t="s">
        <v>5760</v>
      </c>
      <c r="K1723">
        <v>100</v>
      </c>
      <c r="L1723" t="str" cm="1">
        <f t="array" ref="L1723">_xlfn.IFS(
 K1723&lt;=50,"≤50",
 AND(K1723&gt;=51,K1723&lt;=100),"51–100",
 AND(K1723&gt;=101,K1723&lt;=250),"101–250",
 AND(K1723&gt;=251,K1723&lt;=500),"251–500",
 AND(K1723&gt;=501,K1723&lt;=1000),"501–1000",
 K1723&gt;=1001,"1001+"
)</f>
        <v>51–100</v>
      </c>
    </row>
    <row r="1724" spans="1:12" x14ac:dyDescent="0.3">
      <c r="A1724" t="s">
        <v>3300</v>
      </c>
      <c r="B1724" t="s">
        <v>9</v>
      </c>
      <c r="C1724" t="s">
        <v>5780</v>
      </c>
      <c r="D1724" t="s">
        <v>3301</v>
      </c>
      <c r="F1724" t="s">
        <v>5770</v>
      </c>
      <c r="J1724" t="s">
        <v>5740</v>
      </c>
      <c r="K1724">
        <v>100</v>
      </c>
      <c r="L1724" t="str" cm="1">
        <f t="array" ref="L1724">_xlfn.IFS(
 K1724&lt;=50,"≤50",
 AND(K1724&gt;=51,K1724&lt;=100),"51–100",
 AND(K1724&gt;=101,K1724&lt;=250),"101–250",
 AND(K1724&gt;=251,K1724&lt;=500),"251–500",
 AND(K1724&gt;=501,K1724&lt;=1000),"501–1000",
 K1724&gt;=1001,"1001+"
)</f>
        <v>51–100</v>
      </c>
    </row>
    <row r="1725" spans="1:12" x14ac:dyDescent="0.3">
      <c r="A1725" t="s">
        <v>3302</v>
      </c>
      <c r="B1725" t="s">
        <v>13</v>
      </c>
      <c r="C1725" t="s">
        <v>5777</v>
      </c>
      <c r="D1725" t="s">
        <v>3303</v>
      </c>
      <c r="E1725" t="s">
        <v>15</v>
      </c>
      <c r="F1725" t="s">
        <v>54</v>
      </c>
      <c r="G1725" t="s">
        <v>3304</v>
      </c>
      <c r="J1725" t="s">
        <v>5760</v>
      </c>
      <c r="K1725">
        <v>100</v>
      </c>
      <c r="L1725" t="str" cm="1">
        <f t="array" ref="L1725">_xlfn.IFS(
 K1725&lt;=50,"≤50",
 AND(K1725&gt;=51,K1725&lt;=100),"51–100",
 AND(K1725&gt;=101,K1725&lt;=250),"101–250",
 AND(K1725&gt;=251,K1725&lt;=500),"251–500",
 AND(K1725&gt;=501,K1725&lt;=1000),"501–1000",
 K1725&gt;=1001,"1001+"
)</f>
        <v>51–100</v>
      </c>
    </row>
    <row r="1726" spans="1:12" x14ac:dyDescent="0.3">
      <c r="A1726" t="s">
        <v>3305</v>
      </c>
      <c r="B1726" t="s">
        <v>9</v>
      </c>
      <c r="C1726" t="s">
        <v>5780</v>
      </c>
      <c r="D1726" t="s">
        <v>3306</v>
      </c>
      <c r="E1726" t="s">
        <v>15</v>
      </c>
      <c r="F1726" t="s">
        <v>20</v>
      </c>
      <c r="G1726" t="s">
        <v>3307</v>
      </c>
      <c r="J1726" t="s">
        <v>5738</v>
      </c>
      <c r="K1726">
        <v>100</v>
      </c>
      <c r="L1726" t="str" cm="1">
        <f t="array" ref="L1726">_xlfn.IFS(
 K1726&lt;=50,"≤50",
 AND(K1726&gt;=51,K1726&lt;=100),"51–100",
 AND(K1726&gt;=101,K1726&lt;=250),"101–250",
 AND(K1726&gt;=251,K1726&lt;=500),"251–500",
 AND(K1726&gt;=501,K1726&lt;=1000),"501–1000",
 K1726&gt;=1001,"1001+"
)</f>
        <v>51–100</v>
      </c>
    </row>
    <row r="1727" spans="1:12" x14ac:dyDescent="0.3">
      <c r="A1727" t="s">
        <v>3308</v>
      </c>
      <c r="B1727" t="s">
        <v>9</v>
      </c>
      <c r="C1727" t="s">
        <v>5780</v>
      </c>
      <c r="D1727" t="s">
        <v>28</v>
      </c>
      <c r="F1727" t="s">
        <v>5770</v>
      </c>
      <c r="J1727" t="s">
        <v>5738</v>
      </c>
      <c r="K1727">
        <v>100</v>
      </c>
      <c r="L1727" t="str" cm="1">
        <f t="array" ref="L1727">_xlfn.IFS(
 K1727&lt;=50,"≤50",
 AND(K1727&gt;=51,K1727&lt;=100),"51–100",
 AND(K1727&gt;=101,K1727&lt;=250),"101–250",
 AND(K1727&gt;=251,K1727&lt;=500),"251–500",
 AND(K1727&gt;=501,K1727&lt;=1000),"501–1000",
 K1727&gt;=1001,"1001+"
)</f>
        <v>51–100</v>
      </c>
    </row>
    <row r="1728" spans="1:12" x14ac:dyDescent="0.3">
      <c r="A1728" t="s">
        <v>3309</v>
      </c>
      <c r="B1728" t="s">
        <v>9</v>
      </c>
      <c r="C1728" t="s">
        <v>5780</v>
      </c>
      <c r="D1728" t="s">
        <v>3310</v>
      </c>
      <c r="F1728" t="s">
        <v>5770</v>
      </c>
      <c r="J1728" t="s">
        <v>5738</v>
      </c>
      <c r="K1728">
        <v>100</v>
      </c>
      <c r="L1728" t="str" cm="1">
        <f t="array" ref="L1728">_xlfn.IFS(
 K1728&lt;=50,"≤50",
 AND(K1728&gt;=51,K1728&lt;=100),"51–100",
 AND(K1728&gt;=101,K1728&lt;=250),"101–250",
 AND(K1728&gt;=251,K1728&lt;=500),"251–500",
 AND(K1728&gt;=501,K1728&lt;=1000),"501–1000",
 K1728&gt;=1001,"1001+"
)</f>
        <v>51–100</v>
      </c>
    </row>
    <row r="1729" spans="1:12" x14ac:dyDescent="0.3">
      <c r="A1729" t="s">
        <v>3311</v>
      </c>
      <c r="B1729" t="s">
        <v>9</v>
      </c>
      <c r="C1729" t="s">
        <v>5780</v>
      </c>
      <c r="D1729" t="s">
        <v>28</v>
      </c>
      <c r="F1729" t="s">
        <v>20</v>
      </c>
      <c r="G1729" t="s">
        <v>21</v>
      </c>
      <c r="J1729" t="s">
        <v>5738</v>
      </c>
      <c r="K1729">
        <v>100</v>
      </c>
      <c r="L1729" t="str" cm="1">
        <f t="array" ref="L1729">_xlfn.IFS(
 K1729&lt;=50,"≤50",
 AND(K1729&gt;=51,K1729&lt;=100),"51–100",
 AND(K1729&gt;=101,K1729&lt;=250),"101–250",
 AND(K1729&gt;=251,K1729&lt;=500),"251–500",
 AND(K1729&gt;=501,K1729&lt;=1000),"501–1000",
 K1729&gt;=1001,"1001+"
)</f>
        <v>51–100</v>
      </c>
    </row>
    <row r="1730" spans="1:12" x14ac:dyDescent="0.3">
      <c r="A1730" t="s">
        <v>3312</v>
      </c>
      <c r="B1730" t="s">
        <v>13</v>
      </c>
      <c r="C1730" t="s">
        <v>5777</v>
      </c>
      <c r="D1730" t="s">
        <v>3313</v>
      </c>
      <c r="E1730" t="s">
        <v>15</v>
      </c>
      <c r="F1730" t="s">
        <v>20</v>
      </c>
      <c r="G1730" t="s">
        <v>3021</v>
      </c>
      <c r="J1730" t="s">
        <v>5743</v>
      </c>
      <c r="K1730">
        <v>100</v>
      </c>
      <c r="L1730" t="str" cm="1">
        <f t="array" ref="L1730">_xlfn.IFS(
 K1730&lt;=50,"≤50",
 AND(K1730&gt;=51,K1730&lt;=100),"51–100",
 AND(K1730&gt;=101,K1730&lt;=250),"101–250",
 AND(K1730&gt;=251,K1730&lt;=500),"251–500",
 AND(K1730&gt;=501,K1730&lt;=1000),"501–1000",
 K1730&gt;=1001,"1001+"
)</f>
        <v>51–100</v>
      </c>
    </row>
    <row r="1731" spans="1:12" x14ac:dyDescent="0.3">
      <c r="A1731" t="s">
        <v>3314</v>
      </c>
      <c r="B1731" t="s">
        <v>11</v>
      </c>
      <c r="C1731" t="s">
        <v>5776</v>
      </c>
      <c r="F1731" t="s">
        <v>5770</v>
      </c>
      <c r="J1731" t="s">
        <v>5743</v>
      </c>
      <c r="K1731">
        <v>100</v>
      </c>
      <c r="L1731" t="str" cm="1">
        <f t="array" ref="L1731">_xlfn.IFS(
 K1731&lt;=50,"≤50",
 AND(K1731&gt;=51,K1731&lt;=100),"51–100",
 AND(K1731&gt;=101,K1731&lt;=250),"101–250",
 AND(K1731&gt;=251,K1731&lt;=500),"251–500",
 AND(K1731&gt;=501,K1731&lt;=1000),"501–1000",
 K1731&gt;=1001,"1001+"
)</f>
        <v>51–100</v>
      </c>
    </row>
    <row r="1732" spans="1:12" x14ac:dyDescent="0.3">
      <c r="A1732" t="s">
        <v>3315</v>
      </c>
      <c r="B1732" t="s">
        <v>11</v>
      </c>
      <c r="C1732" t="s">
        <v>5776</v>
      </c>
      <c r="F1732" t="s">
        <v>5770</v>
      </c>
      <c r="J1732" t="s">
        <v>5737</v>
      </c>
      <c r="K1732">
        <v>100</v>
      </c>
      <c r="L1732" t="str" cm="1">
        <f t="array" ref="L1732">_xlfn.IFS(
 K1732&lt;=50,"≤50",
 AND(K1732&gt;=51,K1732&lt;=100),"51–100",
 AND(K1732&gt;=101,K1732&lt;=250),"101–250",
 AND(K1732&gt;=251,K1732&lt;=500),"251–500",
 AND(K1732&gt;=501,K1732&lt;=1000),"501–1000",
 K1732&gt;=1001,"1001+"
)</f>
        <v>51–100</v>
      </c>
    </row>
    <row r="1733" spans="1:12" x14ac:dyDescent="0.3">
      <c r="A1733" t="s">
        <v>3316</v>
      </c>
      <c r="B1733" t="s">
        <v>11</v>
      </c>
      <c r="C1733" t="s">
        <v>5776</v>
      </c>
      <c r="F1733" t="s">
        <v>5770</v>
      </c>
      <c r="J1733" t="s">
        <v>5737</v>
      </c>
      <c r="K1733">
        <v>100</v>
      </c>
      <c r="L1733" t="str" cm="1">
        <f t="array" ref="L1733">_xlfn.IFS(
 K1733&lt;=50,"≤50",
 AND(K1733&gt;=51,K1733&lt;=100),"51–100",
 AND(K1733&gt;=101,K1733&lt;=250),"101–250",
 AND(K1733&gt;=251,K1733&lt;=500),"251–500",
 AND(K1733&gt;=501,K1733&lt;=1000),"501–1000",
 K1733&gt;=1001,"1001+"
)</f>
        <v>51–100</v>
      </c>
    </row>
    <row r="1734" spans="1:12" x14ac:dyDescent="0.3">
      <c r="A1734" t="s">
        <v>3317</v>
      </c>
      <c r="B1734" t="s">
        <v>9</v>
      </c>
      <c r="C1734" t="s">
        <v>5780</v>
      </c>
      <c r="D1734" t="s">
        <v>28</v>
      </c>
      <c r="E1734" t="s">
        <v>15</v>
      </c>
      <c r="F1734" t="s">
        <v>20</v>
      </c>
      <c r="G1734" t="s">
        <v>3318</v>
      </c>
      <c r="J1734" t="s">
        <v>5737</v>
      </c>
      <c r="K1734">
        <v>100</v>
      </c>
      <c r="L1734" t="str" cm="1">
        <f t="array" ref="L1734">_xlfn.IFS(
 K1734&lt;=50,"≤50",
 AND(K1734&gt;=51,K1734&lt;=100),"51–100",
 AND(K1734&gt;=101,K1734&lt;=250),"101–250",
 AND(K1734&gt;=251,K1734&lt;=500),"251–500",
 AND(K1734&gt;=501,K1734&lt;=1000),"501–1000",
 K1734&gt;=1001,"1001+"
)</f>
        <v>51–100</v>
      </c>
    </row>
    <row r="1735" spans="1:12" x14ac:dyDescent="0.3">
      <c r="A1735" t="s">
        <v>3319</v>
      </c>
      <c r="B1735" t="s">
        <v>11</v>
      </c>
      <c r="C1735" t="s">
        <v>5776</v>
      </c>
      <c r="F1735" t="s">
        <v>5770</v>
      </c>
      <c r="J1735" t="s">
        <v>5737</v>
      </c>
      <c r="K1735">
        <v>100</v>
      </c>
      <c r="L1735" t="str" cm="1">
        <f t="array" ref="L1735">_xlfn.IFS(
 K1735&lt;=50,"≤50",
 AND(K1735&gt;=51,K1735&lt;=100),"51–100",
 AND(K1735&gt;=101,K1735&lt;=250),"101–250",
 AND(K1735&gt;=251,K1735&lt;=500),"251–500",
 AND(K1735&gt;=501,K1735&lt;=1000),"501–1000",
 K1735&gt;=1001,"1001+"
)</f>
        <v>51–100</v>
      </c>
    </row>
    <row r="1736" spans="1:12" x14ac:dyDescent="0.3">
      <c r="A1736" t="s">
        <v>3320</v>
      </c>
      <c r="B1736" t="s">
        <v>13</v>
      </c>
      <c r="C1736" t="s">
        <v>5777</v>
      </c>
      <c r="D1736" t="s">
        <v>3321</v>
      </c>
      <c r="F1736" t="s">
        <v>20</v>
      </c>
      <c r="G1736" t="s">
        <v>135</v>
      </c>
      <c r="J1736" t="s">
        <v>5737</v>
      </c>
      <c r="K1736">
        <v>100</v>
      </c>
      <c r="L1736" t="str" cm="1">
        <f t="array" ref="L1736">_xlfn.IFS(
 K1736&lt;=50,"≤50",
 AND(K1736&gt;=51,K1736&lt;=100),"51–100",
 AND(K1736&gt;=101,K1736&lt;=250),"101–250",
 AND(K1736&gt;=251,K1736&lt;=500),"251–500",
 AND(K1736&gt;=501,K1736&lt;=1000),"501–1000",
 K1736&gt;=1001,"1001+"
)</f>
        <v>51–100</v>
      </c>
    </row>
    <row r="1737" spans="1:12" x14ac:dyDescent="0.3">
      <c r="A1737" t="s">
        <v>3322</v>
      </c>
      <c r="B1737" t="s">
        <v>9</v>
      </c>
      <c r="C1737" t="s">
        <v>5780</v>
      </c>
      <c r="D1737" t="s">
        <v>28</v>
      </c>
      <c r="F1737" t="s">
        <v>5770</v>
      </c>
      <c r="J1737" t="s">
        <v>5737</v>
      </c>
      <c r="K1737">
        <v>100</v>
      </c>
      <c r="L1737" t="str" cm="1">
        <f t="array" ref="L1737">_xlfn.IFS(
 K1737&lt;=50,"≤50",
 AND(K1737&gt;=51,K1737&lt;=100),"51–100",
 AND(K1737&gt;=101,K1737&lt;=250),"101–250",
 AND(K1737&gt;=251,K1737&lt;=500),"251–500",
 AND(K1737&gt;=501,K1737&lt;=1000),"501–1000",
 K1737&gt;=1001,"1001+"
)</f>
        <v>51–100</v>
      </c>
    </row>
    <row r="1738" spans="1:12" x14ac:dyDescent="0.3">
      <c r="A1738" t="s">
        <v>3323</v>
      </c>
      <c r="B1738" t="s">
        <v>9</v>
      </c>
      <c r="C1738" t="s">
        <v>5780</v>
      </c>
      <c r="D1738" t="s">
        <v>3324</v>
      </c>
      <c r="E1738" t="s">
        <v>15</v>
      </c>
      <c r="F1738" t="s">
        <v>16</v>
      </c>
      <c r="G1738" t="s">
        <v>3325</v>
      </c>
      <c r="J1738" t="s">
        <v>5737</v>
      </c>
      <c r="K1738">
        <v>100</v>
      </c>
      <c r="L1738" t="str" cm="1">
        <f t="array" ref="L1738">_xlfn.IFS(
 K1738&lt;=50,"≤50",
 AND(K1738&gt;=51,K1738&lt;=100),"51–100",
 AND(K1738&gt;=101,K1738&lt;=250),"101–250",
 AND(K1738&gt;=251,K1738&lt;=500),"251–500",
 AND(K1738&gt;=501,K1738&lt;=1000),"501–1000",
 K1738&gt;=1001,"1001+"
)</f>
        <v>51–100</v>
      </c>
    </row>
    <row r="1739" spans="1:12" x14ac:dyDescent="0.3">
      <c r="A1739" t="s">
        <v>3326</v>
      </c>
      <c r="B1739" t="s">
        <v>9</v>
      </c>
      <c r="C1739" t="s">
        <v>5780</v>
      </c>
      <c r="D1739" t="s">
        <v>3327</v>
      </c>
      <c r="F1739" t="s">
        <v>16</v>
      </c>
      <c r="G1739" t="s">
        <v>360</v>
      </c>
      <c r="J1739" t="s">
        <v>5744</v>
      </c>
      <c r="K1739">
        <v>100</v>
      </c>
      <c r="L1739" t="str" cm="1">
        <f t="array" ref="L1739">_xlfn.IFS(
 K1739&lt;=50,"≤50",
 AND(K1739&gt;=51,K1739&lt;=100),"51–100",
 AND(K1739&gt;=101,K1739&lt;=250),"101–250",
 AND(K1739&gt;=251,K1739&lt;=500),"251–500",
 AND(K1739&gt;=501,K1739&lt;=1000),"501–1000",
 K1739&gt;=1001,"1001+"
)</f>
        <v>51–100</v>
      </c>
    </row>
    <row r="1740" spans="1:12" x14ac:dyDescent="0.3">
      <c r="A1740" t="s">
        <v>3328</v>
      </c>
      <c r="B1740" t="s">
        <v>13</v>
      </c>
      <c r="C1740" t="s">
        <v>5777</v>
      </c>
      <c r="D1740" t="s">
        <v>3329</v>
      </c>
      <c r="F1740" t="s">
        <v>20</v>
      </c>
      <c r="G1740" t="s">
        <v>3330</v>
      </c>
      <c r="J1740" t="s">
        <v>5751</v>
      </c>
      <c r="K1740">
        <v>100</v>
      </c>
      <c r="L1740" t="str" cm="1">
        <f t="array" ref="L1740">_xlfn.IFS(
 K1740&lt;=50,"≤50",
 AND(K1740&gt;=51,K1740&lt;=100),"51–100",
 AND(K1740&gt;=101,K1740&lt;=250),"101–250",
 AND(K1740&gt;=251,K1740&lt;=500),"251–500",
 AND(K1740&gt;=501,K1740&lt;=1000),"501–1000",
 K1740&gt;=1001,"1001+"
)</f>
        <v>51–100</v>
      </c>
    </row>
    <row r="1741" spans="1:12" x14ac:dyDescent="0.3">
      <c r="A1741" t="s">
        <v>3331</v>
      </c>
      <c r="B1741" t="s">
        <v>9</v>
      </c>
      <c r="C1741" t="s">
        <v>5780</v>
      </c>
      <c r="D1741" t="s">
        <v>3332</v>
      </c>
      <c r="E1741" t="s">
        <v>15</v>
      </c>
      <c r="F1741" t="s">
        <v>20</v>
      </c>
      <c r="G1741" t="s">
        <v>21</v>
      </c>
      <c r="J1741" t="s">
        <v>5753</v>
      </c>
      <c r="K1741">
        <v>100</v>
      </c>
      <c r="L1741" t="str" cm="1">
        <f t="array" ref="L1741">_xlfn.IFS(
 K1741&lt;=50,"≤50",
 AND(K1741&gt;=51,K1741&lt;=100),"51–100",
 AND(K1741&gt;=101,K1741&lt;=250),"101–250",
 AND(K1741&gt;=251,K1741&lt;=500),"251–500",
 AND(K1741&gt;=501,K1741&lt;=1000),"501–1000",
 K1741&gt;=1001,"1001+"
)</f>
        <v>51–100</v>
      </c>
    </row>
    <row r="1742" spans="1:12" x14ac:dyDescent="0.3">
      <c r="A1742" t="s">
        <v>3333</v>
      </c>
      <c r="B1742" t="s">
        <v>9</v>
      </c>
      <c r="C1742" t="s">
        <v>5780</v>
      </c>
      <c r="D1742" t="s">
        <v>3334</v>
      </c>
      <c r="F1742" t="s">
        <v>20</v>
      </c>
      <c r="G1742" t="s">
        <v>21</v>
      </c>
      <c r="J1742" t="s">
        <v>5754</v>
      </c>
      <c r="K1742">
        <v>100</v>
      </c>
      <c r="L1742" t="str" cm="1">
        <f t="array" ref="L1742">_xlfn.IFS(
 K1742&lt;=50,"≤50",
 AND(K1742&gt;=51,K1742&lt;=100),"51–100",
 AND(K1742&gt;=101,K1742&lt;=250),"101–250",
 AND(K1742&gt;=251,K1742&lt;=500),"251–500",
 AND(K1742&gt;=501,K1742&lt;=1000),"501–1000",
 K1742&gt;=1001,"1001+"
)</f>
        <v>51–100</v>
      </c>
    </row>
    <row r="1743" spans="1:12" x14ac:dyDescent="0.3">
      <c r="A1743" t="s">
        <v>3335</v>
      </c>
      <c r="B1743" t="s">
        <v>9</v>
      </c>
      <c r="C1743" t="s">
        <v>5780</v>
      </c>
      <c r="D1743" t="s">
        <v>3336</v>
      </c>
      <c r="E1743" t="s">
        <v>15</v>
      </c>
      <c r="F1743" t="s">
        <v>20</v>
      </c>
      <c r="G1743" t="s">
        <v>21</v>
      </c>
      <c r="J1743" t="s">
        <v>5741</v>
      </c>
      <c r="K1743">
        <v>100</v>
      </c>
      <c r="L1743" t="str" cm="1">
        <f t="array" ref="L1743">_xlfn.IFS(
 K1743&lt;=50,"≤50",
 AND(K1743&gt;=51,K1743&lt;=100),"51–100",
 AND(K1743&gt;=101,K1743&lt;=250),"101–250",
 AND(K1743&gt;=251,K1743&lt;=500),"251–500",
 AND(K1743&gt;=501,K1743&lt;=1000),"501–1000",
 K1743&gt;=1001,"1001+"
)</f>
        <v>51–100</v>
      </c>
    </row>
    <row r="1744" spans="1:12" x14ac:dyDescent="0.3">
      <c r="A1744" t="s">
        <v>3337</v>
      </c>
      <c r="B1744" t="s">
        <v>9</v>
      </c>
      <c r="C1744" t="s">
        <v>5780</v>
      </c>
      <c r="D1744" t="s">
        <v>3338</v>
      </c>
      <c r="F1744" t="s">
        <v>20</v>
      </c>
      <c r="G1744" t="s">
        <v>3339</v>
      </c>
      <c r="J1744" t="s">
        <v>5749</v>
      </c>
      <c r="K1744">
        <v>100</v>
      </c>
      <c r="L1744" t="str" cm="1">
        <f t="array" ref="L1744">_xlfn.IFS(
 K1744&lt;=50,"≤50",
 AND(K1744&gt;=51,K1744&lt;=100),"51–100",
 AND(K1744&gt;=101,K1744&lt;=250),"101–250",
 AND(K1744&gt;=251,K1744&lt;=500),"251–500",
 AND(K1744&gt;=501,K1744&lt;=1000),"501–1000",
 K1744&gt;=1001,"1001+"
)</f>
        <v>51–100</v>
      </c>
    </row>
    <row r="1745" spans="1:12" x14ac:dyDescent="0.3">
      <c r="A1745" t="s">
        <v>3340</v>
      </c>
      <c r="B1745" t="s">
        <v>13</v>
      </c>
      <c r="C1745" t="s">
        <v>5777</v>
      </c>
      <c r="D1745" t="s">
        <v>3341</v>
      </c>
      <c r="E1745" t="s">
        <v>15</v>
      </c>
      <c r="F1745" t="s">
        <v>5770</v>
      </c>
      <c r="J1745" t="s">
        <v>5747</v>
      </c>
      <c r="K1745">
        <v>100</v>
      </c>
      <c r="L1745" t="str" cm="1">
        <f t="array" ref="L1745">_xlfn.IFS(
 K1745&lt;=50,"≤50",
 AND(K1745&gt;=51,K1745&lt;=100),"51–100",
 AND(K1745&gt;=101,K1745&lt;=250),"101–250",
 AND(K1745&gt;=251,K1745&lt;=500),"251–500",
 AND(K1745&gt;=501,K1745&lt;=1000),"501–1000",
 K1745&gt;=1001,"1001+"
)</f>
        <v>51–100</v>
      </c>
    </row>
    <row r="1746" spans="1:12" x14ac:dyDescent="0.3">
      <c r="A1746" t="s">
        <v>3342</v>
      </c>
      <c r="B1746" t="s">
        <v>9</v>
      </c>
      <c r="C1746" t="s">
        <v>5780</v>
      </c>
      <c r="D1746" t="s">
        <v>1033</v>
      </c>
      <c r="E1746" t="s">
        <v>15</v>
      </c>
      <c r="F1746" t="s">
        <v>54</v>
      </c>
      <c r="G1746" t="s">
        <v>1419</v>
      </c>
      <c r="J1746" t="s">
        <v>5760</v>
      </c>
      <c r="K1746">
        <v>100</v>
      </c>
      <c r="L1746" t="str" cm="1">
        <f t="array" ref="L1746">_xlfn.IFS(
 K1746&lt;=50,"≤50",
 AND(K1746&gt;=51,K1746&lt;=100),"51–100",
 AND(K1746&gt;=101,K1746&lt;=250),"101–250",
 AND(K1746&gt;=251,K1746&lt;=500),"251–500",
 AND(K1746&gt;=501,K1746&lt;=1000),"501–1000",
 K1746&gt;=1001,"1001+"
)</f>
        <v>51–100</v>
      </c>
    </row>
    <row r="1747" spans="1:12" x14ac:dyDescent="0.3">
      <c r="A1747" t="s">
        <v>3343</v>
      </c>
      <c r="B1747" t="s">
        <v>9</v>
      </c>
      <c r="C1747" t="s">
        <v>5780</v>
      </c>
      <c r="D1747" t="s">
        <v>3344</v>
      </c>
      <c r="E1747" t="s">
        <v>15</v>
      </c>
      <c r="F1747" t="s">
        <v>20</v>
      </c>
      <c r="G1747" t="s">
        <v>21</v>
      </c>
      <c r="J1747" t="s">
        <v>5740</v>
      </c>
      <c r="K1747">
        <v>100</v>
      </c>
      <c r="L1747" t="str" cm="1">
        <f t="array" ref="L1747">_xlfn.IFS(
 K1747&lt;=50,"≤50",
 AND(K1747&gt;=51,K1747&lt;=100),"51–100",
 AND(K1747&gt;=101,K1747&lt;=250),"101–250",
 AND(K1747&gt;=251,K1747&lt;=500),"251–500",
 AND(K1747&gt;=501,K1747&lt;=1000),"501–1000",
 K1747&gt;=1001,"1001+"
)</f>
        <v>51–100</v>
      </c>
    </row>
    <row r="1748" spans="1:12" x14ac:dyDescent="0.3">
      <c r="A1748" t="s">
        <v>3345</v>
      </c>
      <c r="B1748" t="s">
        <v>9</v>
      </c>
      <c r="C1748" t="s">
        <v>5780</v>
      </c>
      <c r="D1748" t="s">
        <v>3346</v>
      </c>
      <c r="E1748" t="s">
        <v>15</v>
      </c>
      <c r="F1748" t="s">
        <v>20</v>
      </c>
      <c r="G1748" t="s">
        <v>135</v>
      </c>
      <c r="J1748" t="s">
        <v>5761</v>
      </c>
      <c r="K1748">
        <v>100</v>
      </c>
      <c r="L1748" t="str" cm="1">
        <f t="array" ref="L1748">_xlfn.IFS(
 K1748&lt;=50,"≤50",
 AND(K1748&gt;=51,K1748&lt;=100),"51–100",
 AND(K1748&gt;=101,K1748&lt;=250),"101–250",
 AND(K1748&gt;=251,K1748&lt;=500),"251–500",
 AND(K1748&gt;=501,K1748&lt;=1000),"501–1000",
 K1748&gt;=1001,"1001+"
)</f>
        <v>51–100</v>
      </c>
    </row>
    <row r="1749" spans="1:12" x14ac:dyDescent="0.3">
      <c r="A1749" t="s">
        <v>3347</v>
      </c>
      <c r="B1749" t="s">
        <v>13</v>
      </c>
      <c r="C1749" t="s">
        <v>5777</v>
      </c>
      <c r="D1749" t="s">
        <v>3348</v>
      </c>
      <c r="F1749" t="s">
        <v>5770</v>
      </c>
      <c r="J1749" t="s">
        <v>5737</v>
      </c>
      <c r="K1749">
        <v>100</v>
      </c>
      <c r="L1749" t="str" cm="1">
        <f t="array" ref="L1749">_xlfn.IFS(
 K1749&lt;=50,"≤50",
 AND(K1749&gt;=51,K1749&lt;=100),"51–100",
 AND(K1749&gt;=101,K1749&lt;=250),"101–250",
 AND(K1749&gt;=251,K1749&lt;=500),"251–500",
 AND(K1749&gt;=501,K1749&lt;=1000),"501–1000",
 K1749&gt;=1001,"1001+"
)</f>
        <v>51–100</v>
      </c>
    </row>
    <row r="1750" spans="1:12" x14ac:dyDescent="0.3">
      <c r="A1750" t="s">
        <v>3349</v>
      </c>
      <c r="B1750" t="s">
        <v>9</v>
      </c>
      <c r="C1750" t="s">
        <v>5780</v>
      </c>
      <c r="D1750" t="s">
        <v>3350</v>
      </c>
      <c r="E1750" t="s">
        <v>15</v>
      </c>
      <c r="F1750" t="s">
        <v>54</v>
      </c>
      <c r="G1750" t="s">
        <v>3351</v>
      </c>
      <c r="J1750" t="s">
        <v>5737</v>
      </c>
      <c r="K1750">
        <v>100</v>
      </c>
      <c r="L1750" t="str" cm="1">
        <f t="array" ref="L1750">_xlfn.IFS(
 K1750&lt;=50,"≤50",
 AND(K1750&gt;=51,K1750&lt;=100),"51–100",
 AND(K1750&gt;=101,K1750&lt;=250),"101–250",
 AND(K1750&gt;=251,K1750&lt;=500),"251–500",
 AND(K1750&gt;=501,K1750&lt;=1000),"501–1000",
 K1750&gt;=1001,"1001+"
)</f>
        <v>51–100</v>
      </c>
    </row>
    <row r="1751" spans="1:12" x14ac:dyDescent="0.3">
      <c r="A1751" t="s">
        <v>3352</v>
      </c>
      <c r="B1751" t="s">
        <v>9</v>
      </c>
      <c r="C1751" t="s">
        <v>5780</v>
      </c>
      <c r="D1751" t="s">
        <v>3353</v>
      </c>
      <c r="E1751" t="s">
        <v>15</v>
      </c>
      <c r="F1751" t="s">
        <v>20</v>
      </c>
      <c r="G1751" t="s">
        <v>3354</v>
      </c>
      <c r="J1751" t="s">
        <v>5737</v>
      </c>
      <c r="K1751">
        <v>100</v>
      </c>
      <c r="L1751" t="str" cm="1">
        <f t="array" ref="L1751">_xlfn.IFS(
 K1751&lt;=50,"≤50",
 AND(K1751&gt;=51,K1751&lt;=100),"51–100",
 AND(K1751&gt;=101,K1751&lt;=250),"101–250",
 AND(K1751&gt;=251,K1751&lt;=500),"251–500",
 AND(K1751&gt;=501,K1751&lt;=1000),"501–1000",
 K1751&gt;=1001,"1001+"
)</f>
        <v>51–100</v>
      </c>
    </row>
    <row r="1752" spans="1:12" x14ac:dyDescent="0.3">
      <c r="A1752" t="s">
        <v>3355</v>
      </c>
      <c r="B1752" t="s">
        <v>9</v>
      </c>
      <c r="C1752" t="s">
        <v>5780</v>
      </c>
      <c r="D1752" t="s">
        <v>3356</v>
      </c>
      <c r="F1752" t="s">
        <v>5770</v>
      </c>
      <c r="J1752" t="s">
        <v>5737</v>
      </c>
      <c r="K1752">
        <v>100</v>
      </c>
      <c r="L1752" t="str" cm="1">
        <f t="array" ref="L1752">_xlfn.IFS(
 K1752&lt;=50,"≤50",
 AND(K1752&gt;=51,K1752&lt;=100),"51–100",
 AND(K1752&gt;=101,K1752&lt;=250),"101–250",
 AND(K1752&gt;=251,K1752&lt;=500),"251–500",
 AND(K1752&gt;=501,K1752&lt;=1000),"501–1000",
 K1752&gt;=1001,"1001+"
)</f>
        <v>51–100</v>
      </c>
    </row>
    <row r="1753" spans="1:12" x14ac:dyDescent="0.3">
      <c r="A1753" t="s">
        <v>3357</v>
      </c>
      <c r="B1753" t="s">
        <v>13</v>
      </c>
      <c r="C1753" t="s">
        <v>5777</v>
      </c>
      <c r="D1753" t="s">
        <v>3358</v>
      </c>
      <c r="F1753" t="s">
        <v>20</v>
      </c>
      <c r="G1753" t="s">
        <v>21</v>
      </c>
      <c r="J1753" t="s">
        <v>5739</v>
      </c>
      <c r="K1753">
        <v>100</v>
      </c>
      <c r="L1753" t="str" cm="1">
        <f t="array" ref="L1753">_xlfn.IFS(
 K1753&lt;=50,"≤50",
 AND(K1753&gt;=51,K1753&lt;=100),"51–100",
 AND(K1753&gt;=101,K1753&lt;=250),"101–250",
 AND(K1753&gt;=251,K1753&lt;=500),"251–500",
 AND(K1753&gt;=501,K1753&lt;=1000),"501–1000",
 K1753&gt;=1001,"1001+"
)</f>
        <v>51–100</v>
      </c>
    </row>
    <row r="1754" spans="1:12" x14ac:dyDescent="0.3">
      <c r="A1754" t="s">
        <v>3359</v>
      </c>
      <c r="B1754" t="s">
        <v>13</v>
      </c>
      <c r="C1754" t="s">
        <v>5777</v>
      </c>
      <c r="D1754" t="s">
        <v>3360</v>
      </c>
      <c r="F1754" t="s">
        <v>20</v>
      </c>
      <c r="G1754" t="s">
        <v>21</v>
      </c>
      <c r="J1754" t="s">
        <v>5740</v>
      </c>
      <c r="K1754">
        <v>100</v>
      </c>
      <c r="L1754" t="str" cm="1">
        <f t="array" ref="L1754">_xlfn.IFS(
 K1754&lt;=50,"≤50",
 AND(K1754&gt;=51,K1754&lt;=100),"51–100",
 AND(K1754&gt;=101,K1754&lt;=250),"101–250",
 AND(K1754&gt;=251,K1754&lt;=500),"251–500",
 AND(K1754&gt;=501,K1754&lt;=1000),"501–1000",
 K1754&gt;=1001,"1001+"
)</f>
        <v>51–100</v>
      </c>
    </row>
    <row r="1755" spans="1:12" x14ac:dyDescent="0.3">
      <c r="A1755" t="s">
        <v>3361</v>
      </c>
      <c r="B1755" t="s">
        <v>197</v>
      </c>
      <c r="C1755" t="s">
        <v>5774</v>
      </c>
      <c r="D1755" t="s">
        <v>3362</v>
      </c>
      <c r="E1755" t="s">
        <v>15</v>
      </c>
      <c r="F1755" t="s">
        <v>20</v>
      </c>
      <c r="G1755" t="s">
        <v>1423</v>
      </c>
      <c r="J1755" t="s">
        <v>5750</v>
      </c>
      <c r="K1755">
        <v>100</v>
      </c>
      <c r="L1755" t="str" cm="1">
        <f t="array" ref="L1755">_xlfn.IFS(
 K1755&lt;=50,"≤50",
 AND(K1755&gt;=51,K1755&lt;=100),"51–100",
 AND(K1755&gt;=101,K1755&lt;=250),"101–250",
 AND(K1755&gt;=251,K1755&lt;=500),"251–500",
 AND(K1755&gt;=501,K1755&lt;=1000),"501–1000",
 K1755&gt;=1001,"1001+"
)</f>
        <v>51–100</v>
      </c>
    </row>
    <row r="1756" spans="1:12" x14ac:dyDescent="0.3">
      <c r="A1756" t="s">
        <v>3363</v>
      </c>
      <c r="B1756" t="s">
        <v>9</v>
      </c>
      <c r="C1756" t="s">
        <v>5780</v>
      </c>
      <c r="D1756" t="s">
        <v>3364</v>
      </c>
      <c r="E1756" t="s">
        <v>15</v>
      </c>
      <c r="F1756" t="s">
        <v>54</v>
      </c>
      <c r="G1756" t="s">
        <v>1284</v>
      </c>
      <c r="J1756" t="s">
        <v>5737</v>
      </c>
      <c r="K1756">
        <v>100</v>
      </c>
      <c r="L1756" t="str" cm="1">
        <f t="array" ref="L1756">_xlfn.IFS(
 K1756&lt;=50,"≤50",
 AND(K1756&gt;=51,K1756&lt;=100),"51–100",
 AND(K1756&gt;=101,K1756&lt;=250),"101–250",
 AND(K1756&gt;=251,K1756&lt;=500),"251–500",
 AND(K1756&gt;=501,K1756&lt;=1000),"501–1000",
 K1756&gt;=1001,"1001+"
)</f>
        <v>51–100</v>
      </c>
    </row>
    <row r="1757" spans="1:12" x14ac:dyDescent="0.3">
      <c r="A1757" t="s">
        <v>3365</v>
      </c>
      <c r="B1757" t="s">
        <v>9</v>
      </c>
      <c r="C1757" t="s">
        <v>5780</v>
      </c>
      <c r="D1757" t="s">
        <v>3366</v>
      </c>
      <c r="E1757" t="s">
        <v>15</v>
      </c>
      <c r="F1757" t="s">
        <v>5769</v>
      </c>
      <c r="G1757" t="s">
        <v>3367</v>
      </c>
      <c r="J1757" t="s">
        <v>5748</v>
      </c>
      <c r="K1757">
        <v>100</v>
      </c>
      <c r="L1757" t="str" cm="1">
        <f t="array" ref="L1757">_xlfn.IFS(
 K1757&lt;=50,"≤50",
 AND(K1757&gt;=51,K1757&lt;=100),"51–100",
 AND(K1757&gt;=101,K1757&lt;=250),"101–250",
 AND(K1757&gt;=251,K1757&lt;=500),"251–500",
 AND(K1757&gt;=501,K1757&lt;=1000),"501–1000",
 K1757&gt;=1001,"1001+"
)</f>
        <v>51–100</v>
      </c>
    </row>
    <row r="1758" spans="1:12" x14ac:dyDescent="0.3">
      <c r="A1758" t="s">
        <v>3368</v>
      </c>
      <c r="B1758" t="s">
        <v>11</v>
      </c>
      <c r="C1758" t="s">
        <v>5776</v>
      </c>
      <c r="F1758" t="s">
        <v>5770</v>
      </c>
      <c r="J1758" t="s">
        <v>5760</v>
      </c>
      <c r="K1758">
        <v>100</v>
      </c>
      <c r="L1758" t="str" cm="1">
        <f t="array" ref="L1758">_xlfn.IFS(
 K1758&lt;=50,"≤50",
 AND(K1758&gt;=51,K1758&lt;=100),"51–100",
 AND(K1758&gt;=101,K1758&lt;=250),"101–250",
 AND(K1758&gt;=251,K1758&lt;=500),"251–500",
 AND(K1758&gt;=501,K1758&lt;=1000),"501–1000",
 K1758&gt;=1001,"1001+"
)</f>
        <v>51–100</v>
      </c>
    </row>
    <row r="1759" spans="1:12" x14ac:dyDescent="0.3">
      <c r="A1759" t="s">
        <v>3369</v>
      </c>
      <c r="B1759" t="s">
        <v>9</v>
      </c>
      <c r="C1759" t="s">
        <v>5780</v>
      </c>
      <c r="D1759" t="s">
        <v>3370</v>
      </c>
      <c r="E1759" t="s">
        <v>15</v>
      </c>
      <c r="F1759" t="s">
        <v>5770</v>
      </c>
      <c r="J1759" t="s">
        <v>5737</v>
      </c>
      <c r="K1759">
        <v>100</v>
      </c>
      <c r="L1759" t="str" cm="1">
        <f t="array" ref="L1759">_xlfn.IFS(
 K1759&lt;=50,"≤50",
 AND(K1759&gt;=51,K1759&lt;=100),"51–100",
 AND(K1759&gt;=101,K1759&lt;=250),"101–250",
 AND(K1759&gt;=251,K1759&lt;=500),"251–500",
 AND(K1759&gt;=501,K1759&lt;=1000),"501–1000",
 K1759&gt;=1001,"1001+"
)</f>
        <v>51–100</v>
      </c>
    </row>
    <row r="1760" spans="1:12" x14ac:dyDescent="0.3">
      <c r="A1760" t="s">
        <v>3371</v>
      </c>
      <c r="B1760" t="s">
        <v>13</v>
      </c>
      <c r="C1760" t="s">
        <v>5777</v>
      </c>
      <c r="D1760" t="s">
        <v>3372</v>
      </c>
      <c r="F1760" t="s">
        <v>5770</v>
      </c>
      <c r="J1760" t="s">
        <v>5737</v>
      </c>
      <c r="K1760">
        <v>100</v>
      </c>
      <c r="L1760" t="str" cm="1">
        <f t="array" ref="L1760">_xlfn.IFS(
 K1760&lt;=50,"≤50",
 AND(K1760&gt;=51,K1760&lt;=100),"51–100",
 AND(K1760&gt;=101,K1760&lt;=250),"101–250",
 AND(K1760&gt;=251,K1760&lt;=500),"251–500",
 AND(K1760&gt;=501,K1760&lt;=1000),"501–1000",
 K1760&gt;=1001,"1001+"
)</f>
        <v>51–100</v>
      </c>
    </row>
    <row r="1761" spans="1:12" x14ac:dyDescent="0.3">
      <c r="A1761" t="s">
        <v>3373</v>
      </c>
      <c r="B1761" t="s">
        <v>9</v>
      </c>
      <c r="C1761" t="s">
        <v>5780</v>
      </c>
      <c r="D1761" t="s">
        <v>51</v>
      </c>
      <c r="F1761" t="s">
        <v>5770</v>
      </c>
      <c r="J1761" t="s">
        <v>5737</v>
      </c>
      <c r="K1761">
        <v>100</v>
      </c>
      <c r="L1761" t="str" cm="1">
        <f t="array" ref="L1761">_xlfn.IFS(
 K1761&lt;=50,"≤50",
 AND(K1761&gt;=51,K1761&lt;=100),"51–100",
 AND(K1761&gt;=101,K1761&lt;=250),"101–250",
 AND(K1761&gt;=251,K1761&lt;=500),"251–500",
 AND(K1761&gt;=501,K1761&lt;=1000),"501–1000",
 K1761&gt;=1001,"1001+"
)</f>
        <v>51–100</v>
      </c>
    </row>
    <row r="1762" spans="1:12" x14ac:dyDescent="0.3">
      <c r="A1762" t="s">
        <v>3374</v>
      </c>
      <c r="B1762" t="s">
        <v>9</v>
      </c>
      <c r="C1762" t="s">
        <v>5780</v>
      </c>
      <c r="D1762" t="s">
        <v>3375</v>
      </c>
      <c r="E1762" t="s">
        <v>15</v>
      </c>
      <c r="F1762" t="s">
        <v>20</v>
      </c>
      <c r="G1762" t="s">
        <v>3376</v>
      </c>
      <c r="J1762" t="s">
        <v>5742</v>
      </c>
      <c r="K1762">
        <v>100</v>
      </c>
      <c r="L1762" t="str" cm="1">
        <f t="array" ref="L1762">_xlfn.IFS(
 K1762&lt;=50,"≤50",
 AND(K1762&gt;=51,K1762&lt;=100),"51–100",
 AND(K1762&gt;=101,K1762&lt;=250),"101–250",
 AND(K1762&gt;=251,K1762&lt;=500),"251–500",
 AND(K1762&gt;=501,K1762&lt;=1000),"501–1000",
 K1762&gt;=1001,"1001+"
)</f>
        <v>51–100</v>
      </c>
    </row>
    <row r="1763" spans="1:12" x14ac:dyDescent="0.3">
      <c r="A1763" t="s">
        <v>3377</v>
      </c>
      <c r="B1763" t="s">
        <v>11</v>
      </c>
      <c r="C1763" t="s">
        <v>5776</v>
      </c>
      <c r="F1763" t="s">
        <v>5770</v>
      </c>
      <c r="J1763" t="s">
        <v>5742</v>
      </c>
      <c r="K1763">
        <v>100</v>
      </c>
      <c r="L1763" t="str" cm="1">
        <f t="array" ref="L1763">_xlfn.IFS(
 K1763&lt;=50,"≤50",
 AND(K1763&gt;=51,K1763&lt;=100),"51–100",
 AND(K1763&gt;=101,K1763&lt;=250),"101–250",
 AND(K1763&gt;=251,K1763&lt;=500),"251–500",
 AND(K1763&gt;=501,K1763&lt;=1000),"501–1000",
 K1763&gt;=1001,"1001+"
)</f>
        <v>51–100</v>
      </c>
    </row>
    <row r="1764" spans="1:12" x14ac:dyDescent="0.3">
      <c r="A1764" t="s">
        <v>3378</v>
      </c>
      <c r="B1764" t="s">
        <v>9</v>
      </c>
      <c r="C1764" t="s">
        <v>5780</v>
      </c>
      <c r="D1764" t="s">
        <v>3379</v>
      </c>
      <c r="E1764" t="s">
        <v>15</v>
      </c>
      <c r="F1764" t="s">
        <v>16</v>
      </c>
      <c r="G1764" t="s">
        <v>3380</v>
      </c>
      <c r="J1764" t="s">
        <v>5759</v>
      </c>
      <c r="K1764">
        <v>100</v>
      </c>
      <c r="L1764" t="str" cm="1">
        <f t="array" ref="L1764">_xlfn.IFS(
 K1764&lt;=50,"≤50",
 AND(K1764&gt;=51,K1764&lt;=100),"51–100",
 AND(K1764&gt;=101,K1764&lt;=250),"101–250",
 AND(K1764&gt;=251,K1764&lt;=500),"251–500",
 AND(K1764&gt;=501,K1764&lt;=1000),"501–1000",
 K1764&gt;=1001,"1001+"
)</f>
        <v>51–100</v>
      </c>
    </row>
    <row r="1765" spans="1:12" x14ac:dyDescent="0.3">
      <c r="A1765" t="s">
        <v>3381</v>
      </c>
      <c r="B1765" t="s">
        <v>9</v>
      </c>
      <c r="C1765" t="s">
        <v>5780</v>
      </c>
      <c r="D1765" t="s">
        <v>3382</v>
      </c>
      <c r="E1765" t="s">
        <v>15</v>
      </c>
      <c r="F1765" t="s">
        <v>20</v>
      </c>
      <c r="G1765" t="s">
        <v>3383</v>
      </c>
      <c r="J1765" t="s">
        <v>5737</v>
      </c>
      <c r="K1765">
        <v>100</v>
      </c>
      <c r="L1765" t="str" cm="1">
        <f t="array" ref="L1765">_xlfn.IFS(
 K1765&lt;=50,"≤50",
 AND(K1765&gt;=51,K1765&lt;=100),"51–100",
 AND(K1765&gt;=101,K1765&lt;=250),"101–250",
 AND(K1765&gt;=251,K1765&lt;=500),"251–500",
 AND(K1765&gt;=501,K1765&lt;=1000),"501–1000",
 K1765&gt;=1001,"1001+"
)</f>
        <v>51–100</v>
      </c>
    </row>
    <row r="1766" spans="1:12" x14ac:dyDescent="0.3">
      <c r="A1766" t="s">
        <v>3384</v>
      </c>
      <c r="B1766" t="s">
        <v>13</v>
      </c>
      <c r="C1766" t="s">
        <v>5777</v>
      </c>
      <c r="D1766" t="s">
        <v>3385</v>
      </c>
      <c r="F1766" t="s">
        <v>20</v>
      </c>
      <c r="G1766" t="s">
        <v>1585</v>
      </c>
      <c r="J1766" t="s">
        <v>5753</v>
      </c>
      <c r="K1766">
        <v>100</v>
      </c>
      <c r="L1766" t="str" cm="1">
        <f t="array" ref="L1766">_xlfn.IFS(
 K1766&lt;=50,"≤50",
 AND(K1766&gt;=51,K1766&lt;=100),"51–100",
 AND(K1766&gt;=101,K1766&lt;=250),"101–250",
 AND(K1766&gt;=251,K1766&lt;=500),"251–500",
 AND(K1766&gt;=501,K1766&lt;=1000),"501–1000",
 K1766&gt;=1001,"1001+"
)</f>
        <v>51–100</v>
      </c>
    </row>
    <row r="1767" spans="1:12" x14ac:dyDescent="0.3">
      <c r="A1767" t="s">
        <v>3386</v>
      </c>
      <c r="B1767" t="s">
        <v>417</v>
      </c>
      <c r="C1767" t="s">
        <v>5778</v>
      </c>
      <c r="D1767" t="s">
        <v>3387</v>
      </c>
      <c r="F1767" t="s">
        <v>54</v>
      </c>
      <c r="G1767" t="s">
        <v>588</v>
      </c>
      <c r="J1767" t="s">
        <v>5737</v>
      </c>
      <c r="K1767">
        <v>100</v>
      </c>
      <c r="L1767" t="str" cm="1">
        <f t="array" ref="L1767">_xlfn.IFS(
 K1767&lt;=50,"≤50",
 AND(K1767&gt;=51,K1767&lt;=100),"51–100",
 AND(K1767&gt;=101,K1767&lt;=250),"101–250",
 AND(K1767&gt;=251,K1767&lt;=500),"251–500",
 AND(K1767&gt;=501,K1767&lt;=1000),"501–1000",
 K1767&gt;=1001,"1001+"
)</f>
        <v>51–100</v>
      </c>
    </row>
    <row r="1768" spans="1:12" x14ac:dyDescent="0.3">
      <c r="A1768" t="s">
        <v>3388</v>
      </c>
      <c r="B1768" t="s">
        <v>197</v>
      </c>
      <c r="C1768" t="s">
        <v>5774</v>
      </c>
      <c r="D1768" t="s">
        <v>3389</v>
      </c>
      <c r="E1768" t="s">
        <v>15</v>
      </c>
      <c r="F1768" t="s">
        <v>16</v>
      </c>
      <c r="G1768" t="s">
        <v>3390</v>
      </c>
      <c r="J1768" t="s">
        <v>5737</v>
      </c>
      <c r="K1768">
        <v>100</v>
      </c>
      <c r="L1768" t="str" cm="1">
        <f t="array" ref="L1768">_xlfn.IFS(
 K1768&lt;=50,"≤50",
 AND(K1768&gt;=51,K1768&lt;=100),"51–100",
 AND(K1768&gt;=101,K1768&lt;=250),"101–250",
 AND(K1768&gt;=251,K1768&lt;=500),"251–500",
 AND(K1768&gt;=501,K1768&lt;=1000),"501–1000",
 K1768&gt;=1001,"1001+"
)</f>
        <v>51–100</v>
      </c>
    </row>
    <row r="1769" spans="1:12" x14ac:dyDescent="0.3">
      <c r="A1769" t="s">
        <v>3391</v>
      </c>
      <c r="B1769" t="s">
        <v>9</v>
      </c>
      <c r="C1769" t="s">
        <v>5780</v>
      </c>
      <c r="D1769" t="s">
        <v>28</v>
      </c>
      <c r="E1769" t="s">
        <v>15</v>
      </c>
      <c r="F1769" t="s">
        <v>16</v>
      </c>
      <c r="G1769" t="s">
        <v>3392</v>
      </c>
      <c r="J1769" t="s">
        <v>5737</v>
      </c>
      <c r="K1769">
        <v>100</v>
      </c>
      <c r="L1769" t="str" cm="1">
        <f t="array" ref="L1769">_xlfn.IFS(
 K1769&lt;=50,"≤50",
 AND(K1769&gt;=51,K1769&lt;=100),"51–100",
 AND(K1769&gt;=101,K1769&lt;=250),"101–250",
 AND(K1769&gt;=251,K1769&lt;=500),"251–500",
 AND(K1769&gt;=501,K1769&lt;=1000),"501–1000",
 K1769&gt;=1001,"1001+"
)</f>
        <v>51–100</v>
      </c>
    </row>
    <row r="1770" spans="1:12" x14ac:dyDescent="0.3">
      <c r="A1770" t="s">
        <v>3393</v>
      </c>
      <c r="B1770" t="s">
        <v>9</v>
      </c>
      <c r="C1770" t="s">
        <v>5780</v>
      </c>
      <c r="D1770" t="s">
        <v>3394</v>
      </c>
      <c r="E1770" t="s">
        <v>15</v>
      </c>
      <c r="F1770" t="s">
        <v>54</v>
      </c>
      <c r="G1770" t="s">
        <v>3395</v>
      </c>
      <c r="J1770" t="s">
        <v>5737</v>
      </c>
      <c r="K1770">
        <v>100</v>
      </c>
      <c r="L1770" t="str" cm="1">
        <f t="array" ref="L1770">_xlfn.IFS(
 K1770&lt;=50,"≤50",
 AND(K1770&gt;=51,K1770&lt;=100),"51–100",
 AND(K1770&gt;=101,K1770&lt;=250),"101–250",
 AND(K1770&gt;=251,K1770&lt;=500),"251–500",
 AND(K1770&gt;=501,K1770&lt;=1000),"501–1000",
 K1770&gt;=1001,"1001+"
)</f>
        <v>51–100</v>
      </c>
    </row>
    <row r="1771" spans="1:12" x14ac:dyDescent="0.3">
      <c r="A1771" t="s">
        <v>3396</v>
      </c>
      <c r="B1771" t="s">
        <v>9</v>
      </c>
      <c r="C1771" t="s">
        <v>5780</v>
      </c>
      <c r="D1771" t="s">
        <v>3397</v>
      </c>
      <c r="E1771" t="s">
        <v>15</v>
      </c>
      <c r="F1771" t="s">
        <v>16</v>
      </c>
      <c r="G1771" t="s">
        <v>3398</v>
      </c>
      <c r="J1771" t="s">
        <v>5737</v>
      </c>
      <c r="K1771">
        <v>100</v>
      </c>
      <c r="L1771" t="str" cm="1">
        <f t="array" ref="L1771">_xlfn.IFS(
 K1771&lt;=50,"≤50",
 AND(K1771&gt;=51,K1771&lt;=100),"51–100",
 AND(K1771&gt;=101,K1771&lt;=250),"101–250",
 AND(K1771&gt;=251,K1771&lt;=500),"251–500",
 AND(K1771&gt;=501,K1771&lt;=1000),"501–1000",
 K1771&gt;=1001,"1001+"
)</f>
        <v>51–100</v>
      </c>
    </row>
    <row r="1772" spans="1:12" x14ac:dyDescent="0.3">
      <c r="A1772" t="s">
        <v>3399</v>
      </c>
      <c r="B1772" t="s">
        <v>197</v>
      </c>
      <c r="C1772" t="s">
        <v>5774</v>
      </c>
      <c r="D1772" t="s">
        <v>3400</v>
      </c>
      <c r="E1772" t="s">
        <v>15</v>
      </c>
      <c r="F1772" t="s">
        <v>54</v>
      </c>
      <c r="G1772" t="s">
        <v>3401</v>
      </c>
      <c r="J1772" t="s">
        <v>5742</v>
      </c>
      <c r="K1772">
        <v>100</v>
      </c>
      <c r="L1772" t="str" cm="1">
        <f t="array" ref="L1772">_xlfn.IFS(
 K1772&lt;=50,"≤50",
 AND(K1772&gt;=51,K1772&lt;=100),"51–100",
 AND(K1772&gt;=101,K1772&lt;=250),"101–250",
 AND(K1772&gt;=251,K1772&lt;=500),"251–500",
 AND(K1772&gt;=501,K1772&lt;=1000),"501–1000",
 K1772&gt;=1001,"1001+"
)</f>
        <v>51–100</v>
      </c>
    </row>
    <row r="1773" spans="1:12" x14ac:dyDescent="0.3">
      <c r="A1773" t="s">
        <v>3402</v>
      </c>
      <c r="B1773" t="s">
        <v>13</v>
      </c>
      <c r="C1773" t="s">
        <v>5777</v>
      </c>
      <c r="D1773" t="s">
        <v>576</v>
      </c>
      <c r="E1773" t="s">
        <v>15</v>
      </c>
      <c r="F1773" t="s">
        <v>16</v>
      </c>
      <c r="G1773" t="s">
        <v>2554</v>
      </c>
      <c r="J1773" t="s">
        <v>5737</v>
      </c>
      <c r="K1773">
        <v>100</v>
      </c>
      <c r="L1773" t="str" cm="1">
        <f t="array" ref="L1773">_xlfn.IFS(
 K1773&lt;=50,"≤50",
 AND(K1773&gt;=51,K1773&lt;=100),"51–100",
 AND(K1773&gt;=101,K1773&lt;=250),"101–250",
 AND(K1773&gt;=251,K1773&lt;=500),"251–500",
 AND(K1773&gt;=501,K1773&lt;=1000),"501–1000",
 K1773&gt;=1001,"1001+"
)</f>
        <v>51–100</v>
      </c>
    </row>
    <row r="1774" spans="1:12" x14ac:dyDescent="0.3">
      <c r="A1774" t="s">
        <v>3403</v>
      </c>
      <c r="B1774" t="s">
        <v>9</v>
      </c>
      <c r="C1774" t="s">
        <v>5780</v>
      </c>
      <c r="D1774" t="s">
        <v>28</v>
      </c>
      <c r="F1774" t="s">
        <v>5770</v>
      </c>
      <c r="J1774" t="s">
        <v>5737</v>
      </c>
      <c r="K1774">
        <v>100</v>
      </c>
      <c r="L1774" t="str" cm="1">
        <f t="array" ref="L1774">_xlfn.IFS(
 K1774&lt;=50,"≤50",
 AND(K1774&gt;=51,K1774&lt;=100),"51–100",
 AND(K1774&gt;=101,K1774&lt;=250),"101–250",
 AND(K1774&gt;=251,K1774&lt;=500),"251–500",
 AND(K1774&gt;=501,K1774&lt;=1000),"501–1000",
 K1774&gt;=1001,"1001+"
)</f>
        <v>51–100</v>
      </c>
    </row>
    <row r="1775" spans="1:12" x14ac:dyDescent="0.3">
      <c r="A1775" t="s">
        <v>3404</v>
      </c>
      <c r="B1775" t="s">
        <v>11</v>
      </c>
      <c r="C1775" t="s">
        <v>5776</v>
      </c>
      <c r="F1775" t="s">
        <v>5770</v>
      </c>
      <c r="J1775" t="s">
        <v>5737</v>
      </c>
      <c r="K1775">
        <v>100</v>
      </c>
      <c r="L1775" t="str" cm="1">
        <f t="array" ref="L1775">_xlfn.IFS(
 K1775&lt;=50,"≤50",
 AND(K1775&gt;=51,K1775&lt;=100),"51–100",
 AND(K1775&gt;=101,K1775&lt;=250),"101–250",
 AND(K1775&gt;=251,K1775&lt;=500),"251–500",
 AND(K1775&gt;=501,K1775&lt;=1000),"501–1000",
 K1775&gt;=1001,"1001+"
)</f>
        <v>51–100</v>
      </c>
    </row>
    <row r="1776" spans="1:12" x14ac:dyDescent="0.3">
      <c r="A1776" t="s">
        <v>3405</v>
      </c>
      <c r="B1776" t="s">
        <v>9</v>
      </c>
      <c r="C1776" t="s">
        <v>5780</v>
      </c>
      <c r="D1776" t="s">
        <v>3406</v>
      </c>
      <c r="E1776" t="s">
        <v>15</v>
      </c>
      <c r="F1776" t="s">
        <v>20</v>
      </c>
      <c r="G1776" t="s">
        <v>135</v>
      </c>
      <c r="J1776" t="s">
        <v>5738</v>
      </c>
      <c r="K1776">
        <v>100</v>
      </c>
      <c r="L1776" t="str" cm="1">
        <f t="array" ref="L1776">_xlfn.IFS(
 K1776&lt;=50,"≤50",
 AND(K1776&gt;=51,K1776&lt;=100),"51–100",
 AND(K1776&gt;=101,K1776&lt;=250),"101–250",
 AND(K1776&gt;=251,K1776&lt;=500),"251–500",
 AND(K1776&gt;=501,K1776&lt;=1000),"501–1000",
 K1776&gt;=1001,"1001+"
)</f>
        <v>51–100</v>
      </c>
    </row>
    <row r="1777" spans="1:12" x14ac:dyDescent="0.3">
      <c r="A1777" t="s">
        <v>3407</v>
      </c>
      <c r="B1777" t="s">
        <v>9</v>
      </c>
      <c r="C1777" t="s">
        <v>5780</v>
      </c>
      <c r="D1777" t="s">
        <v>3408</v>
      </c>
      <c r="E1777" t="s">
        <v>15</v>
      </c>
      <c r="F1777" t="s">
        <v>16</v>
      </c>
      <c r="G1777" t="s">
        <v>1701</v>
      </c>
      <c r="J1777" t="s">
        <v>5744</v>
      </c>
      <c r="K1777">
        <v>100</v>
      </c>
      <c r="L1777" t="str" cm="1">
        <f t="array" ref="L1777">_xlfn.IFS(
 K1777&lt;=50,"≤50",
 AND(K1777&gt;=51,K1777&lt;=100),"51–100",
 AND(K1777&gt;=101,K1777&lt;=250),"101–250",
 AND(K1777&gt;=251,K1777&lt;=500),"251–500",
 AND(K1777&gt;=501,K1777&lt;=1000),"501–1000",
 K1777&gt;=1001,"1001+"
)</f>
        <v>51–100</v>
      </c>
    </row>
    <row r="1778" spans="1:12" x14ac:dyDescent="0.3">
      <c r="A1778" t="s">
        <v>3409</v>
      </c>
      <c r="B1778" t="s">
        <v>9</v>
      </c>
      <c r="C1778" t="s">
        <v>5780</v>
      </c>
      <c r="D1778" t="s">
        <v>3410</v>
      </c>
      <c r="F1778" t="s">
        <v>5770</v>
      </c>
      <c r="J1778" t="s">
        <v>5744</v>
      </c>
      <c r="K1778">
        <v>100</v>
      </c>
      <c r="L1778" t="str" cm="1">
        <f t="array" ref="L1778">_xlfn.IFS(
 K1778&lt;=50,"≤50",
 AND(K1778&gt;=51,K1778&lt;=100),"51–100",
 AND(K1778&gt;=101,K1778&lt;=250),"101–250",
 AND(K1778&gt;=251,K1778&lt;=500),"251–500",
 AND(K1778&gt;=501,K1778&lt;=1000),"501–1000",
 K1778&gt;=1001,"1001+"
)</f>
        <v>51–100</v>
      </c>
    </row>
    <row r="1779" spans="1:12" x14ac:dyDescent="0.3">
      <c r="A1779" t="s">
        <v>3411</v>
      </c>
      <c r="B1779" t="s">
        <v>9</v>
      </c>
      <c r="C1779" t="s">
        <v>5780</v>
      </c>
      <c r="D1779" t="s">
        <v>3412</v>
      </c>
      <c r="F1779" t="s">
        <v>5770</v>
      </c>
      <c r="J1779" t="s">
        <v>5749</v>
      </c>
      <c r="K1779">
        <v>100</v>
      </c>
      <c r="L1779" t="str" cm="1">
        <f t="array" ref="L1779">_xlfn.IFS(
 K1779&lt;=50,"≤50",
 AND(K1779&gt;=51,K1779&lt;=100),"51–100",
 AND(K1779&gt;=101,K1779&lt;=250),"101–250",
 AND(K1779&gt;=251,K1779&lt;=500),"251–500",
 AND(K1779&gt;=501,K1779&lt;=1000),"501–1000",
 K1779&gt;=1001,"1001+"
)</f>
        <v>51–100</v>
      </c>
    </row>
    <row r="1780" spans="1:12" x14ac:dyDescent="0.3">
      <c r="A1780" t="s">
        <v>3413</v>
      </c>
      <c r="B1780" t="s">
        <v>9</v>
      </c>
      <c r="C1780" t="s">
        <v>5780</v>
      </c>
      <c r="D1780" t="s">
        <v>3414</v>
      </c>
      <c r="E1780" t="s">
        <v>15</v>
      </c>
      <c r="F1780" t="s">
        <v>16</v>
      </c>
      <c r="G1780" t="s">
        <v>3415</v>
      </c>
      <c r="J1780" t="s">
        <v>5737</v>
      </c>
      <c r="K1780">
        <v>100</v>
      </c>
      <c r="L1780" t="str" cm="1">
        <f t="array" ref="L1780">_xlfn.IFS(
 K1780&lt;=50,"≤50",
 AND(K1780&gt;=51,K1780&lt;=100),"51–100",
 AND(K1780&gt;=101,K1780&lt;=250),"101–250",
 AND(K1780&gt;=251,K1780&lt;=500),"251–500",
 AND(K1780&gt;=501,K1780&lt;=1000),"501–1000",
 K1780&gt;=1001,"1001+"
)</f>
        <v>51–100</v>
      </c>
    </row>
    <row r="1781" spans="1:12" x14ac:dyDescent="0.3">
      <c r="A1781" t="s">
        <v>3416</v>
      </c>
      <c r="B1781" t="s">
        <v>9</v>
      </c>
      <c r="C1781" t="s">
        <v>5780</v>
      </c>
      <c r="D1781" t="s">
        <v>3417</v>
      </c>
      <c r="E1781" t="s">
        <v>15</v>
      </c>
      <c r="F1781" t="s">
        <v>16</v>
      </c>
      <c r="G1781" t="s">
        <v>3418</v>
      </c>
      <c r="J1781" t="s">
        <v>5738</v>
      </c>
      <c r="K1781">
        <v>100</v>
      </c>
      <c r="L1781" t="str" cm="1">
        <f t="array" ref="L1781">_xlfn.IFS(
 K1781&lt;=50,"≤50",
 AND(K1781&gt;=51,K1781&lt;=100),"51–100",
 AND(K1781&gt;=101,K1781&lt;=250),"101–250",
 AND(K1781&gt;=251,K1781&lt;=500),"251–500",
 AND(K1781&gt;=501,K1781&lt;=1000),"501–1000",
 K1781&gt;=1001,"1001+"
)</f>
        <v>51–100</v>
      </c>
    </row>
    <row r="1782" spans="1:12" x14ac:dyDescent="0.3">
      <c r="A1782" t="s">
        <v>3419</v>
      </c>
      <c r="B1782" t="s">
        <v>9</v>
      </c>
      <c r="C1782" t="s">
        <v>5780</v>
      </c>
      <c r="D1782" t="s">
        <v>3420</v>
      </c>
      <c r="F1782" t="s">
        <v>20</v>
      </c>
      <c r="G1782" t="s">
        <v>3421</v>
      </c>
      <c r="J1782" t="s">
        <v>5747</v>
      </c>
      <c r="K1782">
        <v>100</v>
      </c>
      <c r="L1782" t="str" cm="1">
        <f t="array" ref="L1782">_xlfn.IFS(
 K1782&lt;=50,"≤50",
 AND(K1782&gt;=51,K1782&lt;=100),"51–100",
 AND(K1782&gt;=101,K1782&lt;=250),"101–250",
 AND(K1782&gt;=251,K1782&lt;=500),"251–500",
 AND(K1782&gt;=501,K1782&lt;=1000),"501–1000",
 K1782&gt;=1001,"1001+"
)</f>
        <v>51–100</v>
      </c>
    </row>
    <row r="1783" spans="1:12" x14ac:dyDescent="0.3">
      <c r="A1783" t="s">
        <v>3422</v>
      </c>
      <c r="B1783" t="s">
        <v>9</v>
      </c>
      <c r="C1783" t="s">
        <v>5780</v>
      </c>
      <c r="D1783" t="s">
        <v>28</v>
      </c>
      <c r="F1783" t="s">
        <v>20</v>
      </c>
      <c r="G1783" t="s">
        <v>21</v>
      </c>
      <c r="J1783" t="s">
        <v>5743</v>
      </c>
      <c r="K1783">
        <v>100</v>
      </c>
      <c r="L1783" t="str" cm="1">
        <f t="array" ref="L1783">_xlfn.IFS(
 K1783&lt;=50,"≤50",
 AND(K1783&gt;=51,K1783&lt;=100),"51–100",
 AND(K1783&gt;=101,K1783&lt;=250),"101–250",
 AND(K1783&gt;=251,K1783&lt;=500),"251–500",
 AND(K1783&gt;=501,K1783&lt;=1000),"501–1000",
 K1783&gt;=1001,"1001+"
)</f>
        <v>51–100</v>
      </c>
    </row>
    <row r="1784" spans="1:12" x14ac:dyDescent="0.3">
      <c r="A1784" t="s">
        <v>3423</v>
      </c>
      <c r="B1784" t="s">
        <v>9</v>
      </c>
      <c r="C1784" t="s">
        <v>5780</v>
      </c>
      <c r="D1784" t="s">
        <v>3424</v>
      </c>
      <c r="F1784" t="s">
        <v>20</v>
      </c>
      <c r="G1784" t="s">
        <v>21</v>
      </c>
      <c r="J1784" t="s">
        <v>5741</v>
      </c>
      <c r="K1784">
        <v>100</v>
      </c>
      <c r="L1784" t="str" cm="1">
        <f t="array" ref="L1784">_xlfn.IFS(
 K1784&lt;=50,"≤50",
 AND(K1784&gt;=51,K1784&lt;=100),"51–100",
 AND(K1784&gt;=101,K1784&lt;=250),"101–250",
 AND(K1784&gt;=251,K1784&lt;=500),"251–500",
 AND(K1784&gt;=501,K1784&lt;=1000),"501–1000",
 K1784&gt;=1001,"1001+"
)</f>
        <v>51–100</v>
      </c>
    </row>
    <row r="1785" spans="1:12" x14ac:dyDescent="0.3">
      <c r="A1785" t="s">
        <v>3425</v>
      </c>
      <c r="B1785" t="s">
        <v>9</v>
      </c>
      <c r="C1785" t="s">
        <v>5780</v>
      </c>
      <c r="D1785" t="s">
        <v>102</v>
      </c>
      <c r="F1785" t="s">
        <v>5770</v>
      </c>
      <c r="J1785" t="s">
        <v>5744</v>
      </c>
      <c r="K1785">
        <v>100</v>
      </c>
      <c r="L1785" t="str" cm="1">
        <f t="array" ref="L1785">_xlfn.IFS(
 K1785&lt;=50,"≤50",
 AND(K1785&gt;=51,K1785&lt;=100),"51–100",
 AND(K1785&gt;=101,K1785&lt;=250),"101–250",
 AND(K1785&gt;=251,K1785&lt;=500),"251–500",
 AND(K1785&gt;=501,K1785&lt;=1000),"501–1000",
 K1785&gt;=1001,"1001+"
)</f>
        <v>51–100</v>
      </c>
    </row>
    <row r="1786" spans="1:12" x14ac:dyDescent="0.3">
      <c r="A1786" t="s">
        <v>3426</v>
      </c>
      <c r="B1786" t="s">
        <v>9</v>
      </c>
      <c r="C1786" t="s">
        <v>5780</v>
      </c>
      <c r="D1786" t="s">
        <v>691</v>
      </c>
      <c r="F1786" t="s">
        <v>54</v>
      </c>
      <c r="G1786" t="s">
        <v>588</v>
      </c>
      <c r="J1786" t="s">
        <v>5737</v>
      </c>
      <c r="K1786">
        <v>100</v>
      </c>
      <c r="L1786" t="str" cm="1">
        <f t="array" ref="L1786">_xlfn.IFS(
 K1786&lt;=50,"≤50",
 AND(K1786&gt;=51,K1786&lt;=100),"51–100",
 AND(K1786&gt;=101,K1786&lt;=250),"101–250",
 AND(K1786&gt;=251,K1786&lt;=500),"251–500",
 AND(K1786&gt;=501,K1786&lt;=1000),"501–1000",
 K1786&gt;=1001,"1001+"
)</f>
        <v>51–100</v>
      </c>
    </row>
    <row r="1787" spans="1:12" x14ac:dyDescent="0.3">
      <c r="A1787" t="s">
        <v>3427</v>
      </c>
      <c r="B1787" t="s">
        <v>9</v>
      </c>
      <c r="C1787" t="s">
        <v>5780</v>
      </c>
      <c r="D1787" t="s">
        <v>3428</v>
      </c>
      <c r="E1787" t="s">
        <v>15</v>
      </c>
      <c r="F1787" t="s">
        <v>20</v>
      </c>
      <c r="G1787" t="s">
        <v>3429</v>
      </c>
      <c r="J1787" t="s">
        <v>5737</v>
      </c>
      <c r="K1787">
        <v>100</v>
      </c>
      <c r="L1787" t="str" cm="1">
        <f t="array" ref="L1787">_xlfn.IFS(
 K1787&lt;=50,"≤50",
 AND(K1787&gt;=51,K1787&lt;=100),"51–100",
 AND(K1787&gt;=101,K1787&lt;=250),"101–250",
 AND(K1787&gt;=251,K1787&lt;=500),"251–500",
 AND(K1787&gt;=501,K1787&lt;=1000),"501–1000",
 K1787&gt;=1001,"1001+"
)</f>
        <v>51–100</v>
      </c>
    </row>
    <row r="1788" spans="1:12" x14ac:dyDescent="0.3">
      <c r="A1788" t="s">
        <v>3430</v>
      </c>
      <c r="B1788" t="s">
        <v>9</v>
      </c>
      <c r="C1788" t="s">
        <v>5780</v>
      </c>
      <c r="D1788" t="s">
        <v>3431</v>
      </c>
      <c r="F1788" t="s">
        <v>5770</v>
      </c>
      <c r="J1788" t="s">
        <v>5738</v>
      </c>
      <c r="K1788">
        <v>100</v>
      </c>
      <c r="L1788" t="str" cm="1">
        <f t="array" ref="L1788">_xlfn.IFS(
 K1788&lt;=50,"≤50",
 AND(K1788&gt;=51,K1788&lt;=100),"51–100",
 AND(K1788&gt;=101,K1788&lt;=250),"101–250",
 AND(K1788&gt;=251,K1788&lt;=500),"251–500",
 AND(K1788&gt;=501,K1788&lt;=1000),"501–1000",
 K1788&gt;=1001,"1001+"
)</f>
        <v>51–100</v>
      </c>
    </row>
    <row r="1789" spans="1:12" x14ac:dyDescent="0.3">
      <c r="A1789" t="s">
        <v>3432</v>
      </c>
      <c r="B1789" t="s">
        <v>9</v>
      </c>
      <c r="C1789" t="s">
        <v>5780</v>
      </c>
      <c r="D1789" t="s">
        <v>3433</v>
      </c>
      <c r="F1789" t="s">
        <v>20</v>
      </c>
      <c r="G1789" t="s">
        <v>3434</v>
      </c>
      <c r="J1789" t="s">
        <v>5737</v>
      </c>
      <c r="K1789">
        <v>100</v>
      </c>
      <c r="L1789" t="str" cm="1">
        <f t="array" ref="L1789">_xlfn.IFS(
 K1789&lt;=50,"≤50",
 AND(K1789&gt;=51,K1789&lt;=100),"51–100",
 AND(K1789&gt;=101,K1789&lt;=250),"101–250",
 AND(K1789&gt;=251,K1789&lt;=500),"251–500",
 AND(K1789&gt;=501,K1789&lt;=1000),"501–1000",
 K1789&gt;=1001,"1001+"
)</f>
        <v>51–100</v>
      </c>
    </row>
    <row r="1790" spans="1:12" x14ac:dyDescent="0.3">
      <c r="A1790" t="s">
        <v>3435</v>
      </c>
      <c r="B1790" t="s">
        <v>11</v>
      </c>
      <c r="C1790" t="s">
        <v>5776</v>
      </c>
      <c r="F1790" t="s">
        <v>5770</v>
      </c>
      <c r="J1790" t="s">
        <v>5759</v>
      </c>
      <c r="K1790">
        <v>100</v>
      </c>
      <c r="L1790" t="str" cm="1">
        <f t="array" ref="L1790">_xlfn.IFS(
 K1790&lt;=50,"≤50",
 AND(K1790&gt;=51,K1790&lt;=100),"51–100",
 AND(K1790&gt;=101,K1790&lt;=250),"101–250",
 AND(K1790&gt;=251,K1790&lt;=500),"251–500",
 AND(K1790&gt;=501,K1790&lt;=1000),"501–1000",
 K1790&gt;=1001,"1001+"
)</f>
        <v>51–100</v>
      </c>
    </row>
    <row r="1791" spans="1:12" x14ac:dyDescent="0.3">
      <c r="A1791" t="s">
        <v>3436</v>
      </c>
      <c r="B1791" t="s">
        <v>13</v>
      </c>
      <c r="C1791" t="s">
        <v>5777</v>
      </c>
      <c r="D1791" t="s">
        <v>576</v>
      </c>
      <c r="E1791" t="s">
        <v>15</v>
      </c>
      <c r="F1791" t="s">
        <v>54</v>
      </c>
      <c r="G1791" t="s">
        <v>3437</v>
      </c>
      <c r="H1791" t="s">
        <v>15</v>
      </c>
      <c r="I1791" t="s">
        <v>3438</v>
      </c>
      <c r="J1791" t="s">
        <v>5745</v>
      </c>
      <c r="K1791">
        <v>100</v>
      </c>
      <c r="L1791" t="str" cm="1">
        <f t="array" ref="L1791">_xlfn.IFS(
 K1791&lt;=50,"≤50",
 AND(K1791&gt;=51,K1791&lt;=100),"51–100",
 AND(K1791&gt;=101,K1791&lt;=250),"101–250",
 AND(K1791&gt;=251,K1791&lt;=500),"251–500",
 AND(K1791&gt;=501,K1791&lt;=1000),"501–1000",
 K1791&gt;=1001,"1001+"
)</f>
        <v>51–100</v>
      </c>
    </row>
    <row r="1792" spans="1:12" x14ac:dyDescent="0.3">
      <c r="A1792" t="s">
        <v>3439</v>
      </c>
      <c r="B1792" t="s">
        <v>9</v>
      </c>
      <c r="C1792" t="s">
        <v>5780</v>
      </c>
      <c r="D1792" t="s">
        <v>3440</v>
      </c>
      <c r="E1792" t="s">
        <v>15</v>
      </c>
      <c r="F1792" t="s">
        <v>20</v>
      </c>
      <c r="G1792" t="s">
        <v>135</v>
      </c>
      <c r="J1792" t="s">
        <v>5744</v>
      </c>
      <c r="K1792">
        <v>100</v>
      </c>
      <c r="L1792" t="str" cm="1">
        <f t="array" ref="L1792">_xlfn.IFS(
 K1792&lt;=50,"≤50",
 AND(K1792&gt;=51,K1792&lt;=100),"51–100",
 AND(K1792&gt;=101,K1792&lt;=250),"101–250",
 AND(K1792&gt;=251,K1792&lt;=500),"251–500",
 AND(K1792&gt;=501,K1792&lt;=1000),"501–1000",
 K1792&gt;=1001,"1001+"
)</f>
        <v>51–100</v>
      </c>
    </row>
    <row r="1793" spans="1:12" x14ac:dyDescent="0.3">
      <c r="A1793" t="s">
        <v>3441</v>
      </c>
      <c r="B1793" t="s">
        <v>11</v>
      </c>
      <c r="C1793" t="s">
        <v>5776</v>
      </c>
      <c r="F1793" t="s">
        <v>5770</v>
      </c>
      <c r="J1793" t="s">
        <v>5738</v>
      </c>
      <c r="K1793">
        <v>100</v>
      </c>
      <c r="L1793" t="str" cm="1">
        <f t="array" ref="L1793">_xlfn.IFS(
 K1793&lt;=50,"≤50",
 AND(K1793&gt;=51,K1793&lt;=100),"51–100",
 AND(K1793&gt;=101,K1793&lt;=250),"101–250",
 AND(K1793&gt;=251,K1793&lt;=500),"251–500",
 AND(K1793&gt;=501,K1793&lt;=1000),"501–1000",
 K1793&gt;=1001,"1001+"
)</f>
        <v>51–100</v>
      </c>
    </row>
    <row r="1794" spans="1:12" x14ac:dyDescent="0.3">
      <c r="A1794" t="s">
        <v>3442</v>
      </c>
      <c r="B1794" t="s">
        <v>9</v>
      </c>
      <c r="C1794" t="s">
        <v>5780</v>
      </c>
      <c r="D1794" t="s">
        <v>28</v>
      </c>
      <c r="E1794" t="s">
        <v>15</v>
      </c>
      <c r="F1794" t="s">
        <v>16</v>
      </c>
      <c r="G1794" t="s">
        <v>3443</v>
      </c>
      <c r="J1794" t="s">
        <v>5744</v>
      </c>
      <c r="K1794">
        <v>100</v>
      </c>
      <c r="L1794" t="str" cm="1">
        <f t="array" ref="L1794">_xlfn.IFS(
 K1794&lt;=50,"≤50",
 AND(K1794&gt;=51,K1794&lt;=100),"51–100",
 AND(K1794&gt;=101,K1794&lt;=250),"101–250",
 AND(K1794&gt;=251,K1794&lt;=500),"251–500",
 AND(K1794&gt;=501,K1794&lt;=1000),"501–1000",
 K1794&gt;=1001,"1001+"
)</f>
        <v>51–100</v>
      </c>
    </row>
    <row r="1795" spans="1:12" x14ac:dyDescent="0.3">
      <c r="A1795" t="s">
        <v>3444</v>
      </c>
      <c r="B1795" t="s">
        <v>11</v>
      </c>
      <c r="C1795" t="s">
        <v>5776</v>
      </c>
      <c r="F1795" t="s">
        <v>5770</v>
      </c>
      <c r="J1795" t="s">
        <v>5757</v>
      </c>
      <c r="K1795">
        <v>100</v>
      </c>
      <c r="L1795" t="str" cm="1">
        <f t="array" ref="L1795">_xlfn.IFS(
 K1795&lt;=50,"≤50",
 AND(K1795&gt;=51,K1795&lt;=100),"51–100",
 AND(K1795&gt;=101,K1795&lt;=250),"101–250",
 AND(K1795&gt;=251,K1795&lt;=500),"251–500",
 AND(K1795&gt;=501,K1795&lt;=1000),"501–1000",
 K1795&gt;=1001,"1001+"
)</f>
        <v>51–100</v>
      </c>
    </row>
    <row r="1796" spans="1:12" x14ac:dyDescent="0.3">
      <c r="A1796" t="s">
        <v>3445</v>
      </c>
      <c r="B1796" t="s">
        <v>9</v>
      </c>
      <c r="C1796" t="s">
        <v>5780</v>
      </c>
      <c r="D1796" t="s">
        <v>3446</v>
      </c>
      <c r="E1796" t="s">
        <v>15</v>
      </c>
      <c r="F1796" t="s">
        <v>16</v>
      </c>
      <c r="G1796" t="s">
        <v>45</v>
      </c>
      <c r="J1796" t="s">
        <v>5748</v>
      </c>
      <c r="K1796">
        <v>100</v>
      </c>
      <c r="L1796" t="str" cm="1">
        <f t="array" ref="L1796">_xlfn.IFS(
 K1796&lt;=50,"≤50",
 AND(K1796&gt;=51,K1796&lt;=100),"51–100",
 AND(K1796&gt;=101,K1796&lt;=250),"101–250",
 AND(K1796&gt;=251,K1796&lt;=500),"251–500",
 AND(K1796&gt;=501,K1796&lt;=1000),"501–1000",
 K1796&gt;=1001,"1001+"
)</f>
        <v>51–100</v>
      </c>
    </row>
    <row r="1797" spans="1:12" x14ac:dyDescent="0.3">
      <c r="A1797" t="s">
        <v>3447</v>
      </c>
      <c r="B1797" t="s">
        <v>9</v>
      </c>
      <c r="C1797" t="s">
        <v>5780</v>
      </c>
      <c r="D1797" t="s">
        <v>3448</v>
      </c>
      <c r="F1797" t="s">
        <v>5770</v>
      </c>
      <c r="J1797" t="s">
        <v>5761</v>
      </c>
      <c r="K1797">
        <v>100</v>
      </c>
      <c r="L1797" t="str" cm="1">
        <f t="array" ref="L1797">_xlfn.IFS(
 K1797&lt;=50,"≤50",
 AND(K1797&gt;=51,K1797&lt;=100),"51–100",
 AND(K1797&gt;=101,K1797&lt;=250),"101–250",
 AND(K1797&gt;=251,K1797&lt;=500),"251–500",
 AND(K1797&gt;=501,K1797&lt;=1000),"501–1000",
 K1797&gt;=1001,"1001+"
)</f>
        <v>51–100</v>
      </c>
    </row>
    <row r="1798" spans="1:12" x14ac:dyDescent="0.3">
      <c r="A1798" t="s">
        <v>3449</v>
      </c>
      <c r="B1798" t="s">
        <v>9</v>
      </c>
      <c r="C1798" t="s">
        <v>5780</v>
      </c>
      <c r="D1798" t="s">
        <v>28</v>
      </c>
      <c r="E1798" t="s">
        <v>15</v>
      </c>
      <c r="F1798" t="s">
        <v>5770</v>
      </c>
      <c r="J1798" t="s">
        <v>5738</v>
      </c>
      <c r="K1798">
        <v>100</v>
      </c>
      <c r="L1798" t="str" cm="1">
        <f t="array" ref="L1798">_xlfn.IFS(
 K1798&lt;=50,"≤50",
 AND(K1798&gt;=51,K1798&lt;=100),"51–100",
 AND(K1798&gt;=101,K1798&lt;=250),"101–250",
 AND(K1798&gt;=251,K1798&lt;=500),"251–500",
 AND(K1798&gt;=501,K1798&lt;=1000),"501–1000",
 K1798&gt;=1001,"1001+"
)</f>
        <v>51–100</v>
      </c>
    </row>
    <row r="1799" spans="1:12" x14ac:dyDescent="0.3">
      <c r="A1799" t="s">
        <v>3450</v>
      </c>
      <c r="B1799" t="s">
        <v>13</v>
      </c>
      <c r="C1799" t="s">
        <v>5777</v>
      </c>
      <c r="D1799" t="s">
        <v>3451</v>
      </c>
      <c r="E1799" t="s">
        <v>15</v>
      </c>
      <c r="F1799" t="s">
        <v>20</v>
      </c>
      <c r="G1799" t="s">
        <v>3452</v>
      </c>
      <c r="J1799" t="s">
        <v>5757</v>
      </c>
      <c r="K1799">
        <v>100</v>
      </c>
      <c r="L1799" t="str" cm="1">
        <f t="array" ref="L1799">_xlfn.IFS(
 K1799&lt;=50,"≤50",
 AND(K1799&gt;=51,K1799&lt;=100),"51–100",
 AND(K1799&gt;=101,K1799&lt;=250),"101–250",
 AND(K1799&gt;=251,K1799&lt;=500),"251–500",
 AND(K1799&gt;=501,K1799&lt;=1000),"501–1000",
 K1799&gt;=1001,"1001+"
)</f>
        <v>51–100</v>
      </c>
    </row>
    <row r="1800" spans="1:12" x14ac:dyDescent="0.3">
      <c r="A1800" t="s">
        <v>3453</v>
      </c>
      <c r="B1800" t="s">
        <v>9</v>
      </c>
      <c r="C1800" t="s">
        <v>5780</v>
      </c>
      <c r="D1800" t="s">
        <v>3454</v>
      </c>
      <c r="F1800" t="s">
        <v>5770</v>
      </c>
      <c r="J1800" t="s">
        <v>5760</v>
      </c>
      <c r="K1800">
        <v>100</v>
      </c>
      <c r="L1800" t="str" cm="1">
        <f t="array" ref="L1800">_xlfn.IFS(
 K1800&lt;=50,"≤50",
 AND(K1800&gt;=51,K1800&lt;=100),"51–100",
 AND(K1800&gt;=101,K1800&lt;=250),"101–250",
 AND(K1800&gt;=251,K1800&lt;=500),"251–500",
 AND(K1800&gt;=501,K1800&lt;=1000),"501–1000",
 K1800&gt;=1001,"1001+"
)</f>
        <v>51–100</v>
      </c>
    </row>
    <row r="1801" spans="1:12" x14ac:dyDescent="0.3">
      <c r="A1801" t="s">
        <v>3455</v>
      </c>
      <c r="B1801" t="s">
        <v>9</v>
      </c>
      <c r="C1801" t="s">
        <v>5780</v>
      </c>
      <c r="D1801" t="s">
        <v>28</v>
      </c>
      <c r="F1801" t="s">
        <v>5770</v>
      </c>
      <c r="J1801" t="s">
        <v>5737</v>
      </c>
      <c r="K1801">
        <v>100</v>
      </c>
      <c r="L1801" t="str" cm="1">
        <f t="array" ref="L1801">_xlfn.IFS(
 K1801&lt;=50,"≤50",
 AND(K1801&gt;=51,K1801&lt;=100),"51–100",
 AND(K1801&gt;=101,K1801&lt;=250),"101–250",
 AND(K1801&gt;=251,K1801&lt;=500),"251–500",
 AND(K1801&gt;=501,K1801&lt;=1000),"501–1000",
 K1801&gt;=1001,"1001+"
)</f>
        <v>51–100</v>
      </c>
    </row>
    <row r="1802" spans="1:12" x14ac:dyDescent="0.3">
      <c r="A1802" t="s">
        <v>3456</v>
      </c>
      <c r="B1802" t="s">
        <v>9</v>
      </c>
      <c r="C1802" t="s">
        <v>5780</v>
      </c>
      <c r="D1802" t="s">
        <v>3457</v>
      </c>
      <c r="F1802" t="s">
        <v>5770</v>
      </c>
      <c r="J1802" t="s">
        <v>5762</v>
      </c>
      <c r="K1802">
        <v>100</v>
      </c>
      <c r="L1802" t="str" cm="1">
        <f t="array" ref="L1802">_xlfn.IFS(
 K1802&lt;=50,"≤50",
 AND(K1802&gt;=51,K1802&lt;=100),"51–100",
 AND(K1802&gt;=101,K1802&lt;=250),"101–250",
 AND(K1802&gt;=251,K1802&lt;=500),"251–500",
 AND(K1802&gt;=501,K1802&lt;=1000),"501–1000",
 K1802&gt;=1001,"1001+"
)</f>
        <v>51–100</v>
      </c>
    </row>
    <row r="1803" spans="1:12" x14ac:dyDescent="0.3">
      <c r="A1803" t="s">
        <v>3458</v>
      </c>
      <c r="B1803" t="s">
        <v>11</v>
      </c>
      <c r="C1803" t="s">
        <v>5776</v>
      </c>
      <c r="F1803" t="s">
        <v>5770</v>
      </c>
      <c r="J1803" t="s">
        <v>5737</v>
      </c>
      <c r="K1803">
        <v>100</v>
      </c>
      <c r="L1803" t="str" cm="1">
        <f t="array" ref="L1803">_xlfn.IFS(
 K1803&lt;=50,"≤50",
 AND(K1803&gt;=51,K1803&lt;=100),"51–100",
 AND(K1803&gt;=101,K1803&lt;=250),"101–250",
 AND(K1803&gt;=251,K1803&lt;=500),"251–500",
 AND(K1803&gt;=501,K1803&lt;=1000),"501–1000",
 K1803&gt;=1001,"1001+"
)</f>
        <v>51–100</v>
      </c>
    </row>
    <row r="1804" spans="1:12" x14ac:dyDescent="0.3">
      <c r="A1804" t="s">
        <v>3459</v>
      </c>
      <c r="B1804" t="s">
        <v>13</v>
      </c>
      <c r="C1804" t="s">
        <v>5777</v>
      </c>
      <c r="D1804" t="s">
        <v>3460</v>
      </c>
      <c r="F1804" t="s">
        <v>5770</v>
      </c>
      <c r="J1804" t="s">
        <v>5737</v>
      </c>
      <c r="K1804">
        <v>100</v>
      </c>
      <c r="L1804" t="str" cm="1">
        <f t="array" ref="L1804">_xlfn.IFS(
 K1804&lt;=50,"≤50",
 AND(K1804&gt;=51,K1804&lt;=100),"51–100",
 AND(K1804&gt;=101,K1804&lt;=250),"101–250",
 AND(K1804&gt;=251,K1804&lt;=500),"251–500",
 AND(K1804&gt;=501,K1804&lt;=1000),"501–1000",
 K1804&gt;=1001,"1001+"
)</f>
        <v>51–100</v>
      </c>
    </row>
    <row r="1805" spans="1:12" x14ac:dyDescent="0.3">
      <c r="A1805" t="s">
        <v>3461</v>
      </c>
      <c r="B1805" t="s">
        <v>9</v>
      </c>
      <c r="C1805" t="s">
        <v>5780</v>
      </c>
      <c r="D1805" t="s">
        <v>3462</v>
      </c>
      <c r="F1805" t="s">
        <v>5770</v>
      </c>
      <c r="J1805" t="s">
        <v>5746</v>
      </c>
      <c r="K1805">
        <v>100</v>
      </c>
      <c r="L1805" t="str" cm="1">
        <f t="array" ref="L1805">_xlfn.IFS(
 K1805&lt;=50,"≤50",
 AND(K1805&gt;=51,K1805&lt;=100),"51–100",
 AND(K1805&gt;=101,K1805&lt;=250),"101–250",
 AND(K1805&gt;=251,K1805&lt;=500),"251–500",
 AND(K1805&gt;=501,K1805&lt;=1000),"501–1000",
 K1805&gt;=1001,"1001+"
)</f>
        <v>51–100</v>
      </c>
    </row>
    <row r="1806" spans="1:12" x14ac:dyDescent="0.3">
      <c r="A1806" t="s">
        <v>3463</v>
      </c>
      <c r="B1806" t="s">
        <v>9</v>
      </c>
      <c r="C1806" t="s">
        <v>5780</v>
      </c>
      <c r="D1806" t="s">
        <v>339</v>
      </c>
      <c r="E1806" t="s">
        <v>15</v>
      </c>
      <c r="F1806" t="s">
        <v>20</v>
      </c>
      <c r="G1806" t="s">
        <v>21</v>
      </c>
      <c r="J1806" t="s">
        <v>5737</v>
      </c>
      <c r="K1806">
        <v>100</v>
      </c>
      <c r="L1806" t="str" cm="1">
        <f t="array" ref="L1806">_xlfn.IFS(
 K1806&lt;=50,"≤50",
 AND(K1806&gt;=51,K1806&lt;=100),"51–100",
 AND(K1806&gt;=101,K1806&lt;=250),"101–250",
 AND(K1806&gt;=251,K1806&lt;=500),"251–500",
 AND(K1806&gt;=501,K1806&lt;=1000),"501–1000",
 K1806&gt;=1001,"1001+"
)</f>
        <v>51–100</v>
      </c>
    </row>
    <row r="1807" spans="1:12" x14ac:dyDescent="0.3">
      <c r="A1807" t="s">
        <v>3464</v>
      </c>
      <c r="B1807" t="s">
        <v>197</v>
      </c>
      <c r="C1807" t="s">
        <v>5774</v>
      </c>
      <c r="D1807" t="s">
        <v>3465</v>
      </c>
      <c r="E1807" t="s">
        <v>15</v>
      </c>
      <c r="F1807" t="s">
        <v>54</v>
      </c>
      <c r="G1807" t="s">
        <v>3466</v>
      </c>
      <c r="J1807" t="s">
        <v>5751</v>
      </c>
      <c r="K1807">
        <v>100</v>
      </c>
      <c r="L1807" t="str" cm="1">
        <f t="array" ref="L1807">_xlfn.IFS(
 K1807&lt;=50,"≤50",
 AND(K1807&gt;=51,K1807&lt;=100),"51–100",
 AND(K1807&gt;=101,K1807&lt;=250),"101–250",
 AND(K1807&gt;=251,K1807&lt;=500),"251–500",
 AND(K1807&gt;=501,K1807&lt;=1000),"501–1000",
 K1807&gt;=1001,"1001+"
)</f>
        <v>51–100</v>
      </c>
    </row>
    <row r="1808" spans="1:12" x14ac:dyDescent="0.3">
      <c r="A1808" t="s">
        <v>3467</v>
      </c>
      <c r="B1808" t="s">
        <v>9</v>
      </c>
      <c r="C1808" t="s">
        <v>5780</v>
      </c>
      <c r="D1808" t="s">
        <v>3468</v>
      </c>
      <c r="F1808" t="s">
        <v>5770</v>
      </c>
      <c r="J1808" t="s">
        <v>5746</v>
      </c>
      <c r="K1808">
        <v>100</v>
      </c>
      <c r="L1808" t="str" cm="1">
        <f t="array" ref="L1808">_xlfn.IFS(
 K1808&lt;=50,"≤50",
 AND(K1808&gt;=51,K1808&lt;=100),"51–100",
 AND(K1808&gt;=101,K1808&lt;=250),"101–250",
 AND(K1808&gt;=251,K1808&lt;=500),"251–500",
 AND(K1808&gt;=501,K1808&lt;=1000),"501–1000",
 K1808&gt;=1001,"1001+"
)</f>
        <v>51–100</v>
      </c>
    </row>
    <row r="1809" spans="1:12" x14ac:dyDescent="0.3">
      <c r="A1809" t="s">
        <v>3469</v>
      </c>
      <c r="B1809" t="s">
        <v>13</v>
      </c>
      <c r="C1809" t="s">
        <v>5777</v>
      </c>
      <c r="D1809" t="s">
        <v>3470</v>
      </c>
      <c r="F1809" t="s">
        <v>5770</v>
      </c>
      <c r="J1809" t="s">
        <v>5743</v>
      </c>
      <c r="K1809">
        <v>100</v>
      </c>
      <c r="L1809" t="str" cm="1">
        <f t="array" ref="L1809">_xlfn.IFS(
 K1809&lt;=50,"≤50",
 AND(K1809&gt;=51,K1809&lt;=100),"51–100",
 AND(K1809&gt;=101,K1809&lt;=250),"101–250",
 AND(K1809&gt;=251,K1809&lt;=500),"251–500",
 AND(K1809&gt;=501,K1809&lt;=1000),"501–1000",
 K1809&gt;=1001,"1001+"
)</f>
        <v>51–100</v>
      </c>
    </row>
    <row r="1810" spans="1:12" x14ac:dyDescent="0.3">
      <c r="A1810" t="s">
        <v>3471</v>
      </c>
      <c r="B1810" t="s">
        <v>11</v>
      </c>
      <c r="C1810" t="s">
        <v>5776</v>
      </c>
      <c r="F1810" t="s">
        <v>5770</v>
      </c>
      <c r="J1810" t="s">
        <v>5737</v>
      </c>
      <c r="K1810">
        <v>100</v>
      </c>
      <c r="L1810" t="str" cm="1">
        <f t="array" ref="L1810">_xlfn.IFS(
 K1810&lt;=50,"≤50",
 AND(K1810&gt;=51,K1810&lt;=100),"51–100",
 AND(K1810&gt;=101,K1810&lt;=250),"101–250",
 AND(K1810&gt;=251,K1810&lt;=500),"251–500",
 AND(K1810&gt;=501,K1810&lt;=1000),"501–1000",
 K1810&gt;=1001,"1001+"
)</f>
        <v>51–100</v>
      </c>
    </row>
    <row r="1811" spans="1:12" x14ac:dyDescent="0.3">
      <c r="A1811" t="s">
        <v>3472</v>
      </c>
      <c r="B1811" t="s">
        <v>11</v>
      </c>
      <c r="C1811" t="s">
        <v>5776</v>
      </c>
      <c r="F1811" t="s">
        <v>5770</v>
      </c>
      <c r="J1811" t="s">
        <v>5737</v>
      </c>
      <c r="K1811">
        <v>100</v>
      </c>
      <c r="L1811" t="str" cm="1">
        <f t="array" ref="L1811">_xlfn.IFS(
 K1811&lt;=50,"≤50",
 AND(K1811&gt;=51,K1811&lt;=100),"51–100",
 AND(K1811&gt;=101,K1811&lt;=250),"101–250",
 AND(K1811&gt;=251,K1811&lt;=500),"251–500",
 AND(K1811&gt;=501,K1811&lt;=1000),"501–1000",
 K1811&gt;=1001,"1001+"
)</f>
        <v>51–100</v>
      </c>
    </row>
    <row r="1812" spans="1:12" x14ac:dyDescent="0.3">
      <c r="A1812" t="s">
        <v>3473</v>
      </c>
      <c r="B1812" t="s">
        <v>9</v>
      </c>
      <c r="C1812" t="s">
        <v>5780</v>
      </c>
      <c r="D1812" t="s">
        <v>3474</v>
      </c>
      <c r="F1812" t="s">
        <v>20</v>
      </c>
      <c r="G1812" t="s">
        <v>330</v>
      </c>
      <c r="J1812" t="s">
        <v>5737</v>
      </c>
      <c r="K1812">
        <v>100</v>
      </c>
      <c r="L1812" t="str" cm="1">
        <f t="array" ref="L1812">_xlfn.IFS(
 K1812&lt;=50,"≤50",
 AND(K1812&gt;=51,K1812&lt;=100),"51–100",
 AND(K1812&gt;=101,K1812&lt;=250),"101–250",
 AND(K1812&gt;=251,K1812&lt;=500),"251–500",
 AND(K1812&gt;=501,K1812&lt;=1000),"501–1000",
 K1812&gt;=1001,"1001+"
)</f>
        <v>51–100</v>
      </c>
    </row>
    <row r="1813" spans="1:12" x14ac:dyDescent="0.3">
      <c r="A1813" t="s">
        <v>3475</v>
      </c>
      <c r="B1813" t="s">
        <v>13</v>
      </c>
      <c r="C1813" t="s">
        <v>5777</v>
      </c>
      <c r="D1813" t="s">
        <v>3476</v>
      </c>
      <c r="E1813" t="s">
        <v>15</v>
      </c>
      <c r="F1813" t="s">
        <v>16</v>
      </c>
      <c r="G1813" t="s">
        <v>3477</v>
      </c>
      <c r="J1813" t="s">
        <v>5737</v>
      </c>
      <c r="K1813">
        <v>100</v>
      </c>
      <c r="L1813" t="str" cm="1">
        <f t="array" ref="L1813">_xlfn.IFS(
 K1813&lt;=50,"≤50",
 AND(K1813&gt;=51,K1813&lt;=100),"51–100",
 AND(K1813&gt;=101,K1813&lt;=250),"101–250",
 AND(K1813&gt;=251,K1813&lt;=500),"251–500",
 AND(K1813&gt;=501,K1813&lt;=1000),"501–1000",
 K1813&gt;=1001,"1001+"
)</f>
        <v>51–100</v>
      </c>
    </row>
    <row r="1814" spans="1:12" x14ac:dyDescent="0.3">
      <c r="A1814" t="s">
        <v>3478</v>
      </c>
      <c r="B1814" t="s">
        <v>9</v>
      </c>
      <c r="C1814" t="s">
        <v>5780</v>
      </c>
      <c r="D1814" t="s">
        <v>317</v>
      </c>
      <c r="E1814" t="s">
        <v>15</v>
      </c>
      <c r="F1814" t="s">
        <v>20</v>
      </c>
      <c r="G1814" t="s">
        <v>425</v>
      </c>
      <c r="J1814" t="s">
        <v>5744</v>
      </c>
      <c r="K1814">
        <v>100</v>
      </c>
      <c r="L1814" t="str" cm="1">
        <f t="array" ref="L1814">_xlfn.IFS(
 K1814&lt;=50,"≤50",
 AND(K1814&gt;=51,K1814&lt;=100),"51–100",
 AND(K1814&gt;=101,K1814&lt;=250),"101–250",
 AND(K1814&gt;=251,K1814&lt;=500),"251–500",
 AND(K1814&gt;=501,K1814&lt;=1000),"501–1000",
 K1814&gt;=1001,"1001+"
)</f>
        <v>51–100</v>
      </c>
    </row>
    <row r="1815" spans="1:12" x14ac:dyDescent="0.3">
      <c r="A1815" t="s">
        <v>3479</v>
      </c>
      <c r="B1815" t="s">
        <v>9</v>
      </c>
      <c r="C1815" t="s">
        <v>5780</v>
      </c>
      <c r="D1815" t="s">
        <v>28</v>
      </c>
      <c r="F1815" t="s">
        <v>5770</v>
      </c>
      <c r="J1815" t="s">
        <v>5742</v>
      </c>
      <c r="K1815">
        <v>100</v>
      </c>
      <c r="L1815" t="str" cm="1">
        <f t="array" ref="L1815">_xlfn.IFS(
 K1815&lt;=50,"≤50",
 AND(K1815&gt;=51,K1815&lt;=100),"51–100",
 AND(K1815&gt;=101,K1815&lt;=250),"101–250",
 AND(K1815&gt;=251,K1815&lt;=500),"251–500",
 AND(K1815&gt;=501,K1815&lt;=1000),"501–1000",
 K1815&gt;=1001,"1001+"
)</f>
        <v>51–100</v>
      </c>
    </row>
    <row r="1816" spans="1:12" x14ac:dyDescent="0.3">
      <c r="A1816" t="s">
        <v>3480</v>
      </c>
      <c r="B1816" t="s">
        <v>9</v>
      </c>
      <c r="C1816" t="s">
        <v>5780</v>
      </c>
      <c r="D1816" t="s">
        <v>3481</v>
      </c>
      <c r="E1816" t="s">
        <v>15</v>
      </c>
      <c r="F1816" t="s">
        <v>20</v>
      </c>
      <c r="G1816" t="s">
        <v>425</v>
      </c>
      <c r="J1816" t="s">
        <v>5739</v>
      </c>
      <c r="K1816">
        <v>100</v>
      </c>
      <c r="L1816" t="str" cm="1">
        <f t="array" ref="L1816">_xlfn.IFS(
 K1816&lt;=50,"≤50",
 AND(K1816&gt;=51,K1816&lt;=100),"51–100",
 AND(K1816&gt;=101,K1816&lt;=250),"101–250",
 AND(K1816&gt;=251,K1816&lt;=500),"251–500",
 AND(K1816&gt;=501,K1816&lt;=1000),"501–1000",
 K1816&gt;=1001,"1001+"
)</f>
        <v>51–100</v>
      </c>
    </row>
    <row r="1817" spans="1:12" x14ac:dyDescent="0.3">
      <c r="A1817" t="s">
        <v>3482</v>
      </c>
      <c r="B1817" t="s">
        <v>9</v>
      </c>
      <c r="C1817" t="s">
        <v>5780</v>
      </c>
      <c r="D1817" t="s">
        <v>3483</v>
      </c>
      <c r="E1817" t="s">
        <v>15</v>
      </c>
      <c r="F1817" t="s">
        <v>54</v>
      </c>
      <c r="G1817" t="s">
        <v>553</v>
      </c>
      <c r="J1817" t="s">
        <v>5737</v>
      </c>
      <c r="K1817">
        <v>100</v>
      </c>
      <c r="L1817" t="str" cm="1">
        <f t="array" ref="L1817">_xlfn.IFS(
 K1817&lt;=50,"≤50",
 AND(K1817&gt;=51,K1817&lt;=100),"51–100",
 AND(K1817&gt;=101,K1817&lt;=250),"101–250",
 AND(K1817&gt;=251,K1817&lt;=500),"251–500",
 AND(K1817&gt;=501,K1817&lt;=1000),"501–1000",
 K1817&gt;=1001,"1001+"
)</f>
        <v>51–100</v>
      </c>
    </row>
    <row r="1818" spans="1:12" x14ac:dyDescent="0.3">
      <c r="A1818" t="s">
        <v>3484</v>
      </c>
      <c r="B1818" t="s">
        <v>9</v>
      </c>
      <c r="C1818" t="s">
        <v>5780</v>
      </c>
      <c r="D1818" t="s">
        <v>3485</v>
      </c>
      <c r="F1818" t="s">
        <v>5770</v>
      </c>
      <c r="J1818" t="s">
        <v>5737</v>
      </c>
      <c r="K1818">
        <v>100</v>
      </c>
      <c r="L1818" t="str" cm="1">
        <f t="array" ref="L1818">_xlfn.IFS(
 K1818&lt;=50,"≤50",
 AND(K1818&gt;=51,K1818&lt;=100),"51–100",
 AND(K1818&gt;=101,K1818&lt;=250),"101–250",
 AND(K1818&gt;=251,K1818&lt;=500),"251–500",
 AND(K1818&gt;=501,K1818&lt;=1000),"501–1000",
 K1818&gt;=1001,"1001+"
)</f>
        <v>51–100</v>
      </c>
    </row>
    <row r="1819" spans="1:12" x14ac:dyDescent="0.3">
      <c r="A1819" t="s">
        <v>3486</v>
      </c>
      <c r="B1819" t="s">
        <v>9</v>
      </c>
      <c r="C1819" t="s">
        <v>5780</v>
      </c>
      <c r="D1819" t="s">
        <v>3487</v>
      </c>
      <c r="E1819" t="s">
        <v>15</v>
      </c>
      <c r="F1819" t="s">
        <v>20</v>
      </c>
      <c r="G1819" t="s">
        <v>3488</v>
      </c>
      <c r="J1819" t="s">
        <v>5737</v>
      </c>
      <c r="K1819">
        <v>100</v>
      </c>
      <c r="L1819" t="str" cm="1">
        <f t="array" ref="L1819">_xlfn.IFS(
 K1819&lt;=50,"≤50",
 AND(K1819&gt;=51,K1819&lt;=100),"51–100",
 AND(K1819&gt;=101,K1819&lt;=250),"101–250",
 AND(K1819&gt;=251,K1819&lt;=500),"251–500",
 AND(K1819&gt;=501,K1819&lt;=1000),"501–1000",
 K1819&gt;=1001,"1001+"
)</f>
        <v>51–100</v>
      </c>
    </row>
    <row r="1820" spans="1:12" x14ac:dyDescent="0.3">
      <c r="A1820" t="s">
        <v>3489</v>
      </c>
      <c r="B1820" t="s">
        <v>9</v>
      </c>
      <c r="C1820" t="s">
        <v>5780</v>
      </c>
      <c r="D1820" t="s">
        <v>3490</v>
      </c>
      <c r="F1820" t="s">
        <v>16</v>
      </c>
      <c r="G1820" t="s">
        <v>3491</v>
      </c>
      <c r="J1820" t="s">
        <v>5737</v>
      </c>
      <c r="K1820">
        <v>100</v>
      </c>
      <c r="L1820" t="str" cm="1">
        <f t="array" ref="L1820">_xlfn.IFS(
 K1820&lt;=50,"≤50",
 AND(K1820&gt;=51,K1820&lt;=100),"51–100",
 AND(K1820&gt;=101,K1820&lt;=250),"101–250",
 AND(K1820&gt;=251,K1820&lt;=500),"251–500",
 AND(K1820&gt;=501,K1820&lt;=1000),"501–1000",
 K1820&gt;=1001,"1001+"
)</f>
        <v>51–100</v>
      </c>
    </row>
    <row r="1821" spans="1:12" x14ac:dyDescent="0.3">
      <c r="A1821" t="s">
        <v>3492</v>
      </c>
      <c r="B1821" t="s">
        <v>9</v>
      </c>
      <c r="C1821" t="s">
        <v>5780</v>
      </c>
      <c r="D1821" t="s">
        <v>28</v>
      </c>
      <c r="E1821" t="s">
        <v>15</v>
      </c>
      <c r="F1821" t="s">
        <v>16</v>
      </c>
      <c r="G1821" t="s">
        <v>3493</v>
      </c>
      <c r="J1821" t="s">
        <v>5737</v>
      </c>
      <c r="K1821">
        <v>100</v>
      </c>
      <c r="L1821" t="str" cm="1">
        <f t="array" ref="L1821">_xlfn.IFS(
 K1821&lt;=50,"≤50",
 AND(K1821&gt;=51,K1821&lt;=100),"51–100",
 AND(K1821&gt;=101,K1821&lt;=250),"101–250",
 AND(K1821&gt;=251,K1821&lt;=500),"251–500",
 AND(K1821&gt;=501,K1821&lt;=1000),"501–1000",
 K1821&gt;=1001,"1001+"
)</f>
        <v>51–100</v>
      </c>
    </row>
    <row r="1822" spans="1:12" x14ac:dyDescent="0.3">
      <c r="A1822" t="s">
        <v>3494</v>
      </c>
      <c r="B1822" t="s">
        <v>13</v>
      </c>
      <c r="C1822" t="s">
        <v>5777</v>
      </c>
      <c r="D1822" t="s">
        <v>3495</v>
      </c>
      <c r="F1822" t="s">
        <v>5770</v>
      </c>
      <c r="J1822" t="s">
        <v>5737</v>
      </c>
      <c r="K1822">
        <v>100</v>
      </c>
      <c r="L1822" t="str" cm="1">
        <f t="array" ref="L1822">_xlfn.IFS(
 K1822&lt;=50,"≤50",
 AND(K1822&gt;=51,K1822&lt;=100),"51–100",
 AND(K1822&gt;=101,K1822&lt;=250),"101–250",
 AND(K1822&gt;=251,K1822&lt;=500),"251–500",
 AND(K1822&gt;=501,K1822&lt;=1000),"501–1000",
 K1822&gt;=1001,"1001+"
)</f>
        <v>51–100</v>
      </c>
    </row>
    <row r="1823" spans="1:12" x14ac:dyDescent="0.3">
      <c r="A1823" t="s">
        <v>3496</v>
      </c>
      <c r="B1823" t="s">
        <v>9</v>
      </c>
      <c r="C1823" t="s">
        <v>5780</v>
      </c>
      <c r="D1823" t="s">
        <v>3497</v>
      </c>
      <c r="E1823" t="s">
        <v>15</v>
      </c>
      <c r="F1823" t="s">
        <v>20</v>
      </c>
      <c r="G1823" t="s">
        <v>3498</v>
      </c>
      <c r="J1823" t="s">
        <v>5752</v>
      </c>
      <c r="K1823">
        <v>100</v>
      </c>
      <c r="L1823" t="str" cm="1">
        <f t="array" ref="L1823">_xlfn.IFS(
 K1823&lt;=50,"≤50",
 AND(K1823&gt;=51,K1823&lt;=100),"51–100",
 AND(K1823&gt;=101,K1823&lt;=250),"101–250",
 AND(K1823&gt;=251,K1823&lt;=500),"251–500",
 AND(K1823&gt;=501,K1823&lt;=1000),"501–1000",
 K1823&gt;=1001,"1001+"
)</f>
        <v>51–100</v>
      </c>
    </row>
    <row r="1824" spans="1:12" x14ac:dyDescent="0.3">
      <c r="A1824" t="s">
        <v>3499</v>
      </c>
      <c r="B1824" t="s">
        <v>9</v>
      </c>
      <c r="C1824" t="s">
        <v>5780</v>
      </c>
      <c r="D1824" t="s">
        <v>3500</v>
      </c>
      <c r="E1824" t="s">
        <v>15</v>
      </c>
      <c r="F1824" t="s">
        <v>16</v>
      </c>
      <c r="G1824" t="s">
        <v>3501</v>
      </c>
      <c r="J1824" t="s">
        <v>5744</v>
      </c>
      <c r="K1824">
        <v>100</v>
      </c>
      <c r="L1824" t="str" cm="1">
        <f t="array" ref="L1824">_xlfn.IFS(
 K1824&lt;=50,"≤50",
 AND(K1824&gt;=51,K1824&lt;=100),"51–100",
 AND(K1824&gt;=101,K1824&lt;=250),"101–250",
 AND(K1824&gt;=251,K1824&lt;=500),"251–500",
 AND(K1824&gt;=501,K1824&lt;=1000),"501–1000",
 K1824&gt;=1001,"1001+"
)</f>
        <v>51–100</v>
      </c>
    </row>
    <row r="1825" spans="1:12" x14ac:dyDescent="0.3">
      <c r="A1825" t="s">
        <v>3502</v>
      </c>
      <c r="B1825" t="s">
        <v>9</v>
      </c>
      <c r="C1825" t="s">
        <v>5780</v>
      </c>
      <c r="D1825" t="s">
        <v>3503</v>
      </c>
      <c r="E1825" t="s">
        <v>15</v>
      </c>
      <c r="F1825" t="s">
        <v>20</v>
      </c>
      <c r="G1825" t="s">
        <v>3504</v>
      </c>
      <c r="J1825" t="s">
        <v>5743</v>
      </c>
      <c r="K1825">
        <v>100</v>
      </c>
      <c r="L1825" t="str" cm="1">
        <f t="array" ref="L1825">_xlfn.IFS(
 K1825&lt;=50,"≤50",
 AND(K1825&gt;=51,K1825&lt;=100),"51–100",
 AND(K1825&gt;=101,K1825&lt;=250),"101–250",
 AND(K1825&gt;=251,K1825&lt;=500),"251–500",
 AND(K1825&gt;=501,K1825&lt;=1000),"501–1000",
 K1825&gt;=1001,"1001+"
)</f>
        <v>51–100</v>
      </c>
    </row>
    <row r="1826" spans="1:12" x14ac:dyDescent="0.3">
      <c r="A1826" t="s">
        <v>3505</v>
      </c>
      <c r="B1826" t="s">
        <v>11</v>
      </c>
      <c r="C1826" t="s">
        <v>5776</v>
      </c>
      <c r="F1826" t="s">
        <v>5770</v>
      </c>
      <c r="J1826" t="s">
        <v>5746</v>
      </c>
      <c r="K1826">
        <v>100</v>
      </c>
      <c r="L1826" t="str" cm="1">
        <f t="array" ref="L1826">_xlfn.IFS(
 K1826&lt;=50,"≤50",
 AND(K1826&gt;=51,K1826&lt;=100),"51–100",
 AND(K1826&gt;=101,K1826&lt;=250),"101–250",
 AND(K1826&gt;=251,K1826&lt;=500),"251–500",
 AND(K1826&gt;=501,K1826&lt;=1000),"501–1000",
 K1826&gt;=1001,"1001+"
)</f>
        <v>51–100</v>
      </c>
    </row>
    <row r="1827" spans="1:12" x14ac:dyDescent="0.3">
      <c r="A1827" t="s">
        <v>3506</v>
      </c>
      <c r="B1827" t="s">
        <v>13</v>
      </c>
      <c r="C1827" t="s">
        <v>5777</v>
      </c>
      <c r="D1827" t="s">
        <v>3507</v>
      </c>
      <c r="E1827" t="s">
        <v>15</v>
      </c>
      <c r="F1827" t="s">
        <v>20</v>
      </c>
      <c r="G1827" t="s">
        <v>3508</v>
      </c>
      <c r="J1827" t="s">
        <v>5737</v>
      </c>
      <c r="K1827">
        <v>100</v>
      </c>
      <c r="L1827" t="str" cm="1">
        <f t="array" ref="L1827">_xlfn.IFS(
 K1827&lt;=50,"≤50",
 AND(K1827&gt;=51,K1827&lt;=100),"51–100",
 AND(K1827&gt;=101,K1827&lt;=250),"101–250",
 AND(K1827&gt;=251,K1827&lt;=500),"251–500",
 AND(K1827&gt;=501,K1827&lt;=1000),"501–1000",
 K1827&gt;=1001,"1001+"
)</f>
        <v>51–100</v>
      </c>
    </row>
    <row r="1828" spans="1:12" x14ac:dyDescent="0.3">
      <c r="A1828" t="s">
        <v>3509</v>
      </c>
      <c r="B1828" t="s">
        <v>9</v>
      </c>
      <c r="C1828" t="s">
        <v>5780</v>
      </c>
      <c r="D1828" t="s">
        <v>3510</v>
      </c>
      <c r="E1828" t="s">
        <v>15</v>
      </c>
      <c r="F1828" t="s">
        <v>16</v>
      </c>
      <c r="G1828" t="s">
        <v>3511</v>
      </c>
      <c r="J1828" t="s">
        <v>5737</v>
      </c>
      <c r="K1828">
        <v>100</v>
      </c>
      <c r="L1828" t="str" cm="1">
        <f t="array" ref="L1828">_xlfn.IFS(
 K1828&lt;=50,"≤50",
 AND(K1828&gt;=51,K1828&lt;=100),"51–100",
 AND(K1828&gt;=101,K1828&lt;=250),"101–250",
 AND(K1828&gt;=251,K1828&lt;=500),"251–500",
 AND(K1828&gt;=501,K1828&lt;=1000),"501–1000",
 K1828&gt;=1001,"1001+"
)</f>
        <v>51–100</v>
      </c>
    </row>
    <row r="1829" spans="1:12" x14ac:dyDescent="0.3">
      <c r="A1829" t="s">
        <v>3512</v>
      </c>
      <c r="B1829" t="s">
        <v>13</v>
      </c>
      <c r="C1829" t="s">
        <v>5777</v>
      </c>
      <c r="D1829" t="s">
        <v>231</v>
      </c>
      <c r="F1829" t="s">
        <v>5770</v>
      </c>
      <c r="J1829" t="s">
        <v>5742</v>
      </c>
      <c r="K1829">
        <v>100</v>
      </c>
      <c r="L1829" t="str" cm="1">
        <f t="array" ref="L1829">_xlfn.IFS(
 K1829&lt;=50,"≤50",
 AND(K1829&gt;=51,K1829&lt;=100),"51–100",
 AND(K1829&gt;=101,K1829&lt;=250),"101–250",
 AND(K1829&gt;=251,K1829&lt;=500),"251–500",
 AND(K1829&gt;=501,K1829&lt;=1000),"501–1000",
 K1829&gt;=1001,"1001+"
)</f>
        <v>51–100</v>
      </c>
    </row>
    <row r="1830" spans="1:12" x14ac:dyDescent="0.3">
      <c r="A1830" t="s">
        <v>3513</v>
      </c>
      <c r="B1830" t="s">
        <v>9</v>
      </c>
      <c r="C1830" t="s">
        <v>5780</v>
      </c>
      <c r="D1830" t="s">
        <v>3514</v>
      </c>
      <c r="F1830" t="s">
        <v>5770</v>
      </c>
      <c r="J1830" t="s">
        <v>5742</v>
      </c>
      <c r="K1830">
        <v>100</v>
      </c>
      <c r="L1830" t="str" cm="1">
        <f t="array" ref="L1830">_xlfn.IFS(
 K1830&lt;=50,"≤50",
 AND(K1830&gt;=51,K1830&lt;=100),"51–100",
 AND(K1830&gt;=101,K1830&lt;=250),"101–250",
 AND(K1830&gt;=251,K1830&lt;=500),"251–500",
 AND(K1830&gt;=501,K1830&lt;=1000),"501–1000",
 K1830&gt;=1001,"1001+"
)</f>
        <v>51–100</v>
      </c>
    </row>
    <row r="1831" spans="1:12" x14ac:dyDescent="0.3">
      <c r="A1831" t="s">
        <v>3515</v>
      </c>
      <c r="B1831" t="s">
        <v>11</v>
      </c>
      <c r="C1831" t="s">
        <v>5776</v>
      </c>
      <c r="F1831" t="s">
        <v>5770</v>
      </c>
      <c r="J1831" t="s">
        <v>5742</v>
      </c>
      <c r="K1831">
        <v>100</v>
      </c>
      <c r="L1831" t="str" cm="1">
        <f t="array" ref="L1831">_xlfn.IFS(
 K1831&lt;=50,"≤50",
 AND(K1831&gt;=51,K1831&lt;=100),"51–100",
 AND(K1831&gt;=101,K1831&lt;=250),"101–250",
 AND(K1831&gt;=251,K1831&lt;=500),"251–500",
 AND(K1831&gt;=501,K1831&lt;=1000),"501–1000",
 K1831&gt;=1001,"1001+"
)</f>
        <v>51–100</v>
      </c>
    </row>
    <row r="1832" spans="1:12" x14ac:dyDescent="0.3">
      <c r="A1832" t="s">
        <v>3516</v>
      </c>
      <c r="B1832" t="s">
        <v>9</v>
      </c>
      <c r="C1832" t="s">
        <v>5780</v>
      </c>
      <c r="D1832" t="s">
        <v>28</v>
      </c>
      <c r="E1832" t="s">
        <v>15</v>
      </c>
      <c r="F1832" t="s">
        <v>54</v>
      </c>
      <c r="G1832" t="s">
        <v>3517</v>
      </c>
      <c r="H1832" t="s">
        <v>15</v>
      </c>
      <c r="I1832" t="s">
        <v>3518</v>
      </c>
      <c r="J1832" t="s">
        <v>5739</v>
      </c>
      <c r="K1832">
        <v>100</v>
      </c>
      <c r="L1832" t="str" cm="1">
        <f t="array" ref="L1832">_xlfn.IFS(
 K1832&lt;=50,"≤50",
 AND(K1832&gt;=51,K1832&lt;=100),"51–100",
 AND(K1832&gt;=101,K1832&lt;=250),"101–250",
 AND(K1832&gt;=251,K1832&lt;=500),"251–500",
 AND(K1832&gt;=501,K1832&lt;=1000),"501–1000",
 K1832&gt;=1001,"1001+"
)</f>
        <v>51–100</v>
      </c>
    </row>
    <row r="1833" spans="1:12" x14ac:dyDescent="0.3">
      <c r="A1833" t="s">
        <v>3519</v>
      </c>
      <c r="B1833" t="s">
        <v>9</v>
      </c>
      <c r="C1833" t="s">
        <v>5780</v>
      </c>
      <c r="D1833" t="s">
        <v>3520</v>
      </c>
      <c r="F1833" t="s">
        <v>20</v>
      </c>
      <c r="G1833" t="s">
        <v>135</v>
      </c>
      <c r="J1833" t="s">
        <v>5737</v>
      </c>
      <c r="K1833">
        <v>100</v>
      </c>
      <c r="L1833" t="str" cm="1">
        <f t="array" ref="L1833">_xlfn.IFS(
 K1833&lt;=50,"≤50",
 AND(K1833&gt;=51,K1833&lt;=100),"51–100",
 AND(K1833&gt;=101,K1833&lt;=250),"101–250",
 AND(K1833&gt;=251,K1833&lt;=500),"251–500",
 AND(K1833&gt;=501,K1833&lt;=1000),"501–1000",
 K1833&gt;=1001,"1001+"
)</f>
        <v>51–100</v>
      </c>
    </row>
    <row r="1834" spans="1:12" x14ac:dyDescent="0.3">
      <c r="A1834" t="s">
        <v>3521</v>
      </c>
      <c r="B1834" t="s">
        <v>9</v>
      </c>
      <c r="C1834" t="s">
        <v>5780</v>
      </c>
      <c r="D1834" t="s">
        <v>28</v>
      </c>
      <c r="F1834" t="s">
        <v>5770</v>
      </c>
      <c r="J1834" t="s">
        <v>5742</v>
      </c>
      <c r="K1834">
        <v>100</v>
      </c>
      <c r="L1834" t="str" cm="1">
        <f t="array" ref="L1834">_xlfn.IFS(
 K1834&lt;=50,"≤50",
 AND(K1834&gt;=51,K1834&lt;=100),"51–100",
 AND(K1834&gt;=101,K1834&lt;=250),"101–250",
 AND(K1834&gt;=251,K1834&lt;=500),"251–500",
 AND(K1834&gt;=501,K1834&lt;=1000),"501–1000",
 K1834&gt;=1001,"1001+"
)</f>
        <v>51–100</v>
      </c>
    </row>
    <row r="1835" spans="1:12" x14ac:dyDescent="0.3">
      <c r="A1835" t="s">
        <v>3522</v>
      </c>
      <c r="B1835" t="s">
        <v>13</v>
      </c>
      <c r="C1835" t="s">
        <v>5777</v>
      </c>
      <c r="D1835" t="s">
        <v>3523</v>
      </c>
      <c r="E1835" t="s">
        <v>15</v>
      </c>
      <c r="F1835" t="s">
        <v>54</v>
      </c>
      <c r="G1835" t="s">
        <v>3524</v>
      </c>
      <c r="J1835" t="s">
        <v>5737</v>
      </c>
      <c r="K1835">
        <v>100</v>
      </c>
      <c r="L1835" t="str" cm="1">
        <f t="array" ref="L1835">_xlfn.IFS(
 K1835&lt;=50,"≤50",
 AND(K1835&gt;=51,K1835&lt;=100),"51–100",
 AND(K1835&gt;=101,K1835&lt;=250),"101–250",
 AND(K1835&gt;=251,K1835&lt;=500),"251–500",
 AND(K1835&gt;=501,K1835&lt;=1000),"501–1000",
 K1835&gt;=1001,"1001+"
)</f>
        <v>51–100</v>
      </c>
    </row>
    <row r="1836" spans="1:12" x14ac:dyDescent="0.3">
      <c r="A1836" t="s">
        <v>3525</v>
      </c>
      <c r="B1836" t="s">
        <v>9</v>
      </c>
      <c r="C1836" t="s">
        <v>5780</v>
      </c>
      <c r="D1836" t="s">
        <v>3526</v>
      </c>
      <c r="E1836" t="s">
        <v>15</v>
      </c>
      <c r="F1836" t="s">
        <v>5770</v>
      </c>
      <c r="J1836" t="s">
        <v>5737</v>
      </c>
      <c r="K1836">
        <v>100</v>
      </c>
      <c r="L1836" t="str" cm="1">
        <f t="array" ref="L1836">_xlfn.IFS(
 K1836&lt;=50,"≤50",
 AND(K1836&gt;=51,K1836&lt;=100),"51–100",
 AND(K1836&gt;=101,K1836&lt;=250),"101–250",
 AND(K1836&gt;=251,K1836&lt;=500),"251–500",
 AND(K1836&gt;=501,K1836&lt;=1000),"501–1000",
 K1836&gt;=1001,"1001+"
)</f>
        <v>51–100</v>
      </c>
    </row>
    <row r="1837" spans="1:12" x14ac:dyDescent="0.3">
      <c r="A1837" t="s">
        <v>3527</v>
      </c>
      <c r="B1837" t="s">
        <v>13</v>
      </c>
      <c r="C1837" t="s">
        <v>5777</v>
      </c>
      <c r="D1837" t="s">
        <v>314</v>
      </c>
      <c r="F1837" t="s">
        <v>5770</v>
      </c>
      <c r="J1837" t="s">
        <v>5737</v>
      </c>
      <c r="K1837">
        <v>100</v>
      </c>
      <c r="L1837" t="str" cm="1">
        <f t="array" ref="L1837">_xlfn.IFS(
 K1837&lt;=50,"≤50",
 AND(K1837&gt;=51,K1837&lt;=100),"51–100",
 AND(K1837&gt;=101,K1837&lt;=250),"101–250",
 AND(K1837&gt;=251,K1837&lt;=500),"251–500",
 AND(K1837&gt;=501,K1837&lt;=1000),"501–1000",
 K1837&gt;=1001,"1001+"
)</f>
        <v>51–100</v>
      </c>
    </row>
    <row r="1838" spans="1:12" x14ac:dyDescent="0.3">
      <c r="A1838" t="s">
        <v>3528</v>
      </c>
      <c r="B1838" t="s">
        <v>9</v>
      </c>
      <c r="C1838" t="s">
        <v>5780</v>
      </c>
      <c r="D1838" t="s">
        <v>3529</v>
      </c>
      <c r="E1838" t="s">
        <v>15</v>
      </c>
      <c r="F1838" t="s">
        <v>5770</v>
      </c>
      <c r="J1838" t="s">
        <v>5737</v>
      </c>
      <c r="K1838">
        <v>100</v>
      </c>
      <c r="L1838" t="str" cm="1">
        <f t="array" ref="L1838">_xlfn.IFS(
 K1838&lt;=50,"≤50",
 AND(K1838&gt;=51,K1838&lt;=100),"51–100",
 AND(K1838&gt;=101,K1838&lt;=250),"101–250",
 AND(K1838&gt;=251,K1838&lt;=500),"251–500",
 AND(K1838&gt;=501,K1838&lt;=1000),"501–1000",
 K1838&gt;=1001,"1001+"
)</f>
        <v>51–100</v>
      </c>
    </row>
    <row r="1839" spans="1:12" x14ac:dyDescent="0.3">
      <c r="A1839" t="s">
        <v>3530</v>
      </c>
      <c r="B1839" t="s">
        <v>9</v>
      </c>
      <c r="C1839" t="s">
        <v>5780</v>
      </c>
      <c r="D1839" t="s">
        <v>691</v>
      </c>
      <c r="E1839" t="s">
        <v>15</v>
      </c>
      <c r="F1839" t="s">
        <v>54</v>
      </c>
      <c r="G1839" t="s">
        <v>3531</v>
      </c>
      <c r="J1839" t="s">
        <v>5753</v>
      </c>
      <c r="K1839">
        <v>100</v>
      </c>
      <c r="L1839" t="str" cm="1">
        <f t="array" ref="L1839">_xlfn.IFS(
 K1839&lt;=50,"≤50",
 AND(K1839&gt;=51,K1839&lt;=100),"51–100",
 AND(K1839&gt;=101,K1839&lt;=250),"101–250",
 AND(K1839&gt;=251,K1839&lt;=500),"251–500",
 AND(K1839&gt;=501,K1839&lt;=1000),"501–1000",
 K1839&gt;=1001,"1001+"
)</f>
        <v>51–100</v>
      </c>
    </row>
    <row r="1840" spans="1:12" x14ac:dyDescent="0.3">
      <c r="A1840" t="s">
        <v>3532</v>
      </c>
      <c r="B1840" t="s">
        <v>11</v>
      </c>
      <c r="C1840" t="s">
        <v>5776</v>
      </c>
      <c r="F1840" t="s">
        <v>5770</v>
      </c>
      <c r="J1840" t="s">
        <v>5748</v>
      </c>
      <c r="K1840">
        <v>100</v>
      </c>
      <c r="L1840" t="str" cm="1">
        <f t="array" ref="L1840">_xlfn.IFS(
 K1840&lt;=50,"≤50",
 AND(K1840&gt;=51,K1840&lt;=100),"51–100",
 AND(K1840&gt;=101,K1840&lt;=250),"101–250",
 AND(K1840&gt;=251,K1840&lt;=500),"251–500",
 AND(K1840&gt;=501,K1840&lt;=1000),"501–1000",
 K1840&gt;=1001,"1001+"
)</f>
        <v>51–100</v>
      </c>
    </row>
    <row r="1841" spans="1:12" x14ac:dyDescent="0.3">
      <c r="A1841" t="s">
        <v>3533</v>
      </c>
      <c r="B1841" t="s">
        <v>13</v>
      </c>
      <c r="C1841" t="s">
        <v>5777</v>
      </c>
      <c r="D1841" t="s">
        <v>231</v>
      </c>
      <c r="F1841" t="s">
        <v>5770</v>
      </c>
      <c r="J1841" t="s">
        <v>5743</v>
      </c>
      <c r="K1841">
        <v>100</v>
      </c>
      <c r="L1841" t="str" cm="1">
        <f t="array" ref="L1841">_xlfn.IFS(
 K1841&lt;=50,"≤50",
 AND(K1841&gt;=51,K1841&lt;=100),"51–100",
 AND(K1841&gt;=101,K1841&lt;=250),"101–250",
 AND(K1841&gt;=251,K1841&lt;=500),"251–500",
 AND(K1841&gt;=501,K1841&lt;=1000),"501–1000",
 K1841&gt;=1001,"1001+"
)</f>
        <v>51–100</v>
      </c>
    </row>
    <row r="1842" spans="1:12" x14ac:dyDescent="0.3">
      <c r="A1842" t="s">
        <v>3534</v>
      </c>
      <c r="B1842" t="s">
        <v>9</v>
      </c>
      <c r="C1842" t="s">
        <v>5780</v>
      </c>
      <c r="D1842" t="s">
        <v>3535</v>
      </c>
      <c r="E1842" t="s">
        <v>15</v>
      </c>
      <c r="F1842" t="s">
        <v>5770</v>
      </c>
      <c r="J1842" t="s">
        <v>5742</v>
      </c>
      <c r="K1842">
        <v>100</v>
      </c>
      <c r="L1842" t="str" cm="1">
        <f t="array" ref="L1842">_xlfn.IFS(
 K1842&lt;=50,"≤50",
 AND(K1842&gt;=51,K1842&lt;=100),"51–100",
 AND(K1842&gt;=101,K1842&lt;=250),"101–250",
 AND(K1842&gt;=251,K1842&lt;=500),"251–500",
 AND(K1842&gt;=501,K1842&lt;=1000),"501–1000",
 K1842&gt;=1001,"1001+"
)</f>
        <v>51–100</v>
      </c>
    </row>
    <row r="1843" spans="1:12" x14ac:dyDescent="0.3">
      <c r="A1843" t="s">
        <v>3536</v>
      </c>
      <c r="B1843" t="s">
        <v>9</v>
      </c>
      <c r="C1843" t="s">
        <v>5780</v>
      </c>
      <c r="D1843" t="s">
        <v>3537</v>
      </c>
      <c r="F1843" t="s">
        <v>5770</v>
      </c>
      <c r="J1843" t="s">
        <v>5742</v>
      </c>
      <c r="K1843">
        <v>100</v>
      </c>
      <c r="L1843" t="str" cm="1">
        <f t="array" ref="L1843">_xlfn.IFS(
 K1843&lt;=50,"≤50",
 AND(K1843&gt;=51,K1843&lt;=100),"51–100",
 AND(K1843&gt;=101,K1843&lt;=250),"101–250",
 AND(K1843&gt;=251,K1843&lt;=500),"251–500",
 AND(K1843&gt;=501,K1843&lt;=1000),"501–1000",
 K1843&gt;=1001,"1001+"
)</f>
        <v>51–100</v>
      </c>
    </row>
    <row r="1844" spans="1:12" x14ac:dyDescent="0.3">
      <c r="A1844" t="s">
        <v>3538</v>
      </c>
      <c r="B1844" t="s">
        <v>9</v>
      </c>
      <c r="C1844" t="s">
        <v>5780</v>
      </c>
      <c r="D1844" t="s">
        <v>3539</v>
      </c>
      <c r="F1844" t="s">
        <v>5770</v>
      </c>
      <c r="J1844" t="s">
        <v>5738</v>
      </c>
      <c r="K1844">
        <v>100</v>
      </c>
      <c r="L1844" t="str" cm="1">
        <f t="array" ref="L1844">_xlfn.IFS(
 K1844&lt;=50,"≤50",
 AND(K1844&gt;=51,K1844&lt;=100),"51–100",
 AND(K1844&gt;=101,K1844&lt;=250),"101–250",
 AND(K1844&gt;=251,K1844&lt;=500),"251–500",
 AND(K1844&gt;=501,K1844&lt;=1000),"501–1000",
 K1844&gt;=1001,"1001+"
)</f>
        <v>51–100</v>
      </c>
    </row>
    <row r="1845" spans="1:12" x14ac:dyDescent="0.3">
      <c r="A1845" t="s">
        <v>3540</v>
      </c>
      <c r="B1845" t="s">
        <v>9</v>
      </c>
      <c r="C1845" t="s">
        <v>5780</v>
      </c>
      <c r="D1845" t="s">
        <v>28</v>
      </c>
      <c r="F1845" t="s">
        <v>20</v>
      </c>
      <c r="G1845" t="s">
        <v>135</v>
      </c>
      <c r="J1845" t="s">
        <v>5738</v>
      </c>
      <c r="K1845">
        <v>100</v>
      </c>
      <c r="L1845" t="str" cm="1">
        <f t="array" ref="L1845">_xlfn.IFS(
 K1845&lt;=50,"≤50",
 AND(K1845&gt;=51,K1845&lt;=100),"51–100",
 AND(K1845&gt;=101,K1845&lt;=250),"101–250",
 AND(K1845&gt;=251,K1845&lt;=500),"251–500",
 AND(K1845&gt;=501,K1845&lt;=1000),"501–1000",
 K1845&gt;=1001,"1001+"
)</f>
        <v>51–100</v>
      </c>
    </row>
    <row r="1846" spans="1:12" x14ac:dyDescent="0.3">
      <c r="A1846" t="s">
        <v>3541</v>
      </c>
      <c r="B1846" t="s">
        <v>9</v>
      </c>
      <c r="C1846" t="s">
        <v>5780</v>
      </c>
      <c r="D1846" t="s">
        <v>3542</v>
      </c>
      <c r="E1846" t="s">
        <v>15</v>
      </c>
      <c r="F1846" t="s">
        <v>54</v>
      </c>
      <c r="G1846" t="s">
        <v>3543</v>
      </c>
      <c r="J1846" t="s">
        <v>5737</v>
      </c>
      <c r="K1846">
        <v>100</v>
      </c>
      <c r="L1846" t="str" cm="1">
        <f t="array" ref="L1846">_xlfn.IFS(
 K1846&lt;=50,"≤50",
 AND(K1846&gt;=51,K1846&lt;=100),"51–100",
 AND(K1846&gt;=101,K1846&lt;=250),"101–250",
 AND(K1846&gt;=251,K1846&lt;=500),"251–500",
 AND(K1846&gt;=501,K1846&lt;=1000),"501–1000",
 K1846&gt;=1001,"1001+"
)</f>
        <v>51–100</v>
      </c>
    </row>
    <row r="1847" spans="1:12" x14ac:dyDescent="0.3">
      <c r="A1847" t="s">
        <v>3544</v>
      </c>
      <c r="B1847" t="s">
        <v>9</v>
      </c>
      <c r="C1847" t="s">
        <v>5780</v>
      </c>
      <c r="D1847" t="s">
        <v>3545</v>
      </c>
      <c r="E1847" t="s">
        <v>15</v>
      </c>
      <c r="F1847" t="s">
        <v>16</v>
      </c>
      <c r="G1847" t="s">
        <v>1567</v>
      </c>
      <c r="J1847" t="s">
        <v>5753</v>
      </c>
      <c r="K1847">
        <v>100</v>
      </c>
      <c r="L1847" t="str" cm="1">
        <f t="array" ref="L1847">_xlfn.IFS(
 K1847&lt;=50,"≤50",
 AND(K1847&gt;=51,K1847&lt;=100),"51–100",
 AND(K1847&gt;=101,K1847&lt;=250),"101–250",
 AND(K1847&gt;=251,K1847&lt;=500),"251–500",
 AND(K1847&gt;=501,K1847&lt;=1000),"501–1000",
 K1847&gt;=1001,"1001+"
)</f>
        <v>51–100</v>
      </c>
    </row>
    <row r="1848" spans="1:12" x14ac:dyDescent="0.3">
      <c r="A1848" t="s">
        <v>3546</v>
      </c>
      <c r="B1848" t="s">
        <v>9</v>
      </c>
      <c r="C1848" t="s">
        <v>5780</v>
      </c>
      <c r="D1848" t="s">
        <v>3547</v>
      </c>
      <c r="F1848" t="s">
        <v>5770</v>
      </c>
      <c r="J1848" t="s">
        <v>5748</v>
      </c>
      <c r="K1848">
        <v>100</v>
      </c>
      <c r="L1848" t="str" cm="1">
        <f t="array" ref="L1848">_xlfn.IFS(
 K1848&lt;=50,"≤50",
 AND(K1848&gt;=51,K1848&lt;=100),"51–100",
 AND(K1848&gt;=101,K1848&lt;=250),"101–250",
 AND(K1848&gt;=251,K1848&lt;=500),"251–500",
 AND(K1848&gt;=501,K1848&lt;=1000),"501–1000",
 K1848&gt;=1001,"1001+"
)</f>
        <v>51–100</v>
      </c>
    </row>
    <row r="1849" spans="1:12" x14ac:dyDescent="0.3">
      <c r="A1849" t="s">
        <v>3548</v>
      </c>
      <c r="B1849" t="s">
        <v>9</v>
      </c>
      <c r="C1849" t="s">
        <v>5780</v>
      </c>
      <c r="D1849" t="s">
        <v>3549</v>
      </c>
      <c r="E1849" t="s">
        <v>15</v>
      </c>
      <c r="F1849" t="s">
        <v>54</v>
      </c>
      <c r="G1849" t="s">
        <v>3550</v>
      </c>
      <c r="J1849" t="s">
        <v>5748</v>
      </c>
      <c r="K1849">
        <v>100</v>
      </c>
      <c r="L1849" t="str" cm="1">
        <f t="array" ref="L1849">_xlfn.IFS(
 K1849&lt;=50,"≤50",
 AND(K1849&gt;=51,K1849&lt;=100),"51–100",
 AND(K1849&gt;=101,K1849&lt;=250),"101–250",
 AND(K1849&gt;=251,K1849&lt;=500),"251–500",
 AND(K1849&gt;=501,K1849&lt;=1000),"501–1000",
 K1849&gt;=1001,"1001+"
)</f>
        <v>51–100</v>
      </c>
    </row>
    <row r="1850" spans="1:12" x14ac:dyDescent="0.3">
      <c r="A1850" t="s">
        <v>3551</v>
      </c>
      <c r="B1850" t="s">
        <v>13</v>
      </c>
      <c r="C1850" t="s">
        <v>5777</v>
      </c>
      <c r="D1850" t="s">
        <v>3552</v>
      </c>
      <c r="E1850" t="s">
        <v>15</v>
      </c>
      <c r="F1850" t="s">
        <v>20</v>
      </c>
      <c r="G1850" t="s">
        <v>3553</v>
      </c>
      <c r="J1850" t="s">
        <v>5737</v>
      </c>
      <c r="K1850">
        <v>100</v>
      </c>
      <c r="L1850" t="str" cm="1">
        <f t="array" ref="L1850">_xlfn.IFS(
 K1850&lt;=50,"≤50",
 AND(K1850&gt;=51,K1850&lt;=100),"51–100",
 AND(K1850&gt;=101,K1850&lt;=250),"101–250",
 AND(K1850&gt;=251,K1850&lt;=500),"251–500",
 AND(K1850&gt;=501,K1850&lt;=1000),"501–1000",
 K1850&gt;=1001,"1001+"
)</f>
        <v>51–100</v>
      </c>
    </row>
    <row r="1851" spans="1:12" x14ac:dyDescent="0.3">
      <c r="A1851" t="s">
        <v>3554</v>
      </c>
      <c r="B1851" t="s">
        <v>13</v>
      </c>
      <c r="C1851" t="s">
        <v>5777</v>
      </c>
      <c r="D1851" t="s">
        <v>245</v>
      </c>
      <c r="F1851" t="s">
        <v>20</v>
      </c>
      <c r="G1851" t="s">
        <v>3555</v>
      </c>
      <c r="J1851" t="s">
        <v>5738</v>
      </c>
      <c r="K1851">
        <v>100</v>
      </c>
      <c r="L1851" t="str" cm="1">
        <f t="array" ref="L1851">_xlfn.IFS(
 K1851&lt;=50,"≤50",
 AND(K1851&gt;=51,K1851&lt;=100),"51–100",
 AND(K1851&gt;=101,K1851&lt;=250),"101–250",
 AND(K1851&gt;=251,K1851&lt;=500),"251–500",
 AND(K1851&gt;=501,K1851&lt;=1000),"501–1000",
 K1851&gt;=1001,"1001+"
)</f>
        <v>51–100</v>
      </c>
    </row>
    <row r="1852" spans="1:12" x14ac:dyDescent="0.3">
      <c r="A1852" t="s">
        <v>3556</v>
      </c>
      <c r="B1852" t="s">
        <v>9</v>
      </c>
      <c r="C1852" t="s">
        <v>5780</v>
      </c>
      <c r="D1852" t="s">
        <v>28</v>
      </c>
      <c r="F1852" t="s">
        <v>5770</v>
      </c>
      <c r="J1852" t="s">
        <v>5753</v>
      </c>
      <c r="K1852">
        <v>100</v>
      </c>
      <c r="L1852" t="str" cm="1">
        <f t="array" ref="L1852">_xlfn.IFS(
 K1852&lt;=50,"≤50",
 AND(K1852&gt;=51,K1852&lt;=100),"51–100",
 AND(K1852&gt;=101,K1852&lt;=250),"101–250",
 AND(K1852&gt;=251,K1852&lt;=500),"251–500",
 AND(K1852&gt;=501,K1852&lt;=1000),"501–1000",
 K1852&gt;=1001,"1001+"
)</f>
        <v>51–100</v>
      </c>
    </row>
    <row r="1853" spans="1:12" x14ac:dyDescent="0.3">
      <c r="A1853" t="s">
        <v>3557</v>
      </c>
      <c r="B1853" t="s">
        <v>11</v>
      </c>
      <c r="C1853" t="s">
        <v>5776</v>
      </c>
      <c r="F1853" t="s">
        <v>5770</v>
      </c>
      <c r="J1853" t="s">
        <v>5737</v>
      </c>
      <c r="K1853">
        <v>100</v>
      </c>
      <c r="L1853" t="str" cm="1">
        <f t="array" ref="L1853">_xlfn.IFS(
 K1853&lt;=50,"≤50",
 AND(K1853&gt;=51,K1853&lt;=100),"51–100",
 AND(K1853&gt;=101,K1853&lt;=250),"101–250",
 AND(K1853&gt;=251,K1853&lt;=500),"251–500",
 AND(K1853&gt;=501,K1853&lt;=1000),"501–1000",
 K1853&gt;=1001,"1001+"
)</f>
        <v>51–100</v>
      </c>
    </row>
    <row r="1854" spans="1:12" x14ac:dyDescent="0.3">
      <c r="A1854" t="s">
        <v>3558</v>
      </c>
      <c r="B1854" t="s">
        <v>9</v>
      </c>
      <c r="C1854" t="s">
        <v>5780</v>
      </c>
      <c r="D1854" t="s">
        <v>3559</v>
      </c>
      <c r="E1854" t="s">
        <v>15</v>
      </c>
      <c r="F1854" t="s">
        <v>20</v>
      </c>
      <c r="G1854" t="s">
        <v>21</v>
      </c>
      <c r="J1854" t="s">
        <v>5737</v>
      </c>
      <c r="K1854">
        <v>100</v>
      </c>
      <c r="L1854" t="str" cm="1">
        <f t="array" ref="L1854">_xlfn.IFS(
 K1854&lt;=50,"≤50",
 AND(K1854&gt;=51,K1854&lt;=100),"51–100",
 AND(K1854&gt;=101,K1854&lt;=250),"101–250",
 AND(K1854&gt;=251,K1854&lt;=500),"251–500",
 AND(K1854&gt;=501,K1854&lt;=1000),"501–1000",
 K1854&gt;=1001,"1001+"
)</f>
        <v>51–100</v>
      </c>
    </row>
    <row r="1855" spans="1:12" x14ac:dyDescent="0.3">
      <c r="A1855" t="s">
        <v>3560</v>
      </c>
      <c r="B1855" t="s">
        <v>9</v>
      </c>
      <c r="C1855" t="s">
        <v>5780</v>
      </c>
      <c r="D1855" t="s">
        <v>3561</v>
      </c>
      <c r="E1855" t="s">
        <v>15</v>
      </c>
      <c r="F1855" t="s">
        <v>5770</v>
      </c>
      <c r="J1855" t="s">
        <v>5746</v>
      </c>
      <c r="K1855">
        <v>100</v>
      </c>
      <c r="L1855" t="str" cm="1">
        <f t="array" ref="L1855">_xlfn.IFS(
 K1855&lt;=50,"≤50",
 AND(K1855&gt;=51,K1855&lt;=100),"51–100",
 AND(K1855&gt;=101,K1855&lt;=250),"101–250",
 AND(K1855&gt;=251,K1855&lt;=500),"251–500",
 AND(K1855&gt;=501,K1855&lt;=1000),"501–1000",
 K1855&gt;=1001,"1001+"
)</f>
        <v>51–100</v>
      </c>
    </row>
    <row r="1856" spans="1:12" x14ac:dyDescent="0.3">
      <c r="A1856" t="s">
        <v>3562</v>
      </c>
      <c r="B1856" t="s">
        <v>11</v>
      </c>
      <c r="C1856" t="s">
        <v>5776</v>
      </c>
      <c r="F1856" t="s">
        <v>5770</v>
      </c>
      <c r="J1856" t="s">
        <v>5737</v>
      </c>
      <c r="K1856">
        <v>100</v>
      </c>
      <c r="L1856" t="str" cm="1">
        <f t="array" ref="L1856">_xlfn.IFS(
 K1856&lt;=50,"≤50",
 AND(K1856&gt;=51,K1856&lt;=100),"51–100",
 AND(K1856&gt;=101,K1856&lt;=250),"101–250",
 AND(K1856&gt;=251,K1856&lt;=500),"251–500",
 AND(K1856&gt;=501,K1856&lt;=1000),"501–1000",
 K1856&gt;=1001,"1001+"
)</f>
        <v>51–100</v>
      </c>
    </row>
    <row r="1857" spans="1:12" x14ac:dyDescent="0.3">
      <c r="A1857" t="s">
        <v>3563</v>
      </c>
      <c r="B1857" t="s">
        <v>9</v>
      </c>
      <c r="C1857" t="s">
        <v>5780</v>
      </c>
      <c r="D1857" t="s">
        <v>3564</v>
      </c>
      <c r="F1857" t="s">
        <v>20</v>
      </c>
      <c r="G1857" t="s">
        <v>21</v>
      </c>
      <c r="J1857" t="s">
        <v>5738</v>
      </c>
      <c r="K1857">
        <v>100</v>
      </c>
      <c r="L1857" t="str" cm="1">
        <f t="array" ref="L1857">_xlfn.IFS(
 K1857&lt;=50,"≤50",
 AND(K1857&gt;=51,K1857&lt;=100),"51–100",
 AND(K1857&gt;=101,K1857&lt;=250),"101–250",
 AND(K1857&gt;=251,K1857&lt;=500),"251–500",
 AND(K1857&gt;=501,K1857&lt;=1000),"501–1000",
 K1857&gt;=1001,"1001+"
)</f>
        <v>51–100</v>
      </c>
    </row>
    <row r="1858" spans="1:12" x14ac:dyDescent="0.3">
      <c r="A1858" t="s">
        <v>3565</v>
      </c>
      <c r="B1858" t="s">
        <v>197</v>
      </c>
      <c r="C1858" t="s">
        <v>5774</v>
      </c>
      <c r="D1858" t="s">
        <v>3566</v>
      </c>
      <c r="E1858" t="s">
        <v>15</v>
      </c>
      <c r="F1858" t="s">
        <v>54</v>
      </c>
      <c r="G1858" t="s">
        <v>3567</v>
      </c>
      <c r="J1858" t="s">
        <v>5753</v>
      </c>
      <c r="K1858">
        <v>100</v>
      </c>
      <c r="L1858" t="str" cm="1">
        <f t="array" ref="L1858">_xlfn.IFS(
 K1858&lt;=50,"≤50",
 AND(K1858&gt;=51,K1858&lt;=100),"51–100",
 AND(K1858&gt;=101,K1858&lt;=250),"101–250",
 AND(K1858&gt;=251,K1858&lt;=500),"251–500",
 AND(K1858&gt;=501,K1858&lt;=1000),"501–1000",
 K1858&gt;=1001,"1001+"
)</f>
        <v>51–100</v>
      </c>
    </row>
    <row r="1859" spans="1:12" x14ac:dyDescent="0.3">
      <c r="A1859" t="s">
        <v>3568</v>
      </c>
      <c r="B1859" t="s">
        <v>9</v>
      </c>
      <c r="C1859" t="s">
        <v>5780</v>
      </c>
      <c r="D1859" t="s">
        <v>3569</v>
      </c>
      <c r="E1859" t="s">
        <v>15</v>
      </c>
      <c r="F1859" t="s">
        <v>20</v>
      </c>
      <c r="G1859" t="s">
        <v>21</v>
      </c>
      <c r="J1859" t="s">
        <v>5761</v>
      </c>
      <c r="K1859">
        <v>100</v>
      </c>
      <c r="L1859" t="str" cm="1">
        <f t="array" ref="L1859">_xlfn.IFS(
 K1859&lt;=50,"≤50",
 AND(K1859&gt;=51,K1859&lt;=100),"51–100",
 AND(K1859&gt;=101,K1859&lt;=250),"101–250",
 AND(K1859&gt;=251,K1859&lt;=500),"251–500",
 AND(K1859&gt;=501,K1859&lt;=1000),"501–1000",
 K1859&gt;=1001,"1001+"
)</f>
        <v>51–100</v>
      </c>
    </row>
    <row r="1860" spans="1:12" x14ac:dyDescent="0.3">
      <c r="A1860" t="s">
        <v>3570</v>
      </c>
      <c r="B1860" t="s">
        <v>11</v>
      </c>
      <c r="C1860" t="s">
        <v>5776</v>
      </c>
      <c r="F1860" t="s">
        <v>5770</v>
      </c>
      <c r="J1860" t="s">
        <v>5738</v>
      </c>
      <c r="K1860">
        <v>100</v>
      </c>
      <c r="L1860" t="str" cm="1">
        <f t="array" ref="L1860">_xlfn.IFS(
 K1860&lt;=50,"≤50",
 AND(K1860&gt;=51,K1860&lt;=100),"51–100",
 AND(K1860&gt;=101,K1860&lt;=250),"101–250",
 AND(K1860&gt;=251,K1860&lt;=500),"251–500",
 AND(K1860&gt;=501,K1860&lt;=1000),"501–1000",
 K1860&gt;=1001,"1001+"
)</f>
        <v>51–100</v>
      </c>
    </row>
    <row r="1861" spans="1:12" x14ac:dyDescent="0.3">
      <c r="A1861" t="s">
        <v>3571</v>
      </c>
      <c r="B1861" t="s">
        <v>9</v>
      </c>
      <c r="C1861" t="s">
        <v>5780</v>
      </c>
      <c r="D1861" t="s">
        <v>3572</v>
      </c>
      <c r="E1861" t="s">
        <v>15</v>
      </c>
      <c r="F1861" t="s">
        <v>20</v>
      </c>
      <c r="G1861" t="s">
        <v>21</v>
      </c>
      <c r="J1861" t="s">
        <v>5744</v>
      </c>
      <c r="K1861">
        <v>100</v>
      </c>
      <c r="L1861" t="str" cm="1">
        <f t="array" ref="L1861">_xlfn.IFS(
 K1861&lt;=50,"≤50",
 AND(K1861&gt;=51,K1861&lt;=100),"51–100",
 AND(K1861&gt;=101,K1861&lt;=250),"101–250",
 AND(K1861&gt;=251,K1861&lt;=500),"251–500",
 AND(K1861&gt;=501,K1861&lt;=1000),"501–1000",
 K1861&gt;=1001,"1001+"
)</f>
        <v>51–100</v>
      </c>
    </row>
    <row r="1862" spans="1:12" x14ac:dyDescent="0.3">
      <c r="A1862" t="s">
        <v>3573</v>
      </c>
      <c r="B1862" t="s">
        <v>9</v>
      </c>
      <c r="C1862" t="s">
        <v>5780</v>
      </c>
      <c r="D1862" t="s">
        <v>3574</v>
      </c>
      <c r="E1862" t="s">
        <v>15</v>
      </c>
      <c r="F1862" t="s">
        <v>5770</v>
      </c>
      <c r="J1862" t="s">
        <v>5749</v>
      </c>
      <c r="K1862">
        <v>100</v>
      </c>
      <c r="L1862" t="str" cm="1">
        <f t="array" ref="L1862">_xlfn.IFS(
 K1862&lt;=50,"≤50",
 AND(K1862&gt;=51,K1862&lt;=100),"51–100",
 AND(K1862&gt;=101,K1862&lt;=250),"101–250",
 AND(K1862&gt;=251,K1862&lt;=500),"251–500",
 AND(K1862&gt;=501,K1862&lt;=1000),"501–1000",
 K1862&gt;=1001,"1001+"
)</f>
        <v>51–100</v>
      </c>
    </row>
    <row r="1863" spans="1:12" x14ac:dyDescent="0.3">
      <c r="A1863" t="s">
        <v>3575</v>
      </c>
      <c r="B1863" t="s">
        <v>13</v>
      </c>
      <c r="C1863" t="s">
        <v>5777</v>
      </c>
      <c r="D1863" t="s">
        <v>3576</v>
      </c>
      <c r="E1863" t="s">
        <v>15</v>
      </c>
      <c r="F1863" t="s">
        <v>20</v>
      </c>
      <c r="G1863" t="s">
        <v>3577</v>
      </c>
      <c r="J1863" t="s">
        <v>5738</v>
      </c>
      <c r="K1863">
        <v>100</v>
      </c>
      <c r="L1863" t="str" cm="1">
        <f t="array" ref="L1863">_xlfn.IFS(
 K1863&lt;=50,"≤50",
 AND(K1863&gt;=51,K1863&lt;=100),"51–100",
 AND(K1863&gt;=101,K1863&lt;=250),"101–250",
 AND(K1863&gt;=251,K1863&lt;=500),"251–500",
 AND(K1863&gt;=501,K1863&lt;=1000),"501–1000",
 K1863&gt;=1001,"1001+"
)</f>
        <v>51–100</v>
      </c>
    </row>
    <row r="1864" spans="1:12" x14ac:dyDescent="0.3">
      <c r="A1864" t="s">
        <v>3578</v>
      </c>
      <c r="B1864" t="s">
        <v>9</v>
      </c>
      <c r="C1864" t="s">
        <v>5780</v>
      </c>
      <c r="D1864" t="s">
        <v>1848</v>
      </c>
      <c r="F1864" t="s">
        <v>5770</v>
      </c>
      <c r="J1864" t="s">
        <v>5737</v>
      </c>
      <c r="K1864">
        <v>100</v>
      </c>
      <c r="L1864" t="str" cm="1">
        <f t="array" ref="L1864">_xlfn.IFS(
 K1864&lt;=50,"≤50",
 AND(K1864&gt;=51,K1864&lt;=100),"51–100",
 AND(K1864&gt;=101,K1864&lt;=250),"101–250",
 AND(K1864&gt;=251,K1864&lt;=500),"251–500",
 AND(K1864&gt;=501,K1864&lt;=1000),"501–1000",
 K1864&gt;=1001,"1001+"
)</f>
        <v>51–100</v>
      </c>
    </row>
    <row r="1865" spans="1:12" x14ac:dyDescent="0.3">
      <c r="A1865" t="s">
        <v>3579</v>
      </c>
      <c r="B1865" t="s">
        <v>13</v>
      </c>
      <c r="C1865" t="s">
        <v>5777</v>
      </c>
      <c r="D1865" t="s">
        <v>3580</v>
      </c>
      <c r="F1865" t="s">
        <v>20</v>
      </c>
      <c r="G1865" t="s">
        <v>21</v>
      </c>
      <c r="J1865" t="s">
        <v>5753</v>
      </c>
      <c r="K1865">
        <v>100</v>
      </c>
      <c r="L1865" t="str" cm="1">
        <f t="array" ref="L1865">_xlfn.IFS(
 K1865&lt;=50,"≤50",
 AND(K1865&gt;=51,K1865&lt;=100),"51–100",
 AND(K1865&gt;=101,K1865&lt;=250),"101–250",
 AND(K1865&gt;=251,K1865&lt;=500),"251–500",
 AND(K1865&gt;=501,K1865&lt;=1000),"501–1000",
 K1865&gt;=1001,"1001+"
)</f>
        <v>51–100</v>
      </c>
    </row>
    <row r="1866" spans="1:12" x14ac:dyDescent="0.3">
      <c r="A1866" t="s">
        <v>3581</v>
      </c>
      <c r="B1866" t="s">
        <v>9</v>
      </c>
      <c r="C1866" t="s">
        <v>5780</v>
      </c>
      <c r="D1866" t="s">
        <v>3582</v>
      </c>
      <c r="F1866" t="s">
        <v>5770</v>
      </c>
      <c r="J1866" t="s">
        <v>5738</v>
      </c>
      <c r="K1866">
        <v>100</v>
      </c>
      <c r="L1866" t="str" cm="1">
        <f t="array" ref="L1866">_xlfn.IFS(
 K1866&lt;=50,"≤50",
 AND(K1866&gt;=51,K1866&lt;=100),"51–100",
 AND(K1866&gt;=101,K1866&lt;=250),"101–250",
 AND(K1866&gt;=251,K1866&lt;=500),"251–500",
 AND(K1866&gt;=501,K1866&lt;=1000),"501–1000",
 K1866&gt;=1001,"1001+"
)</f>
        <v>51–100</v>
      </c>
    </row>
    <row r="1867" spans="1:12" x14ac:dyDescent="0.3">
      <c r="A1867" t="s">
        <v>3583</v>
      </c>
      <c r="B1867" t="s">
        <v>13</v>
      </c>
      <c r="C1867" t="s">
        <v>5777</v>
      </c>
      <c r="D1867" t="s">
        <v>469</v>
      </c>
      <c r="F1867" t="s">
        <v>20</v>
      </c>
      <c r="G1867" t="s">
        <v>21</v>
      </c>
      <c r="J1867" t="s">
        <v>5738</v>
      </c>
      <c r="K1867">
        <v>100</v>
      </c>
      <c r="L1867" t="str" cm="1">
        <f t="array" ref="L1867">_xlfn.IFS(
 K1867&lt;=50,"≤50",
 AND(K1867&gt;=51,K1867&lt;=100),"51–100",
 AND(K1867&gt;=101,K1867&lt;=250),"101–250",
 AND(K1867&gt;=251,K1867&lt;=500),"251–500",
 AND(K1867&gt;=501,K1867&lt;=1000),"501–1000",
 K1867&gt;=1001,"1001+"
)</f>
        <v>51–100</v>
      </c>
    </row>
    <row r="1868" spans="1:12" x14ac:dyDescent="0.3">
      <c r="A1868" t="s">
        <v>3584</v>
      </c>
      <c r="B1868" t="s">
        <v>9</v>
      </c>
      <c r="C1868" t="s">
        <v>5780</v>
      </c>
      <c r="D1868" t="s">
        <v>3585</v>
      </c>
      <c r="E1868" t="s">
        <v>15</v>
      </c>
      <c r="F1868" t="s">
        <v>20</v>
      </c>
      <c r="G1868" t="s">
        <v>135</v>
      </c>
      <c r="J1868" t="s">
        <v>5737</v>
      </c>
      <c r="K1868">
        <v>100</v>
      </c>
      <c r="L1868" t="str" cm="1">
        <f t="array" ref="L1868">_xlfn.IFS(
 K1868&lt;=50,"≤50",
 AND(K1868&gt;=51,K1868&lt;=100),"51–100",
 AND(K1868&gt;=101,K1868&lt;=250),"101–250",
 AND(K1868&gt;=251,K1868&lt;=500),"251–500",
 AND(K1868&gt;=501,K1868&lt;=1000),"501–1000",
 K1868&gt;=1001,"1001+"
)</f>
        <v>51–100</v>
      </c>
    </row>
    <row r="1869" spans="1:12" x14ac:dyDescent="0.3">
      <c r="A1869" t="s">
        <v>3586</v>
      </c>
      <c r="B1869" t="s">
        <v>9</v>
      </c>
      <c r="C1869" t="s">
        <v>5780</v>
      </c>
      <c r="D1869" t="s">
        <v>51</v>
      </c>
      <c r="F1869" t="s">
        <v>54</v>
      </c>
      <c r="G1869" t="s">
        <v>3587</v>
      </c>
      <c r="J1869" t="s">
        <v>5737</v>
      </c>
      <c r="K1869">
        <v>100</v>
      </c>
      <c r="L1869" t="str" cm="1">
        <f t="array" ref="L1869">_xlfn.IFS(
 K1869&lt;=50,"≤50",
 AND(K1869&gt;=51,K1869&lt;=100),"51–100",
 AND(K1869&gt;=101,K1869&lt;=250),"101–250",
 AND(K1869&gt;=251,K1869&lt;=500),"251–500",
 AND(K1869&gt;=501,K1869&lt;=1000),"501–1000",
 K1869&gt;=1001,"1001+"
)</f>
        <v>51–100</v>
      </c>
    </row>
    <row r="1870" spans="1:12" x14ac:dyDescent="0.3">
      <c r="A1870" t="s">
        <v>3588</v>
      </c>
      <c r="B1870" t="s">
        <v>13</v>
      </c>
      <c r="C1870" t="s">
        <v>5777</v>
      </c>
      <c r="D1870" t="s">
        <v>3589</v>
      </c>
      <c r="E1870" t="s">
        <v>15</v>
      </c>
      <c r="F1870" t="s">
        <v>5770</v>
      </c>
      <c r="J1870" t="s">
        <v>5748</v>
      </c>
      <c r="K1870">
        <v>100</v>
      </c>
      <c r="L1870" t="str" cm="1">
        <f t="array" ref="L1870">_xlfn.IFS(
 K1870&lt;=50,"≤50",
 AND(K1870&gt;=51,K1870&lt;=100),"51–100",
 AND(K1870&gt;=101,K1870&lt;=250),"101–250",
 AND(K1870&gt;=251,K1870&lt;=500),"251–500",
 AND(K1870&gt;=501,K1870&lt;=1000),"501–1000",
 K1870&gt;=1001,"1001+"
)</f>
        <v>51–100</v>
      </c>
    </row>
    <row r="1871" spans="1:12" x14ac:dyDescent="0.3">
      <c r="A1871" t="s">
        <v>3590</v>
      </c>
      <c r="B1871" t="s">
        <v>11</v>
      </c>
      <c r="C1871" t="s">
        <v>5776</v>
      </c>
      <c r="F1871" t="s">
        <v>5770</v>
      </c>
      <c r="J1871" t="s">
        <v>5761</v>
      </c>
      <c r="K1871">
        <v>100</v>
      </c>
      <c r="L1871" t="str" cm="1">
        <f t="array" ref="L1871">_xlfn.IFS(
 K1871&lt;=50,"≤50",
 AND(K1871&gt;=51,K1871&lt;=100),"51–100",
 AND(K1871&gt;=101,K1871&lt;=250),"101–250",
 AND(K1871&gt;=251,K1871&lt;=500),"251–500",
 AND(K1871&gt;=501,K1871&lt;=1000),"501–1000",
 K1871&gt;=1001,"1001+"
)</f>
        <v>51–100</v>
      </c>
    </row>
    <row r="1872" spans="1:12" x14ac:dyDescent="0.3">
      <c r="A1872" t="s">
        <v>3591</v>
      </c>
      <c r="B1872" t="s">
        <v>13</v>
      </c>
      <c r="C1872" t="s">
        <v>5777</v>
      </c>
      <c r="D1872" t="s">
        <v>3592</v>
      </c>
      <c r="E1872" t="s">
        <v>15</v>
      </c>
      <c r="F1872" t="s">
        <v>16</v>
      </c>
      <c r="G1872" t="s">
        <v>3593</v>
      </c>
      <c r="J1872" t="s">
        <v>5744</v>
      </c>
      <c r="K1872">
        <v>100</v>
      </c>
      <c r="L1872" t="str" cm="1">
        <f t="array" ref="L1872">_xlfn.IFS(
 K1872&lt;=50,"≤50",
 AND(K1872&gt;=51,K1872&lt;=100),"51–100",
 AND(K1872&gt;=101,K1872&lt;=250),"101–250",
 AND(K1872&gt;=251,K1872&lt;=500),"251–500",
 AND(K1872&gt;=501,K1872&lt;=1000),"501–1000",
 K1872&gt;=1001,"1001+"
)</f>
        <v>51–100</v>
      </c>
    </row>
    <row r="1873" spans="1:12" x14ac:dyDescent="0.3">
      <c r="A1873" t="s">
        <v>3594</v>
      </c>
      <c r="B1873" t="s">
        <v>13</v>
      </c>
      <c r="C1873" t="s">
        <v>5777</v>
      </c>
      <c r="D1873" t="s">
        <v>3595</v>
      </c>
      <c r="E1873" t="s">
        <v>15</v>
      </c>
      <c r="F1873" t="s">
        <v>20</v>
      </c>
      <c r="G1873" t="s">
        <v>3596</v>
      </c>
      <c r="J1873" t="s">
        <v>5753</v>
      </c>
      <c r="K1873">
        <v>100</v>
      </c>
      <c r="L1873" t="str" cm="1">
        <f t="array" ref="L1873">_xlfn.IFS(
 K1873&lt;=50,"≤50",
 AND(K1873&gt;=51,K1873&lt;=100),"51–100",
 AND(K1873&gt;=101,K1873&lt;=250),"101–250",
 AND(K1873&gt;=251,K1873&lt;=500),"251–500",
 AND(K1873&gt;=501,K1873&lt;=1000),"501–1000",
 K1873&gt;=1001,"1001+"
)</f>
        <v>51–100</v>
      </c>
    </row>
    <row r="1874" spans="1:12" x14ac:dyDescent="0.3">
      <c r="A1874" t="s">
        <v>3597</v>
      </c>
      <c r="B1874" t="s">
        <v>9</v>
      </c>
      <c r="C1874" t="s">
        <v>5780</v>
      </c>
      <c r="D1874" t="s">
        <v>3598</v>
      </c>
      <c r="E1874" t="s">
        <v>15</v>
      </c>
      <c r="F1874" t="s">
        <v>16</v>
      </c>
      <c r="G1874" t="s">
        <v>3250</v>
      </c>
      <c r="J1874" t="s">
        <v>5754</v>
      </c>
      <c r="K1874">
        <v>100</v>
      </c>
      <c r="L1874" t="str" cm="1">
        <f t="array" ref="L1874">_xlfn.IFS(
 K1874&lt;=50,"≤50",
 AND(K1874&gt;=51,K1874&lt;=100),"51–100",
 AND(K1874&gt;=101,K1874&lt;=250),"101–250",
 AND(K1874&gt;=251,K1874&lt;=500),"251–500",
 AND(K1874&gt;=501,K1874&lt;=1000),"501–1000",
 K1874&gt;=1001,"1001+"
)</f>
        <v>51–100</v>
      </c>
    </row>
    <row r="1875" spans="1:12" x14ac:dyDescent="0.3">
      <c r="A1875" t="s">
        <v>3599</v>
      </c>
      <c r="B1875" t="s">
        <v>9</v>
      </c>
      <c r="C1875" t="s">
        <v>5780</v>
      </c>
      <c r="D1875" t="s">
        <v>3600</v>
      </c>
      <c r="E1875" t="s">
        <v>15</v>
      </c>
      <c r="F1875" t="s">
        <v>20</v>
      </c>
      <c r="G1875" t="s">
        <v>1414</v>
      </c>
      <c r="J1875" t="s">
        <v>5738</v>
      </c>
      <c r="K1875">
        <v>100</v>
      </c>
      <c r="L1875" t="str" cm="1">
        <f t="array" ref="L1875">_xlfn.IFS(
 K1875&lt;=50,"≤50",
 AND(K1875&gt;=51,K1875&lt;=100),"51–100",
 AND(K1875&gt;=101,K1875&lt;=250),"101–250",
 AND(K1875&gt;=251,K1875&lt;=500),"251–500",
 AND(K1875&gt;=501,K1875&lt;=1000),"501–1000",
 K1875&gt;=1001,"1001+"
)</f>
        <v>51–100</v>
      </c>
    </row>
    <row r="1876" spans="1:12" x14ac:dyDescent="0.3">
      <c r="A1876" t="s">
        <v>3601</v>
      </c>
      <c r="B1876" t="s">
        <v>13</v>
      </c>
      <c r="C1876" t="s">
        <v>5777</v>
      </c>
      <c r="D1876" t="s">
        <v>3602</v>
      </c>
      <c r="F1876" t="s">
        <v>5770</v>
      </c>
      <c r="J1876" t="s">
        <v>5737</v>
      </c>
      <c r="K1876">
        <v>100</v>
      </c>
      <c r="L1876" t="str" cm="1">
        <f t="array" ref="L1876">_xlfn.IFS(
 K1876&lt;=50,"≤50",
 AND(K1876&gt;=51,K1876&lt;=100),"51–100",
 AND(K1876&gt;=101,K1876&lt;=250),"101–250",
 AND(K1876&gt;=251,K1876&lt;=500),"251–500",
 AND(K1876&gt;=501,K1876&lt;=1000),"501–1000",
 K1876&gt;=1001,"1001+"
)</f>
        <v>51–100</v>
      </c>
    </row>
    <row r="1877" spans="1:12" x14ac:dyDescent="0.3">
      <c r="A1877" t="s">
        <v>3603</v>
      </c>
      <c r="B1877" t="s">
        <v>9</v>
      </c>
      <c r="C1877" t="s">
        <v>5780</v>
      </c>
      <c r="D1877" t="s">
        <v>28</v>
      </c>
      <c r="F1877" t="s">
        <v>5770</v>
      </c>
      <c r="J1877" t="s">
        <v>5737</v>
      </c>
      <c r="K1877">
        <v>100</v>
      </c>
      <c r="L1877" t="str" cm="1">
        <f t="array" ref="L1877">_xlfn.IFS(
 K1877&lt;=50,"≤50",
 AND(K1877&gt;=51,K1877&lt;=100),"51–100",
 AND(K1877&gt;=101,K1877&lt;=250),"101–250",
 AND(K1877&gt;=251,K1877&lt;=500),"251–500",
 AND(K1877&gt;=501,K1877&lt;=1000),"501–1000",
 K1877&gt;=1001,"1001+"
)</f>
        <v>51–100</v>
      </c>
    </row>
    <row r="1878" spans="1:12" x14ac:dyDescent="0.3">
      <c r="A1878" t="s">
        <v>3604</v>
      </c>
      <c r="B1878" t="s">
        <v>9</v>
      </c>
      <c r="C1878" t="s">
        <v>5780</v>
      </c>
      <c r="D1878" t="s">
        <v>3605</v>
      </c>
      <c r="E1878" t="s">
        <v>15</v>
      </c>
      <c r="F1878" t="s">
        <v>54</v>
      </c>
      <c r="G1878" t="s">
        <v>3606</v>
      </c>
      <c r="J1878" t="s">
        <v>5737</v>
      </c>
      <c r="K1878">
        <v>100</v>
      </c>
      <c r="L1878" t="str" cm="1">
        <f t="array" ref="L1878">_xlfn.IFS(
 K1878&lt;=50,"≤50",
 AND(K1878&gt;=51,K1878&lt;=100),"51–100",
 AND(K1878&gt;=101,K1878&lt;=250),"101–250",
 AND(K1878&gt;=251,K1878&lt;=500),"251–500",
 AND(K1878&gt;=501,K1878&lt;=1000),"501–1000",
 K1878&gt;=1001,"1001+"
)</f>
        <v>51–100</v>
      </c>
    </row>
    <row r="1879" spans="1:12" x14ac:dyDescent="0.3">
      <c r="A1879" t="s">
        <v>3607</v>
      </c>
      <c r="B1879" t="s">
        <v>9</v>
      </c>
      <c r="C1879" t="s">
        <v>5780</v>
      </c>
      <c r="D1879" t="s">
        <v>3608</v>
      </c>
      <c r="F1879" t="s">
        <v>5770</v>
      </c>
      <c r="J1879" t="s">
        <v>5738</v>
      </c>
      <c r="K1879">
        <v>100</v>
      </c>
      <c r="L1879" t="str" cm="1">
        <f t="array" ref="L1879">_xlfn.IFS(
 K1879&lt;=50,"≤50",
 AND(K1879&gt;=51,K1879&lt;=100),"51–100",
 AND(K1879&gt;=101,K1879&lt;=250),"101–250",
 AND(K1879&gt;=251,K1879&lt;=500),"251–500",
 AND(K1879&gt;=501,K1879&lt;=1000),"501–1000",
 K1879&gt;=1001,"1001+"
)</f>
        <v>51–100</v>
      </c>
    </row>
    <row r="1880" spans="1:12" x14ac:dyDescent="0.3">
      <c r="A1880" t="s">
        <v>3609</v>
      </c>
      <c r="B1880" t="s">
        <v>13</v>
      </c>
      <c r="C1880" t="s">
        <v>5777</v>
      </c>
      <c r="D1880" t="s">
        <v>3610</v>
      </c>
      <c r="F1880" t="s">
        <v>20</v>
      </c>
      <c r="G1880" t="s">
        <v>21</v>
      </c>
      <c r="J1880" t="s">
        <v>5749</v>
      </c>
      <c r="K1880">
        <v>100</v>
      </c>
      <c r="L1880" t="str" cm="1">
        <f t="array" ref="L1880">_xlfn.IFS(
 K1880&lt;=50,"≤50",
 AND(K1880&gt;=51,K1880&lt;=100),"51–100",
 AND(K1880&gt;=101,K1880&lt;=250),"101–250",
 AND(K1880&gt;=251,K1880&lt;=500),"251–500",
 AND(K1880&gt;=501,K1880&lt;=1000),"501–1000",
 K1880&gt;=1001,"1001+"
)</f>
        <v>51–100</v>
      </c>
    </row>
    <row r="1881" spans="1:12" x14ac:dyDescent="0.3">
      <c r="A1881" t="s">
        <v>3611</v>
      </c>
      <c r="B1881" t="s">
        <v>13</v>
      </c>
      <c r="C1881" t="s">
        <v>5777</v>
      </c>
      <c r="D1881" t="s">
        <v>3612</v>
      </c>
      <c r="F1881" t="s">
        <v>5770</v>
      </c>
      <c r="J1881" t="s">
        <v>5737</v>
      </c>
      <c r="K1881">
        <v>100</v>
      </c>
      <c r="L1881" t="str" cm="1">
        <f t="array" ref="L1881">_xlfn.IFS(
 K1881&lt;=50,"≤50",
 AND(K1881&gt;=51,K1881&lt;=100),"51–100",
 AND(K1881&gt;=101,K1881&lt;=250),"101–250",
 AND(K1881&gt;=251,K1881&lt;=500),"251–500",
 AND(K1881&gt;=501,K1881&lt;=1000),"501–1000",
 K1881&gt;=1001,"1001+"
)</f>
        <v>51–100</v>
      </c>
    </row>
    <row r="1882" spans="1:12" x14ac:dyDescent="0.3">
      <c r="A1882" t="s">
        <v>3613</v>
      </c>
      <c r="B1882" t="s">
        <v>9</v>
      </c>
      <c r="C1882" t="s">
        <v>5780</v>
      </c>
      <c r="D1882" t="s">
        <v>3614</v>
      </c>
      <c r="E1882" t="s">
        <v>15</v>
      </c>
      <c r="F1882" t="s">
        <v>5770</v>
      </c>
      <c r="J1882" t="s">
        <v>5738</v>
      </c>
      <c r="K1882">
        <v>100</v>
      </c>
      <c r="L1882" t="str" cm="1">
        <f t="array" ref="L1882">_xlfn.IFS(
 K1882&lt;=50,"≤50",
 AND(K1882&gt;=51,K1882&lt;=100),"51–100",
 AND(K1882&gt;=101,K1882&lt;=250),"101–250",
 AND(K1882&gt;=251,K1882&lt;=500),"251–500",
 AND(K1882&gt;=501,K1882&lt;=1000),"501–1000",
 K1882&gt;=1001,"1001+"
)</f>
        <v>51–100</v>
      </c>
    </row>
    <row r="1883" spans="1:12" x14ac:dyDescent="0.3">
      <c r="A1883" t="s">
        <v>3615</v>
      </c>
      <c r="B1883" t="s">
        <v>9</v>
      </c>
      <c r="C1883" t="s">
        <v>5780</v>
      </c>
      <c r="D1883" t="s">
        <v>3616</v>
      </c>
      <c r="E1883" t="s">
        <v>15</v>
      </c>
      <c r="F1883" t="s">
        <v>20</v>
      </c>
      <c r="G1883" t="s">
        <v>3617</v>
      </c>
      <c r="J1883" t="s">
        <v>5737</v>
      </c>
      <c r="K1883">
        <v>100</v>
      </c>
      <c r="L1883" t="str" cm="1">
        <f t="array" ref="L1883">_xlfn.IFS(
 K1883&lt;=50,"≤50",
 AND(K1883&gt;=51,K1883&lt;=100),"51–100",
 AND(K1883&gt;=101,K1883&lt;=250),"101–250",
 AND(K1883&gt;=251,K1883&lt;=500),"251–500",
 AND(K1883&gt;=501,K1883&lt;=1000),"501–1000",
 K1883&gt;=1001,"1001+"
)</f>
        <v>51–100</v>
      </c>
    </row>
    <row r="1884" spans="1:12" x14ac:dyDescent="0.3">
      <c r="A1884" t="s">
        <v>3618</v>
      </c>
      <c r="B1884" t="s">
        <v>9</v>
      </c>
      <c r="C1884" t="s">
        <v>5780</v>
      </c>
      <c r="D1884" t="s">
        <v>3619</v>
      </c>
      <c r="E1884" t="s">
        <v>15</v>
      </c>
      <c r="F1884" t="s">
        <v>54</v>
      </c>
      <c r="G1884" t="s">
        <v>3620</v>
      </c>
      <c r="J1884" t="s">
        <v>5753</v>
      </c>
      <c r="K1884">
        <v>100</v>
      </c>
      <c r="L1884" t="str" cm="1">
        <f t="array" ref="L1884">_xlfn.IFS(
 K1884&lt;=50,"≤50",
 AND(K1884&gt;=51,K1884&lt;=100),"51–100",
 AND(K1884&gt;=101,K1884&lt;=250),"101–250",
 AND(K1884&gt;=251,K1884&lt;=500),"251–500",
 AND(K1884&gt;=501,K1884&lt;=1000),"501–1000",
 K1884&gt;=1001,"1001+"
)</f>
        <v>51–100</v>
      </c>
    </row>
    <row r="1885" spans="1:12" x14ac:dyDescent="0.3">
      <c r="A1885" t="s">
        <v>3621</v>
      </c>
      <c r="B1885" t="s">
        <v>9</v>
      </c>
      <c r="C1885" t="s">
        <v>5780</v>
      </c>
      <c r="D1885" t="s">
        <v>3622</v>
      </c>
      <c r="E1885" t="s">
        <v>15</v>
      </c>
      <c r="F1885" t="s">
        <v>20</v>
      </c>
      <c r="G1885" t="s">
        <v>3623</v>
      </c>
      <c r="J1885" t="s">
        <v>5737</v>
      </c>
      <c r="K1885">
        <v>100</v>
      </c>
      <c r="L1885" t="str" cm="1">
        <f t="array" ref="L1885">_xlfn.IFS(
 K1885&lt;=50,"≤50",
 AND(K1885&gt;=51,K1885&lt;=100),"51–100",
 AND(K1885&gt;=101,K1885&lt;=250),"101–250",
 AND(K1885&gt;=251,K1885&lt;=500),"251–500",
 AND(K1885&gt;=501,K1885&lt;=1000),"501–1000",
 K1885&gt;=1001,"1001+"
)</f>
        <v>51–100</v>
      </c>
    </row>
    <row r="1886" spans="1:12" x14ac:dyDescent="0.3">
      <c r="A1886" t="s">
        <v>3624</v>
      </c>
      <c r="B1886" t="s">
        <v>13</v>
      </c>
      <c r="C1886" t="s">
        <v>5777</v>
      </c>
      <c r="D1886" t="s">
        <v>1283</v>
      </c>
      <c r="F1886" t="s">
        <v>5770</v>
      </c>
      <c r="J1886" t="s">
        <v>5737</v>
      </c>
      <c r="K1886">
        <v>100</v>
      </c>
      <c r="L1886" t="str" cm="1">
        <f t="array" ref="L1886">_xlfn.IFS(
 K1886&lt;=50,"≤50",
 AND(K1886&gt;=51,K1886&lt;=100),"51–100",
 AND(K1886&gt;=101,K1886&lt;=250),"101–250",
 AND(K1886&gt;=251,K1886&lt;=500),"251–500",
 AND(K1886&gt;=501,K1886&lt;=1000),"501–1000",
 K1886&gt;=1001,"1001+"
)</f>
        <v>51–100</v>
      </c>
    </row>
    <row r="1887" spans="1:12" x14ac:dyDescent="0.3">
      <c r="A1887" t="s">
        <v>3625</v>
      </c>
      <c r="B1887" t="s">
        <v>11</v>
      </c>
      <c r="C1887" t="s">
        <v>5776</v>
      </c>
      <c r="F1887" t="s">
        <v>5770</v>
      </c>
      <c r="J1887" t="s">
        <v>5749</v>
      </c>
      <c r="K1887">
        <v>100</v>
      </c>
      <c r="L1887" t="str" cm="1">
        <f t="array" ref="L1887">_xlfn.IFS(
 K1887&lt;=50,"≤50",
 AND(K1887&gt;=51,K1887&lt;=100),"51–100",
 AND(K1887&gt;=101,K1887&lt;=250),"101–250",
 AND(K1887&gt;=251,K1887&lt;=500),"251–500",
 AND(K1887&gt;=501,K1887&lt;=1000),"501–1000",
 K1887&gt;=1001,"1001+"
)</f>
        <v>51–100</v>
      </c>
    </row>
    <row r="1888" spans="1:12" x14ac:dyDescent="0.3">
      <c r="A1888" t="s">
        <v>3626</v>
      </c>
      <c r="B1888" t="s">
        <v>9</v>
      </c>
      <c r="C1888" t="s">
        <v>5780</v>
      </c>
      <c r="D1888" t="s">
        <v>3627</v>
      </c>
      <c r="E1888" t="s">
        <v>15</v>
      </c>
      <c r="F1888" t="s">
        <v>16</v>
      </c>
      <c r="G1888" t="s">
        <v>3628</v>
      </c>
      <c r="J1888" t="s">
        <v>5738</v>
      </c>
      <c r="K1888">
        <v>100</v>
      </c>
      <c r="L1888" t="str" cm="1">
        <f t="array" ref="L1888">_xlfn.IFS(
 K1888&lt;=50,"≤50",
 AND(K1888&gt;=51,K1888&lt;=100),"51–100",
 AND(K1888&gt;=101,K1888&lt;=250),"101–250",
 AND(K1888&gt;=251,K1888&lt;=500),"251–500",
 AND(K1888&gt;=501,K1888&lt;=1000),"501–1000",
 K1888&gt;=1001,"1001+"
)</f>
        <v>51–100</v>
      </c>
    </row>
    <row r="1889" spans="1:12" x14ac:dyDescent="0.3">
      <c r="A1889" t="s">
        <v>3629</v>
      </c>
      <c r="B1889" t="s">
        <v>13</v>
      </c>
      <c r="C1889" t="s">
        <v>5777</v>
      </c>
      <c r="D1889" t="s">
        <v>112</v>
      </c>
      <c r="F1889" t="s">
        <v>20</v>
      </c>
      <c r="G1889" t="s">
        <v>1423</v>
      </c>
      <c r="J1889" t="s">
        <v>5737</v>
      </c>
      <c r="K1889">
        <v>100</v>
      </c>
      <c r="L1889" t="str" cm="1">
        <f t="array" ref="L1889">_xlfn.IFS(
 K1889&lt;=50,"≤50",
 AND(K1889&gt;=51,K1889&lt;=100),"51–100",
 AND(K1889&gt;=101,K1889&lt;=250),"101–250",
 AND(K1889&gt;=251,K1889&lt;=500),"251–500",
 AND(K1889&gt;=501,K1889&lt;=1000),"501–1000",
 K1889&gt;=1001,"1001+"
)</f>
        <v>51–100</v>
      </c>
    </row>
    <row r="1890" spans="1:12" x14ac:dyDescent="0.3">
      <c r="A1890" t="s">
        <v>3630</v>
      </c>
      <c r="B1890" t="s">
        <v>13</v>
      </c>
      <c r="C1890" t="s">
        <v>5777</v>
      </c>
      <c r="D1890" t="s">
        <v>3631</v>
      </c>
      <c r="E1890" t="s">
        <v>15</v>
      </c>
      <c r="F1890" t="s">
        <v>54</v>
      </c>
      <c r="G1890" t="s">
        <v>588</v>
      </c>
      <c r="J1890" t="s">
        <v>5737</v>
      </c>
      <c r="K1890">
        <v>100</v>
      </c>
      <c r="L1890" t="str" cm="1">
        <f t="array" ref="L1890">_xlfn.IFS(
 K1890&lt;=50,"≤50",
 AND(K1890&gt;=51,K1890&lt;=100),"51–100",
 AND(K1890&gt;=101,K1890&lt;=250),"101–250",
 AND(K1890&gt;=251,K1890&lt;=500),"251–500",
 AND(K1890&gt;=501,K1890&lt;=1000),"501–1000",
 K1890&gt;=1001,"1001+"
)</f>
        <v>51–100</v>
      </c>
    </row>
    <row r="1891" spans="1:12" x14ac:dyDescent="0.3">
      <c r="A1891" t="s">
        <v>3632</v>
      </c>
      <c r="B1891" t="s">
        <v>9</v>
      </c>
      <c r="C1891" t="s">
        <v>5780</v>
      </c>
      <c r="D1891" t="s">
        <v>3633</v>
      </c>
      <c r="E1891" t="s">
        <v>15</v>
      </c>
      <c r="F1891" t="s">
        <v>54</v>
      </c>
      <c r="G1891" t="s">
        <v>3634</v>
      </c>
      <c r="J1891" t="s">
        <v>5737</v>
      </c>
      <c r="K1891">
        <v>100</v>
      </c>
      <c r="L1891" t="str" cm="1">
        <f t="array" ref="L1891">_xlfn.IFS(
 K1891&lt;=50,"≤50",
 AND(K1891&gt;=51,K1891&lt;=100),"51–100",
 AND(K1891&gt;=101,K1891&lt;=250),"101–250",
 AND(K1891&gt;=251,K1891&lt;=500),"251–500",
 AND(K1891&gt;=501,K1891&lt;=1000),"501–1000",
 K1891&gt;=1001,"1001+"
)</f>
        <v>51–100</v>
      </c>
    </row>
    <row r="1892" spans="1:12" x14ac:dyDescent="0.3">
      <c r="A1892" t="s">
        <v>3635</v>
      </c>
      <c r="B1892" t="s">
        <v>9</v>
      </c>
      <c r="C1892" t="s">
        <v>5780</v>
      </c>
      <c r="D1892" t="s">
        <v>3636</v>
      </c>
      <c r="E1892" t="s">
        <v>15</v>
      </c>
      <c r="F1892" t="s">
        <v>54</v>
      </c>
      <c r="G1892" t="s">
        <v>3637</v>
      </c>
      <c r="J1892" t="s">
        <v>5745</v>
      </c>
      <c r="K1892">
        <v>100</v>
      </c>
      <c r="L1892" t="str" cm="1">
        <f t="array" ref="L1892">_xlfn.IFS(
 K1892&lt;=50,"≤50",
 AND(K1892&gt;=51,K1892&lt;=100),"51–100",
 AND(K1892&gt;=101,K1892&lt;=250),"101–250",
 AND(K1892&gt;=251,K1892&lt;=500),"251–500",
 AND(K1892&gt;=501,K1892&lt;=1000),"501–1000",
 K1892&gt;=1001,"1001+"
)</f>
        <v>51–100</v>
      </c>
    </row>
    <row r="1893" spans="1:12" x14ac:dyDescent="0.3">
      <c r="A1893" t="s">
        <v>3638</v>
      </c>
      <c r="B1893" t="s">
        <v>9</v>
      </c>
      <c r="C1893" t="s">
        <v>5780</v>
      </c>
      <c r="D1893" t="s">
        <v>28</v>
      </c>
      <c r="E1893" t="s">
        <v>15</v>
      </c>
      <c r="F1893" t="s">
        <v>5770</v>
      </c>
      <c r="J1893" t="s">
        <v>5737</v>
      </c>
      <c r="K1893">
        <v>100</v>
      </c>
      <c r="L1893" t="str" cm="1">
        <f t="array" ref="L1893">_xlfn.IFS(
 K1893&lt;=50,"≤50",
 AND(K1893&gt;=51,K1893&lt;=100),"51–100",
 AND(K1893&gt;=101,K1893&lt;=250),"101–250",
 AND(K1893&gt;=251,K1893&lt;=500),"251–500",
 AND(K1893&gt;=501,K1893&lt;=1000),"501–1000",
 K1893&gt;=1001,"1001+"
)</f>
        <v>51–100</v>
      </c>
    </row>
    <row r="1894" spans="1:12" x14ac:dyDescent="0.3">
      <c r="A1894" t="s">
        <v>3639</v>
      </c>
      <c r="B1894" t="s">
        <v>13</v>
      </c>
      <c r="C1894" t="s">
        <v>5777</v>
      </c>
      <c r="D1894" t="s">
        <v>3640</v>
      </c>
      <c r="E1894" t="s">
        <v>15</v>
      </c>
      <c r="F1894" t="s">
        <v>5770</v>
      </c>
      <c r="J1894" t="s">
        <v>5738</v>
      </c>
      <c r="K1894">
        <v>100</v>
      </c>
      <c r="L1894" t="str" cm="1">
        <f t="array" ref="L1894">_xlfn.IFS(
 K1894&lt;=50,"≤50",
 AND(K1894&gt;=51,K1894&lt;=100),"51–100",
 AND(K1894&gt;=101,K1894&lt;=250),"101–250",
 AND(K1894&gt;=251,K1894&lt;=500),"251–500",
 AND(K1894&gt;=501,K1894&lt;=1000),"501–1000",
 K1894&gt;=1001,"1001+"
)</f>
        <v>51–100</v>
      </c>
    </row>
    <row r="1895" spans="1:12" x14ac:dyDescent="0.3">
      <c r="A1895" t="s">
        <v>3641</v>
      </c>
      <c r="B1895" t="s">
        <v>11</v>
      </c>
      <c r="C1895" t="s">
        <v>5776</v>
      </c>
      <c r="F1895" t="s">
        <v>5770</v>
      </c>
      <c r="J1895" t="s">
        <v>5738</v>
      </c>
      <c r="K1895">
        <v>100</v>
      </c>
      <c r="L1895" t="str" cm="1">
        <f t="array" ref="L1895">_xlfn.IFS(
 K1895&lt;=50,"≤50",
 AND(K1895&gt;=51,K1895&lt;=100),"51–100",
 AND(K1895&gt;=101,K1895&lt;=250),"101–250",
 AND(K1895&gt;=251,K1895&lt;=500),"251–500",
 AND(K1895&gt;=501,K1895&lt;=1000),"501–1000",
 K1895&gt;=1001,"1001+"
)</f>
        <v>51–100</v>
      </c>
    </row>
    <row r="1896" spans="1:12" x14ac:dyDescent="0.3">
      <c r="A1896" t="s">
        <v>3642</v>
      </c>
      <c r="B1896" t="s">
        <v>9</v>
      </c>
      <c r="C1896" t="s">
        <v>5780</v>
      </c>
      <c r="D1896" t="s">
        <v>3643</v>
      </c>
      <c r="E1896" t="s">
        <v>15</v>
      </c>
      <c r="F1896" t="s">
        <v>16</v>
      </c>
      <c r="G1896" t="s">
        <v>3644</v>
      </c>
      <c r="J1896" t="s">
        <v>5738</v>
      </c>
      <c r="K1896">
        <v>100</v>
      </c>
      <c r="L1896" t="str" cm="1">
        <f t="array" ref="L1896">_xlfn.IFS(
 K1896&lt;=50,"≤50",
 AND(K1896&gt;=51,K1896&lt;=100),"51–100",
 AND(K1896&gt;=101,K1896&lt;=250),"101–250",
 AND(K1896&gt;=251,K1896&lt;=500),"251–500",
 AND(K1896&gt;=501,K1896&lt;=1000),"501–1000",
 K1896&gt;=1001,"1001+"
)</f>
        <v>51–100</v>
      </c>
    </row>
    <row r="1897" spans="1:12" x14ac:dyDescent="0.3">
      <c r="A1897" t="s">
        <v>3645</v>
      </c>
      <c r="B1897" t="s">
        <v>13</v>
      </c>
      <c r="C1897" t="s">
        <v>5777</v>
      </c>
      <c r="D1897" t="s">
        <v>3646</v>
      </c>
      <c r="F1897" t="s">
        <v>20</v>
      </c>
      <c r="G1897" t="s">
        <v>3647</v>
      </c>
      <c r="J1897" t="s">
        <v>5737</v>
      </c>
      <c r="K1897">
        <v>100</v>
      </c>
      <c r="L1897" t="str" cm="1">
        <f t="array" ref="L1897">_xlfn.IFS(
 K1897&lt;=50,"≤50",
 AND(K1897&gt;=51,K1897&lt;=100),"51–100",
 AND(K1897&gt;=101,K1897&lt;=250),"101–250",
 AND(K1897&gt;=251,K1897&lt;=500),"251–500",
 AND(K1897&gt;=501,K1897&lt;=1000),"501–1000",
 K1897&gt;=1001,"1001+"
)</f>
        <v>51–100</v>
      </c>
    </row>
    <row r="1898" spans="1:12" x14ac:dyDescent="0.3">
      <c r="A1898" t="s">
        <v>3648</v>
      </c>
      <c r="B1898" t="s">
        <v>9</v>
      </c>
      <c r="C1898" t="s">
        <v>5780</v>
      </c>
      <c r="D1898" t="s">
        <v>3649</v>
      </c>
      <c r="E1898" t="s">
        <v>15</v>
      </c>
      <c r="F1898" t="s">
        <v>54</v>
      </c>
      <c r="G1898" t="s">
        <v>3650</v>
      </c>
      <c r="J1898" t="s">
        <v>5737</v>
      </c>
      <c r="K1898">
        <v>100</v>
      </c>
      <c r="L1898" t="str" cm="1">
        <f t="array" ref="L1898">_xlfn.IFS(
 K1898&lt;=50,"≤50",
 AND(K1898&gt;=51,K1898&lt;=100),"51–100",
 AND(K1898&gt;=101,K1898&lt;=250),"101–250",
 AND(K1898&gt;=251,K1898&lt;=500),"251–500",
 AND(K1898&gt;=501,K1898&lt;=1000),"501–1000",
 K1898&gt;=1001,"1001+"
)</f>
        <v>51–100</v>
      </c>
    </row>
    <row r="1899" spans="1:12" x14ac:dyDescent="0.3">
      <c r="A1899" t="s">
        <v>3651</v>
      </c>
      <c r="B1899" t="s">
        <v>9</v>
      </c>
      <c r="C1899" t="s">
        <v>5780</v>
      </c>
      <c r="D1899" t="s">
        <v>3652</v>
      </c>
      <c r="F1899" t="s">
        <v>5770</v>
      </c>
      <c r="J1899" t="s">
        <v>5737</v>
      </c>
      <c r="K1899">
        <v>100</v>
      </c>
      <c r="L1899" t="str" cm="1">
        <f t="array" ref="L1899">_xlfn.IFS(
 K1899&lt;=50,"≤50",
 AND(K1899&gt;=51,K1899&lt;=100),"51–100",
 AND(K1899&gt;=101,K1899&lt;=250),"101–250",
 AND(K1899&gt;=251,K1899&lt;=500),"251–500",
 AND(K1899&gt;=501,K1899&lt;=1000),"501–1000",
 K1899&gt;=1001,"1001+"
)</f>
        <v>51–100</v>
      </c>
    </row>
    <row r="1900" spans="1:12" x14ac:dyDescent="0.3">
      <c r="A1900" t="s">
        <v>3653</v>
      </c>
      <c r="B1900" t="s">
        <v>9</v>
      </c>
      <c r="C1900" t="s">
        <v>5780</v>
      </c>
      <c r="D1900" t="s">
        <v>3654</v>
      </c>
      <c r="E1900" t="s">
        <v>15</v>
      </c>
      <c r="F1900" t="s">
        <v>16</v>
      </c>
      <c r="G1900" t="s">
        <v>3655</v>
      </c>
      <c r="J1900" t="s">
        <v>5737</v>
      </c>
      <c r="K1900">
        <v>100</v>
      </c>
      <c r="L1900" t="str" cm="1">
        <f t="array" ref="L1900">_xlfn.IFS(
 K1900&lt;=50,"≤50",
 AND(K1900&gt;=51,K1900&lt;=100),"51–100",
 AND(K1900&gt;=101,K1900&lt;=250),"101–250",
 AND(K1900&gt;=251,K1900&lt;=500),"251–500",
 AND(K1900&gt;=501,K1900&lt;=1000),"501–1000",
 K1900&gt;=1001,"1001+"
)</f>
        <v>51–100</v>
      </c>
    </row>
    <row r="1901" spans="1:12" x14ac:dyDescent="0.3">
      <c r="A1901" t="s">
        <v>3656</v>
      </c>
      <c r="B1901" t="s">
        <v>11</v>
      </c>
      <c r="C1901" t="s">
        <v>5776</v>
      </c>
      <c r="F1901" t="s">
        <v>5770</v>
      </c>
      <c r="J1901" t="s">
        <v>5737</v>
      </c>
      <c r="K1901">
        <v>100</v>
      </c>
      <c r="L1901" t="str" cm="1">
        <f t="array" ref="L1901">_xlfn.IFS(
 K1901&lt;=50,"≤50",
 AND(K1901&gt;=51,K1901&lt;=100),"51–100",
 AND(K1901&gt;=101,K1901&lt;=250),"101–250",
 AND(K1901&gt;=251,K1901&lt;=500),"251–500",
 AND(K1901&gt;=501,K1901&lt;=1000),"501–1000",
 K1901&gt;=1001,"1001+"
)</f>
        <v>51–100</v>
      </c>
    </row>
    <row r="1902" spans="1:12" x14ac:dyDescent="0.3">
      <c r="A1902" t="s">
        <v>3657</v>
      </c>
      <c r="B1902" t="s">
        <v>13</v>
      </c>
      <c r="C1902" t="s">
        <v>5777</v>
      </c>
      <c r="D1902" t="s">
        <v>3658</v>
      </c>
      <c r="E1902" t="s">
        <v>15</v>
      </c>
      <c r="F1902" t="s">
        <v>54</v>
      </c>
      <c r="G1902" t="s">
        <v>3659</v>
      </c>
      <c r="J1902" t="s">
        <v>5737</v>
      </c>
      <c r="K1902">
        <v>100</v>
      </c>
      <c r="L1902" t="str" cm="1">
        <f t="array" ref="L1902">_xlfn.IFS(
 K1902&lt;=50,"≤50",
 AND(K1902&gt;=51,K1902&lt;=100),"51–100",
 AND(K1902&gt;=101,K1902&lt;=250),"101–250",
 AND(K1902&gt;=251,K1902&lt;=500),"251–500",
 AND(K1902&gt;=501,K1902&lt;=1000),"501–1000",
 K1902&gt;=1001,"1001+"
)</f>
        <v>51–100</v>
      </c>
    </row>
    <row r="1903" spans="1:12" x14ac:dyDescent="0.3">
      <c r="A1903" t="s">
        <v>3660</v>
      </c>
      <c r="B1903" t="s">
        <v>9</v>
      </c>
      <c r="C1903" t="s">
        <v>5780</v>
      </c>
      <c r="D1903" t="s">
        <v>3661</v>
      </c>
      <c r="F1903" t="s">
        <v>5770</v>
      </c>
      <c r="J1903" t="s">
        <v>5737</v>
      </c>
      <c r="K1903">
        <v>100</v>
      </c>
      <c r="L1903" t="str" cm="1">
        <f t="array" ref="L1903">_xlfn.IFS(
 K1903&lt;=50,"≤50",
 AND(K1903&gt;=51,K1903&lt;=100),"51–100",
 AND(K1903&gt;=101,K1903&lt;=250),"101–250",
 AND(K1903&gt;=251,K1903&lt;=500),"251–500",
 AND(K1903&gt;=501,K1903&lt;=1000),"501–1000",
 K1903&gt;=1001,"1001+"
)</f>
        <v>51–100</v>
      </c>
    </row>
    <row r="1904" spans="1:12" x14ac:dyDescent="0.3">
      <c r="A1904" t="s">
        <v>3662</v>
      </c>
      <c r="B1904" t="s">
        <v>13</v>
      </c>
      <c r="C1904" t="s">
        <v>5777</v>
      </c>
      <c r="D1904" t="s">
        <v>3663</v>
      </c>
      <c r="E1904" t="s">
        <v>15</v>
      </c>
      <c r="F1904" t="s">
        <v>5770</v>
      </c>
      <c r="J1904" t="s">
        <v>5737</v>
      </c>
      <c r="K1904">
        <v>100</v>
      </c>
      <c r="L1904" t="str" cm="1">
        <f t="array" ref="L1904">_xlfn.IFS(
 K1904&lt;=50,"≤50",
 AND(K1904&gt;=51,K1904&lt;=100),"51–100",
 AND(K1904&gt;=101,K1904&lt;=250),"101–250",
 AND(K1904&gt;=251,K1904&lt;=500),"251–500",
 AND(K1904&gt;=501,K1904&lt;=1000),"501–1000",
 K1904&gt;=1001,"1001+"
)</f>
        <v>51–100</v>
      </c>
    </row>
    <row r="1905" spans="1:12" x14ac:dyDescent="0.3">
      <c r="A1905" t="s">
        <v>3664</v>
      </c>
      <c r="B1905" t="s">
        <v>13</v>
      </c>
      <c r="C1905" t="s">
        <v>5777</v>
      </c>
      <c r="D1905" t="s">
        <v>3665</v>
      </c>
      <c r="F1905" t="s">
        <v>5770</v>
      </c>
      <c r="J1905" t="s">
        <v>5744</v>
      </c>
      <c r="K1905">
        <v>100</v>
      </c>
      <c r="L1905" t="str" cm="1">
        <f t="array" ref="L1905">_xlfn.IFS(
 K1905&lt;=50,"≤50",
 AND(K1905&gt;=51,K1905&lt;=100),"51–100",
 AND(K1905&gt;=101,K1905&lt;=250),"101–250",
 AND(K1905&gt;=251,K1905&lt;=500),"251–500",
 AND(K1905&gt;=501,K1905&lt;=1000),"501–1000",
 K1905&gt;=1001,"1001+"
)</f>
        <v>51–100</v>
      </c>
    </row>
    <row r="1906" spans="1:12" x14ac:dyDescent="0.3">
      <c r="A1906" t="s">
        <v>3666</v>
      </c>
      <c r="B1906" t="s">
        <v>13</v>
      </c>
      <c r="C1906" t="s">
        <v>5777</v>
      </c>
      <c r="D1906" t="s">
        <v>3667</v>
      </c>
      <c r="F1906" t="s">
        <v>5770</v>
      </c>
      <c r="J1906" t="s">
        <v>5751</v>
      </c>
      <c r="K1906">
        <v>100</v>
      </c>
      <c r="L1906" t="str" cm="1">
        <f t="array" ref="L1906">_xlfn.IFS(
 K1906&lt;=50,"≤50",
 AND(K1906&gt;=51,K1906&lt;=100),"51–100",
 AND(K1906&gt;=101,K1906&lt;=250),"101–250",
 AND(K1906&gt;=251,K1906&lt;=500),"251–500",
 AND(K1906&gt;=501,K1906&lt;=1000),"501–1000",
 K1906&gt;=1001,"1001+"
)</f>
        <v>51–100</v>
      </c>
    </row>
    <row r="1907" spans="1:12" x14ac:dyDescent="0.3">
      <c r="A1907" t="s">
        <v>3668</v>
      </c>
      <c r="B1907" t="s">
        <v>9</v>
      </c>
      <c r="C1907" t="s">
        <v>5780</v>
      </c>
      <c r="D1907" t="s">
        <v>3669</v>
      </c>
      <c r="F1907" t="s">
        <v>16</v>
      </c>
      <c r="G1907" t="s">
        <v>3670</v>
      </c>
      <c r="J1907" t="s">
        <v>5751</v>
      </c>
      <c r="K1907">
        <v>100</v>
      </c>
      <c r="L1907" t="str" cm="1">
        <f t="array" ref="L1907">_xlfn.IFS(
 K1907&lt;=50,"≤50",
 AND(K1907&gt;=51,K1907&lt;=100),"51–100",
 AND(K1907&gt;=101,K1907&lt;=250),"101–250",
 AND(K1907&gt;=251,K1907&lt;=500),"251–500",
 AND(K1907&gt;=501,K1907&lt;=1000),"501–1000",
 K1907&gt;=1001,"1001+"
)</f>
        <v>51–100</v>
      </c>
    </row>
    <row r="1908" spans="1:12" x14ac:dyDescent="0.3">
      <c r="A1908" t="s">
        <v>3671</v>
      </c>
      <c r="B1908" t="s">
        <v>9</v>
      </c>
      <c r="C1908" t="s">
        <v>5780</v>
      </c>
      <c r="D1908" t="s">
        <v>3672</v>
      </c>
      <c r="E1908" t="s">
        <v>15</v>
      </c>
      <c r="F1908" t="s">
        <v>20</v>
      </c>
      <c r="G1908" t="s">
        <v>3673</v>
      </c>
      <c r="J1908" t="s">
        <v>5751</v>
      </c>
      <c r="K1908">
        <v>100</v>
      </c>
      <c r="L1908" t="str" cm="1">
        <f t="array" ref="L1908">_xlfn.IFS(
 K1908&lt;=50,"≤50",
 AND(K1908&gt;=51,K1908&lt;=100),"51–100",
 AND(K1908&gt;=101,K1908&lt;=250),"101–250",
 AND(K1908&gt;=251,K1908&lt;=500),"251–500",
 AND(K1908&gt;=501,K1908&lt;=1000),"501–1000",
 K1908&gt;=1001,"1001+"
)</f>
        <v>51–100</v>
      </c>
    </row>
    <row r="1909" spans="1:12" x14ac:dyDescent="0.3">
      <c r="A1909" t="s">
        <v>3674</v>
      </c>
      <c r="B1909" t="s">
        <v>11</v>
      </c>
      <c r="C1909" t="s">
        <v>5776</v>
      </c>
      <c r="F1909" t="s">
        <v>5770</v>
      </c>
      <c r="J1909" t="s">
        <v>5753</v>
      </c>
      <c r="K1909">
        <v>100</v>
      </c>
      <c r="L1909" t="str" cm="1">
        <f t="array" ref="L1909">_xlfn.IFS(
 K1909&lt;=50,"≤50",
 AND(K1909&gt;=51,K1909&lt;=100),"51–100",
 AND(K1909&gt;=101,K1909&lt;=250),"101–250",
 AND(K1909&gt;=251,K1909&lt;=500),"251–500",
 AND(K1909&gt;=501,K1909&lt;=1000),"501–1000",
 K1909&gt;=1001,"1001+"
)</f>
        <v>51–100</v>
      </c>
    </row>
    <row r="1910" spans="1:12" x14ac:dyDescent="0.3">
      <c r="A1910" t="s">
        <v>3675</v>
      </c>
      <c r="B1910" t="s">
        <v>9</v>
      </c>
      <c r="C1910" t="s">
        <v>5780</v>
      </c>
      <c r="D1910" t="s">
        <v>3545</v>
      </c>
      <c r="E1910" t="s">
        <v>15</v>
      </c>
      <c r="F1910" t="s">
        <v>16</v>
      </c>
      <c r="G1910" t="s">
        <v>1114</v>
      </c>
      <c r="J1910" t="s">
        <v>5758</v>
      </c>
      <c r="K1910">
        <v>100</v>
      </c>
      <c r="L1910" t="str" cm="1">
        <f t="array" ref="L1910">_xlfn.IFS(
 K1910&lt;=50,"≤50",
 AND(K1910&gt;=51,K1910&lt;=100),"51–100",
 AND(K1910&gt;=101,K1910&lt;=250),"101–250",
 AND(K1910&gt;=251,K1910&lt;=500),"251–500",
 AND(K1910&gt;=501,K1910&lt;=1000),"501–1000",
 K1910&gt;=1001,"1001+"
)</f>
        <v>51–100</v>
      </c>
    </row>
    <row r="1911" spans="1:12" x14ac:dyDescent="0.3">
      <c r="A1911" t="s">
        <v>3676</v>
      </c>
      <c r="B1911" t="s">
        <v>11</v>
      </c>
      <c r="C1911" t="s">
        <v>5776</v>
      </c>
      <c r="F1911" t="s">
        <v>20</v>
      </c>
      <c r="G1911" t="s">
        <v>3677</v>
      </c>
      <c r="J1911" t="s">
        <v>5753</v>
      </c>
      <c r="K1911">
        <v>103</v>
      </c>
      <c r="L1911" t="str" cm="1">
        <f t="array" ref="L1911">_xlfn.IFS(
 K1911&lt;=50,"≤50",
 AND(K1911&gt;=51,K1911&lt;=100),"51–100",
 AND(K1911&gt;=101,K1911&lt;=250),"101–250",
 AND(K1911&gt;=251,K1911&lt;=500),"251–500",
 AND(K1911&gt;=501,K1911&lt;=1000),"501–1000",
 K1911&gt;=1001,"1001+"
)</f>
        <v>101–250</v>
      </c>
    </row>
    <row r="1912" spans="1:12" x14ac:dyDescent="0.3">
      <c r="A1912" t="s">
        <v>3678</v>
      </c>
      <c r="B1912" t="s">
        <v>11</v>
      </c>
      <c r="C1912" t="s">
        <v>5776</v>
      </c>
      <c r="F1912" t="s">
        <v>5770</v>
      </c>
      <c r="J1912" t="s">
        <v>5737</v>
      </c>
      <c r="K1912">
        <v>104</v>
      </c>
      <c r="L1912" t="str" cm="1">
        <f t="array" ref="L1912">_xlfn.IFS(
 K1912&lt;=50,"≤50",
 AND(K1912&gt;=51,K1912&lt;=100),"51–100",
 AND(K1912&gt;=101,K1912&lt;=250),"101–250",
 AND(K1912&gt;=251,K1912&lt;=500),"251–500",
 AND(K1912&gt;=501,K1912&lt;=1000),"501–1000",
 K1912&gt;=1001,"1001+"
)</f>
        <v>101–250</v>
      </c>
    </row>
    <row r="1913" spans="1:12" x14ac:dyDescent="0.3">
      <c r="A1913" t="s">
        <v>3679</v>
      </c>
      <c r="B1913" t="s">
        <v>13</v>
      </c>
      <c r="C1913" t="s">
        <v>5777</v>
      </c>
      <c r="D1913" t="s">
        <v>3680</v>
      </c>
      <c r="E1913" t="s">
        <v>15</v>
      </c>
      <c r="F1913" t="s">
        <v>5770</v>
      </c>
      <c r="J1913" t="s">
        <v>5749</v>
      </c>
      <c r="K1913">
        <v>105</v>
      </c>
      <c r="L1913" t="str" cm="1">
        <f t="array" ref="L1913">_xlfn.IFS(
 K1913&lt;=50,"≤50",
 AND(K1913&gt;=51,K1913&lt;=100),"51–100",
 AND(K1913&gt;=101,K1913&lt;=250),"101–250",
 AND(K1913&gt;=251,K1913&lt;=500),"251–500",
 AND(K1913&gt;=501,K1913&lt;=1000),"501–1000",
 K1913&gt;=1001,"1001+"
)</f>
        <v>101–250</v>
      </c>
    </row>
    <row r="1914" spans="1:12" x14ac:dyDescent="0.3">
      <c r="A1914" t="s">
        <v>3681</v>
      </c>
      <c r="B1914" t="s">
        <v>9</v>
      </c>
      <c r="C1914" t="s">
        <v>5780</v>
      </c>
      <c r="D1914" t="s">
        <v>3682</v>
      </c>
      <c r="F1914" t="s">
        <v>54</v>
      </c>
      <c r="G1914" t="s">
        <v>3683</v>
      </c>
      <c r="J1914" t="s">
        <v>5737</v>
      </c>
      <c r="K1914">
        <v>105</v>
      </c>
      <c r="L1914" t="str" cm="1">
        <f t="array" ref="L1914">_xlfn.IFS(
 K1914&lt;=50,"≤50",
 AND(K1914&gt;=51,K1914&lt;=100),"51–100",
 AND(K1914&gt;=101,K1914&lt;=250),"101–250",
 AND(K1914&gt;=251,K1914&lt;=500),"251–500",
 AND(K1914&gt;=501,K1914&lt;=1000),"501–1000",
 K1914&gt;=1001,"1001+"
)</f>
        <v>101–250</v>
      </c>
    </row>
    <row r="1915" spans="1:12" x14ac:dyDescent="0.3">
      <c r="A1915" t="s">
        <v>3684</v>
      </c>
      <c r="B1915" t="s">
        <v>9</v>
      </c>
      <c r="C1915" t="s">
        <v>5780</v>
      </c>
      <c r="D1915" t="s">
        <v>3685</v>
      </c>
      <c r="F1915" t="s">
        <v>20</v>
      </c>
      <c r="G1915" t="s">
        <v>135</v>
      </c>
      <c r="J1915" t="s">
        <v>5755</v>
      </c>
      <c r="K1915">
        <v>105</v>
      </c>
      <c r="L1915" t="str" cm="1">
        <f t="array" ref="L1915">_xlfn.IFS(
 K1915&lt;=50,"≤50",
 AND(K1915&gt;=51,K1915&lt;=100),"51–100",
 AND(K1915&gt;=101,K1915&lt;=250),"101–250",
 AND(K1915&gt;=251,K1915&lt;=500),"251–500",
 AND(K1915&gt;=501,K1915&lt;=1000),"501–1000",
 K1915&gt;=1001,"1001+"
)</f>
        <v>101–250</v>
      </c>
    </row>
    <row r="1916" spans="1:12" x14ac:dyDescent="0.3">
      <c r="A1916" t="s">
        <v>3686</v>
      </c>
      <c r="B1916" t="s">
        <v>13</v>
      </c>
      <c r="C1916" t="s">
        <v>5777</v>
      </c>
      <c r="D1916" t="s">
        <v>3687</v>
      </c>
      <c r="E1916" t="s">
        <v>15</v>
      </c>
      <c r="F1916" t="s">
        <v>16</v>
      </c>
      <c r="G1916" t="s">
        <v>3688</v>
      </c>
      <c r="J1916" t="s">
        <v>5744</v>
      </c>
      <c r="K1916">
        <v>105</v>
      </c>
      <c r="L1916" t="str" cm="1">
        <f t="array" ref="L1916">_xlfn.IFS(
 K1916&lt;=50,"≤50",
 AND(K1916&gt;=51,K1916&lt;=100),"51–100",
 AND(K1916&gt;=101,K1916&lt;=250),"101–250",
 AND(K1916&gt;=251,K1916&lt;=500),"251–500",
 AND(K1916&gt;=501,K1916&lt;=1000),"501–1000",
 K1916&gt;=1001,"1001+"
)</f>
        <v>101–250</v>
      </c>
    </row>
    <row r="1917" spans="1:12" x14ac:dyDescent="0.3">
      <c r="A1917" t="s">
        <v>3689</v>
      </c>
      <c r="B1917" t="s">
        <v>11</v>
      </c>
      <c r="C1917" t="s">
        <v>5776</v>
      </c>
      <c r="F1917" t="s">
        <v>5770</v>
      </c>
      <c r="J1917" t="s">
        <v>5747</v>
      </c>
      <c r="K1917">
        <v>105</v>
      </c>
      <c r="L1917" t="str" cm="1">
        <f t="array" ref="L1917">_xlfn.IFS(
 K1917&lt;=50,"≤50",
 AND(K1917&gt;=51,K1917&lt;=100),"51–100",
 AND(K1917&gt;=101,K1917&lt;=250),"101–250",
 AND(K1917&gt;=251,K1917&lt;=500),"251–500",
 AND(K1917&gt;=501,K1917&lt;=1000),"501–1000",
 K1917&gt;=1001,"1001+"
)</f>
        <v>101–250</v>
      </c>
    </row>
    <row r="1918" spans="1:12" x14ac:dyDescent="0.3">
      <c r="A1918" t="s">
        <v>3690</v>
      </c>
      <c r="B1918" t="s">
        <v>11</v>
      </c>
      <c r="C1918" t="s">
        <v>5776</v>
      </c>
      <c r="F1918" t="s">
        <v>5770</v>
      </c>
      <c r="J1918" t="s">
        <v>5737</v>
      </c>
      <c r="K1918">
        <v>105</v>
      </c>
      <c r="L1918" t="str" cm="1">
        <f t="array" ref="L1918">_xlfn.IFS(
 K1918&lt;=50,"≤50",
 AND(K1918&gt;=51,K1918&lt;=100),"51–100",
 AND(K1918&gt;=101,K1918&lt;=250),"101–250",
 AND(K1918&gt;=251,K1918&lt;=500),"251–500",
 AND(K1918&gt;=501,K1918&lt;=1000),"501–1000",
 K1918&gt;=1001,"1001+"
)</f>
        <v>101–250</v>
      </c>
    </row>
    <row r="1919" spans="1:12" x14ac:dyDescent="0.3">
      <c r="A1919" t="s">
        <v>3691</v>
      </c>
      <c r="B1919" t="s">
        <v>11</v>
      </c>
      <c r="C1919" t="s">
        <v>5776</v>
      </c>
      <c r="F1919" t="s">
        <v>5770</v>
      </c>
      <c r="J1919" t="s">
        <v>5742</v>
      </c>
      <c r="K1919">
        <v>105</v>
      </c>
      <c r="L1919" t="str" cm="1">
        <f t="array" ref="L1919">_xlfn.IFS(
 K1919&lt;=50,"≤50",
 AND(K1919&gt;=51,K1919&lt;=100),"51–100",
 AND(K1919&gt;=101,K1919&lt;=250),"101–250",
 AND(K1919&gt;=251,K1919&lt;=500),"251–500",
 AND(K1919&gt;=501,K1919&lt;=1000),"501–1000",
 K1919&gt;=1001,"1001+"
)</f>
        <v>101–250</v>
      </c>
    </row>
    <row r="1920" spans="1:12" x14ac:dyDescent="0.3">
      <c r="A1920" t="s">
        <v>3692</v>
      </c>
      <c r="B1920" t="s">
        <v>13</v>
      </c>
      <c r="C1920" t="s">
        <v>5777</v>
      </c>
      <c r="D1920" t="s">
        <v>3693</v>
      </c>
      <c r="E1920" t="s">
        <v>15</v>
      </c>
      <c r="F1920" t="s">
        <v>20</v>
      </c>
      <c r="G1920" t="s">
        <v>3694</v>
      </c>
      <c r="J1920" t="s">
        <v>5761</v>
      </c>
      <c r="K1920">
        <v>106</v>
      </c>
      <c r="L1920" t="str" cm="1">
        <f t="array" ref="L1920">_xlfn.IFS(
 K1920&lt;=50,"≤50",
 AND(K1920&gt;=51,K1920&lt;=100),"51–100",
 AND(K1920&gt;=101,K1920&lt;=250),"101–250",
 AND(K1920&gt;=251,K1920&lt;=500),"251–500",
 AND(K1920&gt;=501,K1920&lt;=1000),"501–1000",
 K1920&gt;=1001,"1001+"
)</f>
        <v>101–250</v>
      </c>
    </row>
    <row r="1921" spans="1:12" x14ac:dyDescent="0.3">
      <c r="A1921" t="s">
        <v>3695</v>
      </c>
      <c r="B1921" t="s">
        <v>13</v>
      </c>
      <c r="C1921" t="s">
        <v>5777</v>
      </c>
      <c r="D1921" t="s">
        <v>576</v>
      </c>
      <c r="E1921" t="s">
        <v>15</v>
      </c>
      <c r="F1921" t="s">
        <v>16</v>
      </c>
      <c r="G1921" t="s">
        <v>3696</v>
      </c>
      <c r="J1921" t="s">
        <v>5744</v>
      </c>
      <c r="K1921">
        <v>107</v>
      </c>
      <c r="L1921" t="str" cm="1">
        <f t="array" ref="L1921">_xlfn.IFS(
 K1921&lt;=50,"≤50",
 AND(K1921&gt;=51,K1921&lt;=100),"51–100",
 AND(K1921&gt;=101,K1921&lt;=250),"101–250",
 AND(K1921&gt;=251,K1921&lt;=500),"251–500",
 AND(K1921&gt;=501,K1921&lt;=1000),"501–1000",
 K1921&gt;=1001,"1001+"
)</f>
        <v>101–250</v>
      </c>
    </row>
    <row r="1922" spans="1:12" x14ac:dyDescent="0.3">
      <c r="A1922" t="s">
        <v>3697</v>
      </c>
      <c r="B1922" t="s">
        <v>9</v>
      </c>
      <c r="C1922" t="s">
        <v>5780</v>
      </c>
      <c r="D1922" t="s">
        <v>3698</v>
      </c>
      <c r="E1922" t="s">
        <v>15</v>
      </c>
      <c r="F1922" t="s">
        <v>5770</v>
      </c>
      <c r="J1922" t="s">
        <v>5737</v>
      </c>
      <c r="K1922">
        <v>108</v>
      </c>
      <c r="L1922" t="str" cm="1">
        <f t="array" ref="L1922">_xlfn.IFS(
 K1922&lt;=50,"≤50",
 AND(K1922&gt;=51,K1922&lt;=100),"51–100",
 AND(K1922&gt;=101,K1922&lt;=250),"101–250",
 AND(K1922&gt;=251,K1922&lt;=500),"251–500",
 AND(K1922&gt;=501,K1922&lt;=1000),"501–1000",
 K1922&gt;=1001,"1001+"
)</f>
        <v>101–250</v>
      </c>
    </row>
    <row r="1923" spans="1:12" x14ac:dyDescent="0.3">
      <c r="A1923" t="s">
        <v>3699</v>
      </c>
      <c r="B1923" t="s">
        <v>9</v>
      </c>
      <c r="C1923" t="s">
        <v>5780</v>
      </c>
      <c r="D1923" t="s">
        <v>3700</v>
      </c>
      <c r="F1923" t="s">
        <v>20</v>
      </c>
      <c r="G1923" t="s">
        <v>3701</v>
      </c>
      <c r="J1923" t="s">
        <v>5759</v>
      </c>
      <c r="K1923">
        <v>108</v>
      </c>
      <c r="L1923" t="str" cm="1">
        <f t="array" ref="L1923">_xlfn.IFS(
 K1923&lt;=50,"≤50",
 AND(K1923&gt;=51,K1923&lt;=100),"51–100",
 AND(K1923&gt;=101,K1923&lt;=250),"101–250",
 AND(K1923&gt;=251,K1923&lt;=500),"251–500",
 AND(K1923&gt;=501,K1923&lt;=1000),"501–1000",
 K1923&gt;=1001,"1001+"
)</f>
        <v>101–250</v>
      </c>
    </row>
    <row r="1924" spans="1:12" x14ac:dyDescent="0.3">
      <c r="A1924" t="s">
        <v>3702</v>
      </c>
      <c r="B1924" t="s">
        <v>13</v>
      </c>
      <c r="C1924" t="s">
        <v>5777</v>
      </c>
      <c r="D1924" t="s">
        <v>3703</v>
      </c>
      <c r="E1924" t="s">
        <v>15</v>
      </c>
      <c r="F1924" t="s">
        <v>5770</v>
      </c>
      <c r="J1924" t="s">
        <v>5749</v>
      </c>
      <c r="K1924">
        <v>108</v>
      </c>
      <c r="L1924" t="str" cm="1">
        <f t="array" ref="L1924">_xlfn.IFS(
 K1924&lt;=50,"≤50",
 AND(K1924&gt;=51,K1924&lt;=100),"51–100",
 AND(K1924&gt;=101,K1924&lt;=250),"101–250",
 AND(K1924&gt;=251,K1924&lt;=500),"251–500",
 AND(K1924&gt;=501,K1924&lt;=1000),"501–1000",
 K1924&gt;=1001,"1001+"
)</f>
        <v>101–250</v>
      </c>
    </row>
    <row r="1925" spans="1:12" x14ac:dyDescent="0.3">
      <c r="A1925" t="s">
        <v>3704</v>
      </c>
      <c r="B1925" t="s">
        <v>9</v>
      </c>
      <c r="C1925" t="s">
        <v>5780</v>
      </c>
      <c r="D1925" t="s">
        <v>3705</v>
      </c>
      <c r="E1925" t="s">
        <v>15</v>
      </c>
      <c r="F1925" t="s">
        <v>54</v>
      </c>
      <c r="G1925" t="s">
        <v>3706</v>
      </c>
      <c r="J1925" t="s">
        <v>5737</v>
      </c>
      <c r="K1925">
        <v>108</v>
      </c>
      <c r="L1925" t="str" cm="1">
        <f t="array" ref="L1925">_xlfn.IFS(
 K1925&lt;=50,"≤50",
 AND(K1925&gt;=51,K1925&lt;=100),"51–100",
 AND(K1925&gt;=101,K1925&lt;=250),"101–250",
 AND(K1925&gt;=251,K1925&lt;=500),"251–500",
 AND(K1925&gt;=501,K1925&lt;=1000),"501–1000",
 K1925&gt;=1001,"1001+"
)</f>
        <v>101–250</v>
      </c>
    </row>
    <row r="1926" spans="1:12" x14ac:dyDescent="0.3">
      <c r="A1926" t="s">
        <v>3707</v>
      </c>
      <c r="B1926" t="s">
        <v>9</v>
      </c>
      <c r="C1926" t="s">
        <v>5780</v>
      </c>
      <c r="D1926" t="s">
        <v>3708</v>
      </c>
      <c r="E1926" t="s">
        <v>15</v>
      </c>
      <c r="F1926" t="s">
        <v>16</v>
      </c>
      <c r="G1926" t="s">
        <v>3709</v>
      </c>
      <c r="J1926" t="s">
        <v>5738</v>
      </c>
      <c r="K1926">
        <v>109</v>
      </c>
      <c r="L1926" t="str" cm="1">
        <f t="array" ref="L1926">_xlfn.IFS(
 K1926&lt;=50,"≤50",
 AND(K1926&gt;=51,K1926&lt;=100),"51–100",
 AND(K1926&gt;=101,K1926&lt;=250),"101–250",
 AND(K1926&gt;=251,K1926&lt;=500),"251–500",
 AND(K1926&gt;=501,K1926&lt;=1000),"501–1000",
 K1926&gt;=1001,"1001+"
)</f>
        <v>101–250</v>
      </c>
    </row>
    <row r="1927" spans="1:12" x14ac:dyDescent="0.3">
      <c r="A1927" t="s">
        <v>3710</v>
      </c>
      <c r="B1927" t="s">
        <v>13</v>
      </c>
      <c r="C1927" t="s">
        <v>5777</v>
      </c>
      <c r="D1927" t="s">
        <v>3711</v>
      </c>
      <c r="E1927" t="s">
        <v>15</v>
      </c>
      <c r="F1927" t="s">
        <v>20</v>
      </c>
      <c r="G1927" t="s">
        <v>21</v>
      </c>
      <c r="J1927" t="s">
        <v>5737</v>
      </c>
      <c r="K1927">
        <v>110</v>
      </c>
      <c r="L1927" t="str" cm="1">
        <f t="array" ref="L1927">_xlfn.IFS(
 K1927&lt;=50,"≤50",
 AND(K1927&gt;=51,K1927&lt;=100),"51–100",
 AND(K1927&gt;=101,K1927&lt;=250),"101–250",
 AND(K1927&gt;=251,K1927&lt;=500),"251–500",
 AND(K1927&gt;=501,K1927&lt;=1000),"501–1000",
 K1927&gt;=1001,"1001+"
)</f>
        <v>101–250</v>
      </c>
    </row>
    <row r="1928" spans="1:12" x14ac:dyDescent="0.3">
      <c r="A1928" t="s">
        <v>3712</v>
      </c>
      <c r="B1928" t="s">
        <v>9</v>
      </c>
      <c r="C1928" t="s">
        <v>5780</v>
      </c>
      <c r="D1928" t="s">
        <v>3713</v>
      </c>
      <c r="E1928" t="s">
        <v>15</v>
      </c>
      <c r="F1928" t="s">
        <v>20</v>
      </c>
      <c r="G1928" t="s">
        <v>3714</v>
      </c>
      <c r="J1928" t="s">
        <v>5744</v>
      </c>
      <c r="K1928">
        <v>110</v>
      </c>
      <c r="L1928" t="str" cm="1">
        <f t="array" ref="L1928">_xlfn.IFS(
 K1928&lt;=50,"≤50",
 AND(K1928&gt;=51,K1928&lt;=100),"51–100",
 AND(K1928&gt;=101,K1928&lt;=250),"101–250",
 AND(K1928&gt;=251,K1928&lt;=500),"251–500",
 AND(K1928&gt;=501,K1928&lt;=1000),"501–1000",
 K1928&gt;=1001,"1001+"
)</f>
        <v>101–250</v>
      </c>
    </row>
    <row r="1929" spans="1:12" x14ac:dyDescent="0.3">
      <c r="A1929" t="s">
        <v>3715</v>
      </c>
      <c r="B1929" t="s">
        <v>11</v>
      </c>
      <c r="C1929" t="s">
        <v>5776</v>
      </c>
      <c r="F1929" t="s">
        <v>5770</v>
      </c>
      <c r="J1929" t="s">
        <v>5738</v>
      </c>
      <c r="K1929">
        <v>110</v>
      </c>
      <c r="L1929" t="str" cm="1">
        <f t="array" ref="L1929">_xlfn.IFS(
 K1929&lt;=50,"≤50",
 AND(K1929&gt;=51,K1929&lt;=100),"51–100",
 AND(K1929&gt;=101,K1929&lt;=250),"101–250",
 AND(K1929&gt;=251,K1929&lt;=500),"251–500",
 AND(K1929&gt;=501,K1929&lt;=1000),"501–1000",
 K1929&gt;=1001,"1001+"
)</f>
        <v>101–250</v>
      </c>
    </row>
    <row r="1930" spans="1:12" x14ac:dyDescent="0.3">
      <c r="A1930" t="s">
        <v>3716</v>
      </c>
      <c r="B1930" t="s">
        <v>13</v>
      </c>
      <c r="C1930" t="s">
        <v>5777</v>
      </c>
      <c r="D1930" t="s">
        <v>3717</v>
      </c>
      <c r="F1930" t="s">
        <v>5770</v>
      </c>
      <c r="J1930" t="s">
        <v>5761</v>
      </c>
      <c r="K1930">
        <v>110</v>
      </c>
      <c r="L1930" t="str" cm="1">
        <f t="array" ref="L1930">_xlfn.IFS(
 K1930&lt;=50,"≤50",
 AND(K1930&gt;=51,K1930&lt;=100),"51–100",
 AND(K1930&gt;=101,K1930&lt;=250),"101–250",
 AND(K1930&gt;=251,K1930&lt;=500),"251–500",
 AND(K1930&gt;=501,K1930&lt;=1000),"501–1000",
 K1930&gt;=1001,"1001+"
)</f>
        <v>101–250</v>
      </c>
    </row>
    <row r="1931" spans="1:12" x14ac:dyDescent="0.3">
      <c r="A1931" t="s">
        <v>3718</v>
      </c>
      <c r="B1931" t="s">
        <v>9</v>
      </c>
      <c r="C1931" t="s">
        <v>5780</v>
      </c>
      <c r="D1931" t="s">
        <v>3719</v>
      </c>
      <c r="E1931" t="s">
        <v>15</v>
      </c>
      <c r="F1931" t="s">
        <v>5770</v>
      </c>
      <c r="J1931" t="s">
        <v>5737</v>
      </c>
      <c r="K1931">
        <v>110</v>
      </c>
      <c r="L1931" t="str" cm="1">
        <f t="array" ref="L1931">_xlfn.IFS(
 K1931&lt;=50,"≤50",
 AND(K1931&gt;=51,K1931&lt;=100),"51–100",
 AND(K1931&gt;=101,K1931&lt;=250),"101–250",
 AND(K1931&gt;=251,K1931&lt;=500),"251–500",
 AND(K1931&gt;=501,K1931&lt;=1000),"501–1000",
 K1931&gt;=1001,"1001+"
)</f>
        <v>101–250</v>
      </c>
    </row>
    <row r="1932" spans="1:12" x14ac:dyDescent="0.3">
      <c r="A1932" t="s">
        <v>3720</v>
      </c>
      <c r="B1932" t="s">
        <v>11</v>
      </c>
      <c r="C1932" t="s">
        <v>5776</v>
      </c>
      <c r="F1932" t="s">
        <v>5770</v>
      </c>
      <c r="J1932" t="s">
        <v>5752</v>
      </c>
      <c r="K1932">
        <v>110</v>
      </c>
      <c r="L1932" t="str" cm="1">
        <f t="array" ref="L1932">_xlfn.IFS(
 K1932&lt;=50,"≤50",
 AND(K1932&gt;=51,K1932&lt;=100),"51–100",
 AND(K1932&gt;=101,K1932&lt;=250),"101–250",
 AND(K1932&gt;=251,K1932&lt;=500),"251–500",
 AND(K1932&gt;=501,K1932&lt;=1000),"501–1000",
 K1932&gt;=1001,"1001+"
)</f>
        <v>101–250</v>
      </c>
    </row>
    <row r="1933" spans="1:12" x14ac:dyDescent="0.3">
      <c r="A1933" t="s">
        <v>3721</v>
      </c>
      <c r="B1933" t="s">
        <v>9</v>
      </c>
      <c r="C1933" t="s">
        <v>5780</v>
      </c>
      <c r="D1933" t="s">
        <v>3722</v>
      </c>
      <c r="E1933" t="s">
        <v>15</v>
      </c>
      <c r="F1933" t="s">
        <v>20</v>
      </c>
      <c r="G1933" t="s">
        <v>1222</v>
      </c>
      <c r="J1933" t="s">
        <v>5753</v>
      </c>
      <c r="K1933">
        <v>110</v>
      </c>
      <c r="L1933" t="str" cm="1">
        <f t="array" ref="L1933">_xlfn.IFS(
 K1933&lt;=50,"≤50",
 AND(K1933&gt;=51,K1933&lt;=100),"51–100",
 AND(K1933&gt;=101,K1933&lt;=250),"101–250",
 AND(K1933&gt;=251,K1933&lt;=500),"251–500",
 AND(K1933&gt;=501,K1933&lt;=1000),"501–1000",
 K1933&gt;=1001,"1001+"
)</f>
        <v>101–250</v>
      </c>
    </row>
    <row r="1934" spans="1:12" x14ac:dyDescent="0.3">
      <c r="A1934" t="s">
        <v>3723</v>
      </c>
      <c r="B1934" t="s">
        <v>9</v>
      </c>
      <c r="C1934" t="s">
        <v>5780</v>
      </c>
      <c r="D1934" t="s">
        <v>3724</v>
      </c>
      <c r="F1934" t="s">
        <v>16</v>
      </c>
      <c r="G1934" t="s">
        <v>360</v>
      </c>
      <c r="J1934" t="s">
        <v>5737</v>
      </c>
      <c r="K1934">
        <v>110</v>
      </c>
      <c r="L1934" t="str" cm="1">
        <f t="array" ref="L1934">_xlfn.IFS(
 K1934&lt;=50,"≤50",
 AND(K1934&gt;=51,K1934&lt;=100),"51–100",
 AND(K1934&gt;=101,K1934&lt;=250),"101–250",
 AND(K1934&gt;=251,K1934&lt;=500),"251–500",
 AND(K1934&gt;=501,K1934&lt;=1000),"501–1000",
 K1934&gt;=1001,"1001+"
)</f>
        <v>101–250</v>
      </c>
    </row>
    <row r="1935" spans="1:12" x14ac:dyDescent="0.3">
      <c r="A1935" t="s">
        <v>3725</v>
      </c>
      <c r="B1935" t="s">
        <v>9</v>
      </c>
      <c r="C1935" t="s">
        <v>5780</v>
      </c>
      <c r="D1935" t="s">
        <v>3726</v>
      </c>
      <c r="F1935" t="s">
        <v>16</v>
      </c>
      <c r="G1935" t="s">
        <v>3727</v>
      </c>
      <c r="J1935" t="s">
        <v>5746</v>
      </c>
      <c r="K1935">
        <v>110</v>
      </c>
      <c r="L1935" t="str" cm="1">
        <f t="array" ref="L1935">_xlfn.IFS(
 K1935&lt;=50,"≤50",
 AND(K1935&gt;=51,K1935&lt;=100),"51–100",
 AND(K1935&gt;=101,K1935&lt;=250),"101–250",
 AND(K1935&gt;=251,K1935&lt;=500),"251–500",
 AND(K1935&gt;=501,K1935&lt;=1000),"501–1000",
 K1935&gt;=1001,"1001+"
)</f>
        <v>101–250</v>
      </c>
    </row>
    <row r="1936" spans="1:12" x14ac:dyDescent="0.3">
      <c r="A1936" t="s">
        <v>3728</v>
      </c>
      <c r="B1936" t="s">
        <v>9</v>
      </c>
      <c r="C1936" t="s">
        <v>5780</v>
      </c>
      <c r="D1936" t="s">
        <v>679</v>
      </c>
      <c r="E1936" t="s">
        <v>15</v>
      </c>
      <c r="F1936" t="s">
        <v>16</v>
      </c>
      <c r="G1936" t="s">
        <v>3729</v>
      </c>
      <c r="J1936" t="s">
        <v>5744</v>
      </c>
      <c r="K1936">
        <v>110</v>
      </c>
      <c r="L1936" t="str" cm="1">
        <f t="array" ref="L1936">_xlfn.IFS(
 K1936&lt;=50,"≤50",
 AND(K1936&gt;=51,K1936&lt;=100),"51–100",
 AND(K1936&gt;=101,K1936&lt;=250),"101–250",
 AND(K1936&gt;=251,K1936&lt;=500),"251–500",
 AND(K1936&gt;=501,K1936&lt;=1000),"501–1000",
 K1936&gt;=1001,"1001+"
)</f>
        <v>101–250</v>
      </c>
    </row>
    <row r="1937" spans="1:12" x14ac:dyDescent="0.3">
      <c r="A1937" t="s">
        <v>3730</v>
      </c>
      <c r="B1937" t="s">
        <v>13</v>
      </c>
      <c r="C1937" t="s">
        <v>5777</v>
      </c>
      <c r="D1937" t="s">
        <v>576</v>
      </c>
      <c r="E1937" t="s">
        <v>15</v>
      </c>
      <c r="F1937" t="s">
        <v>54</v>
      </c>
      <c r="G1937" t="s">
        <v>3731</v>
      </c>
      <c r="J1937" t="s">
        <v>5737</v>
      </c>
      <c r="K1937">
        <v>110</v>
      </c>
      <c r="L1937" t="str" cm="1">
        <f t="array" ref="L1937">_xlfn.IFS(
 K1937&lt;=50,"≤50",
 AND(K1937&gt;=51,K1937&lt;=100),"51–100",
 AND(K1937&gt;=101,K1937&lt;=250),"101–250",
 AND(K1937&gt;=251,K1937&lt;=500),"251–500",
 AND(K1937&gt;=501,K1937&lt;=1000),"501–1000",
 K1937&gt;=1001,"1001+"
)</f>
        <v>101–250</v>
      </c>
    </row>
    <row r="1938" spans="1:12" x14ac:dyDescent="0.3">
      <c r="A1938" t="s">
        <v>3732</v>
      </c>
      <c r="B1938" t="s">
        <v>9</v>
      </c>
      <c r="C1938" t="s">
        <v>5780</v>
      </c>
      <c r="D1938" t="s">
        <v>28</v>
      </c>
      <c r="E1938" t="s">
        <v>15</v>
      </c>
      <c r="F1938" t="s">
        <v>5770</v>
      </c>
      <c r="J1938" t="s">
        <v>5737</v>
      </c>
      <c r="K1938">
        <v>110</v>
      </c>
      <c r="L1938" t="str" cm="1">
        <f t="array" ref="L1938">_xlfn.IFS(
 K1938&lt;=50,"≤50",
 AND(K1938&gt;=51,K1938&lt;=100),"51–100",
 AND(K1938&gt;=101,K1938&lt;=250),"101–250",
 AND(K1938&gt;=251,K1938&lt;=500),"251–500",
 AND(K1938&gt;=501,K1938&lt;=1000),"501–1000",
 K1938&gt;=1001,"1001+"
)</f>
        <v>101–250</v>
      </c>
    </row>
    <row r="1939" spans="1:12" x14ac:dyDescent="0.3">
      <c r="A1939" t="s">
        <v>3733</v>
      </c>
      <c r="B1939" t="s">
        <v>13</v>
      </c>
      <c r="C1939" t="s">
        <v>5777</v>
      </c>
      <c r="D1939" t="s">
        <v>3734</v>
      </c>
      <c r="E1939" t="s">
        <v>15</v>
      </c>
      <c r="F1939" t="s">
        <v>16</v>
      </c>
      <c r="G1939" t="s">
        <v>3735</v>
      </c>
      <c r="J1939" t="s">
        <v>5761</v>
      </c>
      <c r="K1939">
        <v>110</v>
      </c>
      <c r="L1939" t="str" cm="1">
        <f t="array" ref="L1939">_xlfn.IFS(
 K1939&lt;=50,"≤50",
 AND(K1939&gt;=51,K1939&lt;=100),"51–100",
 AND(K1939&gt;=101,K1939&lt;=250),"101–250",
 AND(K1939&gt;=251,K1939&lt;=500),"251–500",
 AND(K1939&gt;=501,K1939&lt;=1000),"501–1000",
 K1939&gt;=1001,"1001+"
)</f>
        <v>101–250</v>
      </c>
    </row>
    <row r="1940" spans="1:12" x14ac:dyDescent="0.3">
      <c r="A1940" t="s">
        <v>3736</v>
      </c>
      <c r="B1940" t="s">
        <v>9</v>
      </c>
      <c r="C1940" t="s">
        <v>5780</v>
      </c>
      <c r="D1940" t="s">
        <v>3737</v>
      </c>
      <c r="E1940" t="s">
        <v>15</v>
      </c>
      <c r="F1940" t="s">
        <v>5770</v>
      </c>
      <c r="J1940" t="s">
        <v>5755</v>
      </c>
      <c r="K1940">
        <v>110</v>
      </c>
      <c r="L1940" t="str" cm="1">
        <f t="array" ref="L1940">_xlfn.IFS(
 K1940&lt;=50,"≤50",
 AND(K1940&gt;=51,K1940&lt;=100),"51–100",
 AND(K1940&gt;=101,K1940&lt;=250),"101–250",
 AND(K1940&gt;=251,K1940&lt;=500),"251–500",
 AND(K1940&gt;=501,K1940&lt;=1000),"501–1000",
 K1940&gt;=1001,"1001+"
)</f>
        <v>101–250</v>
      </c>
    </row>
    <row r="1941" spans="1:12" x14ac:dyDescent="0.3">
      <c r="A1941" t="s">
        <v>3738</v>
      </c>
      <c r="B1941" t="s">
        <v>11</v>
      </c>
      <c r="C1941" t="s">
        <v>5776</v>
      </c>
      <c r="F1941" t="s">
        <v>5770</v>
      </c>
      <c r="J1941" t="s">
        <v>5738</v>
      </c>
      <c r="K1941">
        <v>110</v>
      </c>
      <c r="L1941" t="str" cm="1">
        <f t="array" ref="L1941">_xlfn.IFS(
 K1941&lt;=50,"≤50",
 AND(K1941&gt;=51,K1941&lt;=100),"51–100",
 AND(K1941&gt;=101,K1941&lt;=250),"101–250",
 AND(K1941&gt;=251,K1941&lt;=500),"251–500",
 AND(K1941&gt;=501,K1941&lt;=1000),"501–1000",
 K1941&gt;=1001,"1001+"
)</f>
        <v>101–250</v>
      </c>
    </row>
    <row r="1942" spans="1:12" x14ac:dyDescent="0.3">
      <c r="A1942" t="s">
        <v>3739</v>
      </c>
      <c r="B1942" t="s">
        <v>9</v>
      </c>
      <c r="C1942" t="s">
        <v>5780</v>
      </c>
      <c r="D1942" t="s">
        <v>3740</v>
      </c>
      <c r="E1942" t="s">
        <v>15</v>
      </c>
      <c r="F1942" t="s">
        <v>54</v>
      </c>
      <c r="G1942" t="s">
        <v>3741</v>
      </c>
      <c r="J1942" t="s">
        <v>5743</v>
      </c>
      <c r="K1942">
        <v>110</v>
      </c>
      <c r="L1942" t="str" cm="1">
        <f t="array" ref="L1942">_xlfn.IFS(
 K1942&lt;=50,"≤50",
 AND(K1942&gt;=51,K1942&lt;=100),"51–100",
 AND(K1942&gt;=101,K1942&lt;=250),"101–250",
 AND(K1942&gt;=251,K1942&lt;=500),"251–500",
 AND(K1942&gt;=501,K1942&lt;=1000),"501–1000",
 K1942&gt;=1001,"1001+"
)</f>
        <v>101–250</v>
      </c>
    </row>
    <row r="1943" spans="1:12" x14ac:dyDescent="0.3">
      <c r="A1943" t="s">
        <v>3742</v>
      </c>
      <c r="B1943" t="s">
        <v>9</v>
      </c>
      <c r="C1943" t="s">
        <v>5780</v>
      </c>
      <c r="D1943" t="s">
        <v>3743</v>
      </c>
      <c r="E1943" t="s">
        <v>15</v>
      </c>
      <c r="F1943" t="s">
        <v>16</v>
      </c>
      <c r="G1943" t="s">
        <v>528</v>
      </c>
      <c r="J1943" t="s">
        <v>5753</v>
      </c>
      <c r="K1943">
        <v>110</v>
      </c>
      <c r="L1943" t="str" cm="1">
        <f t="array" ref="L1943">_xlfn.IFS(
 K1943&lt;=50,"≤50",
 AND(K1943&gt;=51,K1943&lt;=100),"51–100",
 AND(K1943&gt;=101,K1943&lt;=250),"101–250",
 AND(K1943&gt;=251,K1943&lt;=500),"251–500",
 AND(K1943&gt;=501,K1943&lt;=1000),"501–1000",
 K1943&gt;=1001,"1001+"
)</f>
        <v>101–250</v>
      </c>
    </row>
    <row r="1944" spans="1:12" x14ac:dyDescent="0.3">
      <c r="A1944" t="s">
        <v>3744</v>
      </c>
      <c r="B1944" t="s">
        <v>9</v>
      </c>
      <c r="C1944" t="s">
        <v>5780</v>
      </c>
      <c r="D1944" t="s">
        <v>28</v>
      </c>
      <c r="E1944" t="s">
        <v>15</v>
      </c>
      <c r="F1944" t="s">
        <v>16</v>
      </c>
      <c r="G1944" t="s">
        <v>88</v>
      </c>
      <c r="J1944" t="s">
        <v>5744</v>
      </c>
      <c r="K1944">
        <v>110</v>
      </c>
      <c r="L1944" t="str" cm="1">
        <f t="array" ref="L1944">_xlfn.IFS(
 K1944&lt;=50,"≤50",
 AND(K1944&gt;=51,K1944&lt;=100),"51–100",
 AND(K1944&gt;=101,K1944&lt;=250),"101–250",
 AND(K1944&gt;=251,K1944&lt;=500),"251–500",
 AND(K1944&gt;=501,K1944&lt;=1000),"501–1000",
 K1944&gt;=1001,"1001+"
)</f>
        <v>101–250</v>
      </c>
    </row>
    <row r="1945" spans="1:12" x14ac:dyDescent="0.3">
      <c r="A1945" t="s">
        <v>3745</v>
      </c>
      <c r="B1945" t="s">
        <v>9</v>
      </c>
      <c r="C1945" t="s">
        <v>5780</v>
      </c>
      <c r="D1945" t="s">
        <v>874</v>
      </c>
      <c r="F1945" t="s">
        <v>5770</v>
      </c>
      <c r="J1945" t="s">
        <v>5758</v>
      </c>
      <c r="K1945">
        <v>110</v>
      </c>
      <c r="L1945" t="str" cm="1">
        <f t="array" ref="L1945">_xlfn.IFS(
 K1945&lt;=50,"≤50",
 AND(K1945&gt;=51,K1945&lt;=100),"51–100",
 AND(K1945&gt;=101,K1945&lt;=250),"101–250",
 AND(K1945&gt;=251,K1945&lt;=500),"251–500",
 AND(K1945&gt;=501,K1945&lt;=1000),"501–1000",
 K1945&gt;=1001,"1001+"
)</f>
        <v>101–250</v>
      </c>
    </row>
    <row r="1946" spans="1:12" x14ac:dyDescent="0.3">
      <c r="A1946" t="s">
        <v>3746</v>
      </c>
      <c r="B1946" t="s">
        <v>9</v>
      </c>
      <c r="C1946" t="s">
        <v>5780</v>
      </c>
      <c r="D1946" t="s">
        <v>28</v>
      </c>
      <c r="F1946" t="s">
        <v>5770</v>
      </c>
      <c r="J1946" t="s">
        <v>5761</v>
      </c>
      <c r="K1946">
        <v>110</v>
      </c>
      <c r="L1946" t="str" cm="1">
        <f t="array" ref="L1946">_xlfn.IFS(
 K1946&lt;=50,"≤50",
 AND(K1946&gt;=51,K1946&lt;=100),"51–100",
 AND(K1946&gt;=101,K1946&lt;=250),"101–250",
 AND(K1946&gt;=251,K1946&lt;=500),"251–500",
 AND(K1946&gt;=501,K1946&lt;=1000),"501–1000",
 K1946&gt;=1001,"1001+"
)</f>
        <v>101–250</v>
      </c>
    </row>
    <row r="1947" spans="1:12" x14ac:dyDescent="0.3">
      <c r="A1947" t="s">
        <v>3747</v>
      </c>
      <c r="B1947" t="s">
        <v>9</v>
      </c>
      <c r="C1947" t="s">
        <v>5780</v>
      </c>
      <c r="D1947" t="s">
        <v>3748</v>
      </c>
      <c r="F1947" t="s">
        <v>54</v>
      </c>
      <c r="G1947" t="s">
        <v>3749</v>
      </c>
      <c r="J1947" t="s">
        <v>5755</v>
      </c>
      <c r="K1947">
        <v>110</v>
      </c>
      <c r="L1947" t="str" cm="1">
        <f t="array" ref="L1947">_xlfn.IFS(
 K1947&lt;=50,"≤50",
 AND(K1947&gt;=51,K1947&lt;=100),"51–100",
 AND(K1947&gt;=101,K1947&lt;=250),"101–250",
 AND(K1947&gt;=251,K1947&lt;=500),"251–500",
 AND(K1947&gt;=501,K1947&lt;=1000),"501–1000",
 K1947&gt;=1001,"1001+"
)</f>
        <v>101–250</v>
      </c>
    </row>
    <row r="1948" spans="1:12" x14ac:dyDescent="0.3">
      <c r="A1948" t="s">
        <v>3750</v>
      </c>
      <c r="B1948" t="s">
        <v>9</v>
      </c>
      <c r="C1948" t="s">
        <v>5780</v>
      </c>
      <c r="D1948" t="s">
        <v>28</v>
      </c>
      <c r="E1948" t="s">
        <v>15</v>
      </c>
      <c r="F1948" t="s">
        <v>54</v>
      </c>
      <c r="G1948" t="s">
        <v>3751</v>
      </c>
      <c r="J1948" t="s">
        <v>5739</v>
      </c>
      <c r="K1948">
        <v>110</v>
      </c>
      <c r="L1948" t="str" cm="1">
        <f t="array" ref="L1948">_xlfn.IFS(
 K1948&lt;=50,"≤50",
 AND(K1948&gt;=51,K1948&lt;=100),"51–100",
 AND(K1948&gt;=101,K1948&lt;=250),"101–250",
 AND(K1948&gt;=251,K1948&lt;=500),"251–500",
 AND(K1948&gt;=501,K1948&lt;=1000),"501–1000",
 K1948&gt;=1001,"1001+"
)</f>
        <v>101–250</v>
      </c>
    </row>
    <row r="1949" spans="1:12" x14ac:dyDescent="0.3">
      <c r="A1949" t="s">
        <v>3752</v>
      </c>
      <c r="B1949" t="s">
        <v>13</v>
      </c>
      <c r="C1949" t="s">
        <v>5777</v>
      </c>
      <c r="D1949" t="s">
        <v>3753</v>
      </c>
      <c r="E1949" t="s">
        <v>15</v>
      </c>
      <c r="F1949" t="s">
        <v>16</v>
      </c>
      <c r="G1949" t="s">
        <v>3754</v>
      </c>
      <c r="J1949" t="s">
        <v>5737</v>
      </c>
      <c r="K1949">
        <v>110</v>
      </c>
      <c r="L1949" t="str" cm="1">
        <f t="array" ref="L1949">_xlfn.IFS(
 K1949&lt;=50,"≤50",
 AND(K1949&gt;=51,K1949&lt;=100),"51–100",
 AND(K1949&gt;=101,K1949&lt;=250),"101–250",
 AND(K1949&gt;=251,K1949&lt;=500),"251–500",
 AND(K1949&gt;=501,K1949&lt;=1000),"501–1000",
 K1949&gt;=1001,"1001+"
)</f>
        <v>101–250</v>
      </c>
    </row>
    <row r="1950" spans="1:12" x14ac:dyDescent="0.3">
      <c r="A1950" t="s">
        <v>3755</v>
      </c>
      <c r="B1950" t="s">
        <v>9</v>
      </c>
      <c r="C1950" t="s">
        <v>5780</v>
      </c>
      <c r="D1950" t="s">
        <v>847</v>
      </c>
      <c r="E1950" t="s">
        <v>15</v>
      </c>
      <c r="F1950" t="s">
        <v>20</v>
      </c>
      <c r="G1950" t="s">
        <v>21</v>
      </c>
      <c r="J1950" t="s">
        <v>5737</v>
      </c>
      <c r="K1950">
        <v>110</v>
      </c>
      <c r="L1950" t="str" cm="1">
        <f t="array" ref="L1950">_xlfn.IFS(
 K1950&lt;=50,"≤50",
 AND(K1950&gt;=51,K1950&lt;=100),"51–100",
 AND(K1950&gt;=101,K1950&lt;=250),"101–250",
 AND(K1950&gt;=251,K1950&lt;=500),"251–500",
 AND(K1950&gt;=501,K1950&lt;=1000),"501–1000",
 K1950&gt;=1001,"1001+"
)</f>
        <v>101–250</v>
      </c>
    </row>
    <row r="1951" spans="1:12" x14ac:dyDescent="0.3">
      <c r="A1951" t="s">
        <v>3756</v>
      </c>
      <c r="B1951" t="s">
        <v>9</v>
      </c>
      <c r="C1951" t="s">
        <v>5780</v>
      </c>
      <c r="D1951" t="s">
        <v>3757</v>
      </c>
      <c r="E1951" t="s">
        <v>15</v>
      </c>
      <c r="F1951" t="s">
        <v>54</v>
      </c>
      <c r="G1951" t="s">
        <v>3758</v>
      </c>
      <c r="J1951" t="s">
        <v>5737</v>
      </c>
      <c r="K1951">
        <v>110</v>
      </c>
      <c r="L1951" t="str" cm="1">
        <f t="array" ref="L1951">_xlfn.IFS(
 K1951&lt;=50,"≤50",
 AND(K1951&gt;=51,K1951&lt;=100),"51–100",
 AND(K1951&gt;=101,K1951&lt;=250),"101–250",
 AND(K1951&gt;=251,K1951&lt;=500),"251–500",
 AND(K1951&gt;=501,K1951&lt;=1000),"501–1000",
 K1951&gt;=1001,"1001+"
)</f>
        <v>101–250</v>
      </c>
    </row>
    <row r="1952" spans="1:12" x14ac:dyDescent="0.3">
      <c r="A1952" t="s">
        <v>3759</v>
      </c>
      <c r="B1952" t="s">
        <v>9</v>
      </c>
      <c r="C1952" t="s">
        <v>5780</v>
      </c>
      <c r="D1952" t="s">
        <v>3760</v>
      </c>
      <c r="E1952" t="s">
        <v>15</v>
      </c>
      <c r="F1952" t="s">
        <v>20</v>
      </c>
      <c r="G1952" t="s">
        <v>3761</v>
      </c>
      <c r="J1952" t="s">
        <v>5737</v>
      </c>
      <c r="K1952">
        <v>114</v>
      </c>
      <c r="L1952" t="str" cm="1">
        <f t="array" ref="L1952">_xlfn.IFS(
 K1952&lt;=50,"≤50",
 AND(K1952&gt;=51,K1952&lt;=100),"51–100",
 AND(K1952&gt;=101,K1952&lt;=250),"101–250",
 AND(K1952&gt;=251,K1952&lt;=500),"251–500",
 AND(K1952&gt;=501,K1952&lt;=1000),"501–1000",
 K1952&gt;=1001,"1001+"
)</f>
        <v>101–250</v>
      </c>
    </row>
    <row r="1953" spans="1:12" x14ac:dyDescent="0.3">
      <c r="A1953" t="s">
        <v>3762</v>
      </c>
      <c r="B1953" t="s">
        <v>13</v>
      </c>
      <c r="C1953" t="s">
        <v>5777</v>
      </c>
      <c r="D1953" t="s">
        <v>3763</v>
      </c>
      <c r="E1953" t="s">
        <v>15</v>
      </c>
      <c r="F1953" t="s">
        <v>5770</v>
      </c>
      <c r="J1953" t="s">
        <v>5737</v>
      </c>
      <c r="K1953">
        <v>115</v>
      </c>
      <c r="L1953" t="str" cm="1">
        <f t="array" ref="L1953">_xlfn.IFS(
 K1953&lt;=50,"≤50",
 AND(K1953&gt;=51,K1953&lt;=100),"51–100",
 AND(K1953&gt;=101,K1953&lt;=250),"101–250",
 AND(K1953&gt;=251,K1953&lt;=500),"251–500",
 AND(K1953&gt;=501,K1953&lt;=1000),"501–1000",
 K1953&gt;=1001,"1001+"
)</f>
        <v>101–250</v>
      </c>
    </row>
    <row r="1954" spans="1:12" x14ac:dyDescent="0.3">
      <c r="A1954" t="s">
        <v>3764</v>
      </c>
      <c r="B1954" t="s">
        <v>11</v>
      </c>
      <c r="C1954" t="s">
        <v>5776</v>
      </c>
      <c r="F1954" t="s">
        <v>5770</v>
      </c>
      <c r="J1954" t="s">
        <v>5737</v>
      </c>
      <c r="K1954">
        <v>115</v>
      </c>
      <c r="L1954" t="str" cm="1">
        <f t="array" ref="L1954">_xlfn.IFS(
 K1954&lt;=50,"≤50",
 AND(K1954&gt;=51,K1954&lt;=100),"51–100",
 AND(K1954&gt;=101,K1954&lt;=250),"101–250",
 AND(K1954&gt;=251,K1954&lt;=500),"251–500",
 AND(K1954&gt;=501,K1954&lt;=1000),"501–1000",
 K1954&gt;=1001,"1001+"
)</f>
        <v>101–250</v>
      </c>
    </row>
    <row r="1955" spans="1:12" x14ac:dyDescent="0.3">
      <c r="A1955" t="s">
        <v>3765</v>
      </c>
      <c r="B1955" t="s">
        <v>9</v>
      </c>
      <c r="C1955" t="s">
        <v>5780</v>
      </c>
      <c r="D1955" t="s">
        <v>3766</v>
      </c>
      <c r="E1955" t="s">
        <v>15</v>
      </c>
      <c r="F1955" t="s">
        <v>5770</v>
      </c>
      <c r="J1955" t="s">
        <v>5744</v>
      </c>
      <c r="K1955">
        <v>115</v>
      </c>
      <c r="L1955" t="str" cm="1">
        <f t="array" ref="L1955">_xlfn.IFS(
 K1955&lt;=50,"≤50",
 AND(K1955&gt;=51,K1955&lt;=100),"51–100",
 AND(K1955&gt;=101,K1955&lt;=250),"101–250",
 AND(K1955&gt;=251,K1955&lt;=500),"251–500",
 AND(K1955&gt;=501,K1955&lt;=1000),"501–1000",
 K1955&gt;=1001,"1001+"
)</f>
        <v>101–250</v>
      </c>
    </row>
    <row r="1956" spans="1:12" x14ac:dyDescent="0.3">
      <c r="A1956" t="s">
        <v>3767</v>
      </c>
      <c r="B1956" t="s">
        <v>11</v>
      </c>
      <c r="C1956" t="s">
        <v>5776</v>
      </c>
      <c r="F1956" t="s">
        <v>5770</v>
      </c>
      <c r="J1956" t="s">
        <v>5737</v>
      </c>
      <c r="K1956">
        <v>115</v>
      </c>
      <c r="L1956" t="str" cm="1">
        <f t="array" ref="L1956">_xlfn.IFS(
 K1956&lt;=50,"≤50",
 AND(K1956&gt;=51,K1956&lt;=100),"51–100",
 AND(K1956&gt;=101,K1956&lt;=250),"101–250",
 AND(K1956&gt;=251,K1956&lt;=500),"251–500",
 AND(K1956&gt;=501,K1956&lt;=1000),"501–1000",
 K1956&gt;=1001,"1001+"
)</f>
        <v>101–250</v>
      </c>
    </row>
    <row r="1957" spans="1:12" x14ac:dyDescent="0.3">
      <c r="A1957" t="s">
        <v>3768</v>
      </c>
      <c r="B1957" t="s">
        <v>13</v>
      </c>
      <c r="C1957" t="s">
        <v>5777</v>
      </c>
      <c r="D1957" t="s">
        <v>112</v>
      </c>
      <c r="E1957" t="s">
        <v>15</v>
      </c>
      <c r="F1957" t="s">
        <v>54</v>
      </c>
      <c r="G1957" t="s">
        <v>588</v>
      </c>
      <c r="J1957" t="s">
        <v>5737</v>
      </c>
      <c r="K1957">
        <v>115</v>
      </c>
      <c r="L1957" t="str" cm="1">
        <f t="array" ref="L1957">_xlfn.IFS(
 K1957&lt;=50,"≤50",
 AND(K1957&gt;=51,K1957&lt;=100),"51–100",
 AND(K1957&gt;=101,K1957&lt;=250),"101–250",
 AND(K1957&gt;=251,K1957&lt;=500),"251–500",
 AND(K1957&gt;=501,K1957&lt;=1000),"501–1000",
 K1957&gt;=1001,"1001+"
)</f>
        <v>101–250</v>
      </c>
    </row>
    <row r="1958" spans="1:12" x14ac:dyDescent="0.3">
      <c r="A1958" t="s">
        <v>3769</v>
      </c>
      <c r="B1958" t="s">
        <v>9</v>
      </c>
      <c r="C1958" t="s">
        <v>5780</v>
      </c>
      <c r="D1958" t="s">
        <v>3770</v>
      </c>
      <c r="F1958" t="s">
        <v>5770</v>
      </c>
      <c r="J1958" t="s">
        <v>5758</v>
      </c>
      <c r="K1958">
        <v>120</v>
      </c>
      <c r="L1958" t="str" cm="1">
        <f t="array" ref="L1958">_xlfn.IFS(
 K1958&lt;=50,"≤50",
 AND(K1958&gt;=51,K1958&lt;=100),"51–100",
 AND(K1958&gt;=101,K1958&lt;=250),"101–250",
 AND(K1958&gt;=251,K1958&lt;=500),"251–500",
 AND(K1958&gt;=501,K1958&lt;=1000),"501–1000",
 K1958&gt;=1001,"1001+"
)</f>
        <v>101–250</v>
      </c>
    </row>
    <row r="1959" spans="1:12" x14ac:dyDescent="0.3">
      <c r="A1959" t="s">
        <v>3771</v>
      </c>
      <c r="B1959" t="s">
        <v>13</v>
      </c>
      <c r="C1959" t="s">
        <v>5777</v>
      </c>
      <c r="D1959" t="s">
        <v>3772</v>
      </c>
      <c r="E1959" t="s">
        <v>15</v>
      </c>
      <c r="F1959" t="s">
        <v>16</v>
      </c>
      <c r="G1959" t="s">
        <v>45</v>
      </c>
      <c r="J1959" t="s">
        <v>5737</v>
      </c>
      <c r="K1959">
        <v>120</v>
      </c>
      <c r="L1959" t="str" cm="1">
        <f t="array" ref="L1959">_xlfn.IFS(
 K1959&lt;=50,"≤50",
 AND(K1959&gt;=51,K1959&lt;=100),"51–100",
 AND(K1959&gt;=101,K1959&lt;=250),"101–250",
 AND(K1959&gt;=251,K1959&lt;=500),"251–500",
 AND(K1959&gt;=501,K1959&lt;=1000),"501–1000",
 K1959&gt;=1001,"1001+"
)</f>
        <v>101–250</v>
      </c>
    </row>
    <row r="1960" spans="1:12" x14ac:dyDescent="0.3">
      <c r="A1960" t="s">
        <v>3773</v>
      </c>
      <c r="B1960" t="s">
        <v>9</v>
      </c>
      <c r="C1960" t="s">
        <v>5780</v>
      </c>
      <c r="D1960" t="s">
        <v>3774</v>
      </c>
      <c r="F1960" t="s">
        <v>5770</v>
      </c>
      <c r="J1960" t="s">
        <v>5737</v>
      </c>
      <c r="K1960">
        <v>120</v>
      </c>
      <c r="L1960" t="str" cm="1">
        <f t="array" ref="L1960">_xlfn.IFS(
 K1960&lt;=50,"≤50",
 AND(K1960&gt;=51,K1960&lt;=100),"51–100",
 AND(K1960&gt;=101,K1960&lt;=250),"101–250",
 AND(K1960&gt;=251,K1960&lt;=500),"251–500",
 AND(K1960&gt;=501,K1960&lt;=1000),"501–1000",
 K1960&gt;=1001,"1001+"
)</f>
        <v>101–250</v>
      </c>
    </row>
    <row r="1961" spans="1:12" x14ac:dyDescent="0.3">
      <c r="A1961" t="s">
        <v>3775</v>
      </c>
      <c r="B1961" t="s">
        <v>9</v>
      </c>
      <c r="C1961" t="s">
        <v>5780</v>
      </c>
      <c r="D1961" t="s">
        <v>3776</v>
      </c>
      <c r="E1961" t="s">
        <v>15</v>
      </c>
      <c r="F1961" t="s">
        <v>16</v>
      </c>
      <c r="G1961" t="s">
        <v>3777</v>
      </c>
      <c r="J1961" t="s">
        <v>5737</v>
      </c>
      <c r="K1961">
        <v>120</v>
      </c>
      <c r="L1961" t="str" cm="1">
        <f t="array" ref="L1961">_xlfn.IFS(
 K1961&lt;=50,"≤50",
 AND(K1961&gt;=51,K1961&lt;=100),"51–100",
 AND(K1961&gt;=101,K1961&lt;=250),"101–250",
 AND(K1961&gt;=251,K1961&lt;=500),"251–500",
 AND(K1961&gt;=501,K1961&lt;=1000),"501–1000",
 K1961&gt;=1001,"1001+"
)</f>
        <v>101–250</v>
      </c>
    </row>
    <row r="1962" spans="1:12" x14ac:dyDescent="0.3">
      <c r="A1962" t="s">
        <v>3778</v>
      </c>
      <c r="B1962" t="s">
        <v>13</v>
      </c>
      <c r="C1962" t="s">
        <v>5777</v>
      </c>
      <c r="D1962" t="s">
        <v>3779</v>
      </c>
      <c r="F1962" t="s">
        <v>54</v>
      </c>
      <c r="G1962" t="s">
        <v>3780</v>
      </c>
      <c r="H1962" t="s">
        <v>15</v>
      </c>
      <c r="I1962" t="s">
        <v>3781</v>
      </c>
      <c r="J1962" t="s">
        <v>5737</v>
      </c>
      <c r="K1962">
        <v>120</v>
      </c>
      <c r="L1962" t="str" cm="1">
        <f t="array" ref="L1962">_xlfn.IFS(
 K1962&lt;=50,"≤50",
 AND(K1962&gt;=51,K1962&lt;=100),"51–100",
 AND(K1962&gt;=101,K1962&lt;=250),"101–250",
 AND(K1962&gt;=251,K1962&lt;=500),"251–500",
 AND(K1962&gt;=501,K1962&lt;=1000),"501–1000",
 K1962&gt;=1001,"1001+"
)</f>
        <v>101–250</v>
      </c>
    </row>
    <row r="1963" spans="1:12" x14ac:dyDescent="0.3">
      <c r="A1963" t="s">
        <v>3782</v>
      </c>
      <c r="B1963" t="s">
        <v>13</v>
      </c>
      <c r="C1963" t="s">
        <v>5777</v>
      </c>
      <c r="D1963" t="s">
        <v>3783</v>
      </c>
      <c r="E1963" t="s">
        <v>15</v>
      </c>
      <c r="F1963" t="s">
        <v>54</v>
      </c>
      <c r="G1963" t="s">
        <v>3784</v>
      </c>
      <c r="J1963" t="s">
        <v>5737</v>
      </c>
      <c r="K1963">
        <v>120</v>
      </c>
      <c r="L1963" t="str" cm="1">
        <f t="array" ref="L1963">_xlfn.IFS(
 K1963&lt;=50,"≤50",
 AND(K1963&gt;=51,K1963&lt;=100),"51–100",
 AND(K1963&gt;=101,K1963&lt;=250),"101–250",
 AND(K1963&gt;=251,K1963&lt;=500),"251–500",
 AND(K1963&gt;=501,K1963&lt;=1000),"501–1000",
 K1963&gt;=1001,"1001+"
)</f>
        <v>101–250</v>
      </c>
    </row>
    <row r="1964" spans="1:12" x14ac:dyDescent="0.3">
      <c r="A1964" t="s">
        <v>3785</v>
      </c>
      <c r="B1964" t="s">
        <v>11</v>
      </c>
      <c r="C1964" t="s">
        <v>5776</v>
      </c>
      <c r="F1964" t="s">
        <v>5770</v>
      </c>
      <c r="J1964" t="s">
        <v>5738</v>
      </c>
      <c r="K1964">
        <v>120</v>
      </c>
      <c r="L1964" t="str" cm="1">
        <f t="array" ref="L1964">_xlfn.IFS(
 K1964&lt;=50,"≤50",
 AND(K1964&gt;=51,K1964&lt;=100),"51–100",
 AND(K1964&gt;=101,K1964&lt;=250),"101–250",
 AND(K1964&gt;=251,K1964&lt;=500),"251–500",
 AND(K1964&gt;=501,K1964&lt;=1000),"501–1000",
 K1964&gt;=1001,"1001+"
)</f>
        <v>101–250</v>
      </c>
    </row>
    <row r="1965" spans="1:12" x14ac:dyDescent="0.3">
      <c r="A1965" t="s">
        <v>3786</v>
      </c>
      <c r="B1965" t="s">
        <v>13</v>
      </c>
      <c r="C1965" t="s">
        <v>5777</v>
      </c>
      <c r="D1965" t="s">
        <v>3787</v>
      </c>
      <c r="E1965" t="s">
        <v>15</v>
      </c>
      <c r="F1965" t="s">
        <v>20</v>
      </c>
      <c r="G1965" t="s">
        <v>3788</v>
      </c>
      <c r="J1965" t="s">
        <v>5737</v>
      </c>
      <c r="K1965">
        <v>120</v>
      </c>
      <c r="L1965" t="str" cm="1">
        <f t="array" ref="L1965">_xlfn.IFS(
 K1965&lt;=50,"≤50",
 AND(K1965&gt;=51,K1965&lt;=100),"51–100",
 AND(K1965&gt;=101,K1965&lt;=250),"101–250",
 AND(K1965&gt;=251,K1965&lt;=500),"251–500",
 AND(K1965&gt;=501,K1965&lt;=1000),"501–1000",
 K1965&gt;=1001,"1001+"
)</f>
        <v>101–250</v>
      </c>
    </row>
    <row r="1966" spans="1:12" x14ac:dyDescent="0.3">
      <c r="A1966" t="s">
        <v>3789</v>
      </c>
      <c r="B1966" t="s">
        <v>13</v>
      </c>
      <c r="C1966" t="s">
        <v>5777</v>
      </c>
      <c r="D1966" t="s">
        <v>3790</v>
      </c>
      <c r="E1966" t="s">
        <v>15</v>
      </c>
      <c r="F1966" t="s">
        <v>20</v>
      </c>
      <c r="G1966" t="s">
        <v>3791</v>
      </c>
      <c r="J1966" t="s">
        <v>5738</v>
      </c>
      <c r="K1966">
        <v>120</v>
      </c>
      <c r="L1966" t="str" cm="1">
        <f t="array" ref="L1966">_xlfn.IFS(
 K1966&lt;=50,"≤50",
 AND(K1966&gt;=51,K1966&lt;=100),"51–100",
 AND(K1966&gt;=101,K1966&lt;=250),"101–250",
 AND(K1966&gt;=251,K1966&lt;=500),"251–500",
 AND(K1966&gt;=501,K1966&lt;=1000),"501–1000",
 K1966&gt;=1001,"1001+"
)</f>
        <v>101–250</v>
      </c>
    </row>
    <row r="1967" spans="1:12" x14ac:dyDescent="0.3">
      <c r="A1967" t="s">
        <v>3792</v>
      </c>
      <c r="B1967" t="s">
        <v>9</v>
      </c>
      <c r="C1967" t="s">
        <v>5780</v>
      </c>
      <c r="D1967" t="s">
        <v>841</v>
      </c>
      <c r="F1967" t="s">
        <v>5770</v>
      </c>
      <c r="J1967" t="s">
        <v>5737</v>
      </c>
      <c r="K1967">
        <v>120</v>
      </c>
      <c r="L1967" t="str" cm="1">
        <f t="array" ref="L1967">_xlfn.IFS(
 K1967&lt;=50,"≤50",
 AND(K1967&gt;=51,K1967&lt;=100),"51–100",
 AND(K1967&gt;=101,K1967&lt;=250),"101–250",
 AND(K1967&gt;=251,K1967&lt;=500),"251–500",
 AND(K1967&gt;=501,K1967&lt;=1000),"501–1000",
 K1967&gt;=1001,"1001+"
)</f>
        <v>101–250</v>
      </c>
    </row>
    <row r="1968" spans="1:12" x14ac:dyDescent="0.3">
      <c r="A1968" t="s">
        <v>3793</v>
      </c>
      <c r="B1968" t="s">
        <v>9</v>
      </c>
      <c r="C1968" t="s">
        <v>5780</v>
      </c>
      <c r="D1968" t="s">
        <v>3794</v>
      </c>
      <c r="E1968" t="s">
        <v>15</v>
      </c>
      <c r="F1968" t="s">
        <v>20</v>
      </c>
      <c r="G1968" t="s">
        <v>3795</v>
      </c>
      <c r="J1968" t="s">
        <v>5737</v>
      </c>
      <c r="K1968">
        <v>120</v>
      </c>
      <c r="L1968" t="str" cm="1">
        <f t="array" ref="L1968">_xlfn.IFS(
 K1968&lt;=50,"≤50",
 AND(K1968&gt;=51,K1968&lt;=100),"51–100",
 AND(K1968&gt;=101,K1968&lt;=250),"101–250",
 AND(K1968&gt;=251,K1968&lt;=500),"251–500",
 AND(K1968&gt;=501,K1968&lt;=1000),"501–1000",
 K1968&gt;=1001,"1001+"
)</f>
        <v>101–250</v>
      </c>
    </row>
    <row r="1969" spans="1:12" x14ac:dyDescent="0.3">
      <c r="A1969" t="s">
        <v>3796</v>
      </c>
      <c r="B1969" t="s">
        <v>9</v>
      </c>
      <c r="C1969" t="s">
        <v>5780</v>
      </c>
      <c r="D1969" t="s">
        <v>3797</v>
      </c>
      <c r="E1969" t="s">
        <v>15</v>
      </c>
      <c r="F1969" t="s">
        <v>16</v>
      </c>
      <c r="G1969" t="s">
        <v>3798</v>
      </c>
      <c r="J1969" t="s">
        <v>5737</v>
      </c>
      <c r="K1969">
        <v>120</v>
      </c>
      <c r="L1969" t="str" cm="1">
        <f t="array" ref="L1969">_xlfn.IFS(
 K1969&lt;=50,"≤50",
 AND(K1969&gt;=51,K1969&lt;=100),"51–100",
 AND(K1969&gt;=101,K1969&lt;=250),"101–250",
 AND(K1969&gt;=251,K1969&lt;=500),"251–500",
 AND(K1969&gt;=501,K1969&lt;=1000),"501–1000",
 K1969&gt;=1001,"1001+"
)</f>
        <v>101–250</v>
      </c>
    </row>
    <row r="1970" spans="1:12" x14ac:dyDescent="0.3">
      <c r="A1970" t="s">
        <v>3799</v>
      </c>
      <c r="B1970" t="s">
        <v>9</v>
      </c>
      <c r="C1970" t="s">
        <v>5780</v>
      </c>
      <c r="D1970" t="s">
        <v>3800</v>
      </c>
      <c r="E1970" t="s">
        <v>15</v>
      </c>
      <c r="F1970" t="s">
        <v>20</v>
      </c>
      <c r="G1970" t="s">
        <v>3801</v>
      </c>
      <c r="J1970" t="s">
        <v>5738</v>
      </c>
      <c r="K1970">
        <v>120</v>
      </c>
      <c r="L1970" t="str" cm="1">
        <f t="array" ref="L1970">_xlfn.IFS(
 K1970&lt;=50,"≤50",
 AND(K1970&gt;=51,K1970&lt;=100),"51–100",
 AND(K1970&gt;=101,K1970&lt;=250),"101–250",
 AND(K1970&gt;=251,K1970&lt;=500),"251–500",
 AND(K1970&gt;=501,K1970&lt;=1000),"501–1000",
 K1970&gt;=1001,"1001+"
)</f>
        <v>101–250</v>
      </c>
    </row>
    <row r="1971" spans="1:12" x14ac:dyDescent="0.3">
      <c r="A1971" t="s">
        <v>3802</v>
      </c>
      <c r="B1971" t="s">
        <v>9</v>
      </c>
      <c r="C1971" t="s">
        <v>5780</v>
      </c>
      <c r="D1971" t="s">
        <v>2039</v>
      </c>
      <c r="E1971" t="s">
        <v>15</v>
      </c>
      <c r="F1971" t="s">
        <v>20</v>
      </c>
      <c r="G1971" t="s">
        <v>3803</v>
      </c>
      <c r="J1971" t="s">
        <v>5749</v>
      </c>
      <c r="K1971">
        <v>120</v>
      </c>
      <c r="L1971" t="str" cm="1">
        <f t="array" ref="L1971">_xlfn.IFS(
 K1971&lt;=50,"≤50",
 AND(K1971&gt;=51,K1971&lt;=100),"51–100",
 AND(K1971&gt;=101,K1971&lt;=250),"101–250",
 AND(K1971&gt;=251,K1971&lt;=500),"251–500",
 AND(K1971&gt;=501,K1971&lt;=1000),"501–1000",
 K1971&gt;=1001,"1001+"
)</f>
        <v>101–250</v>
      </c>
    </row>
    <row r="1972" spans="1:12" x14ac:dyDescent="0.3">
      <c r="A1972" t="s">
        <v>3804</v>
      </c>
      <c r="B1972" t="s">
        <v>9</v>
      </c>
      <c r="C1972" t="s">
        <v>5780</v>
      </c>
      <c r="D1972" t="s">
        <v>3805</v>
      </c>
      <c r="E1972" t="s">
        <v>15</v>
      </c>
      <c r="F1972" t="s">
        <v>20</v>
      </c>
      <c r="G1972" t="s">
        <v>3806</v>
      </c>
      <c r="J1972" t="s">
        <v>5737</v>
      </c>
      <c r="K1972">
        <v>120</v>
      </c>
      <c r="L1972" t="str" cm="1">
        <f t="array" ref="L1972">_xlfn.IFS(
 K1972&lt;=50,"≤50",
 AND(K1972&gt;=51,K1972&lt;=100),"51–100",
 AND(K1972&gt;=101,K1972&lt;=250),"101–250",
 AND(K1972&gt;=251,K1972&lt;=500),"251–500",
 AND(K1972&gt;=501,K1972&lt;=1000),"501–1000",
 K1972&gt;=1001,"1001+"
)</f>
        <v>101–250</v>
      </c>
    </row>
    <row r="1973" spans="1:12" x14ac:dyDescent="0.3">
      <c r="A1973" t="s">
        <v>3807</v>
      </c>
      <c r="B1973" t="s">
        <v>13</v>
      </c>
      <c r="C1973" t="s">
        <v>5777</v>
      </c>
      <c r="D1973" t="s">
        <v>3808</v>
      </c>
      <c r="F1973" t="s">
        <v>5770</v>
      </c>
      <c r="J1973" t="s">
        <v>5738</v>
      </c>
      <c r="K1973">
        <v>120</v>
      </c>
      <c r="L1973" t="str" cm="1">
        <f t="array" ref="L1973">_xlfn.IFS(
 K1973&lt;=50,"≤50",
 AND(K1973&gt;=51,K1973&lt;=100),"51–100",
 AND(K1973&gt;=101,K1973&lt;=250),"101–250",
 AND(K1973&gt;=251,K1973&lt;=500),"251–500",
 AND(K1973&gt;=501,K1973&lt;=1000),"501–1000",
 K1973&gt;=1001,"1001+"
)</f>
        <v>101–250</v>
      </c>
    </row>
    <row r="1974" spans="1:12" x14ac:dyDescent="0.3">
      <c r="A1974" t="s">
        <v>3809</v>
      </c>
      <c r="B1974" t="s">
        <v>9</v>
      </c>
      <c r="C1974" t="s">
        <v>5780</v>
      </c>
      <c r="D1974" t="s">
        <v>28</v>
      </c>
      <c r="F1974" t="s">
        <v>5770</v>
      </c>
      <c r="J1974" t="s">
        <v>5753</v>
      </c>
      <c r="K1974">
        <v>120</v>
      </c>
      <c r="L1974" t="str" cm="1">
        <f t="array" ref="L1974">_xlfn.IFS(
 K1974&lt;=50,"≤50",
 AND(K1974&gt;=51,K1974&lt;=100),"51–100",
 AND(K1974&gt;=101,K1974&lt;=250),"101–250",
 AND(K1974&gt;=251,K1974&lt;=500),"251–500",
 AND(K1974&gt;=501,K1974&lt;=1000),"501–1000",
 K1974&gt;=1001,"1001+"
)</f>
        <v>101–250</v>
      </c>
    </row>
    <row r="1975" spans="1:12" x14ac:dyDescent="0.3">
      <c r="A1975" t="s">
        <v>3810</v>
      </c>
      <c r="B1975" t="s">
        <v>9</v>
      </c>
      <c r="C1975" t="s">
        <v>5780</v>
      </c>
      <c r="D1975" t="s">
        <v>876</v>
      </c>
      <c r="E1975" t="s">
        <v>15</v>
      </c>
      <c r="F1975" t="s">
        <v>5770</v>
      </c>
      <c r="J1975" t="s">
        <v>5737</v>
      </c>
      <c r="K1975">
        <v>120</v>
      </c>
      <c r="L1975" t="str" cm="1">
        <f t="array" ref="L1975">_xlfn.IFS(
 K1975&lt;=50,"≤50",
 AND(K1975&gt;=51,K1975&lt;=100),"51–100",
 AND(K1975&gt;=101,K1975&lt;=250),"101–250",
 AND(K1975&gt;=251,K1975&lt;=500),"251–500",
 AND(K1975&gt;=501,K1975&lt;=1000),"501–1000",
 K1975&gt;=1001,"1001+"
)</f>
        <v>101–250</v>
      </c>
    </row>
    <row r="1976" spans="1:12" x14ac:dyDescent="0.3">
      <c r="A1976" t="s">
        <v>3811</v>
      </c>
      <c r="B1976" t="s">
        <v>9</v>
      </c>
      <c r="C1976" t="s">
        <v>5780</v>
      </c>
      <c r="D1976" t="s">
        <v>3812</v>
      </c>
      <c r="E1976" t="s">
        <v>15</v>
      </c>
      <c r="F1976" t="s">
        <v>20</v>
      </c>
      <c r="G1976" t="s">
        <v>3813</v>
      </c>
      <c r="J1976" t="s">
        <v>5744</v>
      </c>
      <c r="K1976">
        <v>120</v>
      </c>
      <c r="L1976" t="str" cm="1">
        <f t="array" ref="L1976">_xlfn.IFS(
 K1976&lt;=50,"≤50",
 AND(K1976&gt;=51,K1976&lt;=100),"51–100",
 AND(K1976&gt;=101,K1976&lt;=250),"101–250",
 AND(K1976&gt;=251,K1976&lt;=500),"251–500",
 AND(K1976&gt;=501,K1976&lt;=1000),"501–1000",
 K1976&gt;=1001,"1001+"
)</f>
        <v>101–250</v>
      </c>
    </row>
    <row r="1977" spans="1:12" x14ac:dyDescent="0.3">
      <c r="A1977" t="s">
        <v>3814</v>
      </c>
      <c r="B1977" t="s">
        <v>9</v>
      </c>
      <c r="C1977" t="s">
        <v>5780</v>
      </c>
      <c r="D1977" t="s">
        <v>3815</v>
      </c>
      <c r="F1977" t="s">
        <v>20</v>
      </c>
      <c r="G1977" t="s">
        <v>3816</v>
      </c>
      <c r="J1977" t="s">
        <v>5751</v>
      </c>
      <c r="K1977">
        <v>120</v>
      </c>
      <c r="L1977" t="str" cm="1">
        <f t="array" ref="L1977">_xlfn.IFS(
 K1977&lt;=50,"≤50",
 AND(K1977&gt;=51,K1977&lt;=100),"51–100",
 AND(K1977&gt;=101,K1977&lt;=250),"101–250",
 AND(K1977&gt;=251,K1977&lt;=500),"251–500",
 AND(K1977&gt;=501,K1977&lt;=1000),"501–1000",
 K1977&gt;=1001,"1001+"
)</f>
        <v>101–250</v>
      </c>
    </row>
    <row r="1978" spans="1:12" x14ac:dyDescent="0.3">
      <c r="A1978" t="s">
        <v>3817</v>
      </c>
      <c r="B1978" t="s">
        <v>9</v>
      </c>
      <c r="C1978" t="s">
        <v>5780</v>
      </c>
      <c r="D1978" t="s">
        <v>1680</v>
      </c>
      <c r="F1978" t="s">
        <v>16</v>
      </c>
      <c r="G1978" t="s">
        <v>1681</v>
      </c>
      <c r="J1978" t="s">
        <v>5742</v>
      </c>
      <c r="K1978">
        <v>120</v>
      </c>
      <c r="L1978" t="str" cm="1">
        <f t="array" ref="L1978">_xlfn.IFS(
 K1978&lt;=50,"≤50",
 AND(K1978&gt;=51,K1978&lt;=100),"51–100",
 AND(K1978&gt;=101,K1978&lt;=250),"101–250",
 AND(K1978&gt;=251,K1978&lt;=500),"251–500",
 AND(K1978&gt;=501,K1978&lt;=1000),"501–1000",
 K1978&gt;=1001,"1001+"
)</f>
        <v>101–250</v>
      </c>
    </row>
    <row r="1979" spans="1:12" x14ac:dyDescent="0.3">
      <c r="A1979" t="s">
        <v>3818</v>
      </c>
      <c r="B1979" t="s">
        <v>9</v>
      </c>
      <c r="C1979" t="s">
        <v>5780</v>
      </c>
      <c r="D1979" t="s">
        <v>3819</v>
      </c>
      <c r="F1979" t="s">
        <v>5770</v>
      </c>
      <c r="J1979" t="s">
        <v>5739</v>
      </c>
      <c r="K1979">
        <v>120</v>
      </c>
      <c r="L1979" t="str" cm="1">
        <f t="array" ref="L1979">_xlfn.IFS(
 K1979&lt;=50,"≤50",
 AND(K1979&gt;=51,K1979&lt;=100),"51–100",
 AND(K1979&gt;=101,K1979&lt;=250),"101–250",
 AND(K1979&gt;=251,K1979&lt;=500),"251–500",
 AND(K1979&gt;=501,K1979&lt;=1000),"501–1000",
 K1979&gt;=1001,"1001+"
)</f>
        <v>101–250</v>
      </c>
    </row>
    <row r="1980" spans="1:12" x14ac:dyDescent="0.3">
      <c r="A1980" t="s">
        <v>3820</v>
      </c>
      <c r="B1980" t="s">
        <v>13</v>
      </c>
      <c r="C1980" t="s">
        <v>5777</v>
      </c>
      <c r="D1980" t="s">
        <v>3821</v>
      </c>
      <c r="E1980" t="s">
        <v>15</v>
      </c>
      <c r="F1980" t="s">
        <v>54</v>
      </c>
      <c r="G1980" t="s">
        <v>3822</v>
      </c>
      <c r="J1980" t="s">
        <v>5742</v>
      </c>
      <c r="K1980">
        <v>120</v>
      </c>
      <c r="L1980" t="str" cm="1">
        <f t="array" ref="L1980">_xlfn.IFS(
 K1980&lt;=50,"≤50",
 AND(K1980&gt;=51,K1980&lt;=100),"51–100",
 AND(K1980&gt;=101,K1980&lt;=250),"101–250",
 AND(K1980&gt;=251,K1980&lt;=500),"251–500",
 AND(K1980&gt;=501,K1980&lt;=1000),"501–1000",
 K1980&gt;=1001,"1001+"
)</f>
        <v>101–250</v>
      </c>
    </row>
    <row r="1981" spans="1:12" x14ac:dyDescent="0.3">
      <c r="A1981" t="s">
        <v>3823</v>
      </c>
      <c r="B1981" t="s">
        <v>9</v>
      </c>
      <c r="C1981" t="s">
        <v>5780</v>
      </c>
      <c r="D1981" t="s">
        <v>28</v>
      </c>
      <c r="F1981" t="s">
        <v>20</v>
      </c>
      <c r="G1981" t="s">
        <v>21</v>
      </c>
      <c r="J1981" t="s">
        <v>5738</v>
      </c>
      <c r="K1981">
        <v>120</v>
      </c>
      <c r="L1981" t="str" cm="1">
        <f t="array" ref="L1981">_xlfn.IFS(
 K1981&lt;=50,"≤50",
 AND(K1981&gt;=51,K1981&lt;=100),"51–100",
 AND(K1981&gt;=101,K1981&lt;=250),"101–250",
 AND(K1981&gt;=251,K1981&lt;=500),"251–500",
 AND(K1981&gt;=501,K1981&lt;=1000),"501–1000",
 K1981&gt;=1001,"1001+"
)</f>
        <v>101–250</v>
      </c>
    </row>
    <row r="1982" spans="1:12" x14ac:dyDescent="0.3">
      <c r="A1982" t="s">
        <v>3824</v>
      </c>
      <c r="B1982" t="s">
        <v>13</v>
      </c>
      <c r="C1982" t="s">
        <v>5777</v>
      </c>
      <c r="D1982" t="s">
        <v>3825</v>
      </c>
      <c r="E1982" t="s">
        <v>15</v>
      </c>
      <c r="F1982" t="s">
        <v>16</v>
      </c>
      <c r="G1982" t="s">
        <v>138</v>
      </c>
      <c r="J1982" t="s">
        <v>5737</v>
      </c>
      <c r="K1982">
        <v>120</v>
      </c>
      <c r="L1982" t="str" cm="1">
        <f t="array" ref="L1982">_xlfn.IFS(
 K1982&lt;=50,"≤50",
 AND(K1982&gt;=51,K1982&lt;=100),"51–100",
 AND(K1982&gt;=101,K1982&lt;=250),"101–250",
 AND(K1982&gt;=251,K1982&lt;=500),"251–500",
 AND(K1982&gt;=501,K1982&lt;=1000),"501–1000",
 K1982&gt;=1001,"1001+"
)</f>
        <v>101–250</v>
      </c>
    </row>
    <row r="1983" spans="1:12" x14ac:dyDescent="0.3">
      <c r="A1983" t="s">
        <v>3826</v>
      </c>
      <c r="B1983" t="s">
        <v>9</v>
      </c>
      <c r="C1983" t="s">
        <v>5780</v>
      </c>
      <c r="D1983" t="s">
        <v>3827</v>
      </c>
      <c r="F1983" t="s">
        <v>54</v>
      </c>
      <c r="G1983" t="s">
        <v>1069</v>
      </c>
      <c r="J1983" t="s">
        <v>5737</v>
      </c>
      <c r="K1983">
        <v>120</v>
      </c>
      <c r="L1983" t="str" cm="1">
        <f t="array" ref="L1983">_xlfn.IFS(
 K1983&lt;=50,"≤50",
 AND(K1983&gt;=51,K1983&lt;=100),"51–100",
 AND(K1983&gt;=101,K1983&lt;=250),"101–250",
 AND(K1983&gt;=251,K1983&lt;=500),"251–500",
 AND(K1983&gt;=501,K1983&lt;=1000),"501–1000",
 K1983&gt;=1001,"1001+"
)</f>
        <v>101–250</v>
      </c>
    </row>
    <row r="1984" spans="1:12" x14ac:dyDescent="0.3">
      <c r="A1984" t="s">
        <v>3828</v>
      </c>
      <c r="B1984" t="s">
        <v>9</v>
      </c>
      <c r="C1984" t="s">
        <v>5780</v>
      </c>
      <c r="D1984" t="s">
        <v>679</v>
      </c>
      <c r="F1984" t="s">
        <v>5770</v>
      </c>
      <c r="J1984" t="s">
        <v>5742</v>
      </c>
      <c r="K1984">
        <v>120</v>
      </c>
      <c r="L1984" t="str" cm="1">
        <f t="array" ref="L1984">_xlfn.IFS(
 K1984&lt;=50,"≤50",
 AND(K1984&gt;=51,K1984&lt;=100),"51–100",
 AND(K1984&gt;=101,K1984&lt;=250),"101–250",
 AND(K1984&gt;=251,K1984&lt;=500),"251–500",
 AND(K1984&gt;=501,K1984&lt;=1000),"501–1000",
 K1984&gt;=1001,"1001+"
)</f>
        <v>101–250</v>
      </c>
    </row>
    <row r="1985" spans="1:12" x14ac:dyDescent="0.3">
      <c r="A1985" t="s">
        <v>3829</v>
      </c>
      <c r="B1985" t="s">
        <v>11</v>
      </c>
      <c r="C1985" t="s">
        <v>5776</v>
      </c>
      <c r="F1985" t="s">
        <v>5770</v>
      </c>
      <c r="J1985" t="s">
        <v>5737</v>
      </c>
      <c r="K1985">
        <v>120</v>
      </c>
      <c r="L1985" t="str" cm="1">
        <f t="array" ref="L1985">_xlfn.IFS(
 K1985&lt;=50,"≤50",
 AND(K1985&gt;=51,K1985&lt;=100),"51–100",
 AND(K1985&gt;=101,K1985&lt;=250),"101–250",
 AND(K1985&gt;=251,K1985&lt;=500),"251–500",
 AND(K1985&gt;=501,K1985&lt;=1000),"501–1000",
 K1985&gt;=1001,"1001+"
)</f>
        <v>101–250</v>
      </c>
    </row>
    <row r="1986" spans="1:12" x14ac:dyDescent="0.3">
      <c r="A1986" t="s">
        <v>3830</v>
      </c>
      <c r="B1986" t="s">
        <v>9</v>
      </c>
      <c r="C1986" t="s">
        <v>5780</v>
      </c>
      <c r="D1986" t="s">
        <v>3831</v>
      </c>
      <c r="E1986" t="s">
        <v>15</v>
      </c>
      <c r="F1986" t="s">
        <v>16</v>
      </c>
      <c r="G1986" t="s">
        <v>3832</v>
      </c>
      <c r="J1986" t="s">
        <v>5752</v>
      </c>
      <c r="K1986">
        <v>120</v>
      </c>
      <c r="L1986" t="str" cm="1">
        <f t="array" ref="L1986">_xlfn.IFS(
 K1986&lt;=50,"≤50",
 AND(K1986&gt;=51,K1986&lt;=100),"51–100",
 AND(K1986&gt;=101,K1986&lt;=250),"101–250",
 AND(K1986&gt;=251,K1986&lt;=500),"251–500",
 AND(K1986&gt;=501,K1986&lt;=1000),"501–1000",
 K1986&gt;=1001,"1001+"
)</f>
        <v>101–250</v>
      </c>
    </row>
    <row r="1987" spans="1:12" x14ac:dyDescent="0.3">
      <c r="A1987" t="s">
        <v>3833</v>
      </c>
      <c r="B1987" t="s">
        <v>13</v>
      </c>
      <c r="C1987" t="s">
        <v>5777</v>
      </c>
      <c r="D1987" t="s">
        <v>3834</v>
      </c>
      <c r="F1987" t="s">
        <v>20</v>
      </c>
      <c r="G1987" t="s">
        <v>3835</v>
      </c>
      <c r="J1987" t="s">
        <v>5751</v>
      </c>
      <c r="K1987">
        <v>120</v>
      </c>
      <c r="L1987" t="str" cm="1">
        <f t="array" ref="L1987">_xlfn.IFS(
 K1987&lt;=50,"≤50",
 AND(K1987&gt;=51,K1987&lt;=100),"51–100",
 AND(K1987&gt;=101,K1987&lt;=250),"101–250",
 AND(K1987&gt;=251,K1987&lt;=500),"251–500",
 AND(K1987&gt;=501,K1987&lt;=1000),"501–1000",
 K1987&gt;=1001,"1001+"
)</f>
        <v>101–250</v>
      </c>
    </row>
    <row r="1988" spans="1:12" x14ac:dyDescent="0.3">
      <c r="A1988" t="s">
        <v>3836</v>
      </c>
      <c r="B1988" t="s">
        <v>13</v>
      </c>
      <c r="C1988" t="s">
        <v>5777</v>
      </c>
      <c r="D1988" t="s">
        <v>3837</v>
      </c>
      <c r="F1988" t="s">
        <v>20</v>
      </c>
      <c r="G1988" t="s">
        <v>3838</v>
      </c>
      <c r="J1988" t="s">
        <v>5742</v>
      </c>
      <c r="K1988">
        <v>120</v>
      </c>
      <c r="L1988" t="str" cm="1">
        <f t="array" ref="L1988">_xlfn.IFS(
 K1988&lt;=50,"≤50",
 AND(K1988&gt;=51,K1988&lt;=100),"51–100",
 AND(K1988&gt;=101,K1988&lt;=250),"101–250",
 AND(K1988&gt;=251,K1988&lt;=500),"251–500",
 AND(K1988&gt;=501,K1988&lt;=1000),"501–1000",
 K1988&gt;=1001,"1001+"
)</f>
        <v>101–250</v>
      </c>
    </row>
    <row r="1989" spans="1:12" x14ac:dyDescent="0.3">
      <c r="A1989" t="s">
        <v>3839</v>
      </c>
      <c r="B1989" t="s">
        <v>13</v>
      </c>
      <c r="C1989" t="s">
        <v>5777</v>
      </c>
      <c r="D1989" t="s">
        <v>3840</v>
      </c>
      <c r="F1989" t="s">
        <v>5770</v>
      </c>
      <c r="J1989" t="s">
        <v>5737</v>
      </c>
      <c r="K1989">
        <v>120</v>
      </c>
      <c r="L1989" t="str" cm="1">
        <f t="array" ref="L1989">_xlfn.IFS(
 K1989&lt;=50,"≤50",
 AND(K1989&gt;=51,K1989&lt;=100),"51–100",
 AND(K1989&gt;=101,K1989&lt;=250),"101–250",
 AND(K1989&gt;=251,K1989&lt;=500),"251–500",
 AND(K1989&gt;=501,K1989&lt;=1000),"501–1000",
 K1989&gt;=1001,"1001+"
)</f>
        <v>101–250</v>
      </c>
    </row>
    <row r="1990" spans="1:12" x14ac:dyDescent="0.3">
      <c r="A1990" t="s">
        <v>3841</v>
      </c>
      <c r="B1990" t="s">
        <v>9</v>
      </c>
      <c r="C1990" t="s">
        <v>5780</v>
      </c>
      <c r="D1990" t="s">
        <v>3842</v>
      </c>
      <c r="F1990" t="s">
        <v>20</v>
      </c>
      <c r="G1990" t="s">
        <v>3843</v>
      </c>
      <c r="J1990" t="s">
        <v>5753</v>
      </c>
      <c r="K1990">
        <v>120</v>
      </c>
      <c r="L1990" t="str" cm="1">
        <f t="array" ref="L1990">_xlfn.IFS(
 K1990&lt;=50,"≤50",
 AND(K1990&gt;=51,K1990&lt;=100),"51–100",
 AND(K1990&gt;=101,K1990&lt;=250),"101–250",
 AND(K1990&gt;=251,K1990&lt;=500),"251–500",
 AND(K1990&gt;=501,K1990&lt;=1000),"501–1000",
 K1990&gt;=1001,"1001+"
)</f>
        <v>101–250</v>
      </c>
    </row>
    <row r="1991" spans="1:12" x14ac:dyDescent="0.3">
      <c r="A1991" t="s">
        <v>3844</v>
      </c>
      <c r="B1991" t="s">
        <v>9</v>
      </c>
      <c r="C1991" t="s">
        <v>5780</v>
      </c>
      <c r="D1991" t="s">
        <v>28</v>
      </c>
      <c r="E1991" t="s">
        <v>15</v>
      </c>
      <c r="F1991" t="s">
        <v>20</v>
      </c>
      <c r="G1991" t="s">
        <v>893</v>
      </c>
      <c r="J1991" t="s">
        <v>5739</v>
      </c>
      <c r="K1991">
        <v>120</v>
      </c>
      <c r="L1991" t="str" cm="1">
        <f t="array" ref="L1991">_xlfn.IFS(
 K1991&lt;=50,"≤50",
 AND(K1991&gt;=51,K1991&lt;=100),"51–100",
 AND(K1991&gt;=101,K1991&lt;=250),"101–250",
 AND(K1991&gt;=251,K1991&lt;=500),"251–500",
 AND(K1991&gt;=501,K1991&lt;=1000),"501–1000",
 K1991&gt;=1001,"1001+"
)</f>
        <v>101–250</v>
      </c>
    </row>
    <row r="1992" spans="1:12" x14ac:dyDescent="0.3">
      <c r="A1992" t="s">
        <v>3845</v>
      </c>
      <c r="B1992" t="s">
        <v>13</v>
      </c>
      <c r="C1992" t="s">
        <v>5777</v>
      </c>
      <c r="D1992" t="s">
        <v>3846</v>
      </c>
      <c r="F1992" t="s">
        <v>16</v>
      </c>
      <c r="G1992" t="s">
        <v>3847</v>
      </c>
      <c r="J1992" t="s">
        <v>5744</v>
      </c>
      <c r="K1992">
        <v>120</v>
      </c>
      <c r="L1992" t="str" cm="1">
        <f t="array" ref="L1992">_xlfn.IFS(
 K1992&lt;=50,"≤50",
 AND(K1992&gt;=51,K1992&lt;=100),"51–100",
 AND(K1992&gt;=101,K1992&lt;=250),"101–250",
 AND(K1992&gt;=251,K1992&lt;=500),"251–500",
 AND(K1992&gt;=501,K1992&lt;=1000),"501–1000",
 K1992&gt;=1001,"1001+"
)</f>
        <v>101–250</v>
      </c>
    </row>
    <row r="1993" spans="1:12" x14ac:dyDescent="0.3">
      <c r="A1993" t="s">
        <v>3848</v>
      </c>
      <c r="B1993" t="s">
        <v>197</v>
      </c>
      <c r="C1993" t="s">
        <v>5774</v>
      </c>
      <c r="D1993" t="s">
        <v>3849</v>
      </c>
      <c r="F1993" t="s">
        <v>5770</v>
      </c>
      <c r="J1993" t="s">
        <v>5760</v>
      </c>
      <c r="K1993">
        <v>120</v>
      </c>
      <c r="L1993" t="str" cm="1">
        <f t="array" ref="L1993">_xlfn.IFS(
 K1993&lt;=50,"≤50",
 AND(K1993&gt;=51,K1993&lt;=100),"51–100",
 AND(K1993&gt;=101,K1993&lt;=250),"101–250",
 AND(K1993&gt;=251,K1993&lt;=500),"251–500",
 AND(K1993&gt;=501,K1993&lt;=1000),"501–1000",
 K1993&gt;=1001,"1001+"
)</f>
        <v>101–250</v>
      </c>
    </row>
    <row r="1994" spans="1:12" x14ac:dyDescent="0.3">
      <c r="A1994" t="s">
        <v>3850</v>
      </c>
      <c r="B1994" t="s">
        <v>9</v>
      </c>
      <c r="C1994" t="s">
        <v>5780</v>
      </c>
      <c r="D1994" t="s">
        <v>3851</v>
      </c>
      <c r="E1994" t="s">
        <v>15</v>
      </c>
      <c r="F1994" t="s">
        <v>5770</v>
      </c>
      <c r="J1994" t="s">
        <v>5749</v>
      </c>
      <c r="K1994">
        <v>120</v>
      </c>
      <c r="L1994" t="str" cm="1">
        <f t="array" ref="L1994">_xlfn.IFS(
 K1994&lt;=50,"≤50",
 AND(K1994&gt;=51,K1994&lt;=100),"51–100",
 AND(K1994&gt;=101,K1994&lt;=250),"101–250",
 AND(K1994&gt;=251,K1994&lt;=500),"251–500",
 AND(K1994&gt;=501,K1994&lt;=1000),"501–1000",
 K1994&gt;=1001,"1001+"
)</f>
        <v>101–250</v>
      </c>
    </row>
    <row r="1995" spans="1:12" x14ac:dyDescent="0.3">
      <c r="A1995" t="s">
        <v>3852</v>
      </c>
      <c r="B1995" t="s">
        <v>13</v>
      </c>
      <c r="C1995" t="s">
        <v>5777</v>
      </c>
      <c r="D1995" t="s">
        <v>3853</v>
      </c>
      <c r="F1995" t="s">
        <v>5770</v>
      </c>
      <c r="J1995" t="s">
        <v>5737</v>
      </c>
      <c r="K1995">
        <v>120</v>
      </c>
      <c r="L1995" t="str" cm="1">
        <f t="array" ref="L1995">_xlfn.IFS(
 K1995&lt;=50,"≤50",
 AND(K1995&gt;=51,K1995&lt;=100),"51–100",
 AND(K1995&gt;=101,K1995&lt;=250),"101–250",
 AND(K1995&gt;=251,K1995&lt;=500),"251–500",
 AND(K1995&gt;=501,K1995&lt;=1000),"501–1000",
 K1995&gt;=1001,"1001+"
)</f>
        <v>101–250</v>
      </c>
    </row>
    <row r="1996" spans="1:12" x14ac:dyDescent="0.3">
      <c r="A1996" t="s">
        <v>3854</v>
      </c>
      <c r="B1996" t="s">
        <v>11</v>
      </c>
      <c r="C1996" t="s">
        <v>5776</v>
      </c>
      <c r="F1996" t="s">
        <v>5770</v>
      </c>
      <c r="J1996" t="s">
        <v>5737</v>
      </c>
      <c r="K1996">
        <v>120</v>
      </c>
      <c r="L1996" t="str" cm="1">
        <f t="array" ref="L1996">_xlfn.IFS(
 K1996&lt;=50,"≤50",
 AND(K1996&gt;=51,K1996&lt;=100),"51–100",
 AND(K1996&gt;=101,K1996&lt;=250),"101–250",
 AND(K1996&gt;=251,K1996&lt;=500),"251–500",
 AND(K1996&gt;=501,K1996&lt;=1000),"501–1000",
 K1996&gt;=1001,"1001+"
)</f>
        <v>101–250</v>
      </c>
    </row>
    <row r="1997" spans="1:12" x14ac:dyDescent="0.3">
      <c r="A1997" t="s">
        <v>3855</v>
      </c>
      <c r="B1997" t="s">
        <v>9</v>
      </c>
      <c r="C1997" t="s">
        <v>5780</v>
      </c>
      <c r="D1997" t="s">
        <v>3856</v>
      </c>
      <c r="F1997" t="s">
        <v>20</v>
      </c>
      <c r="G1997" t="s">
        <v>42</v>
      </c>
      <c r="J1997" t="s">
        <v>5737</v>
      </c>
      <c r="K1997">
        <v>120</v>
      </c>
      <c r="L1997" t="str" cm="1">
        <f t="array" ref="L1997">_xlfn.IFS(
 K1997&lt;=50,"≤50",
 AND(K1997&gt;=51,K1997&lt;=100),"51–100",
 AND(K1997&gt;=101,K1997&lt;=250),"101–250",
 AND(K1997&gt;=251,K1997&lt;=500),"251–500",
 AND(K1997&gt;=501,K1997&lt;=1000),"501–1000",
 K1997&gt;=1001,"1001+"
)</f>
        <v>101–250</v>
      </c>
    </row>
    <row r="1998" spans="1:12" x14ac:dyDescent="0.3">
      <c r="A1998" t="s">
        <v>3857</v>
      </c>
      <c r="B1998" t="s">
        <v>9</v>
      </c>
      <c r="C1998" t="s">
        <v>5780</v>
      </c>
      <c r="D1998" t="s">
        <v>28</v>
      </c>
      <c r="F1998" t="s">
        <v>5770</v>
      </c>
      <c r="J1998" t="s">
        <v>5740</v>
      </c>
      <c r="K1998">
        <v>120</v>
      </c>
      <c r="L1998" t="str" cm="1">
        <f t="array" ref="L1998">_xlfn.IFS(
 K1998&lt;=50,"≤50",
 AND(K1998&gt;=51,K1998&lt;=100),"51–100",
 AND(K1998&gt;=101,K1998&lt;=250),"101–250",
 AND(K1998&gt;=251,K1998&lt;=500),"251–500",
 AND(K1998&gt;=501,K1998&lt;=1000),"501–1000",
 K1998&gt;=1001,"1001+"
)</f>
        <v>101–250</v>
      </c>
    </row>
    <row r="1999" spans="1:12" x14ac:dyDescent="0.3">
      <c r="A1999" t="s">
        <v>3858</v>
      </c>
      <c r="B1999" t="s">
        <v>13</v>
      </c>
      <c r="C1999" t="s">
        <v>5777</v>
      </c>
      <c r="D1999" t="s">
        <v>112</v>
      </c>
      <c r="F1999" t="s">
        <v>54</v>
      </c>
      <c r="G1999" t="s">
        <v>450</v>
      </c>
      <c r="J1999" t="s">
        <v>5737</v>
      </c>
      <c r="K1999">
        <v>120</v>
      </c>
      <c r="L1999" t="str" cm="1">
        <f t="array" ref="L1999">_xlfn.IFS(
 K1999&lt;=50,"≤50",
 AND(K1999&gt;=51,K1999&lt;=100),"51–100",
 AND(K1999&gt;=101,K1999&lt;=250),"101–250",
 AND(K1999&gt;=251,K1999&lt;=500),"251–500",
 AND(K1999&gt;=501,K1999&lt;=1000),"501–1000",
 K1999&gt;=1001,"1001+"
)</f>
        <v>101–250</v>
      </c>
    </row>
    <row r="2000" spans="1:12" x14ac:dyDescent="0.3">
      <c r="A2000" t="s">
        <v>3859</v>
      </c>
      <c r="B2000" t="s">
        <v>13</v>
      </c>
      <c r="C2000" t="s">
        <v>5777</v>
      </c>
      <c r="D2000" t="s">
        <v>3860</v>
      </c>
      <c r="F2000" t="s">
        <v>5770</v>
      </c>
      <c r="J2000" t="s">
        <v>5746</v>
      </c>
      <c r="K2000">
        <v>120</v>
      </c>
      <c r="L2000" t="str" cm="1">
        <f t="array" ref="L2000">_xlfn.IFS(
 K2000&lt;=50,"≤50",
 AND(K2000&gt;=51,K2000&lt;=100),"51–100",
 AND(K2000&gt;=101,K2000&lt;=250),"101–250",
 AND(K2000&gt;=251,K2000&lt;=500),"251–500",
 AND(K2000&gt;=501,K2000&lt;=1000),"501–1000",
 K2000&gt;=1001,"1001+"
)</f>
        <v>101–250</v>
      </c>
    </row>
    <row r="2001" spans="1:12" x14ac:dyDescent="0.3">
      <c r="A2001" t="s">
        <v>3861</v>
      </c>
      <c r="B2001" t="s">
        <v>11</v>
      </c>
      <c r="C2001" t="s">
        <v>5776</v>
      </c>
      <c r="F2001" t="s">
        <v>5770</v>
      </c>
      <c r="J2001" t="s">
        <v>5738</v>
      </c>
      <c r="K2001">
        <v>120</v>
      </c>
      <c r="L2001" t="str" cm="1">
        <f t="array" ref="L2001">_xlfn.IFS(
 K2001&lt;=50,"≤50",
 AND(K2001&gt;=51,K2001&lt;=100),"51–100",
 AND(K2001&gt;=101,K2001&lt;=250),"101–250",
 AND(K2001&gt;=251,K2001&lt;=500),"251–500",
 AND(K2001&gt;=501,K2001&lt;=1000),"501–1000",
 K2001&gt;=1001,"1001+"
)</f>
        <v>101–250</v>
      </c>
    </row>
    <row r="2002" spans="1:12" x14ac:dyDescent="0.3">
      <c r="A2002" t="s">
        <v>3862</v>
      </c>
      <c r="B2002" t="s">
        <v>11</v>
      </c>
      <c r="C2002" t="s">
        <v>5776</v>
      </c>
      <c r="F2002" t="s">
        <v>54</v>
      </c>
      <c r="G2002" t="s">
        <v>3863</v>
      </c>
      <c r="J2002" t="s">
        <v>5737</v>
      </c>
      <c r="K2002">
        <v>120</v>
      </c>
      <c r="L2002" t="str" cm="1">
        <f t="array" ref="L2002">_xlfn.IFS(
 K2002&lt;=50,"≤50",
 AND(K2002&gt;=51,K2002&lt;=100),"51–100",
 AND(K2002&gt;=101,K2002&lt;=250),"101–250",
 AND(K2002&gt;=251,K2002&lt;=500),"251–500",
 AND(K2002&gt;=501,K2002&lt;=1000),"501–1000",
 K2002&gt;=1001,"1001+"
)</f>
        <v>101–250</v>
      </c>
    </row>
    <row r="2003" spans="1:12" x14ac:dyDescent="0.3">
      <c r="A2003" t="s">
        <v>3864</v>
      </c>
      <c r="B2003" t="s">
        <v>11</v>
      </c>
      <c r="C2003" t="s">
        <v>5776</v>
      </c>
      <c r="F2003" t="s">
        <v>5770</v>
      </c>
      <c r="J2003" t="s">
        <v>5737</v>
      </c>
      <c r="K2003">
        <v>120</v>
      </c>
      <c r="L2003" t="str" cm="1">
        <f t="array" ref="L2003">_xlfn.IFS(
 K2003&lt;=50,"≤50",
 AND(K2003&gt;=51,K2003&lt;=100),"51–100",
 AND(K2003&gt;=101,K2003&lt;=250),"101–250",
 AND(K2003&gt;=251,K2003&lt;=500),"251–500",
 AND(K2003&gt;=501,K2003&lt;=1000),"501–1000",
 K2003&gt;=1001,"1001+"
)</f>
        <v>101–250</v>
      </c>
    </row>
    <row r="2004" spans="1:12" x14ac:dyDescent="0.3">
      <c r="A2004" t="s">
        <v>3865</v>
      </c>
      <c r="B2004" t="s">
        <v>9</v>
      </c>
      <c r="C2004" t="s">
        <v>5780</v>
      </c>
      <c r="D2004" t="s">
        <v>3866</v>
      </c>
      <c r="F2004" t="s">
        <v>20</v>
      </c>
      <c r="G2004" t="s">
        <v>42</v>
      </c>
      <c r="J2004" t="s">
        <v>5744</v>
      </c>
      <c r="K2004">
        <v>120</v>
      </c>
      <c r="L2004" t="str" cm="1">
        <f t="array" ref="L2004">_xlfn.IFS(
 K2004&lt;=50,"≤50",
 AND(K2004&gt;=51,K2004&lt;=100),"51–100",
 AND(K2004&gt;=101,K2004&lt;=250),"101–250",
 AND(K2004&gt;=251,K2004&lt;=500),"251–500",
 AND(K2004&gt;=501,K2004&lt;=1000),"501–1000",
 K2004&gt;=1001,"1001+"
)</f>
        <v>101–250</v>
      </c>
    </row>
    <row r="2005" spans="1:12" x14ac:dyDescent="0.3">
      <c r="A2005" t="s">
        <v>3867</v>
      </c>
      <c r="B2005" t="s">
        <v>13</v>
      </c>
      <c r="C2005" t="s">
        <v>5777</v>
      </c>
      <c r="D2005" t="s">
        <v>3868</v>
      </c>
      <c r="E2005" t="s">
        <v>15</v>
      </c>
      <c r="F2005" t="s">
        <v>54</v>
      </c>
      <c r="G2005" t="s">
        <v>3869</v>
      </c>
      <c r="J2005" t="s">
        <v>5753</v>
      </c>
      <c r="K2005">
        <v>120</v>
      </c>
      <c r="L2005" t="str" cm="1">
        <f t="array" ref="L2005">_xlfn.IFS(
 K2005&lt;=50,"≤50",
 AND(K2005&gt;=51,K2005&lt;=100),"51–100",
 AND(K2005&gt;=101,K2005&lt;=250),"101–250",
 AND(K2005&gt;=251,K2005&lt;=500),"251–500",
 AND(K2005&gt;=501,K2005&lt;=1000),"501–1000",
 K2005&gt;=1001,"1001+"
)</f>
        <v>101–250</v>
      </c>
    </row>
    <row r="2006" spans="1:12" x14ac:dyDescent="0.3">
      <c r="A2006" t="s">
        <v>3870</v>
      </c>
      <c r="B2006" t="s">
        <v>9</v>
      </c>
      <c r="C2006" t="s">
        <v>5780</v>
      </c>
      <c r="D2006" t="s">
        <v>3871</v>
      </c>
      <c r="E2006" t="s">
        <v>15</v>
      </c>
      <c r="F2006" t="s">
        <v>54</v>
      </c>
      <c r="G2006" t="s">
        <v>3872</v>
      </c>
      <c r="J2006" t="s">
        <v>5738</v>
      </c>
      <c r="K2006">
        <v>120</v>
      </c>
      <c r="L2006" t="str" cm="1">
        <f t="array" ref="L2006">_xlfn.IFS(
 K2006&lt;=50,"≤50",
 AND(K2006&gt;=51,K2006&lt;=100),"51–100",
 AND(K2006&gt;=101,K2006&lt;=250),"101–250",
 AND(K2006&gt;=251,K2006&lt;=500),"251–500",
 AND(K2006&gt;=501,K2006&lt;=1000),"501–1000",
 K2006&gt;=1001,"1001+"
)</f>
        <v>101–250</v>
      </c>
    </row>
    <row r="2007" spans="1:12" x14ac:dyDescent="0.3">
      <c r="A2007" t="s">
        <v>3873</v>
      </c>
      <c r="B2007" t="s">
        <v>9</v>
      </c>
      <c r="C2007" t="s">
        <v>5780</v>
      </c>
      <c r="D2007" t="s">
        <v>3874</v>
      </c>
      <c r="E2007" t="s">
        <v>15</v>
      </c>
      <c r="F2007" t="s">
        <v>54</v>
      </c>
      <c r="G2007" t="s">
        <v>3863</v>
      </c>
      <c r="J2007" t="s">
        <v>5737</v>
      </c>
      <c r="K2007">
        <v>120</v>
      </c>
      <c r="L2007" t="str" cm="1">
        <f t="array" ref="L2007">_xlfn.IFS(
 K2007&lt;=50,"≤50",
 AND(K2007&gt;=51,K2007&lt;=100),"51–100",
 AND(K2007&gt;=101,K2007&lt;=250),"101–250",
 AND(K2007&gt;=251,K2007&lt;=500),"251–500",
 AND(K2007&gt;=501,K2007&lt;=1000),"501–1000",
 K2007&gt;=1001,"1001+"
)</f>
        <v>101–250</v>
      </c>
    </row>
    <row r="2008" spans="1:12" x14ac:dyDescent="0.3">
      <c r="A2008" t="s">
        <v>3875</v>
      </c>
      <c r="B2008" t="s">
        <v>9</v>
      </c>
      <c r="C2008" t="s">
        <v>5780</v>
      </c>
      <c r="D2008" t="s">
        <v>28</v>
      </c>
      <c r="E2008" t="s">
        <v>15</v>
      </c>
      <c r="F2008" t="s">
        <v>5770</v>
      </c>
      <c r="J2008" t="s">
        <v>5749</v>
      </c>
      <c r="K2008">
        <v>120</v>
      </c>
      <c r="L2008" t="str" cm="1">
        <f t="array" ref="L2008">_xlfn.IFS(
 K2008&lt;=50,"≤50",
 AND(K2008&gt;=51,K2008&lt;=100),"51–100",
 AND(K2008&gt;=101,K2008&lt;=250),"101–250",
 AND(K2008&gt;=251,K2008&lt;=500),"251–500",
 AND(K2008&gt;=501,K2008&lt;=1000),"501–1000",
 K2008&gt;=1001,"1001+"
)</f>
        <v>101–250</v>
      </c>
    </row>
    <row r="2009" spans="1:12" x14ac:dyDescent="0.3">
      <c r="A2009" t="s">
        <v>3876</v>
      </c>
      <c r="B2009" t="s">
        <v>9</v>
      </c>
      <c r="C2009" t="s">
        <v>5780</v>
      </c>
      <c r="D2009" t="s">
        <v>28</v>
      </c>
      <c r="F2009" t="s">
        <v>5770</v>
      </c>
      <c r="J2009" t="s">
        <v>5742</v>
      </c>
      <c r="K2009">
        <v>120</v>
      </c>
      <c r="L2009" t="str" cm="1">
        <f t="array" ref="L2009">_xlfn.IFS(
 K2009&lt;=50,"≤50",
 AND(K2009&gt;=51,K2009&lt;=100),"51–100",
 AND(K2009&gt;=101,K2009&lt;=250),"101–250",
 AND(K2009&gt;=251,K2009&lt;=500),"251–500",
 AND(K2009&gt;=501,K2009&lt;=1000),"501–1000",
 K2009&gt;=1001,"1001+"
)</f>
        <v>101–250</v>
      </c>
    </row>
    <row r="2010" spans="1:12" x14ac:dyDescent="0.3">
      <c r="A2010" t="s">
        <v>3877</v>
      </c>
      <c r="B2010" t="s">
        <v>9</v>
      </c>
      <c r="C2010" t="s">
        <v>5780</v>
      </c>
      <c r="D2010" t="s">
        <v>3878</v>
      </c>
      <c r="F2010" t="s">
        <v>20</v>
      </c>
      <c r="G2010" t="s">
        <v>3879</v>
      </c>
      <c r="J2010" t="s">
        <v>5737</v>
      </c>
      <c r="K2010">
        <v>120</v>
      </c>
      <c r="L2010" t="str" cm="1">
        <f t="array" ref="L2010">_xlfn.IFS(
 K2010&lt;=50,"≤50",
 AND(K2010&gt;=51,K2010&lt;=100),"51–100",
 AND(K2010&gt;=101,K2010&lt;=250),"101–250",
 AND(K2010&gt;=251,K2010&lt;=500),"251–500",
 AND(K2010&gt;=501,K2010&lt;=1000),"501–1000",
 K2010&gt;=1001,"1001+"
)</f>
        <v>101–250</v>
      </c>
    </row>
    <row r="2011" spans="1:12" x14ac:dyDescent="0.3">
      <c r="A2011" t="s">
        <v>3880</v>
      </c>
      <c r="B2011" t="s">
        <v>9</v>
      </c>
      <c r="C2011" t="s">
        <v>5780</v>
      </c>
      <c r="D2011" t="s">
        <v>3881</v>
      </c>
      <c r="E2011" t="s">
        <v>15</v>
      </c>
      <c r="F2011" t="s">
        <v>5770</v>
      </c>
      <c r="J2011" t="s">
        <v>5737</v>
      </c>
      <c r="K2011">
        <v>120</v>
      </c>
      <c r="L2011" t="str" cm="1">
        <f t="array" ref="L2011">_xlfn.IFS(
 K2011&lt;=50,"≤50",
 AND(K2011&gt;=51,K2011&lt;=100),"51–100",
 AND(K2011&gt;=101,K2011&lt;=250),"101–250",
 AND(K2011&gt;=251,K2011&lt;=500),"251–500",
 AND(K2011&gt;=501,K2011&lt;=1000),"501–1000",
 K2011&gt;=1001,"1001+"
)</f>
        <v>101–250</v>
      </c>
    </row>
    <row r="2012" spans="1:12" x14ac:dyDescent="0.3">
      <c r="A2012" t="s">
        <v>3882</v>
      </c>
      <c r="B2012" t="s">
        <v>11</v>
      </c>
      <c r="C2012" t="s">
        <v>5776</v>
      </c>
      <c r="F2012" t="s">
        <v>5770</v>
      </c>
      <c r="J2012" t="s">
        <v>5750</v>
      </c>
      <c r="K2012">
        <v>120</v>
      </c>
      <c r="L2012" t="str" cm="1">
        <f t="array" ref="L2012">_xlfn.IFS(
 K2012&lt;=50,"≤50",
 AND(K2012&gt;=51,K2012&lt;=100),"51–100",
 AND(K2012&gt;=101,K2012&lt;=250),"101–250",
 AND(K2012&gt;=251,K2012&lt;=500),"251–500",
 AND(K2012&gt;=501,K2012&lt;=1000),"501–1000",
 K2012&gt;=1001,"1001+"
)</f>
        <v>101–250</v>
      </c>
    </row>
    <row r="2013" spans="1:12" x14ac:dyDescent="0.3">
      <c r="A2013" t="s">
        <v>3883</v>
      </c>
      <c r="B2013" t="s">
        <v>13</v>
      </c>
      <c r="C2013" t="s">
        <v>5777</v>
      </c>
      <c r="D2013" t="s">
        <v>3884</v>
      </c>
      <c r="F2013" t="s">
        <v>5770</v>
      </c>
      <c r="J2013" t="s">
        <v>5740</v>
      </c>
      <c r="K2013">
        <v>120</v>
      </c>
      <c r="L2013" t="str" cm="1">
        <f t="array" ref="L2013">_xlfn.IFS(
 K2013&lt;=50,"≤50",
 AND(K2013&gt;=51,K2013&lt;=100),"51–100",
 AND(K2013&gt;=101,K2013&lt;=250),"101–250",
 AND(K2013&gt;=251,K2013&lt;=500),"251–500",
 AND(K2013&gt;=501,K2013&lt;=1000),"501–1000",
 K2013&gt;=1001,"1001+"
)</f>
        <v>101–250</v>
      </c>
    </row>
    <row r="2014" spans="1:12" x14ac:dyDescent="0.3">
      <c r="A2014" t="s">
        <v>3885</v>
      </c>
      <c r="B2014" t="s">
        <v>9</v>
      </c>
      <c r="C2014" t="s">
        <v>5780</v>
      </c>
      <c r="D2014" t="s">
        <v>28</v>
      </c>
      <c r="E2014" t="s">
        <v>15</v>
      </c>
      <c r="F2014" t="s">
        <v>20</v>
      </c>
      <c r="G2014" t="s">
        <v>3886</v>
      </c>
      <c r="J2014" t="s">
        <v>5744</v>
      </c>
      <c r="K2014">
        <v>120</v>
      </c>
      <c r="L2014" t="str" cm="1">
        <f t="array" ref="L2014">_xlfn.IFS(
 K2014&lt;=50,"≤50",
 AND(K2014&gt;=51,K2014&lt;=100),"51–100",
 AND(K2014&gt;=101,K2014&lt;=250),"101–250",
 AND(K2014&gt;=251,K2014&lt;=500),"251–500",
 AND(K2014&gt;=501,K2014&lt;=1000),"501–1000",
 K2014&gt;=1001,"1001+"
)</f>
        <v>101–250</v>
      </c>
    </row>
    <row r="2015" spans="1:12" x14ac:dyDescent="0.3">
      <c r="A2015" t="s">
        <v>3887</v>
      </c>
      <c r="B2015" t="s">
        <v>9</v>
      </c>
      <c r="C2015" t="s">
        <v>5780</v>
      </c>
      <c r="D2015" t="s">
        <v>3514</v>
      </c>
      <c r="F2015" t="s">
        <v>5770</v>
      </c>
      <c r="J2015" t="s">
        <v>5746</v>
      </c>
      <c r="K2015">
        <v>120</v>
      </c>
      <c r="L2015" t="str" cm="1">
        <f t="array" ref="L2015">_xlfn.IFS(
 K2015&lt;=50,"≤50",
 AND(K2015&gt;=51,K2015&lt;=100),"51–100",
 AND(K2015&gt;=101,K2015&lt;=250),"101–250",
 AND(K2015&gt;=251,K2015&lt;=500),"251–500",
 AND(K2015&gt;=501,K2015&lt;=1000),"501–1000",
 K2015&gt;=1001,"1001+"
)</f>
        <v>101–250</v>
      </c>
    </row>
    <row r="2016" spans="1:12" x14ac:dyDescent="0.3">
      <c r="A2016" t="s">
        <v>3888</v>
      </c>
      <c r="B2016" t="s">
        <v>9</v>
      </c>
      <c r="C2016" t="s">
        <v>5780</v>
      </c>
      <c r="D2016" t="s">
        <v>3889</v>
      </c>
      <c r="E2016" t="s">
        <v>15</v>
      </c>
      <c r="F2016" t="s">
        <v>20</v>
      </c>
      <c r="G2016" t="s">
        <v>3890</v>
      </c>
      <c r="J2016" t="s">
        <v>5738</v>
      </c>
      <c r="K2016">
        <v>120</v>
      </c>
      <c r="L2016" t="str" cm="1">
        <f t="array" ref="L2016">_xlfn.IFS(
 K2016&lt;=50,"≤50",
 AND(K2016&gt;=51,K2016&lt;=100),"51–100",
 AND(K2016&gt;=101,K2016&lt;=250),"101–250",
 AND(K2016&gt;=251,K2016&lt;=500),"251–500",
 AND(K2016&gt;=501,K2016&lt;=1000),"501–1000",
 K2016&gt;=1001,"1001+"
)</f>
        <v>101–250</v>
      </c>
    </row>
    <row r="2017" spans="1:12" x14ac:dyDescent="0.3">
      <c r="A2017" t="s">
        <v>3891</v>
      </c>
      <c r="B2017" t="s">
        <v>13</v>
      </c>
      <c r="C2017" t="s">
        <v>5777</v>
      </c>
      <c r="D2017" t="s">
        <v>3892</v>
      </c>
      <c r="F2017" t="s">
        <v>20</v>
      </c>
      <c r="G2017" t="s">
        <v>3893</v>
      </c>
      <c r="J2017" t="s">
        <v>5747</v>
      </c>
      <c r="K2017">
        <v>120</v>
      </c>
      <c r="L2017" t="str" cm="1">
        <f t="array" ref="L2017">_xlfn.IFS(
 K2017&lt;=50,"≤50",
 AND(K2017&gt;=51,K2017&lt;=100),"51–100",
 AND(K2017&gt;=101,K2017&lt;=250),"101–250",
 AND(K2017&gt;=251,K2017&lt;=500),"251–500",
 AND(K2017&gt;=501,K2017&lt;=1000),"501–1000",
 K2017&gt;=1001,"1001+"
)</f>
        <v>101–250</v>
      </c>
    </row>
    <row r="2018" spans="1:12" x14ac:dyDescent="0.3">
      <c r="A2018" t="s">
        <v>3894</v>
      </c>
      <c r="B2018" t="s">
        <v>9</v>
      </c>
      <c r="C2018" t="s">
        <v>5780</v>
      </c>
      <c r="D2018" t="s">
        <v>3895</v>
      </c>
      <c r="F2018" t="s">
        <v>5770</v>
      </c>
      <c r="J2018" t="s">
        <v>5740</v>
      </c>
      <c r="K2018">
        <v>120</v>
      </c>
      <c r="L2018" t="str" cm="1">
        <f t="array" ref="L2018">_xlfn.IFS(
 K2018&lt;=50,"≤50",
 AND(K2018&gt;=51,K2018&lt;=100),"51–100",
 AND(K2018&gt;=101,K2018&lt;=250),"101–250",
 AND(K2018&gt;=251,K2018&lt;=500),"251–500",
 AND(K2018&gt;=501,K2018&lt;=1000),"501–1000",
 K2018&gt;=1001,"1001+"
)</f>
        <v>101–250</v>
      </c>
    </row>
    <row r="2019" spans="1:12" x14ac:dyDescent="0.3">
      <c r="A2019" t="s">
        <v>3896</v>
      </c>
      <c r="B2019" t="s">
        <v>9</v>
      </c>
      <c r="C2019" t="s">
        <v>5780</v>
      </c>
      <c r="D2019" t="s">
        <v>3897</v>
      </c>
      <c r="F2019" t="s">
        <v>54</v>
      </c>
      <c r="G2019" t="s">
        <v>3898</v>
      </c>
      <c r="J2019" t="s">
        <v>5737</v>
      </c>
      <c r="K2019">
        <v>120</v>
      </c>
      <c r="L2019" t="str" cm="1">
        <f t="array" ref="L2019">_xlfn.IFS(
 K2019&lt;=50,"≤50",
 AND(K2019&gt;=51,K2019&lt;=100),"51–100",
 AND(K2019&gt;=101,K2019&lt;=250),"101–250",
 AND(K2019&gt;=251,K2019&lt;=500),"251–500",
 AND(K2019&gt;=501,K2019&lt;=1000),"501–1000",
 K2019&gt;=1001,"1001+"
)</f>
        <v>101–250</v>
      </c>
    </row>
    <row r="2020" spans="1:12" x14ac:dyDescent="0.3">
      <c r="A2020" t="s">
        <v>3899</v>
      </c>
      <c r="B2020" t="s">
        <v>9</v>
      </c>
      <c r="C2020" t="s">
        <v>5780</v>
      </c>
      <c r="D2020" t="s">
        <v>3900</v>
      </c>
      <c r="E2020" t="s">
        <v>15</v>
      </c>
      <c r="F2020" t="s">
        <v>5770</v>
      </c>
      <c r="J2020" t="s">
        <v>5744</v>
      </c>
      <c r="K2020">
        <v>120</v>
      </c>
      <c r="L2020" t="str" cm="1">
        <f t="array" ref="L2020">_xlfn.IFS(
 K2020&lt;=50,"≤50",
 AND(K2020&gt;=51,K2020&lt;=100),"51–100",
 AND(K2020&gt;=101,K2020&lt;=250),"101–250",
 AND(K2020&gt;=251,K2020&lt;=500),"251–500",
 AND(K2020&gt;=501,K2020&lt;=1000),"501–1000",
 K2020&gt;=1001,"1001+"
)</f>
        <v>101–250</v>
      </c>
    </row>
    <row r="2021" spans="1:12" x14ac:dyDescent="0.3">
      <c r="A2021" t="s">
        <v>3901</v>
      </c>
      <c r="B2021" t="s">
        <v>13</v>
      </c>
      <c r="C2021" t="s">
        <v>5777</v>
      </c>
      <c r="D2021" t="s">
        <v>3902</v>
      </c>
      <c r="E2021" t="s">
        <v>15</v>
      </c>
      <c r="F2021" t="s">
        <v>16</v>
      </c>
      <c r="G2021" t="s">
        <v>3903</v>
      </c>
      <c r="J2021" t="s">
        <v>5737</v>
      </c>
      <c r="K2021">
        <v>120</v>
      </c>
      <c r="L2021" t="str" cm="1">
        <f t="array" ref="L2021">_xlfn.IFS(
 K2021&lt;=50,"≤50",
 AND(K2021&gt;=51,K2021&lt;=100),"51–100",
 AND(K2021&gt;=101,K2021&lt;=250),"101–250",
 AND(K2021&gt;=251,K2021&lt;=500),"251–500",
 AND(K2021&gt;=501,K2021&lt;=1000),"501–1000",
 K2021&gt;=1001,"1001+"
)</f>
        <v>101–250</v>
      </c>
    </row>
    <row r="2022" spans="1:12" x14ac:dyDescent="0.3">
      <c r="A2022" t="s">
        <v>3904</v>
      </c>
      <c r="B2022" t="s">
        <v>9</v>
      </c>
      <c r="C2022" t="s">
        <v>5780</v>
      </c>
      <c r="D2022" t="s">
        <v>28</v>
      </c>
      <c r="F2022" t="s">
        <v>5770</v>
      </c>
      <c r="J2022" t="s">
        <v>5737</v>
      </c>
      <c r="K2022">
        <v>120</v>
      </c>
      <c r="L2022" t="str" cm="1">
        <f t="array" ref="L2022">_xlfn.IFS(
 K2022&lt;=50,"≤50",
 AND(K2022&gt;=51,K2022&lt;=100),"51–100",
 AND(K2022&gt;=101,K2022&lt;=250),"101–250",
 AND(K2022&gt;=251,K2022&lt;=500),"251–500",
 AND(K2022&gt;=501,K2022&lt;=1000),"501–1000",
 K2022&gt;=1001,"1001+"
)</f>
        <v>101–250</v>
      </c>
    </row>
    <row r="2023" spans="1:12" x14ac:dyDescent="0.3">
      <c r="A2023" t="s">
        <v>3905</v>
      </c>
      <c r="B2023" t="s">
        <v>11</v>
      </c>
      <c r="C2023" t="s">
        <v>5776</v>
      </c>
      <c r="F2023" t="s">
        <v>5770</v>
      </c>
      <c r="J2023" t="s">
        <v>5737</v>
      </c>
      <c r="K2023">
        <v>120</v>
      </c>
      <c r="L2023" t="str" cm="1">
        <f t="array" ref="L2023">_xlfn.IFS(
 K2023&lt;=50,"≤50",
 AND(K2023&gt;=51,K2023&lt;=100),"51–100",
 AND(K2023&gt;=101,K2023&lt;=250),"101–250",
 AND(K2023&gt;=251,K2023&lt;=500),"251–500",
 AND(K2023&gt;=501,K2023&lt;=1000),"501–1000",
 K2023&gt;=1001,"1001+"
)</f>
        <v>101–250</v>
      </c>
    </row>
    <row r="2024" spans="1:12" x14ac:dyDescent="0.3">
      <c r="A2024" t="s">
        <v>3906</v>
      </c>
      <c r="B2024" t="s">
        <v>9</v>
      </c>
      <c r="C2024" t="s">
        <v>5780</v>
      </c>
      <c r="D2024" t="s">
        <v>28</v>
      </c>
      <c r="F2024" t="s">
        <v>5770</v>
      </c>
      <c r="J2024" t="s">
        <v>5737</v>
      </c>
      <c r="K2024">
        <v>120</v>
      </c>
      <c r="L2024" t="str" cm="1">
        <f t="array" ref="L2024">_xlfn.IFS(
 K2024&lt;=50,"≤50",
 AND(K2024&gt;=51,K2024&lt;=100),"51–100",
 AND(K2024&gt;=101,K2024&lt;=250),"101–250",
 AND(K2024&gt;=251,K2024&lt;=500),"251–500",
 AND(K2024&gt;=501,K2024&lt;=1000),"501–1000",
 K2024&gt;=1001,"1001+"
)</f>
        <v>101–250</v>
      </c>
    </row>
    <row r="2025" spans="1:12" x14ac:dyDescent="0.3">
      <c r="A2025" t="s">
        <v>3907</v>
      </c>
      <c r="B2025" t="s">
        <v>13</v>
      </c>
      <c r="C2025" t="s">
        <v>5777</v>
      </c>
      <c r="D2025" t="s">
        <v>3908</v>
      </c>
      <c r="E2025" t="s">
        <v>15</v>
      </c>
      <c r="F2025" t="s">
        <v>54</v>
      </c>
      <c r="G2025" t="s">
        <v>3909</v>
      </c>
      <c r="J2025" t="s">
        <v>5737</v>
      </c>
      <c r="K2025">
        <v>120</v>
      </c>
      <c r="L2025" t="str" cm="1">
        <f t="array" ref="L2025">_xlfn.IFS(
 K2025&lt;=50,"≤50",
 AND(K2025&gt;=51,K2025&lt;=100),"51–100",
 AND(K2025&gt;=101,K2025&lt;=250),"101–250",
 AND(K2025&gt;=251,K2025&lt;=500),"251–500",
 AND(K2025&gt;=501,K2025&lt;=1000),"501–1000",
 K2025&gt;=1001,"1001+"
)</f>
        <v>101–250</v>
      </c>
    </row>
    <row r="2026" spans="1:12" x14ac:dyDescent="0.3">
      <c r="A2026" t="s">
        <v>3910</v>
      </c>
      <c r="B2026" t="s">
        <v>9</v>
      </c>
      <c r="C2026" t="s">
        <v>5780</v>
      </c>
      <c r="D2026" t="s">
        <v>3911</v>
      </c>
      <c r="E2026" t="s">
        <v>15</v>
      </c>
      <c r="F2026" t="s">
        <v>20</v>
      </c>
      <c r="G2026" t="s">
        <v>3912</v>
      </c>
      <c r="J2026" t="s">
        <v>5746</v>
      </c>
      <c r="K2026">
        <v>120</v>
      </c>
      <c r="L2026" t="str" cm="1">
        <f t="array" ref="L2026">_xlfn.IFS(
 K2026&lt;=50,"≤50",
 AND(K2026&gt;=51,K2026&lt;=100),"51–100",
 AND(K2026&gt;=101,K2026&lt;=250),"101–250",
 AND(K2026&gt;=251,K2026&lt;=500),"251–500",
 AND(K2026&gt;=501,K2026&lt;=1000),"501–1000",
 K2026&gt;=1001,"1001+"
)</f>
        <v>101–250</v>
      </c>
    </row>
    <row r="2027" spans="1:12" x14ac:dyDescent="0.3">
      <c r="A2027" t="s">
        <v>3913</v>
      </c>
      <c r="B2027" t="s">
        <v>11</v>
      </c>
      <c r="C2027" t="s">
        <v>5776</v>
      </c>
      <c r="F2027" t="s">
        <v>5770</v>
      </c>
      <c r="J2027" t="s">
        <v>5738</v>
      </c>
      <c r="K2027">
        <v>120</v>
      </c>
      <c r="L2027" t="str" cm="1">
        <f t="array" ref="L2027">_xlfn.IFS(
 K2027&lt;=50,"≤50",
 AND(K2027&gt;=51,K2027&lt;=100),"51–100",
 AND(K2027&gt;=101,K2027&lt;=250),"101–250",
 AND(K2027&gt;=251,K2027&lt;=500),"251–500",
 AND(K2027&gt;=501,K2027&lt;=1000),"501–1000",
 K2027&gt;=1001,"1001+"
)</f>
        <v>101–250</v>
      </c>
    </row>
    <row r="2028" spans="1:12" x14ac:dyDescent="0.3">
      <c r="A2028" t="s">
        <v>3914</v>
      </c>
      <c r="B2028" t="s">
        <v>9</v>
      </c>
      <c r="C2028" t="s">
        <v>5780</v>
      </c>
      <c r="D2028" t="s">
        <v>3915</v>
      </c>
      <c r="E2028" t="s">
        <v>15</v>
      </c>
      <c r="F2028" t="s">
        <v>54</v>
      </c>
      <c r="G2028" t="s">
        <v>918</v>
      </c>
      <c r="J2028" t="s">
        <v>5738</v>
      </c>
      <c r="K2028">
        <v>120</v>
      </c>
      <c r="L2028" t="str" cm="1">
        <f t="array" ref="L2028">_xlfn.IFS(
 K2028&lt;=50,"≤50",
 AND(K2028&gt;=51,K2028&lt;=100),"51–100",
 AND(K2028&gt;=101,K2028&lt;=250),"101–250",
 AND(K2028&gt;=251,K2028&lt;=500),"251–500",
 AND(K2028&gt;=501,K2028&lt;=1000),"501–1000",
 K2028&gt;=1001,"1001+"
)</f>
        <v>101–250</v>
      </c>
    </row>
    <row r="2029" spans="1:12" x14ac:dyDescent="0.3">
      <c r="A2029" t="s">
        <v>3916</v>
      </c>
      <c r="B2029" t="s">
        <v>9</v>
      </c>
      <c r="C2029" t="s">
        <v>5780</v>
      </c>
      <c r="D2029" t="s">
        <v>3917</v>
      </c>
      <c r="E2029" t="s">
        <v>15</v>
      </c>
      <c r="F2029" t="s">
        <v>20</v>
      </c>
      <c r="G2029" t="s">
        <v>3918</v>
      </c>
      <c r="J2029" t="s">
        <v>5753</v>
      </c>
      <c r="K2029">
        <v>120</v>
      </c>
      <c r="L2029" t="str" cm="1">
        <f t="array" ref="L2029">_xlfn.IFS(
 K2029&lt;=50,"≤50",
 AND(K2029&gt;=51,K2029&lt;=100),"51–100",
 AND(K2029&gt;=101,K2029&lt;=250),"101–250",
 AND(K2029&gt;=251,K2029&lt;=500),"251–500",
 AND(K2029&gt;=501,K2029&lt;=1000),"501–1000",
 K2029&gt;=1001,"1001+"
)</f>
        <v>101–250</v>
      </c>
    </row>
    <row r="2030" spans="1:12" x14ac:dyDescent="0.3">
      <c r="A2030" t="s">
        <v>3919</v>
      </c>
      <c r="B2030" t="s">
        <v>13</v>
      </c>
      <c r="C2030" t="s">
        <v>5777</v>
      </c>
      <c r="D2030" t="s">
        <v>3920</v>
      </c>
      <c r="E2030" t="s">
        <v>15</v>
      </c>
      <c r="F2030" t="s">
        <v>20</v>
      </c>
      <c r="G2030" t="s">
        <v>425</v>
      </c>
      <c r="J2030" t="s">
        <v>5748</v>
      </c>
      <c r="K2030">
        <v>120</v>
      </c>
      <c r="L2030" t="str" cm="1">
        <f t="array" ref="L2030">_xlfn.IFS(
 K2030&lt;=50,"≤50",
 AND(K2030&gt;=51,K2030&lt;=100),"51–100",
 AND(K2030&gt;=101,K2030&lt;=250),"101–250",
 AND(K2030&gt;=251,K2030&lt;=500),"251–500",
 AND(K2030&gt;=501,K2030&lt;=1000),"501–1000",
 K2030&gt;=1001,"1001+"
)</f>
        <v>101–250</v>
      </c>
    </row>
    <row r="2031" spans="1:12" x14ac:dyDescent="0.3">
      <c r="A2031" t="s">
        <v>3921</v>
      </c>
      <c r="B2031" t="s">
        <v>9</v>
      </c>
      <c r="C2031" t="s">
        <v>5780</v>
      </c>
      <c r="D2031" t="s">
        <v>3922</v>
      </c>
      <c r="E2031" t="s">
        <v>15</v>
      </c>
      <c r="F2031" t="s">
        <v>16</v>
      </c>
      <c r="G2031" t="s">
        <v>3923</v>
      </c>
      <c r="J2031" t="s">
        <v>5738</v>
      </c>
      <c r="K2031">
        <v>120</v>
      </c>
      <c r="L2031" t="str" cm="1">
        <f t="array" ref="L2031">_xlfn.IFS(
 K2031&lt;=50,"≤50",
 AND(K2031&gt;=51,K2031&lt;=100),"51–100",
 AND(K2031&gt;=101,K2031&lt;=250),"101–250",
 AND(K2031&gt;=251,K2031&lt;=500),"251–500",
 AND(K2031&gt;=501,K2031&lt;=1000),"501–1000",
 K2031&gt;=1001,"1001+"
)</f>
        <v>101–250</v>
      </c>
    </row>
    <row r="2032" spans="1:12" x14ac:dyDescent="0.3">
      <c r="A2032" t="s">
        <v>3924</v>
      </c>
      <c r="B2032" t="s">
        <v>9</v>
      </c>
      <c r="C2032" t="s">
        <v>5780</v>
      </c>
      <c r="D2032" t="s">
        <v>3925</v>
      </c>
      <c r="E2032" t="s">
        <v>15</v>
      </c>
      <c r="F2032" t="s">
        <v>54</v>
      </c>
      <c r="G2032" t="s">
        <v>3926</v>
      </c>
      <c r="J2032" t="s">
        <v>5738</v>
      </c>
      <c r="K2032">
        <v>120</v>
      </c>
      <c r="L2032" t="str" cm="1">
        <f t="array" ref="L2032">_xlfn.IFS(
 K2032&lt;=50,"≤50",
 AND(K2032&gt;=51,K2032&lt;=100),"51–100",
 AND(K2032&gt;=101,K2032&lt;=250),"101–250",
 AND(K2032&gt;=251,K2032&lt;=500),"251–500",
 AND(K2032&gt;=501,K2032&lt;=1000),"501–1000",
 K2032&gt;=1001,"1001+"
)</f>
        <v>101–250</v>
      </c>
    </row>
    <row r="2033" spans="1:12" x14ac:dyDescent="0.3">
      <c r="A2033" t="s">
        <v>3927</v>
      </c>
      <c r="B2033" t="s">
        <v>11</v>
      </c>
      <c r="C2033" t="s">
        <v>5776</v>
      </c>
      <c r="F2033" t="s">
        <v>5770</v>
      </c>
      <c r="J2033" t="s">
        <v>5737</v>
      </c>
      <c r="K2033">
        <v>120</v>
      </c>
      <c r="L2033" t="str" cm="1">
        <f t="array" ref="L2033">_xlfn.IFS(
 K2033&lt;=50,"≤50",
 AND(K2033&gt;=51,K2033&lt;=100),"51–100",
 AND(K2033&gt;=101,K2033&lt;=250),"101–250",
 AND(K2033&gt;=251,K2033&lt;=500),"251–500",
 AND(K2033&gt;=501,K2033&lt;=1000),"501–1000",
 K2033&gt;=1001,"1001+"
)</f>
        <v>101–250</v>
      </c>
    </row>
    <row r="2034" spans="1:12" x14ac:dyDescent="0.3">
      <c r="A2034" t="s">
        <v>3928</v>
      </c>
      <c r="B2034" t="s">
        <v>9</v>
      </c>
      <c r="C2034" t="s">
        <v>5780</v>
      </c>
      <c r="D2034" t="s">
        <v>28</v>
      </c>
      <c r="E2034" t="s">
        <v>15</v>
      </c>
      <c r="F2034" t="s">
        <v>5770</v>
      </c>
      <c r="J2034" t="s">
        <v>5737</v>
      </c>
      <c r="K2034">
        <v>120</v>
      </c>
      <c r="L2034" t="str" cm="1">
        <f t="array" ref="L2034">_xlfn.IFS(
 K2034&lt;=50,"≤50",
 AND(K2034&gt;=51,K2034&lt;=100),"51–100",
 AND(K2034&gt;=101,K2034&lt;=250),"101–250",
 AND(K2034&gt;=251,K2034&lt;=500),"251–500",
 AND(K2034&gt;=501,K2034&lt;=1000),"501–1000",
 K2034&gt;=1001,"1001+"
)</f>
        <v>101–250</v>
      </c>
    </row>
    <row r="2035" spans="1:12" x14ac:dyDescent="0.3">
      <c r="A2035" t="s">
        <v>3929</v>
      </c>
      <c r="B2035" t="s">
        <v>11</v>
      </c>
      <c r="C2035" t="s">
        <v>5776</v>
      </c>
      <c r="F2035" t="s">
        <v>5770</v>
      </c>
      <c r="J2035" t="s">
        <v>5742</v>
      </c>
      <c r="K2035">
        <v>120</v>
      </c>
      <c r="L2035" t="str" cm="1">
        <f t="array" ref="L2035">_xlfn.IFS(
 K2035&lt;=50,"≤50",
 AND(K2035&gt;=51,K2035&lt;=100),"51–100",
 AND(K2035&gt;=101,K2035&lt;=250),"101–250",
 AND(K2035&gt;=251,K2035&lt;=500),"251–500",
 AND(K2035&gt;=501,K2035&lt;=1000),"501–1000",
 K2035&gt;=1001,"1001+"
)</f>
        <v>101–250</v>
      </c>
    </row>
    <row r="2036" spans="1:12" x14ac:dyDescent="0.3">
      <c r="A2036" t="s">
        <v>3930</v>
      </c>
      <c r="B2036" t="s">
        <v>9</v>
      </c>
      <c r="C2036" t="s">
        <v>5780</v>
      </c>
      <c r="D2036" t="s">
        <v>3931</v>
      </c>
      <c r="F2036" t="s">
        <v>16</v>
      </c>
      <c r="G2036" t="s">
        <v>88</v>
      </c>
      <c r="J2036" t="s">
        <v>5741</v>
      </c>
      <c r="K2036">
        <v>120</v>
      </c>
      <c r="L2036" t="str" cm="1">
        <f t="array" ref="L2036">_xlfn.IFS(
 K2036&lt;=50,"≤50",
 AND(K2036&gt;=51,K2036&lt;=100),"51–100",
 AND(K2036&gt;=101,K2036&lt;=250),"101–250",
 AND(K2036&gt;=251,K2036&lt;=500),"251–500",
 AND(K2036&gt;=501,K2036&lt;=1000),"501–1000",
 K2036&gt;=1001,"1001+"
)</f>
        <v>101–250</v>
      </c>
    </row>
    <row r="2037" spans="1:12" x14ac:dyDescent="0.3">
      <c r="A2037" t="s">
        <v>3932</v>
      </c>
      <c r="B2037" t="s">
        <v>9</v>
      </c>
      <c r="C2037" t="s">
        <v>5780</v>
      </c>
      <c r="D2037" t="s">
        <v>3933</v>
      </c>
      <c r="E2037" t="s">
        <v>15</v>
      </c>
      <c r="F2037" t="s">
        <v>20</v>
      </c>
      <c r="G2037" t="s">
        <v>3934</v>
      </c>
      <c r="J2037" t="s">
        <v>5744</v>
      </c>
      <c r="K2037">
        <v>124</v>
      </c>
      <c r="L2037" t="str" cm="1">
        <f t="array" ref="L2037">_xlfn.IFS(
 K2037&lt;=50,"≤50",
 AND(K2037&gt;=51,K2037&lt;=100),"51–100",
 AND(K2037&gt;=101,K2037&lt;=250),"101–250",
 AND(K2037&gt;=251,K2037&lt;=500),"251–500",
 AND(K2037&gt;=501,K2037&lt;=1000),"501–1000",
 K2037&gt;=1001,"1001+"
)</f>
        <v>101–250</v>
      </c>
    </row>
    <row r="2038" spans="1:12" x14ac:dyDescent="0.3">
      <c r="A2038" t="s">
        <v>3935</v>
      </c>
      <c r="B2038" t="s">
        <v>9</v>
      </c>
      <c r="C2038" t="s">
        <v>5780</v>
      </c>
      <c r="D2038" t="s">
        <v>3936</v>
      </c>
      <c r="F2038" t="s">
        <v>5770</v>
      </c>
      <c r="J2038" t="s">
        <v>5754</v>
      </c>
      <c r="K2038">
        <v>124</v>
      </c>
      <c r="L2038" t="str" cm="1">
        <f t="array" ref="L2038">_xlfn.IFS(
 K2038&lt;=50,"≤50",
 AND(K2038&gt;=51,K2038&lt;=100),"51–100",
 AND(K2038&gt;=101,K2038&lt;=250),"101–250",
 AND(K2038&gt;=251,K2038&lt;=500),"251–500",
 AND(K2038&gt;=501,K2038&lt;=1000),"501–1000",
 K2038&gt;=1001,"1001+"
)</f>
        <v>101–250</v>
      </c>
    </row>
    <row r="2039" spans="1:12" x14ac:dyDescent="0.3">
      <c r="A2039" t="s">
        <v>3937</v>
      </c>
      <c r="B2039" t="s">
        <v>9</v>
      </c>
      <c r="C2039" t="s">
        <v>5780</v>
      </c>
      <c r="D2039" t="s">
        <v>3938</v>
      </c>
      <c r="F2039" t="s">
        <v>16</v>
      </c>
      <c r="G2039" t="s">
        <v>3939</v>
      </c>
      <c r="J2039" t="s">
        <v>5737</v>
      </c>
      <c r="K2039">
        <v>125</v>
      </c>
      <c r="L2039" t="str" cm="1">
        <f t="array" ref="L2039">_xlfn.IFS(
 K2039&lt;=50,"≤50",
 AND(K2039&gt;=51,K2039&lt;=100),"51–100",
 AND(K2039&gt;=101,K2039&lt;=250),"101–250",
 AND(K2039&gt;=251,K2039&lt;=500),"251–500",
 AND(K2039&gt;=501,K2039&lt;=1000),"501–1000",
 K2039&gt;=1001,"1001+"
)</f>
        <v>101–250</v>
      </c>
    </row>
    <row r="2040" spans="1:12" x14ac:dyDescent="0.3">
      <c r="A2040" t="s">
        <v>3940</v>
      </c>
      <c r="B2040" t="s">
        <v>197</v>
      </c>
      <c r="C2040" t="s">
        <v>5774</v>
      </c>
      <c r="D2040" t="s">
        <v>707</v>
      </c>
      <c r="F2040" t="s">
        <v>5770</v>
      </c>
      <c r="J2040" t="s">
        <v>5737</v>
      </c>
      <c r="K2040">
        <v>125</v>
      </c>
      <c r="L2040" t="str" cm="1">
        <f t="array" ref="L2040">_xlfn.IFS(
 K2040&lt;=50,"≤50",
 AND(K2040&gt;=51,K2040&lt;=100),"51–100",
 AND(K2040&gt;=101,K2040&lt;=250),"101–250",
 AND(K2040&gt;=251,K2040&lt;=500),"251–500",
 AND(K2040&gt;=501,K2040&lt;=1000),"501–1000",
 K2040&gt;=1001,"1001+"
)</f>
        <v>101–250</v>
      </c>
    </row>
    <row r="2041" spans="1:12" x14ac:dyDescent="0.3">
      <c r="A2041" t="s">
        <v>3941</v>
      </c>
      <c r="B2041" t="s">
        <v>9</v>
      </c>
      <c r="C2041" t="s">
        <v>5780</v>
      </c>
      <c r="D2041" t="s">
        <v>2390</v>
      </c>
      <c r="F2041" t="s">
        <v>5770</v>
      </c>
      <c r="J2041" t="s">
        <v>5737</v>
      </c>
      <c r="K2041">
        <v>125</v>
      </c>
      <c r="L2041" t="str" cm="1">
        <f t="array" ref="L2041">_xlfn.IFS(
 K2041&lt;=50,"≤50",
 AND(K2041&gt;=51,K2041&lt;=100),"51–100",
 AND(K2041&gt;=101,K2041&lt;=250),"101–250",
 AND(K2041&gt;=251,K2041&lt;=500),"251–500",
 AND(K2041&gt;=501,K2041&lt;=1000),"501–1000",
 K2041&gt;=1001,"1001+"
)</f>
        <v>101–250</v>
      </c>
    </row>
    <row r="2042" spans="1:12" x14ac:dyDescent="0.3">
      <c r="A2042" t="s">
        <v>3942</v>
      </c>
      <c r="B2042" t="s">
        <v>9</v>
      </c>
      <c r="C2042" t="s">
        <v>5780</v>
      </c>
      <c r="D2042" t="s">
        <v>3943</v>
      </c>
      <c r="E2042" t="s">
        <v>15</v>
      </c>
      <c r="F2042" t="s">
        <v>16</v>
      </c>
      <c r="G2042" t="s">
        <v>3944</v>
      </c>
      <c r="J2042" t="s">
        <v>5737</v>
      </c>
      <c r="K2042">
        <v>125</v>
      </c>
      <c r="L2042" t="str" cm="1">
        <f t="array" ref="L2042">_xlfn.IFS(
 K2042&lt;=50,"≤50",
 AND(K2042&gt;=51,K2042&lt;=100),"51–100",
 AND(K2042&gt;=101,K2042&lt;=250),"101–250",
 AND(K2042&gt;=251,K2042&lt;=500),"251–500",
 AND(K2042&gt;=501,K2042&lt;=1000),"501–1000",
 K2042&gt;=1001,"1001+"
)</f>
        <v>101–250</v>
      </c>
    </row>
    <row r="2043" spans="1:12" x14ac:dyDescent="0.3">
      <c r="A2043" t="s">
        <v>3945</v>
      </c>
      <c r="B2043" t="s">
        <v>9</v>
      </c>
      <c r="C2043" t="s">
        <v>5780</v>
      </c>
      <c r="D2043" t="s">
        <v>28</v>
      </c>
      <c r="F2043" t="s">
        <v>5770</v>
      </c>
      <c r="J2043" t="s">
        <v>5737</v>
      </c>
      <c r="K2043">
        <v>125</v>
      </c>
      <c r="L2043" t="str" cm="1">
        <f t="array" ref="L2043">_xlfn.IFS(
 K2043&lt;=50,"≤50",
 AND(K2043&gt;=51,K2043&lt;=100),"51–100",
 AND(K2043&gt;=101,K2043&lt;=250),"101–250",
 AND(K2043&gt;=251,K2043&lt;=500),"251–500",
 AND(K2043&gt;=501,K2043&lt;=1000),"501–1000",
 K2043&gt;=1001,"1001+"
)</f>
        <v>101–250</v>
      </c>
    </row>
    <row r="2044" spans="1:12" x14ac:dyDescent="0.3">
      <c r="A2044" t="s">
        <v>3946</v>
      </c>
      <c r="B2044" t="s">
        <v>13</v>
      </c>
      <c r="C2044" t="s">
        <v>5777</v>
      </c>
      <c r="D2044" t="s">
        <v>3947</v>
      </c>
      <c r="F2044" t="s">
        <v>5770</v>
      </c>
      <c r="J2044" t="s">
        <v>5752</v>
      </c>
      <c r="K2044">
        <v>127</v>
      </c>
      <c r="L2044" t="str" cm="1">
        <f t="array" ref="L2044">_xlfn.IFS(
 K2044&lt;=50,"≤50",
 AND(K2044&gt;=51,K2044&lt;=100),"51–100",
 AND(K2044&gt;=101,K2044&lt;=250),"101–250",
 AND(K2044&gt;=251,K2044&lt;=500),"251–500",
 AND(K2044&gt;=501,K2044&lt;=1000),"501–1000",
 K2044&gt;=1001,"1001+"
)</f>
        <v>101–250</v>
      </c>
    </row>
    <row r="2045" spans="1:12" x14ac:dyDescent="0.3">
      <c r="A2045" t="s">
        <v>3948</v>
      </c>
      <c r="B2045" t="s">
        <v>9</v>
      </c>
      <c r="C2045" t="s">
        <v>5780</v>
      </c>
      <c r="D2045" t="s">
        <v>28</v>
      </c>
      <c r="F2045" t="s">
        <v>5770</v>
      </c>
      <c r="J2045" t="s">
        <v>5737</v>
      </c>
      <c r="K2045">
        <v>130</v>
      </c>
      <c r="L2045" t="str" cm="1">
        <f t="array" ref="L2045">_xlfn.IFS(
 K2045&lt;=50,"≤50",
 AND(K2045&gt;=51,K2045&lt;=100),"51–100",
 AND(K2045&gt;=101,K2045&lt;=250),"101–250",
 AND(K2045&gt;=251,K2045&lt;=500),"251–500",
 AND(K2045&gt;=501,K2045&lt;=1000),"501–1000",
 K2045&gt;=1001,"1001+"
)</f>
        <v>101–250</v>
      </c>
    </row>
    <row r="2046" spans="1:12" x14ac:dyDescent="0.3">
      <c r="A2046" t="s">
        <v>3949</v>
      </c>
      <c r="B2046" t="s">
        <v>9</v>
      </c>
      <c r="C2046" t="s">
        <v>5780</v>
      </c>
      <c r="D2046" t="s">
        <v>3950</v>
      </c>
      <c r="E2046" t="s">
        <v>15</v>
      </c>
      <c r="F2046" t="s">
        <v>54</v>
      </c>
      <c r="G2046" t="s">
        <v>3951</v>
      </c>
      <c r="J2046" t="s">
        <v>5737</v>
      </c>
      <c r="K2046">
        <v>130</v>
      </c>
      <c r="L2046" t="str" cm="1">
        <f t="array" ref="L2046">_xlfn.IFS(
 K2046&lt;=50,"≤50",
 AND(K2046&gt;=51,K2046&lt;=100),"51–100",
 AND(K2046&gt;=101,K2046&lt;=250),"101–250",
 AND(K2046&gt;=251,K2046&lt;=500),"251–500",
 AND(K2046&gt;=501,K2046&lt;=1000),"501–1000",
 K2046&gt;=1001,"1001+"
)</f>
        <v>101–250</v>
      </c>
    </row>
    <row r="2047" spans="1:12" x14ac:dyDescent="0.3">
      <c r="A2047" t="s">
        <v>3952</v>
      </c>
      <c r="B2047" t="s">
        <v>13</v>
      </c>
      <c r="C2047" t="s">
        <v>5777</v>
      </c>
      <c r="D2047" t="s">
        <v>3953</v>
      </c>
      <c r="F2047" t="s">
        <v>5770</v>
      </c>
      <c r="J2047" t="s">
        <v>5737</v>
      </c>
      <c r="K2047">
        <v>130</v>
      </c>
      <c r="L2047" t="str" cm="1">
        <f t="array" ref="L2047">_xlfn.IFS(
 K2047&lt;=50,"≤50",
 AND(K2047&gt;=51,K2047&lt;=100),"51–100",
 AND(K2047&gt;=101,K2047&lt;=250),"101–250",
 AND(K2047&gt;=251,K2047&lt;=500),"251–500",
 AND(K2047&gt;=501,K2047&lt;=1000),"501–1000",
 K2047&gt;=1001,"1001+"
)</f>
        <v>101–250</v>
      </c>
    </row>
    <row r="2048" spans="1:12" x14ac:dyDescent="0.3">
      <c r="A2048" t="s">
        <v>3954</v>
      </c>
      <c r="B2048" t="s">
        <v>9</v>
      </c>
      <c r="C2048" t="s">
        <v>5780</v>
      </c>
      <c r="D2048" t="s">
        <v>3955</v>
      </c>
      <c r="F2048" t="s">
        <v>20</v>
      </c>
      <c r="G2048" t="s">
        <v>3956</v>
      </c>
      <c r="J2048" t="s">
        <v>5737</v>
      </c>
      <c r="K2048">
        <v>130</v>
      </c>
      <c r="L2048" t="str" cm="1">
        <f t="array" ref="L2048">_xlfn.IFS(
 K2048&lt;=50,"≤50",
 AND(K2048&gt;=51,K2048&lt;=100),"51–100",
 AND(K2048&gt;=101,K2048&lt;=250),"101–250",
 AND(K2048&gt;=251,K2048&lt;=500),"251–500",
 AND(K2048&gt;=501,K2048&lt;=1000),"501–1000",
 K2048&gt;=1001,"1001+"
)</f>
        <v>101–250</v>
      </c>
    </row>
    <row r="2049" spans="1:12" x14ac:dyDescent="0.3">
      <c r="A2049" t="s">
        <v>3957</v>
      </c>
      <c r="B2049" t="s">
        <v>13</v>
      </c>
      <c r="C2049" t="s">
        <v>5777</v>
      </c>
      <c r="D2049" t="s">
        <v>3958</v>
      </c>
      <c r="F2049" t="s">
        <v>5770</v>
      </c>
      <c r="J2049" t="s">
        <v>5738</v>
      </c>
      <c r="K2049">
        <v>130</v>
      </c>
      <c r="L2049" t="str" cm="1">
        <f t="array" ref="L2049">_xlfn.IFS(
 K2049&lt;=50,"≤50",
 AND(K2049&gt;=51,K2049&lt;=100),"51–100",
 AND(K2049&gt;=101,K2049&lt;=250),"101–250",
 AND(K2049&gt;=251,K2049&lt;=500),"251–500",
 AND(K2049&gt;=501,K2049&lt;=1000),"501–1000",
 K2049&gt;=1001,"1001+"
)</f>
        <v>101–250</v>
      </c>
    </row>
    <row r="2050" spans="1:12" x14ac:dyDescent="0.3">
      <c r="A2050" t="s">
        <v>3959</v>
      </c>
      <c r="B2050" t="s">
        <v>9</v>
      </c>
      <c r="C2050" t="s">
        <v>5780</v>
      </c>
      <c r="D2050" t="s">
        <v>3960</v>
      </c>
      <c r="E2050" t="s">
        <v>15</v>
      </c>
      <c r="F2050" t="s">
        <v>5770</v>
      </c>
      <c r="J2050" t="s">
        <v>5737</v>
      </c>
      <c r="K2050">
        <v>130</v>
      </c>
      <c r="L2050" t="str" cm="1">
        <f t="array" ref="L2050">_xlfn.IFS(
 K2050&lt;=50,"≤50",
 AND(K2050&gt;=51,K2050&lt;=100),"51–100",
 AND(K2050&gt;=101,K2050&lt;=250),"101–250",
 AND(K2050&gt;=251,K2050&lt;=500),"251–500",
 AND(K2050&gt;=501,K2050&lt;=1000),"501–1000",
 K2050&gt;=1001,"1001+"
)</f>
        <v>101–250</v>
      </c>
    </row>
    <row r="2051" spans="1:12" x14ac:dyDescent="0.3">
      <c r="A2051" t="s">
        <v>3961</v>
      </c>
      <c r="B2051" t="s">
        <v>13</v>
      </c>
      <c r="C2051" t="s">
        <v>5777</v>
      </c>
      <c r="D2051" t="s">
        <v>3962</v>
      </c>
      <c r="E2051" t="s">
        <v>15</v>
      </c>
      <c r="F2051" t="s">
        <v>20</v>
      </c>
      <c r="G2051" t="s">
        <v>21</v>
      </c>
      <c r="J2051" t="s">
        <v>5755</v>
      </c>
      <c r="K2051">
        <v>130</v>
      </c>
      <c r="L2051" t="str" cm="1">
        <f t="array" ref="L2051">_xlfn.IFS(
 K2051&lt;=50,"≤50",
 AND(K2051&gt;=51,K2051&lt;=100),"51–100",
 AND(K2051&gt;=101,K2051&lt;=250),"101–250",
 AND(K2051&gt;=251,K2051&lt;=500),"251–500",
 AND(K2051&gt;=501,K2051&lt;=1000),"501–1000",
 K2051&gt;=1001,"1001+"
)</f>
        <v>101–250</v>
      </c>
    </row>
    <row r="2052" spans="1:12" x14ac:dyDescent="0.3">
      <c r="A2052" t="s">
        <v>3963</v>
      </c>
      <c r="B2052" t="s">
        <v>197</v>
      </c>
      <c r="C2052" t="s">
        <v>5774</v>
      </c>
      <c r="D2052" t="s">
        <v>707</v>
      </c>
      <c r="F2052" t="s">
        <v>20</v>
      </c>
      <c r="G2052" t="s">
        <v>21</v>
      </c>
      <c r="J2052" t="s">
        <v>5762</v>
      </c>
      <c r="K2052">
        <v>130</v>
      </c>
      <c r="L2052" t="str" cm="1">
        <f t="array" ref="L2052">_xlfn.IFS(
 K2052&lt;=50,"≤50",
 AND(K2052&gt;=51,K2052&lt;=100),"51–100",
 AND(K2052&gt;=101,K2052&lt;=250),"101–250",
 AND(K2052&gt;=251,K2052&lt;=500),"251–500",
 AND(K2052&gt;=501,K2052&lt;=1000),"501–1000",
 K2052&gt;=1001,"1001+"
)</f>
        <v>101–250</v>
      </c>
    </row>
    <row r="2053" spans="1:12" x14ac:dyDescent="0.3">
      <c r="A2053" t="s">
        <v>3964</v>
      </c>
      <c r="B2053" t="s">
        <v>9</v>
      </c>
      <c r="C2053" t="s">
        <v>5780</v>
      </c>
      <c r="D2053" t="s">
        <v>3965</v>
      </c>
      <c r="E2053" t="s">
        <v>15</v>
      </c>
      <c r="F2053" t="s">
        <v>20</v>
      </c>
      <c r="G2053" t="s">
        <v>3966</v>
      </c>
      <c r="J2053" t="s">
        <v>5738</v>
      </c>
      <c r="K2053">
        <v>130</v>
      </c>
      <c r="L2053" t="str" cm="1">
        <f t="array" ref="L2053">_xlfn.IFS(
 K2053&lt;=50,"≤50",
 AND(K2053&gt;=51,K2053&lt;=100),"51–100",
 AND(K2053&gt;=101,K2053&lt;=250),"101–250",
 AND(K2053&gt;=251,K2053&lt;=500),"251–500",
 AND(K2053&gt;=501,K2053&lt;=1000),"501–1000",
 K2053&gt;=1001,"1001+"
)</f>
        <v>101–250</v>
      </c>
    </row>
    <row r="2054" spans="1:12" x14ac:dyDescent="0.3">
      <c r="A2054" t="s">
        <v>3967</v>
      </c>
      <c r="B2054" t="s">
        <v>9</v>
      </c>
      <c r="C2054" t="s">
        <v>5780</v>
      </c>
      <c r="D2054" t="s">
        <v>3968</v>
      </c>
      <c r="F2054" t="s">
        <v>20</v>
      </c>
      <c r="G2054" t="s">
        <v>3969</v>
      </c>
      <c r="J2054" t="s">
        <v>5737</v>
      </c>
      <c r="K2054">
        <v>130</v>
      </c>
      <c r="L2054" t="str" cm="1">
        <f t="array" ref="L2054">_xlfn.IFS(
 K2054&lt;=50,"≤50",
 AND(K2054&gt;=51,K2054&lt;=100),"51–100",
 AND(K2054&gt;=101,K2054&lt;=250),"101–250",
 AND(K2054&gt;=251,K2054&lt;=500),"251–500",
 AND(K2054&gt;=501,K2054&lt;=1000),"501–1000",
 K2054&gt;=1001,"1001+"
)</f>
        <v>101–250</v>
      </c>
    </row>
    <row r="2055" spans="1:12" x14ac:dyDescent="0.3">
      <c r="A2055" t="s">
        <v>3970</v>
      </c>
      <c r="B2055" t="s">
        <v>11</v>
      </c>
      <c r="C2055" t="s">
        <v>5776</v>
      </c>
      <c r="F2055" t="s">
        <v>5770</v>
      </c>
      <c r="J2055" t="s">
        <v>5744</v>
      </c>
      <c r="K2055">
        <v>130</v>
      </c>
      <c r="L2055" t="str" cm="1">
        <f t="array" ref="L2055">_xlfn.IFS(
 K2055&lt;=50,"≤50",
 AND(K2055&gt;=51,K2055&lt;=100),"51–100",
 AND(K2055&gt;=101,K2055&lt;=250),"101–250",
 AND(K2055&gt;=251,K2055&lt;=500),"251–500",
 AND(K2055&gt;=501,K2055&lt;=1000),"501–1000",
 K2055&gt;=1001,"1001+"
)</f>
        <v>101–250</v>
      </c>
    </row>
    <row r="2056" spans="1:12" x14ac:dyDescent="0.3">
      <c r="A2056" t="s">
        <v>3971</v>
      </c>
      <c r="B2056" t="s">
        <v>9</v>
      </c>
      <c r="C2056" t="s">
        <v>5780</v>
      </c>
      <c r="D2056" t="e">
        <f>-v=SPI1 include:spf.protection.outlook.com -all</f>
        <v>#NAME?</v>
      </c>
      <c r="F2056" t="s">
        <v>20</v>
      </c>
      <c r="G2056" t="s">
        <v>21</v>
      </c>
      <c r="J2056" t="s">
        <v>5737</v>
      </c>
      <c r="K2056">
        <v>130</v>
      </c>
      <c r="L2056" t="str" cm="1">
        <f t="array" ref="L2056">_xlfn.IFS(
 K2056&lt;=50,"≤50",
 AND(K2056&gt;=51,K2056&lt;=100),"51–100",
 AND(K2056&gt;=101,K2056&lt;=250),"101–250",
 AND(K2056&gt;=251,K2056&lt;=500),"251–500",
 AND(K2056&gt;=501,K2056&lt;=1000),"501–1000",
 K2056&gt;=1001,"1001+"
)</f>
        <v>101–250</v>
      </c>
    </row>
    <row r="2057" spans="1:12" x14ac:dyDescent="0.3">
      <c r="A2057" t="s">
        <v>3972</v>
      </c>
      <c r="B2057" t="s">
        <v>9</v>
      </c>
      <c r="C2057" t="s">
        <v>5780</v>
      </c>
      <c r="D2057" t="s">
        <v>3973</v>
      </c>
      <c r="E2057" t="s">
        <v>15</v>
      </c>
      <c r="F2057" t="s">
        <v>20</v>
      </c>
      <c r="G2057" t="s">
        <v>3974</v>
      </c>
      <c r="J2057" t="s">
        <v>5744</v>
      </c>
      <c r="K2057">
        <v>130</v>
      </c>
      <c r="L2057" t="str" cm="1">
        <f t="array" ref="L2057">_xlfn.IFS(
 K2057&lt;=50,"≤50",
 AND(K2057&gt;=51,K2057&lt;=100),"51–100",
 AND(K2057&gt;=101,K2057&lt;=250),"101–250",
 AND(K2057&gt;=251,K2057&lt;=500),"251–500",
 AND(K2057&gt;=501,K2057&lt;=1000),"501–1000",
 K2057&gt;=1001,"1001+"
)</f>
        <v>101–250</v>
      </c>
    </row>
    <row r="2058" spans="1:12" x14ac:dyDescent="0.3">
      <c r="A2058" t="s">
        <v>3975</v>
      </c>
      <c r="B2058" t="s">
        <v>11</v>
      </c>
      <c r="C2058" t="s">
        <v>5776</v>
      </c>
      <c r="F2058" t="s">
        <v>5770</v>
      </c>
      <c r="J2058" t="s">
        <v>5737</v>
      </c>
      <c r="K2058">
        <v>130</v>
      </c>
      <c r="L2058" t="str" cm="1">
        <f t="array" ref="L2058">_xlfn.IFS(
 K2058&lt;=50,"≤50",
 AND(K2058&gt;=51,K2058&lt;=100),"51–100",
 AND(K2058&gt;=101,K2058&lt;=250),"101–250",
 AND(K2058&gt;=251,K2058&lt;=500),"251–500",
 AND(K2058&gt;=501,K2058&lt;=1000),"501–1000",
 K2058&gt;=1001,"1001+"
)</f>
        <v>101–250</v>
      </c>
    </row>
    <row r="2059" spans="1:12" x14ac:dyDescent="0.3">
      <c r="A2059" t="s">
        <v>3976</v>
      </c>
      <c r="B2059" t="s">
        <v>197</v>
      </c>
      <c r="C2059" t="s">
        <v>5774</v>
      </c>
      <c r="D2059" t="s">
        <v>3977</v>
      </c>
      <c r="E2059" t="s">
        <v>15</v>
      </c>
      <c r="F2059" t="s">
        <v>20</v>
      </c>
      <c r="G2059" t="s">
        <v>3978</v>
      </c>
      <c r="J2059" t="s">
        <v>5744</v>
      </c>
      <c r="K2059">
        <v>130</v>
      </c>
      <c r="L2059" t="str" cm="1">
        <f t="array" ref="L2059">_xlfn.IFS(
 K2059&lt;=50,"≤50",
 AND(K2059&gt;=51,K2059&lt;=100),"51–100",
 AND(K2059&gt;=101,K2059&lt;=250),"101–250",
 AND(K2059&gt;=251,K2059&lt;=500),"251–500",
 AND(K2059&gt;=501,K2059&lt;=1000),"501–1000",
 K2059&gt;=1001,"1001+"
)</f>
        <v>101–250</v>
      </c>
    </row>
    <row r="2060" spans="1:12" x14ac:dyDescent="0.3">
      <c r="A2060" t="s">
        <v>3979</v>
      </c>
      <c r="B2060" t="s">
        <v>9</v>
      </c>
      <c r="C2060" t="s">
        <v>5780</v>
      </c>
      <c r="D2060" t="s">
        <v>3980</v>
      </c>
      <c r="F2060" t="s">
        <v>5770</v>
      </c>
      <c r="J2060" t="s">
        <v>5737</v>
      </c>
      <c r="K2060">
        <v>130</v>
      </c>
      <c r="L2060" t="str" cm="1">
        <f t="array" ref="L2060">_xlfn.IFS(
 K2060&lt;=50,"≤50",
 AND(K2060&gt;=51,K2060&lt;=100),"51–100",
 AND(K2060&gt;=101,K2060&lt;=250),"101–250",
 AND(K2060&gt;=251,K2060&lt;=500),"251–500",
 AND(K2060&gt;=501,K2060&lt;=1000),"501–1000",
 K2060&gt;=1001,"1001+"
)</f>
        <v>101–250</v>
      </c>
    </row>
    <row r="2061" spans="1:12" x14ac:dyDescent="0.3">
      <c r="A2061" t="s">
        <v>3981</v>
      </c>
      <c r="B2061" t="s">
        <v>13</v>
      </c>
      <c r="C2061" t="s">
        <v>5777</v>
      </c>
      <c r="D2061" t="s">
        <v>3982</v>
      </c>
      <c r="E2061" t="s">
        <v>15</v>
      </c>
      <c r="F2061" t="s">
        <v>16</v>
      </c>
      <c r="G2061" t="s">
        <v>3983</v>
      </c>
      <c r="J2061" t="s">
        <v>5737</v>
      </c>
      <c r="K2061">
        <v>130</v>
      </c>
      <c r="L2061" t="str" cm="1">
        <f t="array" ref="L2061">_xlfn.IFS(
 K2061&lt;=50,"≤50",
 AND(K2061&gt;=51,K2061&lt;=100),"51–100",
 AND(K2061&gt;=101,K2061&lt;=250),"101–250",
 AND(K2061&gt;=251,K2061&lt;=500),"251–500",
 AND(K2061&gt;=501,K2061&lt;=1000),"501–1000",
 K2061&gt;=1001,"1001+"
)</f>
        <v>101–250</v>
      </c>
    </row>
    <row r="2062" spans="1:12" x14ac:dyDescent="0.3">
      <c r="A2062" t="s">
        <v>3984</v>
      </c>
      <c r="B2062" t="s">
        <v>11</v>
      </c>
      <c r="C2062" t="s">
        <v>5776</v>
      </c>
      <c r="F2062" t="s">
        <v>5770</v>
      </c>
      <c r="J2062" t="s">
        <v>5762</v>
      </c>
      <c r="K2062">
        <v>130</v>
      </c>
      <c r="L2062" t="str" cm="1">
        <f t="array" ref="L2062">_xlfn.IFS(
 K2062&lt;=50,"≤50",
 AND(K2062&gt;=51,K2062&lt;=100),"51–100",
 AND(K2062&gt;=101,K2062&lt;=250),"101–250",
 AND(K2062&gt;=251,K2062&lt;=500),"251–500",
 AND(K2062&gt;=501,K2062&lt;=1000),"501–1000",
 K2062&gt;=1001,"1001+"
)</f>
        <v>101–250</v>
      </c>
    </row>
    <row r="2063" spans="1:12" x14ac:dyDescent="0.3">
      <c r="A2063" t="s">
        <v>3985</v>
      </c>
      <c r="B2063" t="s">
        <v>13</v>
      </c>
      <c r="C2063" t="s">
        <v>5777</v>
      </c>
      <c r="D2063" t="s">
        <v>3986</v>
      </c>
      <c r="E2063" t="s">
        <v>15</v>
      </c>
      <c r="F2063" t="s">
        <v>20</v>
      </c>
      <c r="G2063" t="s">
        <v>3987</v>
      </c>
      <c r="J2063" t="s">
        <v>5749</v>
      </c>
      <c r="K2063">
        <v>130</v>
      </c>
      <c r="L2063" t="str" cm="1">
        <f t="array" ref="L2063">_xlfn.IFS(
 K2063&lt;=50,"≤50",
 AND(K2063&gt;=51,K2063&lt;=100),"51–100",
 AND(K2063&gt;=101,K2063&lt;=250),"101–250",
 AND(K2063&gt;=251,K2063&lt;=500),"251–500",
 AND(K2063&gt;=501,K2063&lt;=1000),"501–1000",
 K2063&gt;=1001,"1001+"
)</f>
        <v>101–250</v>
      </c>
    </row>
    <row r="2064" spans="1:12" x14ac:dyDescent="0.3">
      <c r="A2064" t="s">
        <v>3988</v>
      </c>
      <c r="B2064" t="s">
        <v>13</v>
      </c>
      <c r="C2064" t="s">
        <v>5777</v>
      </c>
      <c r="D2064" t="s">
        <v>3989</v>
      </c>
      <c r="F2064" t="s">
        <v>20</v>
      </c>
      <c r="G2064" t="s">
        <v>3990</v>
      </c>
      <c r="J2064" t="s">
        <v>5737</v>
      </c>
      <c r="K2064">
        <v>130</v>
      </c>
      <c r="L2064" t="str" cm="1">
        <f t="array" ref="L2064">_xlfn.IFS(
 K2064&lt;=50,"≤50",
 AND(K2064&gt;=51,K2064&lt;=100),"51–100",
 AND(K2064&gt;=101,K2064&lt;=250),"101–250",
 AND(K2064&gt;=251,K2064&lt;=500),"251–500",
 AND(K2064&gt;=501,K2064&lt;=1000),"501–1000",
 K2064&gt;=1001,"1001+"
)</f>
        <v>101–250</v>
      </c>
    </row>
    <row r="2065" spans="1:12" x14ac:dyDescent="0.3">
      <c r="A2065" t="s">
        <v>3991</v>
      </c>
      <c r="B2065" t="s">
        <v>9</v>
      </c>
      <c r="C2065" t="s">
        <v>5780</v>
      </c>
      <c r="D2065" t="s">
        <v>3992</v>
      </c>
      <c r="F2065" t="s">
        <v>54</v>
      </c>
      <c r="G2065" t="s">
        <v>3993</v>
      </c>
      <c r="J2065" t="s">
        <v>5737</v>
      </c>
      <c r="K2065">
        <v>130</v>
      </c>
      <c r="L2065" t="str" cm="1">
        <f t="array" ref="L2065">_xlfn.IFS(
 K2065&lt;=50,"≤50",
 AND(K2065&gt;=51,K2065&lt;=100),"51–100",
 AND(K2065&gt;=101,K2065&lt;=250),"101–250",
 AND(K2065&gt;=251,K2065&lt;=500),"251–500",
 AND(K2065&gt;=501,K2065&lt;=1000),"501–1000",
 K2065&gt;=1001,"1001+"
)</f>
        <v>101–250</v>
      </c>
    </row>
    <row r="2066" spans="1:12" x14ac:dyDescent="0.3">
      <c r="A2066" t="s">
        <v>3994</v>
      </c>
      <c r="B2066" t="s">
        <v>9</v>
      </c>
      <c r="C2066" t="s">
        <v>5780</v>
      </c>
      <c r="D2066" t="s">
        <v>28</v>
      </c>
      <c r="E2066" t="s">
        <v>15</v>
      </c>
      <c r="F2066" t="s">
        <v>54</v>
      </c>
      <c r="G2066" t="s">
        <v>3995</v>
      </c>
      <c r="J2066" t="s">
        <v>5740</v>
      </c>
      <c r="K2066">
        <v>130</v>
      </c>
      <c r="L2066" t="str" cm="1">
        <f t="array" ref="L2066">_xlfn.IFS(
 K2066&lt;=50,"≤50",
 AND(K2066&gt;=51,K2066&lt;=100),"51–100",
 AND(K2066&gt;=101,K2066&lt;=250),"101–250",
 AND(K2066&gt;=251,K2066&lt;=500),"251–500",
 AND(K2066&gt;=501,K2066&lt;=1000),"501–1000",
 K2066&gt;=1001,"1001+"
)</f>
        <v>101–250</v>
      </c>
    </row>
    <row r="2067" spans="1:12" x14ac:dyDescent="0.3">
      <c r="A2067" t="s">
        <v>3996</v>
      </c>
      <c r="B2067" t="s">
        <v>11</v>
      </c>
      <c r="C2067" t="s">
        <v>5776</v>
      </c>
      <c r="F2067" t="s">
        <v>5770</v>
      </c>
      <c r="J2067" t="s">
        <v>5738</v>
      </c>
      <c r="K2067">
        <v>130</v>
      </c>
      <c r="L2067" t="str" cm="1">
        <f t="array" ref="L2067">_xlfn.IFS(
 K2067&lt;=50,"≤50",
 AND(K2067&gt;=51,K2067&lt;=100),"51–100",
 AND(K2067&gt;=101,K2067&lt;=250),"101–250",
 AND(K2067&gt;=251,K2067&lt;=500),"251–500",
 AND(K2067&gt;=501,K2067&lt;=1000),"501–1000",
 K2067&gt;=1001,"1001+"
)</f>
        <v>101–250</v>
      </c>
    </row>
    <row r="2068" spans="1:12" x14ac:dyDescent="0.3">
      <c r="A2068" t="s">
        <v>3997</v>
      </c>
      <c r="B2068" t="s">
        <v>13</v>
      </c>
      <c r="C2068" t="s">
        <v>5777</v>
      </c>
      <c r="D2068" t="s">
        <v>3998</v>
      </c>
      <c r="F2068" t="s">
        <v>5770</v>
      </c>
      <c r="J2068" t="s">
        <v>5738</v>
      </c>
      <c r="K2068">
        <v>130</v>
      </c>
      <c r="L2068" t="str" cm="1">
        <f t="array" ref="L2068">_xlfn.IFS(
 K2068&lt;=50,"≤50",
 AND(K2068&gt;=51,K2068&lt;=100),"51–100",
 AND(K2068&gt;=101,K2068&lt;=250),"101–250",
 AND(K2068&gt;=251,K2068&lt;=500),"251–500",
 AND(K2068&gt;=501,K2068&lt;=1000),"501–1000",
 K2068&gt;=1001,"1001+"
)</f>
        <v>101–250</v>
      </c>
    </row>
    <row r="2069" spans="1:12" x14ac:dyDescent="0.3">
      <c r="A2069" t="s">
        <v>3999</v>
      </c>
      <c r="B2069" t="s">
        <v>9</v>
      </c>
      <c r="C2069" t="s">
        <v>5780</v>
      </c>
      <c r="D2069" t="s">
        <v>4000</v>
      </c>
      <c r="E2069" t="s">
        <v>15</v>
      </c>
      <c r="F2069" t="s">
        <v>16</v>
      </c>
      <c r="G2069" t="s">
        <v>4001</v>
      </c>
      <c r="J2069" t="s">
        <v>5737</v>
      </c>
      <c r="K2069">
        <v>130</v>
      </c>
      <c r="L2069" t="str" cm="1">
        <f t="array" ref="L2069">_xlfn.IFS(
 K2069&lt;=50,"≤50",
 AND(K2069&gt;=51,K2069&lt;=100),"51–100",
 AND(K2069&gt;=101,K2069&lt;=250),"101–250",
 AND(K2069&gt;=251,K2069&lt;=500),"251–500",
 AND(K2069&gt;=501,K2069&lt;=1000),"501–1000",
 K2069&gt;=1001,"1001+"
)</f>
        <v>101–250</v>
      </c>
    </row>
    <row r="2070" spans="1:12" x14ac:dyDescent="0.3">
      <c r="A2070" t="s">
        <v>4002</v>
      </c>
      <c r="B2070" t="s">
        <v>9</v>
      </c>
      <c r="C2070" t="s">
        <v>5780</v>
      </c>
      <c r="D2070" t="s">
        <v>4003</v>
      </c>
      <c r="E2070" t="s">
        <v>15</v>
      </c>
      <c r="F2070" t="s">
        <v>54</v>
      </c>
      <c r="G2070" t="s">
        <v>4004</v>
      </c>
      <c r="J2070" t="s">
        <v>5737</v>
      </c>
      <c r="K2070">
        <v>130</v>
      </c>
      <c r="L2070" t="str" cm="1">
        <f t="array" ref="L2070">_xlfn.IFS(
 K2070&lt;=50,"≤50",
 AND(K2070&gt;=51,K2070&lt;=100),"51–100",
 AND(K2070&gt;=101,K2070&lt;=250),"101–250",
 AND(K2070&gt;=251,K2070&lt;=500),"251–500",
 AND(K2070&gt;=501,K2070&lt;=1000),"501–1000",
 K2070&gt;=1001,"1001+"
)</f>
        <v>101–250</v>
      </c>
    </row>
    <row r="2071" spans="1:12" x14ac:dyDescent="0.3">
      <c r="A2071" t="s">
        <v>4005</v>
      </c>
      <c r="B2071" t="s">
        <v>9</v>
      </c>
      <c r="C2071" t="s">
        <v>5780</v>
      </c>
      <c r="D2071" t="s">
        <v>4006</v>
      </c>
      <c r="E2071" t="s">
        <v>15</v>
      </c>
      <c r="F2071" t="s">
        <v>16</v>
      </c>
      <c r="G2071" t="s">
        <v>4007</v>
      </c>
      <c r="J2071" t="s">
        <v>5737</v>
      </c>
      <c r="K2071">
        <v>130</v>
      </c>
      <c r="L2071" t="str" cm="1">
        <f t="array" ref="L2071">_xlfn.IFS(
 K2071&lt;=50,"≤50",
 AND(K2071&gt;=51,K2071&lt;=100),"51–100",
 AND(K2071&gt;=101,K2071&lt;=250),"101–250",
 AND(K2071&gt;=251,K2071&lt;=500),"251–500",
 AND(K2071&gt;=501,K2071&lt;=1000),"501–1000",
 K2071&gt;=1001,"1001+"
)</f>
        <v>101–250</v>
      </c>
    </row>
    <row r="2072" spans="1:12" x14ac:dyDescent="0.3">
      <c r="A2072" t="s">
        <v>4008</v>
      </c>
      <c r="B2072" t="s">
        <v>9</v>
      </c>
      <c r="C2072" t="s">
        <v>5780</v>
      </c>
      <c r="D2072" t="s">
        <v>51</v>
      </c>
      <c r="F2072" t="s">
        <v>54</v>
      </c>
      <c r="G2072" t="s">
        <v>4009</v>
      </c>
      <c r="J2072" t="s">
        <v>5737</v>
      </c>
      <c r="K2072">
        <v>135</v>
      </c>
      <c r="L2072" t="str" cm="1">
        <f t="array" ref="L2072">_xlfn.IFS(
 K2072&lt;=50,"≤50",
 AND(K2072&gt;=51,K2072&lt;=100),"51–100",
 AND(K2072&gt;=101,K2072&lt;=250),"101–250",
 AND(K2072&gt;=251,K2072&lt;=500),"251–500",
 AND(K2072&gt;=501,K2072&lt;=1000),"501–1000",
 K2072&gt;=1001,"1001+"
)</f>
        <v>101–250</v>
      </c>
    </row>
    <row r="2073" spans="1:12" x14ac:dyDescent="0.3">
      <c r="A2073" t="s">
        <v>4010</v>
      </c>
      <c r="B2073" t="s">
        <v>9</v>
      </c>
      <c r="C2073" t="s">
        <v>5780</v>
      </c>
      <c r="D2073" t="s">
        <v>4011</v>
      </c>
      <c r="E2073" t="s">
        <v>15</v>
      </c>
      <c r="F2073" t="s">
        <v>20</v>
      </c>
      <c r="G2073" t="s">
        <v>4012</v>
      </c>
      <c r="J2073" t="s">
        <v>5741</v>
      </c>
      <c r="K2073">
        <v>135</v>
      </c>
      <c r="L2073" t="str" cm="1">
        <f t="array" ref="L2073">_xlfn.IFS(
 K2073&lt;=50,"≤50",
 AND(K2073&gt;=51,K2073&lt;=100),"51–100",
 AND(K2073&gt;=101,K2073&lt;=250),"101–250",
 AND(K2073&gt;=251,K2073&lt;=500),"251–500",
 AND(K2073&gt;=501,K2073&lt;=1000),"501–1000",
 K2073&gt;=1001,"1001+"
)</f>
        <v>101–250</v>
      </c>
    </row>
    <row r="2074" spans="1:12" x14ac:dyDescent="0.3">
      <c r="A2074" t="s">
        <v>4013</v>
      </c>
      <c r="B2074" t="s">
        <v>9</v>
      </c>
      <c r="C2074" t="s">
        <v>5780</v>
      </c>
      <c r="D2074" t="s">
        <v>4014</v>
      </c>
      <c r="E2074" t="s">
        <v>15</v>
      </c>
      <c r="F2074" t="s">
        <v>20</v>
      </c>
      <c r="G2074" t="s">
        <v>4015</v>
      </c>
      <c r="J2074" t="s">
        <v>5742</v>
      </c>
      <c r="K2074">
        <v>136</v>
      </c>
      <c r="L2074" t="str" cm="1">
        <f t="array" ref="L2074">_xlfn.IFS(
 K2074&lt;=50,"≤50",
 AND(K2074&gt;=51,K2074&lt;=100),"51–100",
 AND(K2074&gt;=101,K2074&lt;=250),"101–250",
 AND(K2074&gt;=251,K2074&lt;=500),"251–500",
 AND(K2074&gt;=501,K2074&lt;=1000),"501–1000",
 K2074&gt;=1001,"1001+"
)</f>
        <v>101–250</v>
      </c>
    </row>
    <row r="2075" spans="1:12" x14ac:dyDescent="0.3">
      <c r="A2075" t="s">
        <v>4016</v>
      </c>
      <c r="B2075" t="s">
        <v>11</v>
      </c>
      <c r="C2075" t="s">
        <v>5776</v>
      </c>
      <c r="F2075" t="s">
        <v>5770</v>
      </c>
      <c r="J2075" t="s">
        <v>5744</v>
      </c>
      <c r="K2075">
        <v>136</v>
      </c>
      <c r="L2075" t="str" cm="1">
        <f t="array" ref="L2075">_xlfn.IFS(
 K2075&lt;=50,"≤50",
 AND(K2075&gt;=51,K2075&lt;=100),"51–100",
 AND(K2075&gt;=101,K2075&lt;=250),"101–250",
 AND(K2075&gt;=251,K2075&lt;=500),"251–500",
 AND(K2075&gt;=501,K2075&lt;=1000),"501–1000",
 K2075&gt;=1001,"1001+"
)</f>
        <v>101–250</v>
      </c>
    </row>
    <row r="2076" spans="1:12" x14ac:dyDescent="0.3">
      <c r="A2076" t="s">
        <v>4017</v>
      </c>
      <c r="B2076" t="s">
        <v>9</v>
      </c>
      <c r="C2076" t="s">
        <v>5780</v>
      </c>
      <c r="D2076" t="s">
        <v>28</v>
      </c>
      <c r="E2076" t="s">
        <v>15</v>
      </c>
      <c r="F2076" t="s">
        <v>20</v>
      </c>
      <c r="G2076" t="s">
        <v>21</v>
      </c>
      <c r="J2076" t="s">
        <v>5741</v>
      </c>
      <c r="K2076">
        <v>137</v>
      </c>
      <c r="L2076" t="str" cm="1">
        <f t="array" ref="L2076">_xlfn.IFS(
 K2076&lt;=50,"≤50",
 AND(K2076&gt;=51,K2076&lt;=100),"51–100",
 AND(K2076&gt;=101,K2076&lt;=250),"101–250",
 AND(K2076&gt;=251,K2076&lt;=500),"251–500",
 AND(K2076&gt;=501,K2076&lt;=1000),"501–1000",
 K2076&gt;=1001,"1001+"
)</f>
        <v>101–250</v>
      </c>
    </row>
    <row r="2077" spans="1:12" x14ac:dyDescent="0.3">
      <c r="A2077" t="s">
        <v>4018</v>
      </c>
      <c r="B2077" t="s">
        <v>417</v>
      </c>
      <c r="C2077" t="s">
        <v>5778</v>
      </c>
      <c r="D2077" t="s">
        <v>4019</v>
      </c>
      <c r="E2077" t="s">
        <v>15</v>
      </c>
      <c r="F2077" t="s">
        <v>16</v>
      </c>
      <c r="G2077" t="s">
        <v>4020</v>
      </c>
      <c r="J2077" t="s">
        <v>5737</v>
      </c>
      <c r="K2077">
        <v>137</v>
      </c>
      <c r="L2077" t="str" cm="1">
        <f t="array" ref="L2077">_xlfn.IFS(
 K2077&lt;=50,"≤50",
 AND(K2077&gt;=51,K2077&lt;=100),"51–100",
 AND(K2077&gt;=101,K2077&lt;=250),"101–250",
 AND(K2077&gt;=251,K2077&lt;=500),"251–500",
 AND(K2077&gt;=501,K2077&lt;=1000),"501–1000",
 K2077&gt;=1001,"1001+"
)</f>
        <v>101–250</v>
      </c>
    </row>
    <row r="2078" spans="1:12" x14ac:dyDescent="0.3">
      <c r="A2078" t="s">
        <v>4021</v>
      </c>
      <c r="B2078" t="s">
        <v>13</v>
      </c>
      <c r="C2078" t="s">
        <v>5777</v>
      </c>
      <c r="D2078" t="s">
        <v>4022</v>
      </c>
      <c r="E2078" t="s">
        <v>15</v>
      </c>
      <c r="F2078" t="s">
        <v>5770</v>
      </c>
      <c r="J2078" t="s">
        <v>5746</v>
      </c>
      <c r="K2078">
        <v>140</v>
      </c>
      <c r="L2078" t="str" cm="1">
        <f t="array" ref="L2078">_xlfn.IFS(
 K2078&lt;=50,"≤50",
 AND(K2078&gt;=51,K2078&lt;=100),"51–100",
 AND(K2078&gt;=101,K2078&lt;=250),"101–250",
 AND(K2078&gt;=251,K2078&lt;=500),"251–500",
 AND(K2078&gt;=501,K2078&lt;=1000),"501–1000",
 K2078&gt;=1001,"1001+"
)</f>
        <v>101–250</v>
      </c>
    </row>
    <row r="2079" spans="1:12" x14ac:dyDescent="0.3">
      <c r="A2079" t="s">
        <v>4023</v>
      </c>
      <c r="B2079" t="s">
        <v>11</v>
      </c>
      <c r="C2079" t="s">
        <v>5776</v>
      </c>
      <c r="F2079" t="s">
        <v>5770</v>
      </c>
      <c r="J2079" t="s">
        <v>5737</v>
      </c>
      <c r="K2079">
        <v>140</v>
      </c>
      <c r="L2079" t="str" cm="1">
        <f t="array" ref="L2079">_xlfn.IFS(
 K2079&lt;=50,"≤50",
 AND(K2079&gt;=51,K2079&lt;=100),"51–100",
 AND(K2079&gt;=101,K2079&lt;=250),"101–250",
 AND(K2079&gt;=251,K2079&lt;=500),"251–500",
 AND(K2079&gt;=501,K2079&lt;=1000),"501–1000",
 K2079&gt;=1001,"1001+"
)</f>
        <v>101–250</v>
      </c>
    </row>
    <row r="2080" spans="1:12" x14ac:dyDescent="0.3">
      <c r="A2080" t="s">
        <v>4024</v>
      </c>
      <c r="B2080" t="s">
        <v>9</v>
      </c>
      <c r="C2080" t="s">
        <v>5780</v>
      </c>
      <c r="D2080" t="s">
        <v>3770</v>
      </c>
      <c r="E2080" t="s">
        <v>15</v>
      </c>
      <c r="F2080" t="s">
        <v>20</v>
      </c>
      <c r="G2080" t="s">
        <v>4025</v>
      </c>
      <c r="J2080" t="s">
        <v>5746</v>
      </c>
      <c r="K2080">
        <v>140</v>
      </c>
      <c r="L2080" t="str" cm="1">
        <f t="array" ref="L2080">_xlfn.IFS(
 K2080&lt;=50,"≤50",
 AND(K2080&gt;=51,K2080&lt;=100),"51–100",
 AND(K2080&gt;=101,K2080&lt;=250),"101–250",
 AND(K2080&gt;=251,K2080&lt;=500),"251–500",
 AND(K2080&gt;=501,K2080&lt;=1000),"501–1000",
 K2080&gt;=1001,"1001+"
)</f>
        <v>101–250</v>
      </c>
    </row>
    <row r="2081" spans="1:12" x14ac:dyDescent="0.3">
      <c r="A2081" t="s">
        <v>4026</v>
      </c>
      <c r="B2081" t="s">
        <v>9</v>
      </c>
      <c r="C2081" t="s">
        <v>5780</v>
      </c>
      <c r="D2081" t="s">
        <v>4027</v>
      </c>
      <c r="E2081" t="s">
        <v>15</v>
      </c>
      <c r="F2081" t="s">
        <v>16</v>
      </c>
      <c r="G2081" t="s">
        <v>4028</v>
      </c>
      <c r="J2081" t="s">
        <v>5737</v>
      </c>
      <c r="K2081">
        <v>140</v>
      </c>
      <c r="L2081" t="str" cm="1">
        <f t="array" ref="L2081">_xlfn.IFS(
 K2081&lt;=50,"≤50",
 AND(K2081&gt;=51,K2081&lt;=100),"51–100",
 AND(K2081&gt;=101,K2081&lt;=250),"101–250",
 AND(K2081&gt;=251,K2081&lt;=500),"251–500",
 AND(K2081&gt;=501,K2081&lt;=1000),"501–1000",
 K2081&gt;=1001,"1001+"
)</f>
        <v>101–250</v>
      </c>
    </row>
    <row r="2082" spans="1:12" x14ac:dyDescent="0.3">
      <c r="A2082" t="s">
        <v>4029</v>
      </c>
      <c r="B2082" t="s">
        <v>13</v>
      </c>
      <c r="C2082" t="s">
        <v>5777</v>
      </c>
      <c r="D2082" t="s">
        <v>4030</v>
      </c>
      <c r="E2082" t="s">
        <v>15</v>
      </c>
      <c r="F2082" t="s">
        <v>16</v>
      </c>
      <c r="G2082" t="s">
        <v>138</v>
      </c>
      <c r="J2082" t="s">
        <v>5748</v>
      </c>
      <c r="K2082">
        <v>140</v>
      </c>
      <c r="L2082" t="str" cm="1">
        <f t="array" ref="L2082">_xlfn.IFS(
 K2082&lt;=50,"≤50",
 AND(K2082&gt;=51,K2082&lt;=100),"51–100",
 AND(K2082&gt;=101,K2082&lt;=250),"101–250",
 AND(K2082&gt;=251,K2082&lt;=500),"251–500",
 AND(K2082&gt;=501,K2082&lt;=1000),"501–1000",
 K2082&gt;=1001,"1001+"
)</f>
        <v>101–250</v>
      </c>
    </row>
    <row r="2083" spans="1:12" x14ac:dyDescent="0.3">
      <c r="A2083" t="s">
        <v>4031</v>
      </c>
      <c r="B2083" t="s">
        <v>11</v>
      </c>
      <c r="C2083" t="s">
        <v>5776</v>
      </c>
      <c r="F2083" t="s">
        <v>5770</v>
      </c>
      <c r="J2083" t="s">
        <v>5737</v>
      </c>
      <c r="K2083">
        <v>140</v>
      </c>
      <c r="L2083" t="str" cm="1">
        <f t="array" ref="L2083">_xlfn.IFS(
 K2083&lt;=50,"≤50",
 AND(K2083&gt;=51,K2083&lt;=100),"51–100",
 AND(K2083&gt;=101,K2083&lt;=250),"101–250",
 AND(K2083&gt;=251,K2083&lt;=500),"251–500",
 AND(K2083&gt;=501,K2083&lt;=1000),"501–1000",
 K2083&gt;=1001,"1001+"
)</f>
        <v>101–250</v>
      </c>
    </row>
    <row r="2084" spans="1:12" x14ac:dyDescent="0.3">
      <c r="A2084" t="s">
        <v>4032</v>
      </c>
      <c r="B2084" t="s">
        <v>9</v>
      </c>
      <c r="C2084" t="s">
        <v>5780</v>
      </c>
      <c r="D2084" t="s">
        <v>224</v>
      </c>
      <c r="E2084" t="s">
        <v>15</v>
      </c>
      <c r="F2084" t="s">
        <v>5770</v>
      </c>
      <c r="J2084" t="s">
        <v>5737</v>
      </c>
      <c r="K2084">
        <v>140</v>
      </c>
      <c r="L2084" t="str" cm="1">
        <f t="array" ref="L2084">_xlfn.IFS(
 K2084&lt;=50,"≤50",
 AND(K2084&gt;=51,K2084&lt;=100),"51–100",
 AND(K2084&gt;=101,K2084&lt;=250),"101–250",
 AND(K2084&gt;=251,K2084&lt;=500),"251–500",
 AND(K2084&gt;=501,K2084&lt;=1000),"501–1000",
 K2084&gt;=1001,"1001+"
)</f>
        <v>101–250</v>
      </c>
    </row>
    <row r="2085" spans="1:12" x14ac:dyDescent="0.3">
      <c r="A2085" t="s">
        <v>4033</v>
      </c>
      <c r="B2085" t="s">
        <v>11</v>
      </c>
      <c r="C2085" t="s">
        <v>5776</v>
      </c>
      <c r="F2085" t="s">
        <v>5770</v>
      </c>
      <c r="J2085" t="s">
        <v>5755</v>
      </c>
      <c r="K2085">
        <v>140</v>
      </c>
      <c r="L2085" t="str" cm="1">
        <f t="array" ref="L2085">_xlfn.IFS(
 K2085&lt;=50,"≤50",
 AND(K2085&gt;=51,K2085&lt;=100),"51–100",
 AND(K2085&gt;=101,K2085&lt;=250),"101–250",
 AND(K2085&gt;=251,K2085&lt;=500),"251–500",
 AND(K2085&gt;=501,K2085&lt;=1000),"501–1000",
 K2085&gt;=1001,"1001+"
)</f>
        <v>101–250</v>
      </c>
    </row>
    <row r="2086" spans="1:12" x14ac:dyDescent="0.3">
      <c r="A2086" t="s">
        <v>4034</v>
      </c>
      <c r="B2086" t="s">
        <v>13</v>
      </c>
      <c r="C2086" t="s">
        <v>5777</v>
      </c>
      <c r="D2086" t="s">
        <v>4035</v>
      </c>
      <c r="E2086" t="s">
        <v>15</v>
      </c>
      <c r="F2086" t="s">
        <v>20</v>
      </c>
      <c r="G2086" t="s">
        <v>4036</v>
      </c>
      <c r="J2086" t="s">
        <v>5756</v>
      </c>
      <c r="K2086">
        <v>140</v>
      </c>
      <c r="L2086" t="str" cm="1">
        <f t="array" ref="L2086">_xlfn.IFS(
 K2086&lt;=50,"≤50",
 AND(K2086&gt;=51,K2086&lt;=100),"51–100",
 AND(K2086&gt;=101,K2086&lt;=250),"101–250",
 AND(K2086&gt;=251,K2086&lt;=500),"251–500",
 AND(K2086&gt;=501,K2086&lt;=1000),"501–1000",
 K2086&gt;=1001,"1001+"
)</f>
        <v>101–250</v>
      </c>
    </row>
    <row r="2087" spans="1:12" x14ac:dyDescent="0.3">
      <c r="A2087" t="s">
        <v>4037</v>
      </c>
      <c r="B2087" t="s">
        <v>9</v>
      </c>
      <c r="C2087" t="s">
        <v>5780</v>
      </c>
      <c r="D2087" t="s">
        <v>4038</v>
      </c>
      <c r="E2087" t="s">
        <v>15</v>
      </c>
      <c r="F2087" t="s">
        <v>20</v>
      </c>
      <c r="G2087" t="s">
        <v>4039</v>
      </c>
      <c r="J2087" t="s">
        <v>5753</v>
      </c>
      <c r="K2087">
        <v>140</v>
      </c>
      <c r="L2087" t="str" cm="1">
        <f t="array" ref="L2087">_xlfn.IFS(
 K2087&lt;=50,"≤50",
 AND(K2087&gt;=51,K2087&lt;=100),"51–100",
 AND(K2087&gt;=101,K2087&lt;=250),"101–250",
 AND(K2087&gt;=251,K2087&lt;=500),"251–500",
 AND(K2087&gt;=501,K2087&lt;=1000),"501–1000",
 K2087&gt;=1001,"1001+"
)</f>
        <v>101–250</v>
      </c>
    </row>
    <row r="2088" spans="1:12" x14ac:dyDescent="0.3">
      <c r="A2088" t="s">
        <v>4040</v>
      </c>
      <c r="B2088" t="s">
        <v>9</v>
      </c>
      <c r="C2088" t="s">
        <v>5780</v>
      </c>
      <c r="D2088" t="s">
        <v>679</v>
      </c>
      <c r="E2088" t="s">
        <v>15</v>
      </c>
      <c r="F2088" t="s">
        <v>16</v>
      </c>
      <c r="G2088" t="s">
        <v>138</v>
      </c>
      <c r="J2088" t="s">
        <v>5751</v>
      </c>
      <c r="K2088">
        <v>140</v>
      </c>
      <c r="L2088" t="str" cm="1">
        <f t="array" ref="L2088">_xlfn.IFS(
 K2088&lt;=50,"≤50",
 AND(K2088&gt;=51,K2088&lt;=100),"51–100",
 AND(K2088&gt;=101,K2088&lt;=250),"101–250",
 AND(K2088&gt;=251,K2088&lt;=500),"251–500",
 AND(K2088&gt;=501,K2088&lt;=1000),"501–1000",
 K2088&gt;=1001,"1001+"
)</f>
        <v>101–250</v>
      </c>
    </row>
    <row r="2089" spans="1:12" x14ac:dyDescent="0.3">
      <c r="A2089" t="s">
        <v>4041</v>
      </c>
      <c r="B2089" t="s">
        <v>13</v>
      </c>
      <c r="C2089" t="s">
        <v>5777</v>
      </c>
      <c r="D2089" t="s">
        <v>4042</v>
      </c>
      <c r="E2089" t="s">
        <v>15</v>
      </c>
      <c r="F2089" t="s">
        <v>16</v>
      </c>
      <c r="G2089" t="s">
        <v>4043</v>
      </c>
      <c r="J2089" t="s">
        <v>5757</v>
      </c>
      <c r="K2089">
        <v>140</v>
      </c>
      <c r="L2089" t="str" cm="1">
        <f t="array" ref="L2089">_xlfn.IFS(
 K2089&lt;=50,"≤50",
 AND(K2089&gt;=51,K2089&lt;=100),"51–100",
 AND(K2089&gt;=101,K2089&lt;=250),"101–250",
 AND(K2089&gt;=251,K2089&lt;=500),"251–500",
 AND(K2089&gt;=501,K2089&lt;=1000),"501–1000",
 K2089&gt;=1001,"1001+"
)</f>
        <v>101–250</v>
      </c>
    </row>
    <row r="2090" spans="1:12" x14ac:dyDescent="0.3">
      <c r="A2090" t="s">
        <v>4044</v>
      </c>
      <c r="B2090" t="s">
        <v>9</v>
      </c>
      <c r="C2090" t="s">
        <v>5780</v>
      </c>
      <c r="D2090" t="s">
        <v>4045</v>
      </c>
      <c r="F2090" t="s">
        <v>54</v>
      </c>
      <c r="G2090" t="s">
        <v>588</v>
      </c>
      <c r="J2090" t="s">
        <v>5741</v>
      </c>
      <c r="K2090">
        <v>140</v>
      </c>
      <c r="L2090" t="str" cm="1">
        <f t="array" ref="L2090">_xlfn.IFS(
 K2090&lt;=50,"≤50",
 AND(K2090&gt;=51,K2090&lt;=100),"51–100",
 AND(K2090&gt;=101,K2090&lt;=250),"101–250",
 AND(K2090&gt;=251,K2090&lt;=500),"251–500",
 AND(K2090&gt;=501,K2090&lt;=1000),"501–1000",
 K2090&gt;=1001,"1001+"
)</f>
        <v>101–250</v>
      </c>
    </row>
    <row r="2091" spans="1:12" x14ac:dyDescent="0.3">
      <c r="A2091" t="s">
        <v>4046</v>
      </c>
      <c r="B2091" t="s">
        <v>9</v>
      </c>
      <c r="C2091" t="s">
        <v>5780</v>
      </c>
      <c r="D2091" t="s">
        <v>4047</v>
      </c>
      <c r="E2091" t="s">
        <v>15</v>
      </c>
      <c r="F2091" t="s">
        <v>20</v>
      </c>
      <c r="G2091" t="s">
        <v>4048</v>
      </c>
      <c r="J2091" t="s">
        <v>5753</v>
      </c>
      <c r="K2091">
        <v>140</v>
      </c>
      <c r="L2091" t="str" cm="1">
        <f t="array" ref="L2091">_xlfn.IFS(
 K2091&lt;=50,"≤50",
 AND(K2091&gt;=51,K2091&lt;=100),"51–100",
 AND(K2091&gt;=101,K2091&lt;=250),"101–250",
 AND(K2091&gt;=251,K2091&lt;=500),"251–500",
 AND(K2091&gt;=501,K2091&lt;=1000),"501–1000",
 K2091&gt;=1001,"1001+"
)</f>
        <v>101–250</v>
      </c>
    </row>
    <row r="2092" spans="1:12" x14ac:dyDescent="0.3">
      <c r="A2092" t="s">
        <v>4049</v>
      </c>
      <c r="B2092" t="s">
        <v>13</v>
      </c>
      <c r="C2092" t="s">
        <v>5777</v>
      </c>
      <c r="D2092" t="s">
        <v>576</v>
      </c>
      <c r="E2092" t="s">
        <v>15</v>
      </c>
      <c r="F2092" t="s">
        <v>20</v>
      </c>
      <c r="G2092" t="s">
        <v>4050</v>
      </c>
      <c r="J2092" t="s">
        <v>5738</v>
      </c>
      <c r="K2092">
        <v>140</v>
      </c>
      <c r="L2092" t="str" cm="1">
        <f t="array" ref="L2092">_xlfn.IFS(
 K2092&lt;=50,"≤50",
 AND(K2092&gt;=51,K2092&lt;=100),"51–100",
 AND(K2092&gt;=101,K2092&lt;=250),"101–250",
 AND(K2092&gt;=251,K2092&lt;=500),"251–500",
 AND(K2092&gt;=501,K2092&lt;=1000),"501–1000",
 K2092&gt;=1001,"1001+"
)</f>
        <v>101–250</v>
      </c>
    </row>
    <row r="2093" spans="1:12" x14ac:dyDescent="0.3">
      <c r="A2093" t="s">
        <v>4051</v>
      </c>
      <c r="B2093" t="s">
        <v>9</v>
      </c>
      <c r="C2093" t="s">
        <v>5780</v>
      </c>
      <c r="D2093" t="s">
        <v>434</v>
      </c>
      <c r="E2093" t="s">
        <v>15</v>
      </c>
      <c r="F2093" t="s">
        <v>54</v>
      </c>
      <c r="G2093" t="s">
        <v>4052</v>
      </c>
      <c r="J2093" t="s">
        <v>5737</v>
      </c>
      <c r="K2093">
        <v>140</v>
      </c>
      <c r="L2093" t="str" cm="1">
        <f t="array" ref="L2093">_xlfn.IFS(
 K2093&lt;=50,"≤50",
 AND(K2093&gt;=51,K2093&lt;=100),"51–100",
 AND(K2093&gt;=101,K2093&lt;=250),"101–250",
 AND(K2093&gt;=251,K2093&lt;=500),"251–500",
 AND(K2093&gt;=501,K2093&lt;=1000),"501–1000",
 K2093&gt;=1001,"1001+"
)</f>
        <v>101–250</v>
      </c>
    </row>
    <row r="2094" spans="1:12" x14ac:dyDescent="0.3">
      <c r="A2094" t="s">
        <v>4053</v>
      </c>
      <c r="B2094" t="s">
        <v>9</v>
      </c>
      <c r="C2094" t="s">
        <v>5780</v>
      </c>
      <c r="D2094" t="s">
        <v>4054</v>
      </c>
      <c r="F2094" t="s">
        <v>54</v>
      </c>
      <c r="G2094" t="s">
        <v>987</v>
      </c>
      <c r="J2094" t="s">
        <v>5737</v>
      </c>
      <c r="K2094">
        <v>140</v>
      </c>
      <c r="L2094" t="str" cm="1">
        <f t="array" ref="L2094">_xlfn.IFS(
 K2094&lt;=50,"≤50",
 AND(K2094&gt;=51,K2094&lt;=100),"51–100",
 AND(K2094&gt;=101,K2094&lt;=250),"101–250",
 AND(K2094&gt;=251,K2094&lt;=500),"251–500",
 AND(K2094&gt;=501,K2094&lt;=1000),"501–1000",
 K2094&gt;=1001,"1001+"
)</f>
        <v>101–250</v>
      </c>
    </row>
    <row r="2095" spans="1:12" x14ac:dyDescent="0.3">
      <c r="A2095" t="s">
        <v>4055</v>
      </c>
      <c r="B2095" t="s">
        <v>9</v>
      </c>
      <c r="C2095" t="s">
        <v>5780</v>
      </c>
      <c r="D2095" t="s">
        <v>339</v>
      </c>
      <c r="F2095" t="s">
        <v>5770</v>
      </c>
      <c r="J2095" t="s">
        <v>5762</v>
      </c>
      <c r="K2095">
        <v>140</v>
      </c>
      <c r="L2095" t="str" cm="1">
        <f t="array" ref="L2095">_xlfn.IFS(
 K2095&lt;=50,"≤50",
 AND(K2095&gt;=51,K2095&lt;=100),"51–100",
 AND(K2095&gt;=101,K2095&lt;=250),"101–250",
 AND(K2095&gt;=251,K2095&lt;=500),"251–500",
 AND(K2095&gt;=501,K2095&lt;=1000),"501–1000",
 K2095&gt;=1001,"1001+"
)</f>
        <v>101–250</v>
      </c>
    </row>
    <row r="2096" spans="1:12" x14ac:dyDescent="0.3">
      <c r="A2096" t="s">
        <v>4056</v>
      </c>
      <c r="B2096" t="s">
        <v>9</v>
      </c>
      <c r="C2096" t="s">
        <v>5780</v>
      </c>
      <c r="D2096" t="s">
        <v>51</v>
      </c>
      <c r="F2096" t="s">
        <v>5770</v>
      </c>
      <c r="J2096" t="s">
        <v>5738</v>
      </c>
      <c r="K2096">
        <v>140</v>
      </c>
      <c r="L2096" t="str" cm="1">
        <f t="array" ref="L2096">_xlfn.IFS(
 K2096&lt;=50,"≤50",
 AND(K2096&gt;=51,K2096&lt;=100),"51–100",
 AND(K2096&gt;=101,K2096&lt;=250),"101–250",
 AND(K2096&gt;=251,K2096&lt;=500),"251–500",
 AND(K2096&gt;=501,K2096&lt;=1000),"501–1000",
 K2096&gt;=1001,"1001+"
)</f>
        <v>101–250</v>
      </c>
    </row>
    <row r="2097" spans="1:12" x14ac:dyDescent="0.3">
      <c r="A2097" t="s">
        <v>4057</v>
      </c>
      <c r="B2097" t="s">
        <v>9</v>
      </c>
      <c r="C2097" t="s">
        <v>5780</v>
      </c>
      <c r="D2097" t="s">
        <v>4058</v>
      </c>
      <c r="F2097" t="s">
        <v>20</v>
      </c>
      <c r="G2097" t="s">
        <v>21</v>
      </c>
      <c r="J2097" t="s">
        <v>5742</v>
      </c>
      <c r="K2097">
        <v>140</v>
      </c>
      <c r="L2097" t="str" cm="1">
        <f t="array" ref="L2097">_xlfn.IFS(
 K2097&lt;=50,"≤50",
 AND(K2097&gt;=51,K2097&lt;=100),"51–100",
 AND(K2097&gt;=101,K2097&lt;=250),"101–250",
 AND(K2097&gt;=251,K2097&lt;=500),"251–500",
 AND(K2097&gt;=501,K2097&lt;=1000),"501–1000",
 K2097&gt;=1001,"1001+"
)</f>
        <v>101–250</v>
      </c>
    </row>
    <row r="2098" spans="1:12" x14ac:dyDescent="0.3">
      <c r="A2098" t="s">
        <v>4059</v>
      </c>
      <c r="B2098" t="s">
        <v>9</v>
      </c>
      <c r="C2098" t="s">
        <v>5780</v>
      </c>
      <c r="D2098" t="s">
        <v>4060</v>
      </c>
      <c r="E2098" t="s">
        <v>15</v>
      </c>
      <c r="F2098" t="s">
        <v>20</v>
      </c>
      <c r="G2098" t="s">
        <v>4061</v>
      </c>
      <c r="J2098" t="s">
        <v>5751</v>
      </c>
      <c r="K2098">
        <v>140</v>
      </c>
      <c r="L2098" t="str" cm="1">
        <f t="array" ref="L2098">_xlfn.IFS(
 K2098&lt;=50,"≤50",
 AND(K2098&gt;=51,K2098&lt;=100),"51–100",
 AND(K2098&gt;=101,K2098&lt;=250),"101–250",
 AND(K2098&gt;=251,K2098&lt;=500),"251–500",
 AND(K2098&gt;=501,K2098&lt;=1000),"501–1000",
 K2098&gt;=1001,"1001+"
)</f>
        <v>101–250</v>
      </c>
    </row>
    <row r="2099" spans="1:12" x14ac:dyDescent="0.3">
      <c r="A2099" t="s">
        <v>4062</v>
      </c>
      <c r="B2099" t="s">
        <v>11</v>
      </c>
      <c r="C2099" t="s">
        <v>5776</v>
      </c>
      <c r="F2099" t="s">
        <v>5770</v>
      </c>
      <c r="J2099" t="s">
        <v>5738</v>
      </c>
      <c r="K2099">
        <v>140</v>
      </c>
      <c r="L2099" t="str" cm="1">
        <f t="array" ref="L2099">_xlfn.IFS(
 K2099&lt;=50,"≤50",
 AND(K2099&gt;=51,K2099&lt;=100),"51–100",
 AND(K2099&gt;=101,K2099&lt;=250),"101–250",
 AND(K2099&gt;=251,K2099&lt;=500),"251–500",
 AND(K2099&gt;=501,K2099&lt;=1000),"501–1000",
 K2099&gt;=1001,"1001+"
)</f>
        <v>101–250</v>
      </c>
    </row>
    <row r="2100" spans="1:12" x14ac:dyDescent="0.3">
      <c r="A2100" t="s">
        <v>4063</v>
      </c>
      <c r="B2100" t="s">
        <v>13</v>
      </c>
      <c r="C2100" t="s">
        <v>5777</v>
      </c>
      <c r="D2100" t="s">
        <v>112</v>
      </c>
      <c r="E2100" t="s">
        <v>15</v>
      </c>
      <c r="F2100" t="s">
        <v>54</v>
      </c>
      <c r="G2100" t="s">
        <v>3863</v>
      </c>
      <c r="J2100" t="s">
        <v>5758</v>
      </c>
      <c r="K2100">
        <v>140</v>
      </c>
      <c r="L2100" t="str" cm="1">
        <f t="array" ref="L2100">_xlfn.IFS(
 K2100&lt;=50,"≤50",
 AND(K2100&gt;=51,K2100&lt;=100),"51–100",
 AND(K2100&gt;=101,K2100&lt;=250),"101–250",
 AND(K2100&gt;=251,K2100&lt;=500),"251–500",
 AND(K2100&gt;=501,K2100&lt;=1000),"501–1000",
 K2100&gt;=1001,"1001+"
)</f>
        <v>101–250</v>
      </c>
    </row>
    <row r="2101" spans="1:12" x14ac:dyDescent="0.3">
      <c r="A2101" t="s">
        <v>4064</v>
      </c>
      <c r="B2101" t="s">
        <v>13</v>
      </c>
      <c r="C2101" t="s">
        <v>5777</v>
      </c>
      <c r="D2101" t="s">
        <v>4065</v>
      </c>
      <c r="E2101" t="s">
        <v>15</v>
      </c>
      <c r="F2101" t="s">
        <v>16</v>
      </c>
      <c r="G2101" t="s">
        <v>4066</v>
      </c>
      <c r="J2101" t="s">
        <v>5741</v>
      </c>
      <c r="K2101">
        <v>140</v>
      </c>
      <c r="L2101" t="str" cm="1">
        <f t="array" ref="L2101">_xlfn.IFS(
 K2101&lt;=50,"≤50",
 AND(K2101&gt;=51,K2101&lt;=100),"51–100",
 AND(K2101&gt;=101,K2101&lt;=250),"101–250",
 AND(K2101&gt;=251,K2101&lt;=500),"251–500",
 AND(K2101&gt;=501,K2101&lt;=1000),"501–1000",
 K2101&gt;=1001,"1001+"
)</f>
        <v>101–250</v>
      </c>
    </row>
    <row r="2102" spans="1:12" x14ac:dyDescent="0.3">
      <c r="A2102" t="s">
        <v>4067</v>
      </c>
      <c r="B2102" t="s">
        <v>9</v>
      </c>
      <c r="C2102" t="s">
        <v>5780</v>
      </c>
      <c r="D2102" t="s">
        <v>4068</v>
      </c>
      <c r="E2102" t="s">
        <v>15</v>
      </c>
      <c r="F2102" t="s">
        <v>54</v>
      </c>
      <c r="G2102" t="s">
        <v>4069</v>
      </c>
      <c r="J2102" t="s">
        <v>5737</v>
      </c>
      <c r="K2102">
        <v>140</v>
      </c>
      <c r="L2102" t="str" cm="1">
        <f t="array" ref="L2102">_xlfn.IFS(
 K2102&lt;=50,"≤50",
 AND(K2102&gt;=51,K2102&lt;=100),"51–100",
 AND(K2102&gt;=101,K2102&lt;=250),"101–250",
 AND(K2102&gt;=251,K2102&lt;=500),"251–500",
 AND(K2102&gt;=501,K2102&lt;=1000),"501–1000",
 K2102&gt;=1001,"1001+"
)</f>
        <v>101–250</v>
      </c>
    </row>
    <row r="2103" spans="1:12" x14ac:dyDescent="0.3">
      <c r="A2103" t="s">
        <v>4070</v>
      </c>
      <c r="B2103" t="s">
        <v>9</v>
      </c>
      <c r="C2103" t="s">
        <v>5780</v>
      </c>
      <c r="D2103" t="s">
        <v>4071</v>
      </c>
      <c r="E2103" t="s">
        <v>15</v>
      </c>
      <c r="F2103" t="s">
        <v>16</v>
      </c>
      <c r="G2103" t="s">
        <v>4072</v>
      </c>
      <c r="J2103" t="s">
        <v>5762</v>
      </c>
      <c r="K2103">
        <v>140</v>
      </c>
      <c r="L2103" t="str" cm="1">
        <f t="array" ref="L2103">_xlfn.IFS(
 K2103&lt;=50,"≤50",
 AND(K2103&gt;=51,K2103&lt;=100),"51–100",
 AND(K2103&gt;=101,K2103&lt;=250),"101–250",
 AND(K2103&gt;=251,K2103&lt;=500),"251–500",
 AND(K2103&gt;=501,K2103&lt;=1000),"501–1000",
 K2103&gt;=1001,"1001+"
)</f>
        <v>101–250</v>
      </c>
    </row>
    <row r="2104" spans="1:12" x14ac:dyDescent="0.3">
      <c r="A2104" t="s">
        <v>4073</v>
      </c>
      <c r="B2104" t="s">
        <v>9</v>
      </c>
      <c r="C2104" t="s">
        <v>5780</v>
      </c>
      <c r="D2104" t="s">
        <v>4074</v>
      </c>
      <c r="E2104" t="s">
        <v>15</v>
      </c>
      <c r="F2104" t="s">
        <v>16</v>
      </c>
      <c r="G2104" t="s">
        <v>4075</v>
      </c>
      <c r="J2104" t="s">
        <v>5739</v>
      </c>
      <c r="K2104">
        <v>140</v>
      </c>
      <c r="L2104" t="str" cm="1">
        <f t="array" ref="L2104">_xlfn.IFS(
 K2104&lt;=50,"≤50",
 AND(K2104&gt;=51,K2104&lt;=100),"51–100",
 AND(K2104&gt;=101,K2104&lt;=250),"101–250",
 AND(K2104&gt;=251,K2104&lt;=500),"251–500",
 AND(K2104&gt;=501,K2104&lt;=1000),"501–1000",
 K2104&gt;=1001,"1001+"
)</f>
        <v>101–250</v>
      </c>
    </row>
    <row r="2105" spans="1:12" x14ac:dyDescent="0.3">
      <c r="A2105" t="s">
        <v>4076</v>
      </c>
      <c r="B2105" t="s">
        <v>9</v>
      </c>
      <c r="C2105" t="s">
        <v>5780</v>
      </c>
      <c r="D2105" t="s">
        <v>28</v>
      </c>
      <c r="E2105" t="s">
        <v>15</v>
      </c>
      <c r="F2105" t="s">
        <v>20</v>
      </c>
      <c r="G2105" t="s">
        <v>383</v>
      </c>
      <c r="J2105" t="s">
        <v>5751</v>
      </c>
      <c r="K2105">
        <v>140</v>
      </c>
      <c r="L2105" t="str" cm="1">
        <f t="array" ref="L2105">_xlfn.IFS(
 K2105&lt;=50,"≤50",
 AND(K2105&gt;=51,K2105&lt;=100),"51–100",
 AND(K2105&gt;=101,K2105&lt;=250),"101–250",
 AND(K2105&gt;=251,K2105&lt;=500),"251–500",
 AND(K2105&gt;=501,K2105&lt;=1000),"501–1000",
 K2105&gt;=1001,"1001+"
)</f>
        <v>101–250</v>
      </c>
    </row>
    <row r="2106" spans="1:12" x14ac:dyDescent="0.3">
      <c r="A2106" t="s">
        <v>4077</v>
      </c>
      <c r="B2106" t="s">
        <v>9</v>
      </c>
      <c r="C2106" t="s">
        <v>5780</v>
      </c>
      <c r="D2106" t="s">
        <v>28</v>
      </c>
      <c r="F2106" t="s">
        <v>5770</v>
      </c>
      <c r="J2106" t="s">
        <v>5737</v>
      </c>
      <c r="K2106">
        <v>140</v>
      </c>
      <c r="L2106" t="str" cm="1">
        <f t="array" ref="L2106">_xlfn.IFS(
 K2106&lt;=50,"≤50",
 AND(K2106&gt;=51,K2106&lt;=100),"51–100",
 AND(K2106&gt;=101,K2106&lt;=250),"101–250",
 AND(K2106&gt;=251,K2106&lt;=500),"251–500",
 AND(K2106&gt;=501,K2106&lt;=1000),"501–1000",
 K2106&gt;=1001,"1001+"
)</f>
        <v>101–250</v>
      </c>
    </row>
    <row r="2107" spans="1:12" x14ac:dyDescent="0.3">
      <c r="A2107" t="s">
        <v>4078</v>
      </c>
      <c r="B2107" t="s">
        <v>9</v>
      </c>
      <c r="C2107" t="s">
        <v>5780</v>
      </c>
      <c r="D2107" t="s">
        <v>28</v>
      </c>
      <c r="E2107" t="s">
        <v>15</v>
      </c>
      <c r="F2107" t="s">
        <v>54</v>
      </c>
      <c r="G2107" t="s">
        <v>1419</v>
      </c>
      <c r="J2107" t="s">
        <v>5740</v>
      </c>
      <c r="K2107">
        <v>140</v>
      </c>
      <c r="L2107" t="str" cm="1">
        <f t="array" ref="L2107">_xlfn.IFS(
 K2107&lt;=50,"≤50",
 AND(K2107&gt;=51,K2107&lt;=100),"51–100",
 AND(K2107&gt;=101,K2107&lt;=250),"101–250",
 AND(K2107&gt;=251,K2107&lt;=500),"251–500",
 AND(K2107&gt;=501,K2107&lt;=1000),"501–1000",
 K2107&gt;=1001,"1001+"
)</f>
        <v>101–250</v>
      </c>
    </row>
    <row r="2108" spans="1:12" x14ac:dyDescent="0.3">
      <c r="A2108" t="s">
        <v>4079</v>
      </c>
      <c r="B2108" t="s">
        <v>417</v>
      </c>
      <c r="C2108" t="s">
        <v>5778</v>
      </c>
      <c r="D2108" t="s">
        <v>4080</v>
      </c>
      <c r="F2108" t="s">
        <v>54</v>
      </c>
      <c r="G2108" t="s">
        <v>4081</v>
      </c>
      <c r="J2108" t="s">
        <v>5738</v>
      </c>
      <c r="K2108">
        <v>140</v>
      </c>
      <c r="L2108" t="str" cm="1">
        <f t="array" ref="L2108">_xlfn.IFS(
 K2108&lt;=50,"≤50",
 AND(K2108&gt;=51,K2108&lt;=100),"51–100",
 AND(K2108&gt;=101,K2108&lt;=250),"101–250",
 AND(K2108&gt;=251,K2108&lt;=500),"251–500",
 AND(K2108&gt;=501,K2108&lt;=1000),"501–1000",
 K2108&gt;=1001,"1001+"
)</f>
        <v>101–250</v>
      </c>
    </row>
    <row r="2109" spans="1:12" x14ac:dyDescent="0.3">
      <c r="A2109" t="s">
        <v>4082</v>
      </c>
      <c r="B2109" t="s">
        <v>13</v>
      </c>
      <c r="C2109" t="s">
        <v>5777</v>
      </c>
      <c r="D2109" t="s">
        <v>3186</v>
      </c>
      <c r="E2109" t="s">
        <v>15</v>
      </c>
      <c r="F2109" t="s">
        <v>20</v>
      </c>
      <c r="G2109" t="s">
        <v>4083</v>
      </c>
      <c r="J2109" t="s">
        <v>5738</v>
      </c>
      <c r="K2109">
        <v>140</v>
      </c>
      <c r="L2109" t="str" cm="1">
        <f t="array" ref="L2109">_xlfn.IFS(
 K2109&lt;=50,"≤50",
 AND(K2109&gt;=51,K2109&lt;=100),"51–100",
 AND(K2109&gt;=101,K2109&lt;=250),"101–250",
 AND(K2109&gt;=251,K2109&lt;=500),"251–500",
 AND(K2109&gt;=501,K2109&lt;=1000),"501–1000",
 K2109&gt;=1001,"1001+"
)</f>
        <v>101–250</v>
      </c>
    </row>
    <row r="2110" spans="1:12" x14ac:dyDescent="0.3">
      <c r="A2110" t="s">
        <v>4084</v>
      </c>
      <c r="B2110" t="s">
        <v>9</v>
      </c>
      <c r="C2110" t="s">
        <v>5780</v>
      </c>
      <c r="D2110" t="s">
        <v>4085</v>
      </c>
      <c r="F2110" t="s">
        <v>5770</v>
      </c>
      <c r="J2110" t="s">
        <v>5737</v>
      </c>
      <c r="K2110">
        <v>140</v>
      </c>
      <c r="L2110" t="str" cm="1">
        <f t="array" ref="L2110">_xlfn.IFS(
 K2110&lt;=50,"≤50",
 AND(K2110&gt;=51,K2110&lt;=100),"51–100",
 AND(K2110&gt;=101,K2110&lt;=250),"101–250",
 AND(K2110&gt;=251,K2110&lt;=500),"251–500",
 AND(K2110&gt;=501,K2110&lt;=1000),"501–1000",
 K2110&gt;=1001,"1001+"
)</f>
        <v>101–250</v>
      </c>
    </row>
    <row r="2111" spans="1:12" x14ac:dyDescent="0.3">
      <c r="A2111" t="s">
        <v>4086</v>
      </c>
      <c r="B2111" t="s">
        <v>11</v>
      </c>
      <c r="C2111" t="s">
        <v>5776</v>
      </c>
      <c r="F2111" t="s">
        <v>5770</v>
      </c>
      <c r="J2111" t="s">
        <v>5746</v>
      </c>
      <c r="K2111">
        <v>140</v>
      </c>
      <c r="L2111" t="str" cm="1">
        <f t="array" ref="L2111">_xlfn.IFS(
 K2111&lt;=50,"≤50",
 AND(K2111&gt;=51,K2111&lt;=100),"51–100",
 AND(K2111&gt;=101,K2111&lt;=250),"101–250",
 AND(K2111&gt;=251,K2111&lt;=500),"251–500",
 AND(K2111&gt;=501,K2111&lt;=1000),"501–1000",
 K2111&gt;=1001,"1001+"
)</f>
        <v>101–250</v>
      </c>
    </row>
    <row r="2112" spans="1:12" x14ac:dyDescent="0.3">
      <c r="A2112" t="s">
        <v>4087</v>
      </c>
      <c r="B2112" t="s">
        <v>13</v>
      </c>
      <c r="C2112" t="s">
        <v>5777</v>
      </c>
      <c r="D2112" t="s">
        <v>2388</v>
      </c>
      <c r="E2112" t="s">
        <v>15</v>
      </c>
      <c r="F2112" t="s">
        <v>54</v>
      </c>
      <c r="G2112" t="s">
        <v>4088</v>
      </c>
      <c r="J2112" t="s">
        <v>5737</v>
      </c>
      <c r="K2112">
        <v>140</v>
      </c>
      <c r="L2112" t="str" cm="1">
        <f t="array" ref="L2112">_xlfn.IFS(
 K2112&lt;=50,"≤50",
 AND(K2112&gt;=51,K2112&lt;=100),"51–100",
 AND(K2112&gt;=101,K2112&lt;=250),"101–250",
 AND(K2112&gt;=251,K2112&lt;=500),"251–500",
 AND(K2112&gt;=501,K2112&lt;=1000),"501–1000",
 K2112&gt;=1001,"1001+"
)</f>
        <v>101–250</v>
      </c>
    </row>
    <row r="2113" spans="1:12" x14ac:dyDescent="0.3">
      <c r="A2113" t="s">
        <v>4089</v>
      </c>
      <c r="B2113" t="s">
        <v>9</v>
      </c>
      <c r="C2113" t="s">
        <v>5780</v>
      </c>
      <c r="D2113" t="s">
        <v>4090</v>
      </c>
      <c r="E2113" t="s">
        <v>15</v>
      </c>
      <c r="F2113" t="s">
        <v>20</v>
      </c>
      <c r="G2113" t="s">
        <v>4091</v>
      </c>
      <c r="J2113" t="s">
        <v>5737</v>
      </c>
      <c r="K2113">
        <v>140</v>
      </c>
      <c r="L2113" t="str" cm="1">
        <f t="array" ref="L2113">_xlfn.IFS(
 K2113&lt;=50,"≤50",
 AND(K2113&gt;=51,K2113&lt;=100),"51–100",
 AND(K2113&gt;=101,K2113&lt;=250),"101–250",
 AND(K2113&gt;=251,K2113&lt;=500),"251–500",
 AND(K2113&gt;=501,K2113&lt;=1000),"501–1000",
 K2113&gt;=1001,"1001+"
)</f>
        <v>101–250</v>
      </c>
    </row>
    <row r="2114" spans="1:12" x14ac:dyDescent="0.3">
      <c r="A2114" t="s">
        <v>4092</v>
      </c>
      <c r="B2114" t="s">
        <v>9</v>
      </c>
      <c r="C2114" t="s">
        <v>5780</v>
      </c>
      <c r="D2114" t="s">
        <v>4093</v>
      </c>
      <c r="F2114" t="s">
        <v>5770</v>
      </c>
      <c r="J2114" t="s">
        <v>5751</v>
      </c>
      <c r="K2114">
        <v>140</v>
      </c>
      <c r="L2114" t="str" cm="1">
        <f t="array" ref="L2114">_xlfn.IFS(
 K2114&lt;=50,"≤50",
 AND(K2114&gt;=51,K2114&lt;=100),"51–100",
 AND(K2114&gt;=101,K2114&lt;=250),"101–250",
 AND(K2114&gt;=251,K2114&lt;=500),"251–500",
 AND(K2114&gt;=501,K2114&lt;=1000),"501–1000",
 K2114&gt;=1001,"1001+"
)</f>
        <v>101–250</v>
      </c>
    </row>
    <row r="2115" spans="1:12" x14ac:dyDescent="0.3">
      <c r="A2115" t="s">
        <v>4094</v>
      </c>
      <c r="B2115" t="s">
        <v>13</v>
      </c>
      <c r="C2115" t="s">
        <v>5777</v>
      </c>
      <c r="D2115" t="s">
        <v>4095</v>
      </c>
      <c r="F2115" t="s">
        <v>20</v>
      </c>
      <c r="G2115" t="s">
        <v>135</v>
      </c>
      <c r="J2115" t="s">
        <v>5753</v>
      </c>
      <c r="K2115">
        <v>140</v>
      </c>
      <c r="L2115" t="str" cm="1">
        <f t="array" ref="L2115">_xlfn.IFS(
 K2115&lt;=50,"≤50",
 AND(K2115&gt;=51,K2115&lt;=100),"51–100",
 AND(K2115&gt;=101,K2115&lt;=250),"101–250",
 AND(K2115&gt;=251,K2115&lt;=500),"251–500",
 AND(K2115&gt;=501,K2115&lt;=1000),"501–1000",
 K2115&gt;=1001,"1001+"
)</f>
        <v>101–250</v>
      </c>
    </row>
    <row r="2116" spans="1:12" x14ac:dyDescent="0.3">
      <c r="A2116" t="s">
        <v>4096</v>
      </c>
      <c r="B2116" t="s">
        <v>9</v>
      </c>
      <c r="C2116" t="s">
        <v>5780</v>
      </c>
      <c r="D2116" t="s">
        <v>4097</v>
      </c>
      <c r="E2116" t="s">
        <v>15</v>
      </c>
      <c r="F2116" t="s">
        <v>16</v>
      </c>
      <c r="G2116" t="s">
        <v>88</v>
      </c>
      <c r="J2116" t="s">
        <v>5741</v>
      </c>
      <c r="K2116">
        <v>140</v>
      </c>
      <c r="L2116" t="str" cm="1">
        <f t="array" ref="L2116">_xlfn.IFS(
 K2116&lt;=50,"≤50",
 AND(K2116&gt;=51,K2116&lt;=100),"51–100",
 AND(K2116&gt;=101,K2116&lt;=250),"101–250",
 AND(K2116&gt;=251,K2116&lt;=500),"251–500",
 AND(K2116&gt;=501,K2116&lt;=1000),"501–1000",
 K2116&gt;=1001,"1001+"
)</f>
        <v>101–250</v>
      </c>
    </row>
    <row r="2117" spans="1:12" x14ac:dyDescent="0.3">
      <c r="A2117" t="s">
        <v>4098</v>
      </c>
      <c r="B2117" t="s">
        <v>9</v>
      </c>
      <c r="C2117" t="s">
        <v>5780</v>
      </c>
      <c r="D2117" t="s">
        <v>4099</v>
      </c>
      <c r="E2117" t="s">
        <v>15</v>
      </c>
      <c r="F2117" t="s">
        <v>54</v>
      </c>
      <c r="G2117" t="s">
        <v>4100</v>
      </c>
      <c r="J2117" t="s">
        <v>5742</v>
      </c>
      <c r="K2117">
        <v>143</v>
      </c>
      <c r="L2117" t="str" cm="1">
        <f t="array" ref="L2117">_xlfn.IFS(
 K2117&lt;=50,"≤50",
 AND(K2117&gt;=51,K2117&lt;=100),"51–100",
 AND(K2117&gt;=101,K2117&lt;=250),"101–250",
 AND(K2117&gt;=251,K2117&lt;=500),"251–500",
 AND(K2117&gt;=501,K2117&lt;=1000),"501–1000",
 K2117&gt;=1001,"1001+"
)</f>
        <v>101–250</v>
      </c>
    </row>
    <row r="2118" spans="1:12" x14ac:dyDescent="0.3">
      <c r="A2118" t="s">
        <v>4101</v>
      </c>
      <c r="B2118" t="s">
        <v>13</v>
      </c>
      <c r="C2118" t="s">
        <v>5777</v>
      </c>
      <c r="D2118" t="s">
        <v>4102</v>
      </c>
      <c r="F2118" t="s">
        <v>54</v>
      </c>
      <c r="G2118" t="s">
        <v>4103</v>
      </c>
      <c r="J2118" t="s">
        <v>5742</v>
      </c>
      <c r="K2118">
        <v>144</v>
      </c>
      <c r="L2118" t="str" cm="1">
        <f t="array" ref="L2118">_xlfn.IFS(
 K2118&lt;=50,"≤50",
 AND(K2118&gt;=51,K2118&lt;=100),"51–100",
 AND(K2118&gt;=101,K2118&lt;=250),"101–250",
 AND(K2118&gt;=251,K2118&lt;=500),"251–500",
 AND(K2118&gt;=501,K2118&lt;=1000),"501–1000",
 K2118&gt;=1001,"1001+"
)</f>
        <v>101–250</v>
      </c>
    </row>
    <row r="2119" spans="1:12" x14ac:dyDescent="0.3">
      <c r="A2119" t="s">
        <v>4104</v>
      </c>
      <c r="B2119" t="s">
        <v>9</v>
      </c>
      <c r="C2119" t="s">
        <v>5780</v>
      </c>
      <c r="D2119" t="s">
        <v>4105</v>
      </c>
      <c r="F2119" t="s">
        <v>5770</v>
      </c>
      <c r="J2119" t="s">
        <v>5744</v>
      </c>
      <c r="K2119">
        <v>145</v>
      </c>
      <c r="L2119" t="str" cm="1">
        <f t="array" ref="L2119">_xlfn.IFS(
 K2119&lt;=50,"≤50",
 AND(K2119&gt;=51,K2119&lt;=100),"51–100",
 AND(K2119&gt;=101,K2119&lt;=250),"101–250",
 AND(K2119&gt;=251,K2119&lt;=500),"251–500",
 AND(K2119&gt;=501,K2119&lt;=1000),"501–1000",
 K2119&gt;=1001,"1001+"
)</f>
        <v>101–250</v>
      </c>
    </row>
    <row r="2120" spans="1:12" x14ac:dyDescent="0.3">
      <c r="A2120" t="s">
        <v>4106</v>
      </c>
      <c r="B2120" t="s">
        <v>9</v>
      </c>
      <c r="C2120" t="s">
        <v>5780</v>
      </c>
      <c r="D2120" t="s">
        <v>4107</v>
      </c>
      <c r="F2120" t="s">
        <v>54</v>
      </c>
      <c r="G2120" t="s">
        <v>4108</v>
      </c>
      <c r="J2120" t="s">
        <v>5759</v>
      </c>
      <c r="K2120">
        <v>145</v>
      </c>
      <c r="L2120" t="str" cm="1">
        <f t="array" ref="L2120">_xlfn.IFS(
 K2120&lt;=50,"≤50",
 AND(K2120&gt;=51,K2120&lt;=100),"51–100",
 AND(K2120&gt;=101,K2120&lt;=250),"101–250",
 AND(K2120&gt;=251,K2120&lt;=500),"251–500",
 AND(K2120&gt;=501,K2120&lt;=1000),"501–1000",
 K2120&gt;=1001,"1001+"
)</f>
        <v>101–250</v>
      </c>
    </row>
    <row r="2121" spans="1:12" x14ac:dyDescent="0.3">
      <c r="A2121" t="s">
        <v>4109</v>
      </c>
      <c r="B2121" t="s">
        <v>9</v>
      </c>
      <c r="C2121" t="s">
        <v>5780</v>
      </c>
      <c r="D2121" t="s">
        <v>691</v>
      </c>
      <c r="E2121" t="s">
        <v>15</v>
      </c>
      <c r="F2121" t="s">
        <v>54</v>
      </c>
      <c r="G2121" t="s">
        <v>588</v>
      </c>
      <c r="J2121" t="s">
        <v>5738</v>
      </c>
      <c r="K2121">
        <v>145</v>
      </c>
      <c r="L2121" t="str" cm="1">
        <f t="array" ref="L2121">_xlfn.IFS(
 K2121&lt;=50,"≤50",
 AND(K2121&gt;=51,K2121&lt;=100),"51–100",
 AND(K2121&gt;=101,K2121&lt;=250),"101–250",
 AND(K2121&gt;=251,K2121&lt;=500),"251–500",
 AND(K2121&gt;=501,K2121&lt;=1000),"501–1000",
 K2121&gt;=1001,"1001+"
)</f>
        <v>101–250</v>
      </c>
    </row>
    <row r="2122" spans="1:12" x14ac:dyDescent="0.3">
      <c r="A2122" t="s">
        <v>4110</v>
      </c>
      <c r="B2122" t="s">
        <v>11</v>
      </c>
      <c r="C2122" t="s">
        <v>5776</v>
      </c>
      <c r="F2122" t="s">
        <v>5770</v>
      </c>
      <c r="J2122" t="s">
        <v>5737</v>
      </c>
      <c r="K2122">
        <v>149</v>
      </c>
      <c r="L2122" t="str" cm="1">
        <f t="array" ref="L2122">_xlfn.IFS(
 K2122&lt;=50,"≤50",
 AND(K2122&gt;=51,K2122&lt;=100),"51–100",
 AND(K2122&gt;=101,K2122&lt;=250),"101–250",
 AND(K2122&gt;=251,K2122&lt;=500),"251–500",
 AND(K2122&gt;=501,K2122&lt;=1000),"501–1000",
 K2122&gt;=1001,"1001+"
)</f>
        <v>101–250</v>
      </c>
    </row>
    <row r="2123" spans="1:12" x14ac:dyDescent="0.3">
      <c r="A2123" t="s">
        <v>4111</v>
      </c>
      <c r="B2123" t="s">
        <v>11</v>
      </c>
      <c r="C2123" t="s">
        <v>5776</v>
      </c>
      <c r="F2123" t="s">
        <v>5770</v>
      </c>
      <c r="J2123" t="s">
        <v>5737</v>
      </c>
      <c r="K2123">
        <v>150</v>
      </c>
      <c r="L2123" t="str" cm="1">
        <f t="array" ref="L2123">_xlfn.IFS(
 K2123&lt;=50,"≤50",
 AND(K2123&gt;=51,K2123&lt;=100),"51–100",
 AND(K2123&gt;=101,K2123&lt;=250),"101–250",
 AND(K2123&gt;=251,K2123&lt;=500),"251–500",
 AND(K2123&gt;=501,K2123&lt;=1000),"501–1000",
 K2123&gt;=1001,"1001+"
)</f>
        <v>101–250</v>
      </c>
    </row>
    <row r="2124" spans="1:12" x14ac:dyDescent="0.3">
      <c r="A2124" t="s">
        <v>4112</v>
      </c>
      <c r="B2124" t="s">
        <v>9</v>
      </c>
      <c r="C2124" t="s">
        <v>5780</v>
      </c>
      <c r="D2124" t="s">
        <v>4113</v>
      </c>
      <c r="E2124" t="s">
        <v>15</v>
      </c>
      <c r="F2124" t="s">
        <v>54</v>
      </c>
      <c r="G2124" t="s">
        <v>4114</v>
      </c>
      <c r="J2124" t="s">
        <v>5752</v>
      </c>
      <c r="K2124">
        <v>150</v>
      </c>
      <c r="L2124" t="str" cm="1">
        <f t="array" ref="L2124">_xlfn.IFS(
 K2124&lt;=50,"≤50",
 AND(K2124&gt;=51,K2124&lt;=100),"51–100",
 AND(K2124&gt;=101,K2124&lt;=250),"101–250",
 AND(K2124&gt;=251,K2124&lt;=500),"251–500",
 AND(K2124&gt;=501,K2124&lt;=1000),"501–1000",
 K2124&gt;=1001,"1001+"
)</f>
        <v>101–250</v>
      </c>
    </row>
    <row r="2125" spans="1:12" x14ac:dyDescent="0.3">
      <c r="A2125" t="s">
        <v>4115</v>
      </c>
      <c r="B2125" t="s">
        <v>13</v>
      </c>
      <c r="C2125" t="s">
        <v>5777</v>
      </c>
      <c r="D2125" t="s">
        <v>4116</v>
      </c>
      <c r="F2125" t="s">
        <v>20</v>
      </c>
      <c r="G2125" t="s">
        <v>21</v>
      </c>
      <c r="J2125" t="s">
        <v>5737</v>
      </c>
      <c r="K2125">
        <v>150</v>
      </c>
      <c r="L2125" t="str" cm="1">
        <f t="array" ref="L2125">_xlfn.IFS(
 K2125&lt;=50,"≤50",
 AND(K2125&gt;=51,K2125&lt;=100),"51–100",
 AND(K2125&gt;=101,K2125&lt;=250),"101–250",
 AND(K2125&gt;=251,K2125&lt;=500),"251–500",
 AND(K2125&gt;=501,K2125&lt;=1000),"501–1000",
 K2125&gt;=1001,"1001+"
)</f>
        <v>101–250</v>
      </c>
    </row>
    <row r="2126" spans="1:12" x14ac:dyDescent="0.3">
      <c r="A2126" t="s">
        <v>4117</v>
      </c>
      <c r="B2126" t="s">
        <v>9</v>
      </c>
      <c r="C2126" t="s">
        <v>5780</v>
      </c>
      <c r="D2126" t="s">
        <v>4118</v>
      </c>
      <c r="E2126" t="s">
        <v>15</v>
      </c>
      <c r="F2126" t="s">
        <v>54</v>
      </c>
      <c r="G2126" t="s">
        <v>1284</v>
      </c>
      <c r="J2126" t="s">
        <v>5738</v>
      </c>
      <c r="K2126">
        <v>150</v>
      </c>
      <c r="L2126" t="str" cm="1">
        <f t="array" ref="L2126">_xlfn.IFS(
 K2126&lt;=50,"≤50",
 AND(K2126&gt;=51,K2126&lt;=100),"51–100",
 AND(K2126&gt;=101,K2126&lt;=250),"101–250",
 AND(K2126&gt;=251,K2126&lt;=500),"251–500",
 AND(K2126&gt;=501,K2126&lt;=1000),"501–1000",
 K2126&gt;=1001,"1001+"
)</f>
        <v>101–250</v>
      </c>
    </row>
    <row r="2127" spans="1:12" x14ac:dyDescent="0.3">
      <c r="A2127" t="s">
        <v>4119</v>
      </c>
      <c r="B2127" t="s">
        <v>13</v>
      </c>
      <c r="C2127" t="s">
        <v>5777</v>
      </c>
      <c r="D2127" t="s">
        <v>4120</v>
      </c>
      <c r="E2127" t="s">
        <v>15</v>
      </c>
      <c r="F2127" t="s">
        <v>5770</v>
      </c>
      <c r="J2127" t="s">
        <v>5737</v>
      </c>
      <c r="K2127">
        <v>150</v>
      </c>
      <c r="L2127" t="str" cm="1">
        <f t="array" ref="L2127">_xlfn.IFS(
 K2127&lt;=50,"≤50",
 AND(K2127&gt;=51,K2127&lt;=100),"51–100",
 AND(K2127&gt;=101,K2127&lt;=250),"101–250",
 AND(K2127&gt;=251,K2127&lt;=500),"251–500",
 AND(K2127&gt;=501,K2127&lt;=1000),"501–1000",
 K2127&gt;=1001,"1001+"
)</f>
        <v>101–250</v>
      </c>
    </row>
    <row r="2128" spans="1:12" x14ac:dyDescent="0.3">
      <c r="A2128" t="s">
        <v>4121</v>
      </c>
      <c r="B2128" t="s">
        <v>9</v>
      </c>
      <c r="C2128" t="s">
        <v>5780</v>
      </c>
      <c r="D2128" t="s">
        <v>4122</v>
      </c>
      <c r="E2128" t="s">
        <v>15</v>
      </c>
      <c r="F2128" t="s">
        <v>16</v>
      </c>
      <c r="G2128" t="s">
        <v>4123</v>
      </c>
      <c r="J2128" t="s">
        <v>5737</v>
      </c>
      <c r="K2128">
        <v>150</v>
      </c>
      <c r="L2128" t="str" cm="1">
        <f t="array" ref="L2128">_xlfn.IFS(
 K2128&lt;=50,"≤50",
 AND(K2128&gt;=51,K2128&lt;=100),"51–100",
 AND(K2128&gt;=101,K2128&lt;=250),"101–250",
 AND(K2128&gt;=251,K2128&lt;=500),"251–500",
 AND(K2128&gt;=501,K2128&lt;=1000),"501–1000",
 K2128&gt;=1001,"1001+"
)</f>
        <v>101–250</v>
      </c>
    </row>
    <row r="2129" spans="1:12" x14ac:dyDescent="0.3">
      <c r="A2129" t="s">
        <v>4124</v>
      </c>
      <c r="B2129" t="s">
        <v>9</v>
      </c>
      <c r="C2129" t="s">
        <v>5780</v>
      </c>
      <c r="D2129" t="s">
        <v>4125</v>
      </c>
      <c r="F2129" t="s">
        <v>54</v>
      </c>
      <c r="G2129" t="s">
        <v>4126</v>
      </c>
      <c r="J2129" t="s">
        <v>5737</v>
      </c>
      <c r="K2129">
        <v>150</v>
      </c>
      <c r="L2129" t="str" cm="1">
        <f t="array" ref="L2129">_xlfn.IFS(
 K2129&lt;=50,"≤50",
 AND(K2129&gt;=51,K2129&lt;=100),"51–100",
 AND(K2129&gt;=101,K2129&lt;=250),"101–250",
 AND(K2129&gt;=251,K2129&lt;=500),"251–500",
 AND(K2129&gt;=501,K2129&lt;=1000),"501–1000",
 K2129&gt;=1001,"1001+"
)</f>
        <v>101–250</v>
      </c>
    </row>
    <row r="2130" spans="1:12" x14ac:dyDescent="0.3">
      <c r="A2130" t="s">
        <v>4127</v>
      </c>
      <c r="B2130" t="s">
        <v>11</v>
      </c>
      <c r="C2130" t="s">
        <v>5776</v>
      </c>
      <c r="F2130" t="s">
        <v>5770</v>
      </c>
      <c r="J2130" t="s">
        <v>5737</v>
      </c>
      <c r="K2130">
        <v>150</v>
      </c>
      <c r="L2130" t="str" cm="1">
        <f t="array" ref="L2130">_xlfn.IFS(
 K2130&lt;=50,"≤50",
 AND(K2130&gt;=51,K2130&lt;=100),"51–100",
 AND(K2130&gt;=101,K2130&lt;=250),"101–250",
 AND(K2130&gt;=251,K2130&lt;=500),"251–500",
 AND(K2130&gt;=501,K2130&lt;=1000),"501–1000",
 K2130&gt;=1001,"1001+"
)</f>
        <v>101–250</v>
      </c>
    </row>
    <row r="2131" spans="1:12" x14ac:dyDescent="0.3">
      <c r="A2131" t="s">
        <v>4128</v>
      </c>
      <c r="B2131" t="s">
        <v>13</v>
      </c>
      <c r="C2131" t="s">
        <v>5777</v>
      </c>
      <c r="D2131" t="s">
        <v>314</v>
      </c>
      <c r="F2131" t="s">
        <v>5770</v>
      </c>
      <c r="J2131" t="s">
        <v>5744</v>
      </c>
      <c r="K2131">
        <v>150</v>
      </c>
      <c r="L2131" t="str" cm="1">
        <f t="array" ref="L2131">_xlfn.IFS(
 K2131&lt;=50,"≤50",
 AND(K2131&gt;=51,K2131&lt;=100),"51–100",
 AND(K2131&gt;=101,K2131&lt;=250),"101–250",
 AND(K2131&gt;=251,K2131&lt;=500),"251–500",
 AND(K2131&gt;=501,K2131&lt;=1000),"501–1000",
 K2131&gt;=1001,"1001+"
)</f>
        <v>101–250</v>
      </c>
    </row>
    <row r="2132" spans="1:12" x14ac:dyDescent="0.3">
      <c r="A2132" t="s">
        <v>4129</v>
      </c>
      <c r="B2132" t="s">
        <v>197</v>
      </c>
      <c r="C2132" t="s">
        <v>5774</v>
      </c>
      <c r="D2132" t="s">
        <v>4130</v>
      </c>
      <c r="F2132" t="s">
        <v>54</v>
      </c>
      <c r="G2132" t="s">
        <v>4131</v>
      </c>
      <c r="J2132" t="s">
        <v>5737</v>
      </c>
      <c r="K2132">
        <v>150</v>
      </c>
      <c r="L2132" t="str" cm="1">
        <f t="array" ref="L2132">_xlfn.IFS(
 K2132&lt;=50,"≤50",
 AND(K2132&gt;=51,K2132&lt;=100),"51–100",
 AND(K2132&gt;=101,K2132&lt;=250),"101–250",
 AND(K2132&gt;=251,K2132&lt;=500),"251–500",
 AND(K2132&gt;=501,K2132&lt;=1000),"501–1000",
 K2132&gt;=1001,"1001+"
)</f>
        <v>101–250</v>
      </c>
    </row>
    <row r="2133" spans="1:12" x14ac:dyDescent="0.3">
      <c r="A2133" t="s">
        <v>4132</v>
      </c>
      <c r="B2133" t="s">
        <v>11</v>
      </c>
      <c r="C2133" t="s">
        <v>5776</v>
      </c>
      <c r="F2133" t="s">
        <v>5770</v>
      </c>
      <c r="J2133" t="s">
        <v>5737</v>
      </c>
      <c r="K2133">
        <v>150</v>
      </c>
      <c r="L2133" t="str" cm="1">
        <f t="array" ref="L2133">_xlfn.IFS(
 K2133&lt;=50,"≤50",
 AND(K2133&gt;=51,K2133&lt;=100),"51–100",
 AND(K2133&gt;=101,K2133&lt;=250),"101–250",
 AND(K2133&gt;=251,K2133&lt;=500),"251–500",
 AND(K2133&gt;=501,K2133&lt;=1000),"501–1000",
 K2133&gt;=1001,"1001+"
)</f>
        <v>101–250</v>
      </c>
    </row>
    <row r="2134" spans="1:12" x14ac:dyDescent="0.3">
      <c r="A2134" t="s">
        <v>4133</v>
      </c>
      <c r="B2134" t="s">
        <v>11</v>
      </c>
      <c r="C2134" t="s">
        <v>5776</v>
      </c>
      <c r="F2134" t="s">
        <v>5770</v>
      </c>
      <c r="J2134" t="s">
        <v>5737</v>
      </c>
      <c r="K2134">
        <v>150</v>
      </c>
      <c r="L2134" t="str" cm="1">
        <f t="array" ref="L2134">_xlfn.IFS(
 K2134&lt;=50,"≤50",
 AND(K2134&gt;=51,K2134&lt;=100),"51–100",
 AND(K2134&gt;=101,K2134&lt;=250),"101–250",
 AND(K2134&gt;=251,K2134&lt;=500),"251–500",
 AND(K2134&gt;=501,K2134&lt;=1000),"501–1000",
 K2134&gt;=1001,"1001+"
)</f>
        <v>101–250</v>
      </c>
    </row>
    <row r="2135" spans="1:12" x14ac:dyDescent="0.3">
      <c r="A2135" t="s">
        <v>4134</v>
      </c>
      <c r="B2135" t="s">
        <v>9</v>
      </c>
      <c r="C2135" t="s">
        <v>5780</v>
      </c>
      <c r="D2135" t="s">
        <v>4135</v>
      </c>
      <c r="E2135" t="s">
        <v>15</v>
      </c>
      <c r="F2135" t="s">
        <v>20</v>
      </c>
      <c r="G2135" t="s">
        <v>21</v>
      </c>
      <c r="J2135" t="s">
        <v>5738</v>
      </c>
      <c r="K2135">
        <v>150</v>
      </c>
      <c r="L2135" t="str" cm="1">
        <f t="array" ref="L2135">_xlfn.IFS(
 K2135&lt;=50,"≤50",
 AND(K2135&gt;=51,K2135&lt;=100),"51–100",
 AND(K2135&gt;=101,K2135&lt;=250),"101–250",
 AND(K2135&gt;=251,K2135&lt;=500),"251–500",
 AND(K2135&gt;=501,K2135&lt;=1000),"501–1000",
 K2135&gt;=1001,"1001+"
)</f>
        <v>101–250</v>
      </c>
    </row>
    <row r="2136" spans="1:12" x14ac:dyDescent="0.3">
      <c r="A2136" t="s">
        <v>4136</v>
      </c>
      <c r="B2136" t="s">
        <v>13</v>
      </c>
      <c r="C2136" t="s">
        <v>5777</v>
      </c>
      <c r="D2136" t="s">
        <v>4137</v>
      </c>
      <c r="E2136" t="s">
        <v>15</v>
      </c>
      <c r="F2136" t="s">
        <v>5770</v>
      </c>
      <c r="J2136" t="s">
        <v>5743</v>
      </c>
      <c r="K2136">
        <v>150</v>
      </c>
      <c r="L2136" t="str" cm="1">
        <f t="array" ref="L2136">_xlfn.IFS(
 K2136&lt;=50,"≤50",
 AND(K2136&gt;=51,K2136&lt;=100),"51–100",
 AND(K2136&gt;=101,K2136&lt;=250),"101–250",
 AND(K2136&gt;=251,K2136&lt;=500),"251–500",
 AND(K2136&gt;=501,K2136&lt;=1000),"501–1000",
 K2136&gt;=1001,"1001+"
)</f>
        <v>101–250</v>
      </c>
    </row>
    <row r="2137" spans="1:12" x14ac:dyDescent="0.3">
      <c r="A2137" t="s">
        <v>4138</v>
      </c>
      <c r="B2137" t="s">
        <v>13</v>
      </c>
      <c r="C2137" t="s">
        <v>5777</v>
      </c>
      <c r="D2137" t="s">
        <v>4139</v>
      </c>
      <c r="E2137" t="s">
        <v>15</v>
      </c>
      <c r="F2137" t="s">
        <v>20</v>
      </c>
      <c r="G2137" t="s">
        <v>4140</v>
      </c>
      <c r="J2137" t="s">
        <v>5737</v>
      </c>
      <c r="K2137">
        <v>150</v>
      </c>
      <c r="L2137" t="str" cm="1">
        <f t="array" ref="L2137">_xlfn.IFS(
 K2137&lt;=50,"≤50",
 AND(K2137&gt;=51,K2137&lt;=100),"51–100",
 AND(K2137&gt;=101,K2137&lt;=250),"101–250",
 AND(K2137&gt;=251,K2137&lt;=500),"251–500",
 AND(K2137&gt;=501,K2137&lt;=1000),"501–1000",
 K2137&gt;=1001,"1001+"
)</f>
        <v>101–250</v>
      </c>
    </row>
    <row r="2138" spans="1:12" x14ac:dyDescent="0.3">
      <c r="A2138" t="s">
        <v>4141</v>
      </c>
      <c r="B2138" t="s">
        <v>13</v>
      </c>
      <c r="C2138" t="s">
        <v>5777</v>
      </c>
      <c r="D2138" t="s">
        <v>4142</v>
      </c>
      <c r="E2138" t="s">
        <v>15</v>
      </c>
      <c r="F2138" t="s">
        <v>16</v>
      </c>
      <c r="G2138" t="s">
        <v>1298</v>
      </c>
      <c r="J2138" t="s">
        <v>5737</v>
      </c>
      <c r="K2138">
        <v>150</v>
      </c>
      <c r="L2138" t="str" cm="1">
        <f t="array" ref="L2138">_xlfn.IFS(
 K2138&lt;=50,"≤50",
 AND(K2138&gt;=51,K2138&lt;=100),"51–100",
 AND(K2138&gt;=101,K2138&lt;=250),"101–250",
 AND(K2138&gt;=251,K2138&lt;=500),"251–500",
 AND(K2138&gt;=501,K2138&lt;=1000),"501–1000",
 K2138&gt;=1001,"1001+"
)</f>
        <v>101–250</v>
      </c>
    </row>
    <row r="2139" spans="1:12" x14ac:dyDescent="0.3">
      <c r="A2139" t="s">
        <v>4143</v>
      </c>
      <c r="B2139" t="s">
        <v>9</v>
      </c>
      <c r="C2139" t="s">
        <v>5780</v>
      </c>
      <c r="D2139" t="s">
        <v>4144</v>
      </c>
      <c r="F2139" t="s">
        <v>20</v>
      </c>
      <c r="G2139" t="s">
        <v>21</v>
      </c>
      <c r="J2139" t="s">
        <v>5739</v>
      </c>
      <c r="K2139">
        <v>150</v>
      </c>
      <c r="L2139" t="str" cm="1">
        <f t="array" ref="L2139">_xlfn.IFS(
 K2139&lt;=50,"≤50",
 AND(K2139&gt;=51,K2139&lt;=100),"51–100",
 AND(K2139&gt;=101,K2139&lt;=250),"101–250",
 AND(K2139&gt;=251,K2139&lt;=500),"251–500",
 AND(K2139&gt;=501,K2139&lt;=1000),"501–1000",
 K2139&gt;=1001,"1001+"
)</f>
        <v>101–250</v>
      </c>
    </row>
    <row r="2140" spans="1:12" x14ac:dyDescent="0.3">
      <c r="A2140" t="s">
        <v>4145</v>
      </c>
      <c r="B2140" t="s">
        <v>9</v>
      </c>
      <c r="C2140" t="s">
        <v>5780</v>
      </c>
      <c r="D2140" t="s">
        <v>3812</v>
      </c>
      <c r="E2140" t="s">
        <v>15</v>
      </c>
      <c r="F2140" t="s">
        <v>20</v>
      </c>
      <c r="G2140" t="s">
        <v>4146</v>
      </c>
      <c r="J2140" t="s">
        <v>5759</v>
      </c>
      <c r="K2140">
        <v>150</v>
      </c>
      <c r="L2140" t="str" cm="1">
        <f t="array" ref="L2140">_xlfn.IFS(
 K2140&lt;=50,"≤50",
 AND(K2140&gt;=51,K2140&lt;=100),"51–100",
 AND(K2140&gt;=101,K2140&lt;=250),"101–250",
 AND(K2140&gt;=251,K2140&lt;=500),"251–500",
 AND(K2140&gt;=501,K2140&lt;=1000),"501–1000",
 K2140&gt;=1001,"1001+"
)</f>
        <v>101–250</v>
      </c>
    </row>
    <row r="2141" spans="1:12" x14ac:dyDescent="0.3">
      <c r="A2141" t="s">
        <v>4147</v>
      </c>
      <c r="B2141" t="s">
        <v>9</v>
      </c>
      <c r="C2141" t="s">
        <v>5780</v>
      </c>
      <c r="D2141" t="s">
        <v>4148</v>
      </c>
      <c r="E2141" t="s">
        <v>15</v>
      </c>
      <c r="F2141" t="s">
        <v>16</v>
      </c>
      <c r="G2141" t="s">
        <v>528</v>
      </c>
      <c r="J2141" t="s">
        <v>5737</v>
      </c>
      <c r="K2141">
        <v>150</v>
      </c>
      <c r="L2141" t="str" cm="1">
        <f t="array" ref="L2141">_xlfn.IFS(
 K2141&lt;=50,"≤50",
 AND(K2141&gt;=51,K2141&lt;=100),"51–100",
 AND(K2141&gt;=101,K2141&lt;=250),"101–250",
 AND(K2141&gt;=251,K2141&lt;=500),"251–500",
 AND(K2141&gt;=501,K2141&lt;=1000),"501–1000",
 K2141&gt;=1001,"1001+"
)</f>
        <v>101–250</v>
      </c>
    </row>
    <row r="2142" spans="1:12" x14ac:dyDescent="0.3">
      <c r="A2142" t="s">
        <v>4149</v>
      </c>
      <c r="B2142" t="s">
        <v>9</v>
      </c>
      <c r="C2142" t="s">
        <v>5780</v>
      </c>
      <c r="D2142" t="s">
        <v>4150</v>
      </c>
      <c r="E2142" t="s">
        <v>15</v>
      </c>
      <c r="F2142" t="s">
        <v>20</v>
      </c>
      <c r="G2142" t="s">
        <v>4151</v>
      </c>
      <c r="J2142" t="s">
        <v>5739</v>
      </c>
      <c r="K2142">
        <v>150</v>
      </c>
      <c r="L2142" t="str" cm="1">
        <f t="array" ref="L2142">_xlfn.IFS(
 K2142&lt;=50,"≤50",
 AND(K2142&gt;=51,K2142&lt;=100),"51–100",
 AND(K2142&gt;=101,K2142&lt;=250),"101–250",
 AND(K2142&gt;=251,K2142&lt;=500),"251–500",
 AND(K2142&gt;=501,K2142&lt;=1000),"501–1000",
 K2142&gt;=1001,"1001+"
)</f>
        <v>101–250</v>
      </c>
    </row>
    <row r="2143" spans="1:12" x14ac:dyDescent="0.3">
      <c r="A2143" t="s">
        <v>4152</v>
      </c>
      <c r="B2143" t="s">
        <v>13</v>
      </c>
      <c r="C2143" t="s">
        <v>5777</v>
      </c>
      <c r="D2143" t="s">
        <v>4153</v>
      </c>
      <c r="E2143" t="s">
        <v>15</v>
      </c>
      <c r="F2143" t="s">
        <v>16</v>
      </c>
      <c r="G2143" t="s">
        <v>4154</v>
      </c>
      <c r="J2143" t="s">
        <v>5742</v>
      </c>
      <c r="K2143">
        <v>150</v>
      </c>
      <c r="L2143" t="str" cm="1">
        <f t="array" ref="L2143">_xlfn.IFS(
 K2143&lt;=50,"≤50",
 AND(K2143&gt;=51,K2143&lt;=100),"51–100",
 AND(K2143&gt;=101,K2143&lt;=250),"101–250",
 AND(K2143&gt;=251,K2143&lt;=500),"251–500",
 AND(K2143&gt;=501,K2143&lt;=1000),"501–1000",
 K2143&gt;=1001,"1001+"
)</f>
        <v>101–250</v>
      </c>
    </row>
    <row r="2144" spans="1:12" x14ac:dyDescent="0.3">
      <c r="A2144" t="s">
        <v>4155</v>
      </c>
      <c r="B2144" t="s">
        <v>9</v>
      </c>
      <c r="C2144" t="s">
        <v>5780</v>
      </c>
      <c r="D2144" t="s">
        <v>28</v>
      </c>
      <c r="E2144" t="s">
        <v>15</v>
      </c>
      <c r="F2144" t="s">
        <v>54</v>
      </c>
      <c r="G2144" t="s">
        <v>4156</v>
      </c>
      <c r="J2144" t="s">
        <v>5737</v>
      </c>
      <c r="K2144">
        <v>150</v>
      </c>
      <c r="L2144" t="str" cm="1">
        <f t="array" ref="L2144">_xlfn.IFS(
 K2144&lt;=50,"≤50",
 AND(K2144&gt;=51,K2144&lt;=100),"51–100",
 AND(K2144&gt;=101,K2144&lt;=250),"101–250",
 AND(K2144&gt;=251,K2144&lt;=500),"251–500",
 AND(K2144&gt;=501,K2144&lt;=1000),"501–1000",
 K2144&gt;=1001,"1001+"
)</f>
        <v>101–250</v>
      </c>
    </row>
    <row r="2145" spans="1:12" x14ac:dyDescent="0.3">
      <c r="A2145" t="s">
        <v>4157</v>
      </c>
      <c r="B2145" t="s">
        <v>9</v>
      </c>
      <c r="C2145" t="s">
        <v>5780</v>
      </c>
      <c r="D2145" t="s">
        <v>1848</v>
      </c>
      <c r="F2145" t="s">
        <v>5770</v>
      </c>
      <c r="J2145" t="s">
        <v>5737</v>
      </c>
      <c r="K2145">
        <v>150</v>
      </c>
      <c r="L2145" t="str" cm="1">
        <f t="array" ref="L2145">_xlfn.IFS(
 K2145&lt;=50,"≤50",
 AND(K2145&gt;=51,K2145&lt;=100),"51–100",
 AND(K2145&gt;=101,K2145&lt;=250),"101–250",
 AND(K2145&gt;=251,K2145&lt;=500),"251–500",
 AND(K2145&gt;=501,K2145&lt;=1000),"501–1000",
 K2145&gt;=1001,"1001+"
)</f>
        <v>101–250</v>
      </c>
    </row>
    <row r="2146" spans="1:12" x14ac:dyDescent="0.3">
      <c r="A2146" t="s">
        <v>4158</v>
      </c>
      <c r="B2146" t="s">
        <v>13</v>
      </c>
      <c r="C2146" t="s">
        <v>5777</v>
      </c>
      <c r="D2146" t="s">
        <v>4159</v>
      </c>
      <c r="E2146" t="s">
        <v>15</v>
      </c>
      <c r="F2146" t="s">
        <v>20</v>
      </c>
      <c r="G2146" t="s">
        <v>4160</v>
      </c>
      <c r="J2146" t="s">
        <v>5760</v>
      </c>
      <c r="K2146">
        <v>150</v>
      </c>
      <c r="L2146" t="str" cm="1">
        <f t="array" ref="L2146">_xlfn.IFS(
 K2146&lt;=50,"≤50",
 AND(K2146&gt;=51,K2146&lt;=100),"51–100",
 AND(K2146&gt;=101,K2146&lt;=250),"101–250",
 AND(K2146&gt;=251,K2146&lt;=500),"251–500",
 AND(K2146&gt;=501,K2146&lt;=1000),"501–1000",
 K2146&gt;=1001,"1001+"
)</f>
        <v>101–250</v>
      </c>
    </row>
    <row r="2147" spans="1:12" x14ac:dyDescent="0.3">
      <c r="A2147" t="s">
        <v>4161</v>
      </c>
      <c r="B2147" t="s">
        <v>9</v>
      </c>
      <c r="C2147" t="s">
        <v>5780</v>
      </c>
      <c r="D2147" t="s">
        <v>28</v>
      </c>
      <c r="E2147" t="s">
        <v>15</v>
      </c>
      <c r="F2147" t="s">
        <v>20</v>
      </c>
      <c r="G2147" t="s">
        <v>4162</v>
      </c>
      <c r="J2147" t="s">
        <v>5762</v>
      </c>
      <c r="K2147">
        <v>150</v>
      </c>
      <c r="L2147" t="str" cm="1">
        <f t="array" ref="L2147">_xlfn.IFS(
 K2147&lt;=50,"≤50",
 AND(K2147&gt;=51,K2147&lt;=100),"51–100",
 AND(K2147&gt;=101,K2147&lt;=250),"101–250",
 AND(K2147&gt;=251,K2147&lt;=500),"251–500",
 AND(K2147&gt;=501,K2147&lt;=1000),"501–1000",
 K2147&gt;=1001,"1001+"
)</f>
        <v>101–250</v>
      </c>
    </row>
    <row r="2148" spans="1:12" x14ac:dyDescent="0.3">
      <c r="A2148" t="s">
        <v>4163</v>
      </c>
      <c r="B2148" t="s">
        <v>9</v>
      </c>
      <c r="C2148" t="s">
        <v>5780</v>
      </c>
      <c r="D2148" t="s">
        <v>4164</v>
      </c>
      <c r="E2148" t="s">
        <v>15</v>
      </c>
      <c r="F2148" t="s">
        <v>20</v>
      </c>
      <c r="G2148" t="s">
        <v>21</v>
      </c>
      <c r="J2148" t="s">
        <v>5762</v>
      </c>
      <c r="K2148">
        <v>150</v>
      </c>
      <c r="L2148" t="str" cm="1">
        <f t="array" ref="L2148">_xlfn.IFS(
 K2148&lt;=50,"≤50",
 AND(K2148&gt;=51,K2148&lt;=100),"51–100",
 AND(K2148&gt;=101,K2148&lt;=250),"101–250",
 AND(K2148&gt;=251,K2148&lt;=500),"251–500",
 AND(K2148&gt;=501,K2148&lt;=1000),"501–1000",
 K2148&gt;=1001,"1001+"
)</f>
        <v>101–250</v>
      </c>
    </row>
    <row r="2149" spans="1:12" x14ac:dyDescent="0.3">
      <c r="A2149" t="s">
        <v>4165</v>
      </c>
      <c r="B2149" t="s">
        <v>13</v>
      </c>
      <c r="C2149" t="s">
        <v>5777</v>
      </c>
      <c r="D2149" t="s">
        <v>4166</v>
      </c>
      <c r="F2149" t="s">
        <v>5770</v>
      </c>
      <c r="J2149" t="s">
        <v>5738</v>
      </c>
      <c r="K2149">
        <v>150</v>
      </c>
      <c r="L2149" t="str" cm="1">
        <f t="array" ref="L2149">_xlfn.IFS(
 K2149&lt;=50,"≤50",
 AND(K2149&gt;=51,K2149&lt;=100),"51–100",
 AND(K2149&gt;=101,K2149&lt;=250),"101–250",
 AND(K2149&gt;=251,K2149&lt;=500),"251–500",
 AND(K2149&gt;=501,K2149&lt;=1000),"501–1000",
 K2149&gt;=1001,"1001+"
)</f>
        <v>101–250</v>
      </c>
    </row>
    <row r="2150" spans="1:12" x14ac:dyDescent="0.3">
      <c r="A2150" t="s">
        <v>4167</v>
      </c>
      <c r="B2150" t="s">
        <v>9</v>
      </c>
      <c r="C2150" t="s">
        <v>5780</v>
      </c>
      <c r="D2150" t="s">
        <v>4168</v>
      </c>
      <c r="F2150" t="s">
        <v>20</v>
      </c>
      <c r="G2150" t="s">
        <v>4169</v>
      </c>
      <c r="J2150" t="s">
        <v>5737</v>
      </c>
      <c r="K2150">
        <v>150</v>
      </c>
      <c r="L2150" t="str" cm="1">
        <f t="array" ref="L2150">_xlfn.IFS(
 K2150&lt;=50,"≤50",
 AND(K2150&gt;=51,K2150&lt;=100),"51–100",
 AND(K2150&gt;=101,K2150&lt;=250),"101–250",
 AND(K2150&gt;=251,K2150&lt;=500),"251–500",
 AND(K2150&gt;=501,K2150&lt;=1000),"501–1000",
 K2150&gt;=1001,"1001+"
)</f>
        <v>101–250</v>
      </c>
    </row>
    <row r="2151" spans="1:12" x14ac:dyDescent="0.3">
      <c r="A2151" t="s">
        <v>4170</v>
      </c>
      <c r="B2151" t="s">
        <v>11</v>
      </c>
      <c r="C2151" t="s">
        <v>5776</v>
      </c>
      <c r="F2151" t="s">
        <v>5770</v>
      </c>
      <c r="J2151" t="s">
        <v>5737</v>
      </c>
      <c r="K2151">
        <v>150</v>
      </c>
      <c r="L2151" t="str" cm="1">
        <f t="array" ref="L2151">_xlfn.IFS(
 K2151&lt;=50,"≤50",
 AND(K2151&gt;=51,K2151&lt;=100),"51–100",
 AND(K2151&gt;=101,K2151&lt;=250),"101–250",
 AND(K2151&gt;=251,K2151&lt;=500),"251–500",
 AND(K2151&gt;=501,K2151&lt;=1000),"501–1000",
 K2151&gt;=1001,"1001+"
)</f>
        <v>101–250</v>
      </c>
    </row>
    <row r="2152" spans="1:12" x14ac:dyDescent="0.3">
      <c r="A2152" t="s">
        <v>4171</v>
      </c>
      <c r="B2152" t="s">
        <v>11</v>
      </c>
      <c r="C2152" t="s">
        <v>5776</v>
      </c>
      <c r="F2152" t="s">
        <v>5770</v>
      </c>
      <c r="J2152" t="s">
        <v>5737</v>
      </c>
      <c r="K2152">
        <v>150</v>
      </c>
      <c r="L2152" t="str" cm="1">
        <f t="array" ref="L2152">_xlfn.IFS(
 K2152&lt;=50,"≤50",
 AND(K2152&gt;=51,K2152&lt;=100),"51–100",
 AND(K2152&gt;=101,K2152&lt;=250),"101–250",
 AND(K2152&gt;=251,K2152&lt;=500),"251–500",
 AND(K2152&gt;=501,K2152&lt;=1000),"501–1000",
 K2152&gt;=1001,"1001+"
)</f>
        <v>101–250</v>
      </c>
    </row>
    <row r="2153" spans="1:12" x14ac:dyDescent="0.3">
      <c r="A2153" t="s">
        <v>4172</v>
      </c>
      <c r="B2153" t="s">
        <v>9</v>
      </c>
      <c r="C2153" t="s">
        <v>5780</v>
      </c>
      <c r="D2153" t="s">
        <v>4173</v>
      </c>
      <c r="E2153" t="s">
        <v>15</v>
      </c>
      <c r="F2153" t="s">
        <v>20</v>
      </c>
      <c r="G2153" t="s">
        <v>21</v>
      </c>
      <c r="J2153" t="s">
        <v>5737</v>
      </c>
      <c r="K2153">
        <v>150</v>
      </c>
      <c r="L2153" t="str" cm="1">
        <f t="array" ref="L2153">_xlfn.IFS(
 K2153&lt;=50,"≤50",
 AND(K2153&gt;=51,K2153&lt;=100),"51–100",
 AND(K2153&gt;=101,K2153&lt;=250),"101–250",
 AND(K2153&gt;=251,K2153&lt;=500),"251–500",
 AND(K2153&gt;=501,K2153&lt;=1000),"501–1000",
 K2153&gt;=1001,"1001+"
)</f>
        <v>101–250</v>
      </c>
    </row>
    <row r="2154" spans="1:12" x14ac:dyDescent="0.3">
      <c r="A2154" t="s">
        <v>4174</v>
      </c>
      <c r="B2154" t="s">
        <v>11</v>
      </c>
      <c r="C2154" t="s">
        <v>5776</v>
      </c>
      <c r="F2154" t="s">
        <v>5770</v>
      </c>
      <c r="J2154" t="s">
        <v>5744</v>
      </c>
      <c r="K2154">
        <v>150</v>
      </c>
      <c r="L2154" t="str" cm="1">
        <f t="array" ref="L2154">_xlfn.IFS(
 K2154&lt;=50,"≤50",
 AND(K2154&gt;=51,K2154&lt;=100),"51–100",
 AND(K2154&gt;=101,K2154&lt;=250),"101–250",
 AND(K2154&gt;=251,K2154&lt;=500),"251–500",
 AND(K2154&gt;=501,K2154&lt;=1000),"501–1000",
 K2154&gt;=1001,"1001+"
)</f>
        <v>101–250</v>
      </c>
    </row>
    <row r="2155" spans="1:12" x14ac:dyDescent="0.3">
      <c r="A2155" t="s">
        <v>4175</v>
      </c>
      <c r="B2155" t="s">
        <v>13</v>
      </c>
      <c r="C2155" t="s">
        <v>5777</v>
      </c>
      <c r="D2155" t="s">
        <v>4176</v>
      </c>
      <c r="E2155" t="s">
        <v>15</v>
      </c>
      <c r="F2155" t="s">
        <v>54</v>
      </c>
      <c r="G2155" t="s">
        <v>1171</v>
      </c>
      <c r="J2155" t="s">
        <v>5761</v>
      </c>
      <c r="K2155">
        <v>150</v>
      </c>
      <c r="L2155" t="str" cm="1">
        <f t="array" ref="L2155">_xlfn.IFS(
 K2155&lt;=50,"≤50",
 AND(K2155&gt;=51,K2155&lt;=100),"51–100",
 AND(K2155&gt;=101,K2155&lt;=250),"101–250",
 AND(K2155&gt;=251,K2155&lt;=500),"251–500",
 AND(K2155&gt;=501,K2155&lt;=1000),"501–1000",
 K2155&gt;=1001,"1001+"
)</f>
        <v>101–250</v>
      </c>
    </row>
    <row r="2156" spans="1:12" x14ac:dyDescent="0.3">
      <c r="A2156" t="s">
        <v>4177</v>
      </c>
      <c r="B2156" t="s">
        <v>13</v>
      </c>
      <c r="C2156" t="s">
        <v>5777</v>
      </c>
      <c r="D2156" t="s">
        <v>4178</v>
      </c>
      <c r="F2156" t="s">
        <v>16</v>
      </c>
      <c r="G2156" t="s">
        <v>4179</v>
      </c>
      <c r="J2156" t="s">
        <v>5737</v>
      </c>
      <c r="K2156">
        <v>150</v>
      </c>
      <c r="L2156" t="str" cm="1">
        <f t="array" ref="L2156">_xlfn.IFS(
 K2156&lt;=50,"≤50",
 AND(K2156&gt;=51,K2156&lt;=100),"51–100",
 AND(K2156&gt;=101,K2156&lt;=250),"101–250",
 AND(K2156&gt;=251,K2156&lt;=500),"251–500",
 AND(K2156&gt;=501,K2156&lt;=1000),"501–1000",
 K2156&gt;=1001,"1001+"
)</f>
        <v>101–250</v>
      </c>
    </row>
    <row r="2157" spans="1:12" x14ac:dyDescent="0.3">
      <c r="A2157" t="s">
        <v>4180</v>
      </c>
      <c r="B2157" t="s">
        <v>9</v>
      </c>
      <c r="C2157" t="s">
        <v>5780</v>
      </c>
      <c r="D2157" t="s">
        <v>4181</v>
      </c>
      <c r="F2157" t="s">
        <v>54</v>
      </c>
      <c r="G2157" t="s">
        <v>4182</v>
      </c>
      <c r="J2157" t="s">
        <v>5737</v>
      </c>
      <c r="K2157">
        <v>150</v>
      </c>
      <c r="L2157" t="str" cm="1">
        <f t="array" ref="L2157">_xlfn.IFS(
 K2157&lt;=50,"≤50",
 AND(K2157&gt;=51,K2157&lt;=100),"51–100",
 AND(K2157&gt;=101,K2157&lt;=250),"101–250",
 AND(K2157&gt;=251,K2157&lt;=500),"251–500",
 AND(K2157&gt;=501,K2157&lt;=1000),"501–1000",
 K2157&gt;=1001,"1001+"
)</f>
        <v>101–250</v>
      </c>
    </row>
    <row r="2158" spans="1:12" x14ac:dyDescent="0.3">
      <c r="A2158" t="s">
        <v>4183</v>
      </c>
      <c r="B2158" t="s">
        <v>11</v>
      </c>
      <c r="C2158" t="s">
        <v>5776</v>
      </c>
      <c r="F2158" t="s">
        <v>20</v>
      </c>
      <c r="G2158" t="s">
        <v>4184</v>
      </c>
      <c r="J2158" t="s">
        <v>5737</v>
      </c>
      <c r="K2158">
        <v>150</v>
      </c>
      <c r="L2158" t="str" cm="1">
        <f t="array" ref="L2158">_xlfn.IFS(
 K2158&lt;=50,"≤50",
 AND(K2158&gt;=51,K2158&lt;=100),"51–100",
 AND(K2158&gt;=101,K2158&lt;=250),"101–250",
 AND(K2158&gt;=251,K2158&lt;=500),"251–500",
 AND(K2158&gt;=501,K2158&lt;=1000),"501–1000",
 K2158&gt;=1001,"1001+"
)</f>
        <v>101–250</v>
      </c>
    </row>
    <row r="2159" spans="1:12" x14ac:dyDescent="0.3">
      <c r="A2159" t="s">
        <v>4185</v>
      </c>
      <c r="B2159" t="s">
        <v>9</v>
      </c>
      <c r="C2159" t="s">
        <v>5780</v>
      </c>
      <c r="D2159" t="s">
        <v>28</v>
      </c>
      <c r="E2159" t="s">
        <v>15</v>
      </c>
      <c r="F2159" t="s">
        <v>20</v>
      </c>
      <c r="G2159" t="s">
        <v>4186</v>
      </c>
      <c r="J2159" t="s">
        <v>5746</v>
      </c>
      <c r="K2159">
        <v>150</v>
      </c>
      <c r="L2159" t="str" cm="1">
        <f t="array" ref="L2159">_xlfn.IFS(
 K2159&lt;=50,"≤50",
 AND(K2159&gt;=51,K2159&lt;=100),"51–100",
 AND(K2159&gt;=101,K2159&lt;=250),"101–250",
 AND(K2159&gt;=251,K2159&lt;=500),"251–500",
 AND(K2159&gt;=501,K2159&lt;=1000),"501–1000",
 K2159&gt;=1001,"1001+"
)</f>
        <v>101–250</v>
      </c>
    </row>
    <row r="2160" spans="1:12" x14ac:dyDescent="0.3">
      <c r="A2160" t="s">
        <v>4187</v>
      </c>
      <c r="B2160" t="s">
        <v>13</v>
      </c>
      <c r="C2160" t="s">
        <v>5777</v>
      </c>
      <c r="D2160" t="s">
        <v>4188</v>
      </c>
      <c r="E2160" t="s">
        <v>15</v>
      </c>
      <c r="F2160" t="s">
        <v>5770</v>
      </c>
      <c r="J2160" t="s">
        <v>5753</v>
      </c>
      <c r="K2160">
        <v>150</v>
      </c>
      <c r="L2160" t="str" cm="1">
        <f t="array" ref="L2160">_xlfn.IFS(
 K2160&lt;=50,"≤50",
 AND(K2160&gt;=51,K2160&lt;=100),"51–100",
 AND(K2160&gt;=101,K2160&lt;=250),"101–250",
 AND(K2160&gt;=251,K2160&lt;=500),"251–500",
 AND(K2160&gt;=501,K2160&lt;=1000),"501–1000",
 K2160&gt;=1001,"1001+"
)</f>
        <v>101–250</v>
      </c>
    </row>
    <row r="2161" spans="1:12" x14ac:dyDescent="0.3">
      <c r="A2161" t="s">
        <v>4189</v>
      </c>
      <c r="B2161" t="s">
        <v>9</v>
      </c>
      <c r="C2161" t="s">
        <v>5780</v>
      </c>
      <c r="D2161" t="s">
        <v>28</v>
      </c>
      <c r="F2161" t="s">
        <v>5770</v>
      </c>
      <c r="J2161" t="s">
        <v>5737</v>
      </c>
      <c r="K2161">
        <v>150</v>
      </c>
      <c r="L2161" t="str" cm="1">
        <f t="array" ref="L2161">_xlfn.IFS(
 K2161&lt;=50,"≤50",
 AND(K2161&gt;=51,K2161&lt;=100),"51–100",
 AND(K2161&gt;=101,K2161&lt;=250),"101–250",
 AND(K2161&gt;=251,K2161&lt;=500),"251–500",
 AND(K2161&gt;=501,K2161&lt;=1000),"501–1000",
 K2161&gt;=1001,"1001+"
)</f>
        <v>101–250</v>
      </c>
    </row>
    <row r="2162" spans="1:12" x14ac:dyDescent="0.3">
      <c r="A2162" t="s">
        <v>4190</v>
      </c>
      <c r="B2162" t="s">
        <v>11</v>
      </c>
      <c r="C2162" t="s">
        <v>5776</v>
      </c>
      <c r="F2162" t="s">
        <v>5770</v>
      </c>
      <c r="J2162" t="s">
        <v>5737</v>
      </c>
      <c r="K2162">
        <v>150</v>
      </c>
      <c r="L2162" t="str" cm="1">
        <f t="array" ref="L2162">_xlfn.IFS(
 K2162&lt;=50,"≤50",
 AND(K2162&gt;=51,K2162&lt;=100),"51–100",
 AND(K2162&gt;=101,K2162&lt;=250),"101–250",
 AND(K2162&gt;=251,K2162&lt;=500),"251–500",
 AND(K2162&gt;=501,K2162&lt;=1000),"501–1000",
 K2162&gt;=1001,"1001+"
)</f>
        <v>101–250</v>
      </c>
    </row>
    <row r="2163" spans="1:12" x14ac:dyDescent="0.3">
      <c r="A2163" t="s">
        <v>4191</v>
      </c>
      <c r="B2163" t="s">
        <v>9</v>
      </c>
      <c r="C2163" t="s">
        <v>5780</v>
      </c>
      <c r="D2163" t="s">
        <v>4192</v>
      </c>
      <c r="E2163" t="s">
        <v>15</v>
      </c>
      <c r="F2163" t="s">
        <v>5770</v>
      </c>
      <c r="J2163" t="s">
        <v>5748</v>
      </c>
      <c r="K2163">
        <v>150</v>
      </c>
      <c r="L2163" t="str" cm="1">
        <f t="array" ref="L2163">_xlfn.IFS(
 K2163&lt;=50,"≤50",
 AND(K2163&gt;=51,K2163&lt;=100),"51–100",
 AND(K2163&gt;=101,K2163&lt;=250),"101–250",
 AND(K2163&gt;=251,K2163&lt;=500),"251–500",
 AND(K2163&gt;=501,K2163&lt;=1000),"501–1000",
 K2163&gt;=1001,"1001+"
)</f>
        <v>101–250</v>
      </c>
    </row>
    <row r="2164" spans="1:12" x14ac:dyDescent="0.3">
      <c r="A2164" t="s">
        <v>4193</v>
      </c>
      <c r="B2164" t="s">
        <v>11</v>
      </c>
      <c r="C2164" t="s">
        <v>5776</v>
      </c>
      <c r="F2164" t="s">
        <v>5770</v>
      </c>
      <c r="J2164" t="s">
        <v>5737</v>
      </c>
      <c r="K2164">
        <v>150</v>
      </c>
      <c r="L2164" t="str" cm="1">
        <f t="array" ref="L2164">_xlfn.IFS(
 K2164&lt;=50,"≤50",
 AND(K2164&gt;=51,K2164&lt;=100),"51–100",
 AND(K2164&gt;=101,K2164&lt;=250),"101–250",
 AND(K2164&gt;=251,K2164&lt;=500),"251–500",
 AND(K2164&gt;=501,K2164&lt;=1000),"501–1000",
 K2164&gt;=1001,"1001+"
)</f>
        <v>101–250</v>
      </c>
    </row>
    <row r="2165" spans="1:12" x14ac:dyDescent="0.3">
      <c r="A2165" t="s">
        <v>4194</v>
      </c>
      <c r="B2165" t="s">
        <v>9</v>
      </c>
      <c r="C2165" t="s">
        <v>5780</v>
      </c>
      <c r="D2165" t="s">
        <v>4195</v>
      </c>
      <c r="E2165" t="s">
        <v>15</v>
      </c>
      <c r="F2165" t="s">
        <v>16</v>
      </c>
      <c r="G2165" t="s">
        <v>4196</v>
      </c>
      <c r="J2165" t="s">
        <v>5758</v>
      </c>
      <c r="K2165">
        <v>150</v>
      </c>
      <c r="L2165" t="str" cm="1">
        <f t="array" ref="L2165">_xlfn.IFS(
 K2165&lt;=50,"≤50",
 AND(K2165&gt;=51,K2165&lt;=100),"51–100",
 AND(K2165&gt;=101,K2165&lt;=250),"101–250",
 AND(K2165&gt;=251,K2165&lt;=500),"251–500",
 AND(K2165&gt;=501,K2165&lt;=1000),"501–1000",
 K2165&gt;=1001,"1001+"
)</f>
        <v>101–250</v>
      </c>
    </row>
    <row r="2166" spans="1:12" x14ac:dyDescent="0.3">
      <c r="A2166" t="s">
        <v>4197</v>
      </c>
      <c r="B2166" t="s">
        <v>13</v>
      </c>
      <c r="C2166" t="s">
        <v>5777</v>
      </c>
      <c r="D2166" t="s">
        <v>4198</v>
      </c>
      <c r="E2166" t="s">
        <v>15</v>
      </c>
      <c r="F2166" t="s">
        <v>54</v>
      </c>
      <c r="G2166" t="s">
        <v>4199</v>
      </c>
      <c r="J2166" t="s">
        <v>5737</v>
      </c>
      <c r="K2166">
        <v>150</v>
      </c>
      <c r="L2166" t="str" cm="1">
        <f t="array" ref="L2166">_xlfn.IFS(
 K2166&lt;=50,"≤50",
 AND(K2166&gt;=51,K2166&lt;=100),"51–100",
 AND(K2166&gt;=101,K2166&lt;=250),"101–250",
 AND(K2166&gt;=251,K2166&lt;=500),"251–500",
 AND(K2166&gt;=501,K2166&lt;=1000),"501–1000",
 K2166&gt;=1001,"1001+"
)</f>
        <v>101–250</v>
      </c>
    </row>
    <row r="2167" spans="1:12" x14ac:dyDescent="0.3">
      <c r="A2167" t="s">
        <v>4200</v>
      </c>
      <c r="B2167" t="s">
        <v>9</v>
      </c>
      <c r="C2167" t="s">
        <v>5780</v>
      </c>
      <c r="D2167" t="s">
        <v>4201</v>
      </c>
      <c r="F2167" t="s">
        <v>20</v>
      </c>
      <c r="G2167" t="s">
        <v>21</v>
      </c>
      <c r="J2167" t="s">
        <v>5738</v>
      </c>
      <c r="K2167">
        <v>150</v>
      </c>
      <c r="L2167" t="str" cm="1">
        <f t="array" ref="L2167">_xlfn.IFS(
 K2167&lt;=50,"≤50",
 AND(K2167&gt;=51,K2167&lt;=100),"51–100",
 AND(K2167&gt;=101,K2167&lt;=250),"101–250",
 AND(K2167&gt;=251,K2167&lt;=500),"251–500",
 AND(K2167&gt;=501,K2167&lt;=1000),"501–1000",
 K2167&gt;=1001,"1001+"
)</f>
        <v>101–250</v>
      </c>
    </row>
    <row r="2168" spans="1:12" x14ac:dyDescent="0.3">
      <c r="A2168" t="s">
        <v>4202</v>
      </c>
      <c r="B2168" t="s">
        <v>9</v>
      </c>
      <c r="C2168" t="s">
        <v>5780</v>
      </c>
      <c r="D2168" t="s">
        <v>4203</v>
      </c>
      <c r="E2168" t="s">
        <v>15</v>
      </c>
      <c r="F2168" t="s">
        <v>20</v>
      </c>
      <c r="G2168" t="s">
        <v>4204</v>
      </c>
      <c r="J2168" t="s">
        <v>5737</v>
      </c>
      <c r="K2168">
        <v>150</v>
      </c>
      <c r="L2168" t="str" cm="1">
        <f t="array" ref="L2168">_xlfn.IFS(
 K2168&lt;=50,"≤50",
 AND(K2168&gt;=51,K2168&lt;=100),"51–100",
 AND(K2168&gt;=101,K2168&lt;=250),"101–250",
 AND(K2168&gt;=251,K2168&lt;=500),"251–500",
 AND(K2168&gt;=501,K2168&lt;=1000),"501–1000",
 K2168&gt;=1001,"1001+"
)</f>
        <v>101–250</v>
      </c>
    </row>
    <row r="2169" spans="1:12" x14ac:dyDescent="0.3">
      <c r="A2169" t="s">
        <v>4205</v>
      </c>
      <c r="B2169" t="s">
        <v>9</v>
      </c>
      <c r="C2169" t="s">
        <v>5780</v>
      </c>
      <c r="D2169" t="s">
        <v>4206</v>
      </c>
      <c r="E2169" t="s">
        <v>15</v>
      </c>
      <c r="F2169" t="s">
        <v>54</v>
      </c>
      <c r="G2169" t="s">
        <v>4207</v>
      </c>
      <c r="J2169" t="s">
        <v>5737</v>
      </c>
      <c r="K2169">
        <v>150</v>
      </c>
      <c r="L2169" t="str" cm="1">
        <f t="array" ref="L2169">_xlfn.IFS(
 K2169&lt;=50,"≤50",
 AND(K2169&gt;=51,K2169&lt;=100),"51–100",
 AND(K2169&gt;=101,K2169&lt;=250),"101–250",
 AND(K2169&gt;=251,K2169&lt;=500),"251–500",
 AND(K2169&gt;=501,K2169&lt;=1000),"501–1000",
 K2169&gt;=1001,"1001+"
)</f>
        <v>101–250</v>
      </c>
    </row>
    <row r="2170" spans="1:12" x14ac:dyDescent="0.3">
      <c r="A2170" t="s">
        <v>4208</v>
      </c>
      <c r="B2170" t="s">
        <v>197</v>
      </c>
      <c r="C2170" t="s">
        <v>5774</v>
      </c>
      <c r="D2170" t="s">
        <v>4209</v>
      </c>
      <c r="E2170" t="s">
        <v>15</v>
      </c>
      <c r="F2170" t="s">
        <v>54</v>
      </c>
      <c r="G2170" t="s">
        <v>581</v>
      </c>
      <c r="J2170" t="s">
        <v>5743</v>
      </c>
      <c r="K2170">
        <v>150</v>
      </c>
      <c r="L2170" t="str" cm="1">
        <f t="array" ref="L2170">_xlfn.IFS(
 K2170&lt;=50,"≤50",
 AND(K2170&gt;=51,K2170&lt;=100),"51–100",
 AND(K2170&gt;=101,K2170&lt;=250),"101–250",
 AND(K2170&gt;=251,K2170&lt;=500),"251–500",
 AND(K2170&gt;=501,K2170&lt;=1000),"501–1000",
 K2170&gt;=1001,"1001+"
)</f>
        <v>101–250</v>
      </c>
    </row>
    <row r="2171" spans="1:12" x14ac:dyDescent="0.3">
      <c r="A2171" t="s">
        <v>4210</v>
      </c>
      <c r="B2171" t="s">
        <v>13</v>
      </c>
      <c r="C2171" t="s">
        <v>5777</v>
      </c>
      <c r="D2171" t="s">
        <v>4211</v>
      </c>
      <c r="E2171" t="s">
        <v>15</v>
      </c>
      <c r="F2171" t="s">
        <v>54</v>
      </c>
      <c r="G2171" t="s">
        <v>4212</v>
      </c>
      <c r="J2171" t="s">
        <v>5744</v>
      </c>
      <c r="K2171">
        <v>150</v>
      </c>
      <c r="L2171" t="str" cm="1">
        <f t="array" ref="L2171">_xlfn.IFS(
 K2171&lt;=50,"≤50",
 AND(K2171&gt;=51,K2171&lt;=100),"51–100",
 AND(K2171&gt;=101,K2171&lt;=250),"101–250",
 AND(K2171&gt;=251,K2171&lt;=500),"251–500",
 AND(K2171&gt;=501,K2171&lt;=1000),"501–1000",
 K2171&gt;=1001,"1001+"
)</f>
        <v>101–250</v>
      </c>
    </row>
    <row r="2172" spans="1:12" x14ac:dyDescent="0.3">
      <c r="A2172" t="s">
        <v>4213</v>
      </c>
      <c r="B2172" t="s">
        <v>13</v>
      </c>
      <c r="C2172" t="s">
        <v>5777</v>
      </c>
      <c r="D2172" t="s">
        <v>4214</v>
      </c>
      <c r="E2172" t="s">
        <v>15</v>
      </c>
      <c r="F2172" t="s">
        <v>54</v>
      </c>
      <c r="G2172" t="s">
        <v>4215</v>
      </c>
      <c r="J2172" t="s">
        <v>5737</v>
      </c>
      <c r="K2172">
        <v>150</v>
      </c>
      <c r="L2172" t="str" cm="1">
        <f t="array" ref="L2172">_xlfn.IFS(
 K2172&lt;=50,"≤50",
 AND(K2172&gt;=51,K2172&lt;=100),"51–100",
 AND(K2172&gt;=101,K2172&lt;=250),"101–250",
 AND(K2172&gt;=251,K2172&lt;=500),"251–500",
 AND(K2172&gt;=501,K2172&lt;=1000),"501–1000",
 K2172&gt;=1001,"1001+"
)</f>
        <v>101–250</v>
      </c>
    </row>
    <row r="2173" spans="1:12" x14ac:dyDescent="0.3">
      <c r="A2173" t="s">
        <v>4216</v>
      </c>
      <c r="B2173" t="s">
        <v>13</v>
      </c>
      <c r="C2173" t="s">
        <v>5777</v>
      </c>
      <c r="D2173" t="s">
        <v>4217</v>
      </c>
      <c r="E2173" t="s">
        <v>15</v>
      </c>
      <c r="F2173" t="s">
        <v>16</v>
      </c>
      <c r="G2173" t="s">
        <v>2554</v>
      </c>
      <c r="J2173" t="s">
        <v>5743</v>
      </c>
      <c r="K2173">
        <v>150</v>
      </c>
      <c r="L2173" t="str" cm="1">
        <f t="array" ref="L2173">_xlfn.IFS(
 K2173&lt;=50,"≤50",
 AND(K2173&gt;=51,K2173&lt;=100),"51–100",
 AND(K2173&gt;=101,K2173&lt;=250),"101–250",
 AND(K2173&gt;=251,K2173&lt;=500),"251–500",
 AND(K2173&gt;=501,K2173&lt;=1000),"501–1000",
 K2173&gt;=1001,"1001+"
)</f>
        <v>101–250</v>
      </c>
    </row>
    <row r="2174" spans="1:12" x14ac:dyDescent="0.3">
      <c r="A2174" t="s">
        <v>4218</v>
      </c>
      <c r="B2174" t="s">
        <v>9</v>
      </c>
      <c r="C2174" t="s">
        <v>5780</v>
      </c>
      <c r="D2174" t="s">
        <v>4219</v>
      </c>
      <c r="E2174" t="s">
        <v>15</v>
      </c>
      <c r="F2174" t="s">
        <v>20</v>
      </c>
      <c r="G2174" t="s">
        <v>4220</v>
      </c>
      <c r="J2174" t="s">
        <v>5737</v>
      </c>
      <c r="K2174">
        <v>150</v>
      </c>
      <c r="L2174" t="str" cm="1">
        <f t="array" ref="L2174">_xlfn.IFS(
 K2174&lt;=50,"≤50",
 AND(K2174&gt;=51,K2174&lt;=100),"51–100",
 AND(K2174&gt;=101,K2174&lt;=250),"101–250",
 AND(K2174&gt;=251,K2174&lt;=500),"251–500",
 AND(K2174&gt;=501,K2174&lt;=1000),"501–1000",
 K2174&gt;=1001,"1001+"
)</f>
        <v>101–250</v>
      </c>
    </row>
    <row r="2175" spans="1:12" x14ac:dyDescent="0.3">
      <c r="A2175" t="s">
        <v>4221</v>
      </c>
      <c r="B2175" t="s">
        <v>9</v>
      </c>
      <c r="C2175" t="s">
        <v>5780</v>
      </c>
      <c r="D2175" t="s">
        <v>4222</v>
      </c>
      <c r="E2175" t="s">
        <v>15</v>
      </c>
      <c r="F2175" t="s">
        <v>5770</v>
      </c>
      <c r="J2175" t="s">
        <v>5754</v>
      </c>
      <c r="K2175">
        <v>150</v>
      </c>
      <c r="L2175" t="str" cm="1">
        <f t="array" ref="L2175">_xlfn.IFS(
 K2175&lt;=50,"≤50",
 AND(K2175&gt;=51,K2175&lt;=100),"51–100",
 AND(K2175&gt;=101,K2175&lt;=250),"101–250",
 AND(K2175&gt;=251,K2175&lt;=500),"251–500",
 AND(K2175&gt;=501,K2175&lt;=1000),"501–1000",
 K2175&gt;=1001,"1001+"
)</f>
        <v>101–250</v>
      </c>
    </row>
    <row r="2176" spans="1:12" x14ac:dyDescent="0.3">
      <c r="A2176" t="s">
        <v>4223</v>
      </c>
      <c r="B2176" t="s">
        <v>11</v>
      </c>
      <c r="C2176" t="s">
        <v>5776</v>
      </c>
      <c r="F2176" t="s">
        <v>20</v>
      </c>
      <c r="G2176" t="s">
        <v>21</v>
      </c>
      <c r="J2176" t="s">
        <v>5744</v>
      </c>
      <c r="K2176">
        <v>150</v>
      </c>
      <c r="L2176" t="str" cm="1">
        <f t="array" ref="L2176">_xlfn.IFS(
 K2176&lt;=50,"≤50",
 AND(K2176&gt;=51,K2176&lt;=100),"51–100",
 AND(K2176&gt;=101,K2176&lt;=250),"101–250",
 AND(K2176&gt;=251,K2176&lt;=500),"251–500",
 AND(K2176&gt;=501,K2176&lt;=1000),"501–1000",
 K2176&gt;=1001,"1001+"
)</f>
        <v>101–250</v>
      </c>
    </row>
    <row r="2177" spans="1:12" x14ac:dyDescent="0.3">
      <c r="A2177" t="s">
        <v>4224</v>
      </c>
      <c r="B2177" t="s">
        <v>9</v>
      </c>
      <c r="C2177" t="s">
        <v>5780</v>
      </c>
      <c r="D2177" t="s">
        <v>4225</v>
      </c>
      <c r="E2177" t="s">
        <v>15</v>
      </c>
      <c r="F2177" t="s">
        <v>20</v>
      </c>
      <c r="G2177" t="s">
        <v>4226</v>
      </c>
      <c r="J2177" t="s">
        <v>5738</v>
      </c>
      <c r="K2177">
        <v>150</v>
      </c>
      <c r="L2177" t="str" cm="1">
        <f t="array" ref="L2177">_xlfn.IFS(
 K2177&lt;=50,"≤50",
 AND(K2177&gt;=51,K2177&lt;=100),"51–100",
 AND(K2177&gt;=101,K2177&lt;=250),"101–250",
 AND(K2177&gt;=251,K2177&lt;=500),"251–500",
 AND(K2177&gt;=501,K2177&lt;=1000),"501–1000",
 K2177&gt;=1001,"1001+"
)</f>
        <v>101–250</v>
      </c>
    </row>
    <row r="2178" spans="1:12" x14ac:dyDescent="0.3">
      <c r="A2178" t="s">
        <v>4227</v>
      </c>
      <c r="B2178" t="s">
        <v>9</v>
      </c>
      <c r="C2178" t="s">
        <v>5780</v>
      </c>
      <c r="D2178" t="s">
        <v>51</v>
      </c>
      <c r="F2178" t="s">
        <v>5770</v>
      </c>
      <c r="J2178" t="s">
        <v>5737</v>
      </c>
      <c r="K2178">
        <v>150</v>
      </c>
      <c r="L2178" t="str" cm="1">
        <f t="array" ref="L2178">_xlfn.IFS(
 K2178&lt;=50,"≤50",
 AND(K2178&gt;=51,K2178&lt;=100),"51–100",
 AND(K2178&gt;=101,K2178&lt;=250),"101–250",
 AND(K2178&gt;=251,K2178&lt;=500),"251–500",
 AND(K2178&gt;=501,K2178&lt;=1000),"501–1000",
 K2178&gt;=1001,"1001+"
)</f>
        <v>101–250</v>
      </c>
    </row>
    <row r="2179" spans="1:12" x14ac:dyDescent="0.3">
      <c r="A2179" t="s">
        <v>4228</v>
      </c>
      <c r="B2179" t="s">
        <v>13</v>
      </c>
      <c r="C2179" t="s">
        <v>5777</v>
      </c>
      <c r="D2179" t="s">
        <v>4229</v>
      </c>
      <c r="E2179" t="s">
        <v>15</v>
      </c>
      <c r="F2179" t="s">
        <v>20</v>
      </c>
      <c r="G2179" t="s">
        <v>4230</v>
      </c>
      <c r="J2179" t="s">
        <v>5744</v>
      </c>
      <c r="K2179">
        <v>150</v>
      </c>
      <c r="L2179" t="str" cm="1">
        <f t="array" ref="L2179">_xlfn.IFS(
 K2179&lt;=50,"≤50",
 AND(K2179&gt;=51,K2179&lt;=100),"51–100",
 AND(K2179&gt;=101,K2179&lt;=250),"101–250",
 AND(K2179&gt;=251,K2179&lt;=500),"251–500",
 AND(K2179&gt;=501,K2179&lt;=1000),"501–1000",
 K2179&gt;=1001,"1001+"
)</f>
        <v>101–250</v>
      </c>
    </row>
    <row r="2180" spans="1:12" x14ac:dyDescent="0.3">
      <c r="A2180" t="s">
        <v>4231</v>
      </c>
      <c r="B2180" t="s">
        <v>9</v>
      </c>
      <c r="C2180" t="s">
        <v>5780</v>
      </c>
      <c r="D2180" t="s">
        <v>28</v>
      </c>
      <c r="F2180" t="s">
        <v>20</v>
      </c>
      <c r="G2180" t="s">
        <v>135</v>
      </c>
      <c r="J2180" t="s">
        <v>5737</v>
      </c>
      <c r="K2180">
        <v>150</v>
      </c>
      <c r="L2180" t="str" cm="1">
        <f t="array" ref="L2180">_xlfn.IFS(
 K2180&lt;=50,"≤50",
 AND(K2180&gt;=51,K2180&lt;=100),"51–100",
 AND(K2180&gt;=101,K2180&lt;=250),"101–250",
 AND(K2180&gt;=251,K2180&lt;=500),"251–500",
 AND(K2180&gt;=501,K2180&lt;=1000),"501–1000",
 K2180&gt;=1001,"1001+"
)</f>
        <v>101–250</v>
      </c>
    </row>
    <row r="2181" spans="1:12" x14ac:dyDescent="0.3">
      <c r="A2181" t="s">
        <v>4232</v>
      </c>
      <c r="B2181" t="s">
        <v>13</v>
      </c>
      <c r="C2181" t="s">
        <v>5777</v>
      </c>
      <c r="D2181" t="s">
        <v>4233</v>
      </c>
      <c r="E2181" t="s">
        <v>15</v>
      </c>
      <c r="F2181" t="s">
        <v>54</v>
      </c>
      <c r="G2181" t="s">
        <v>4234</v>
      </c>
      <c r="J2181" t="s">
        <v>5737</v>
      </c>
      <c r="K2181">
        <v>150</v>
      </c>
      <c r="L2181" t="str" cm="1">
        <f t="array" ref="L2181">_xlfn.IFS(
 K2181&lt;=50,"≤50",
 AND(K2181&gt;=51,K2181&lt;=100),"51–100",
 AND(K2181&gt;=101,K2181&lt;=250),"101–250",
 AND(K2181&gt;=251,K2181&lt;=500),"251–500",
 AND(K2181&gt;=501,K2181&lt;=1000),"501–1000",
 K2181&gt;=1001,"1001+"
)</f>
        <v>101–250</v>
      </c>
    </row>
    <row r="2182" spans="1:12" x14ac:dyDescent="0.3">
      <c r="A2182" t="s">
        <v>4235</v>
      </c>
      <c r="B2182" t="s">
        <v>9</v>
      </c>
      <c r="C2182" t="s">
        <v>5780</v>
      </c>
      <c r="D2182" t="s">
        <v>4236</v>
      </c>
      <c r="F2182" t="s">
        <v>54</v>
      </c>
      <c r="G2182" t="s">
        <v>4237</v>
      </c>
      <c r="J2182" t="s">
        <v>5738</v>
      </c>
      <c r="K2182">
        <v>150</v>
      </c>
      <c r="L2182" t="str" cm="1">
        <f t="array" ref="L2182">_xlfn.IFS(
 K2182&lt;=50,"≤50",
 AND(K2182&gt;=51,K2182&lt;=100),"51–100",
 AND(K2182&gt;=101,K2182&lt;=250),"101–250",
 AND(K2182&gt;=251,K2182&lt;=500),"251–500",
 AND(K2182&gt;=501,K2182&lt;=1000),"501–1000",
 K2182&gt;=1001,"1001+"
)</f>
        <v>101–250</v>
      </c>
    </row>
    <row r="2183" spans="1:12" x14ac:dyDescent="0.3">
      <c r="A2183" t="s">
        <v>4238</v>
      </c>
      <c r="B2183" t="s">
        <v>9</v>
      </c>
      <c r="C2183" t="s">
        <v>5780</v>
      </c>
      <c r="D2183" t="s">
        <v>4239</v>
      </c>
      <c r="E2183" t="s">
        <v>15</v>
      </c>
      <c r="F2183" t="s">
        <v>16</v>
      </c>
      <c r="G2183" t="s">
        <v>4240</v>
      </c>
      <c r="J2183" t="s">
        <v>5744</v>
      </c>
      <c r="K2183">
        <v>150</v>
      </c>
      <c r="L2183" t="str" cm="1">
        <f t="array" ref="L2183">_xlfn.IFS(
 K2183&lt;=50,"≤50",
 AND(K2183&gt;=51,K2183&lt;=100),"51–100",
 AND(K2183&gt;=101,K2183&lt;=250),"101–250",
 AND(K2183&gt;=251,K2183&lt;=500),"251–500",
 AND(K2183&gt;=501,K2183&lt;=1000),"501–1000",
 K2183&gt;=1001,"1001+"
)</f>
        <v>101–250</v>
      </c>
    </row>
    <row r="2184" spans="1:12" x14ac:dyDescent="0.3">
      <c r="A2184" t="s">
        <v>4241</v>
      </c>
      <c r="B2184" t="s">
        <v>11</v>
      </c>
      <c r="C2184" t="s">
        <v>5776</v>
      </c>
      <c r="E2184" t="s">
        <v>15</v>
      </c>
      <c r="F2184" t="s">
        <v>20</v>
      </c>
      <c r="G2184" t="s">
        <v>4242</v>
      </c>
      <c r="J2184" t="s">
        <v>5747</v>
      </c>
      <c r="K2184">
        <v>150</v>
      </c>
      <c r="L2184" t="str" cm="1">
        <f t="array" ref="L2184">_xlfn.IFS(
 K2184&lt;=50,"≤50",
 AND(K2184&gt;=51,K2184&lt;=100),"51–100",
 AND(K2184&gt;=101,K2184&lt;=250),"101–250",
 AND(K2184&gt;=251,K2184&lt;=500),"251–500",
 AND(K2184&gt;=501,K2184&lt;=1000),"501–1000",
 K2184&gt;=1001,"1001+"
)</f>
        <v>101–250</v>
      </c>
    </row>
    <row r="2185" spans="1:12" x14ac:dyDescent="0.3">
      <c r="A2185" t="s">
        <v>4243</v>
      </c>
      <c r="B2185" t="s">
        <v>9</v>
      </c>
      <c r="C2185" t="s">
        <v>5780</v>
      </c>
      <c r="D2185" t="s">
        <v>4244</v>
      </c>
      <c r="E2185" t="s">
        <v>15</v>
      </c>
      <c r="F2185" t="s">
        <v>5770</v>
      </c>
      <c r="J2185" t="s">
        <v>5753</v>
      </c>
      <c r="K2185">
        <v>150</v>
      </c>
      <c r="L2185" t="str" cm="1">
        <f t="array" ref="L2185">_xlfn.IFS(
 K2185&lt;=50,"≤50",
 AND(K2185&gt;=51,K2185&lt;=100),"51–100",
 AND(K2185&gt;=101,K2185&lt;=250),"101–250",
 AND(K2185&gt;=251,K2185&lt;=500),"251–500",
 AND(K2185&gt;=501,K2185&lt;=1000),"501–1000",
 K2185&gt;=1001,"1001+"
)</f>
        <v>101–250</v>
      </c>
    </row>
    <row r="2186" spans="1:12" x14ac:dyDescent="0.3">
      <c r="A2186" t="s">
        <v>4245</v>
      </c>
      <c r="B2186" t="s">
        <v>9</v>
      </c>
      <c r="C2186" t="s">
        <v>5780</v>
      </c>
      <c r="D2186" t="s">
        <v>4246</v>
      </c>
      <c r="E2186" t="s">
        <v>15</v>
      </c>
      <c r="F2186" t="s">
        <v>16</v>
      </c>
      <c r="G2186" t="s">
        <v>88</v>
      </c>
      <c r="J2186" t="s">
        <v>5741</v>
      </c>
      <c r="K2186">
        <v>150</v>
      </c>
      <c r="L2186" t="str" cm="1">
        <f t="array" ref="L2186">_xlfn.IFS(
 K2186&lt;=50,"≤50",
 AND(K2186&gt;=51,K2186&lt;=100),"51–100",
 AND(K2186&gt;=101,K2186&lt;=250),"101–250",
 AND(K2186&gt;=251,K2186&lt;=500),"251–500",
 AND(K2186&gt;=501,K2186&lt;=1000),"501–1000",
 K2186&gt;=1001,"1001+"
)</f>
        <v>101–250</v>
      </c>
    </row>
    <row r="2187" spans="1:12" x14ac:dyDescent="0.3">
      <c r="A2187" t="s">
        <v>4247</v>
      </c>
      <c r="B2187" t="s">
        <v>9</v>
      </c>
      <c r="C2187" t="s">
        <v>5780</v>
      </c>
      <c r="D2187" t="s">
        <v>4248</v>
      </c>
      <c r="E2187" t="s">
        <v>15</v>
      </c>
      <c r="F2187" t="s">
        <v>20</v>
      </c>
      <c r="G2187" t="s">
        <v>135</v>
      </c>
      <c r="J2187" t="s">
        <v>5737</v>
      </c>
      <c r="K2187">
        <v>150</v>
      </c>
      <c r="L2187" t="str" cm="1">
        <f t="array" ref="L2187">_xlfn.IFS(
 K2187&lt;=50,"≤50",
 AND(K2187&gt;=51,K2187&lt;=100),"51–100",
 AND(K2187&gt;=101,K2187&lt;=250),"101–250",
 AND(K2187&gt;=251,K2187&lt;=500),"251–500",
 AND(K2187&gt;=501,K2187&lt;=1000),"501–1000",
 K2187&gt;=1001,"1001+"
)</f>
        <v>101–250</v>
      </c>
    </row>
    <row r="2188" spans="1:12" x14ac:dyDescent="0.3">
      <c r="A2188" t="s">
        <v>4249</v>
      </c>
      <c r="B2188" t="s">
        <v>9</v>
      </c>
      <c r="C2188" t="s">
        <v>5780</v>
      </c>
      <c r="D2188" t="s">
        <v>4250</v>
      </c>
      <c r="E2188" t="s">
        <v>15</v>
      </c>
      <c r="F2188" t="s">
        <v>20</v>
      </c>
      <c r="G2188" t="s">
        <v>4251</v>
      </c>
      <c r="J2188" t="s">
        <v>5737</v>
      </c>
      <c r="K2188">
        <v>150</v>
      </c>
      <c r="L2188" t="str" cm="1">
        <f t="array" ref="L2188">_xlfn.IFS(
 K2188&lt;=50,"≤50",
 AND(K2188&gt;=51,K2188&lt;=100),"51–100",
 AND(K2188&gt;=101,K2188&lt;=250),"101–250",
 AND(K2188&gt;=251,K2188&lt;=500),"251–500",
 AND(K2188&gt;=501,K2188&lt;=1000),"501–1000",
 K2188&gt;=1001,"1001+"
)</f>
        <v>101–250</v>
      </c>
    </row>
    <row r="2189" spans="1:12" x14ac:dyDescent="0.3">
      <c r="A2189" t="s">
        <v>4252</v>
      </c>
      <c r="B2189" t="s">
        <v>9</v>
      </c>
      <c r="C2189" t="s">
        <v>5780</v>
      </c>
      <c r="D2189" t="s">
        <v>4253</v>
      </c>
      <c r="E2189" t="s">
        <v>15</v>
      </c>
      <c r="F2189" t="s">
        <v>54</v>
      </c>
      <c r="G2189" t="s">
        <v>4254</v>
      </c>
      <c r="J2189" t="s">
        <v>5753</v>
      </c>
      <c r="K2189">
        <v>150</v>
      </c>
      <c r="L2189" t="str" cm="1">
        <f t="array" ref="L2189">_xlfn.IFS(
 K2189&lt;=50,"≤50",
 AND(K2189&gt;=51,K2189&lt;=100),"51–100",
 AND(K2189&gt;=101,K2189&lt;=250),"101–250",
 AND(K2189&gt;=251,K2189&lt;=500),"251–500",
 AND(K2189&gt;=501,K2189&lt;=1000),"501–1000",
 K2189&gt;=1001,"1001+"
)</f>
        <v>101–250</v>
      </c>
    </row>
    <row r="2190" spans="1:12" x14ac:dyDescent="0.3">
      <c r="A2190" t="s">
        <v>4255</v>
      </c>
      <c r="B2190" t="s">
        <v>9</v>
      </c>
      <c r="C2190" t="s">
        <v>5780</v>
      </c>
      <c r="D2190" t="s">
        <v>4256</v>
      </c>
      <c r="E2190" t="s">
        <v>15</v>
      </c>
      <c r="F2190" t="s">
        <v>20</v>
      </c>
      <c r="G2190" t="s">
        <v>4257</v>
      </c>
      <c r="J2190" t="s">
        <v>5752</v>
      </c>
      <c r="K2190">
        <v>150</v>
      </c>
      <c r="L2190" t="str" cm="1">
        <f t="array" ref="L2190">_xlfn.IFS(
 K2190&lt;=50,"≤50",
 AND(K2190&gt;=51,K2190&lt;=100),"51–100",
 AND(K2190&gt;=101,K2190&lt;=250),"101–250",
 AND(K2190&gt;=251,K2190&lt;=500),"251–500",
 AND(K2190&gt;=501,K2190&lt;=1000),"501–1000",
 K2190&gt;=1001,"1001+"
)</f>
        <v>101–250</v>
      </c>
    </row>
    <row r="2191" spans="1:12" x14ac:dyDescent="0.3">
      <c r="A2191" t="s">
        <v>4258</v>
      </c>
      <c r="B2191" t="s">
        <v>9</v>
      </c>
      <c r="C2191" t="s">
        <v>5780</v>
      </c>
      <c r="D2191" t="s">
        <v>28</v>
      </c>
      <c r="E2191" t="s">
        <v>15</v>
      </c>
      <c r="F2191" t="s">
        <v>16</v>
      </c>
      <c r="G2191" t="s">
        <v>4259</v>
      </c>
      <c r="J2191" t="s">
        <v>5759</v>
      </c>
      <c r="K2191">
        <v>150</v>
      </c>
      <c r="L2191" t="str" cm="1">
        <f t="array" ref="L2191">_xlfn.IFS(
 K2191&lt;=50,"≤50",
 AND(K2191&gt;=51,K2191&lt;=100),"51–100",
 AND(K2191&gt;=101,K2191&lt;=250),"101–250",
 AND(K2191&gt;=251,K2191&lt;=500),"251–500",
 AND(K2191&gt;=501,K2191&lt;=1000),"501–1000",
 K2191&gt;=1001,"1001+"
)</f>
        <v>101–250</v>
      </c>
    </row>
    <row r="2192" spans="1:12" x14ac:dyDescent="0.3">
      <c r="A2192" t="s">
        <v>4260</v>
      </c>
      <c r="B2192" t="s">
        <v>417</v>
      </c>
      <c r="C2192" t="s">
        <v>5778</v>
      </c>
      <c r="D2192" t="s">
        <v>4261</v>
      </c>
      <c r="E2192" t="s">
        <v>15</v>
      </c>
      <c r="F2192" t="s">
        <v>20</v>
      </c>
      <c r="G2192" t="s">
        <v>21</v>
      </c>
      <c r="J2192" t="s">
        <v>5759</v>
      </c>
      <c r="K2192">
        <v>150</v>
      </c>
      <c r="L2192" t="str" cm="1">
        <f t="array" ref="L2192">_xlfn.IFS(
 K2192&lt;=50,"≤50",
 AND(K2192&gt;=51,K2192&lt;=100),"51–100",
 AND(K2192&gt;=101,K2192&lt;=250),"101–250",
 AND(K2192&gt;=251,K2192&lt;=500),"251–500",
 AND(K2192&gt;=501,K2192&lt;=1000),"501–1000",
 K2192&gt;=1001,"1001+"
)</f>
        <v>101–250</v>
      </c>
    </row>
    <row r="2193" spans="1:12" x14ac:dyDescent="0.3">
      <c r="A2193" t="s">
        <v>4262</v>
      </c>
      <c r="B2193" t="s">
        <v>13</v>
      </c>
      <c r="C2193" t="s">
        <v>5777</v>
      </c>
      <c r="D2193" t="s">
        <v>3717</v>
      </c>
      <c r="F2193" t="s">
        <v>5770</v>
      </c>
      <c r="J2193" t="s">
        <v>5737</v>
      </c>
      <c r="K2193">
        <v>150</v>
      </c>
      <c r="L2193" t="str" cm="1">
        <f t="array" ref="L2193">_xlfn.IFS(
 K2193&lt;=50,"≤50",
 AND(K2193&gt;=51,K2193&lt;=100),"51–100",
 AND(K2193&gt;=101,K2193&lt;=250),"101–250",
 AND(K2193&gt;=251,K2193&lt;=500),"251–500",
 AND(K2193&gt;=501,K2193&lt;=1000),"501–1000",
 K2193&gt;=1001,"1001+"
)</f>
        <v>101–250</v>
      </c>
    </row>
    <row r="2194" spans="1:12" x14ac:dyDescent="0.3">
      <c r="A2194" t="s">
        <v>4263</v>
      </c>
      <c r="B2194" t="s">
        <v>9</v>
      </c>
      <c r="C2194" t="s">
        <v>5780</v>
      </c>
      <c r="D2194" t="s">
        <v>28</v>
      </c>
      <c r="E2194" t="s">
        <v>15</v>
      </c>
      <c r="F2194" t="s">
        <v>20</v>
      </c>
      <c r="G2194" t="s">
        <v>135</v>
      </c>
      <c r="J2194" t="s">
        <v>5737</v>
      </c>
      <c r="K2194">
        <v>150</v>
      </c>
      <c r="L2194" t="str" cm="1">
        <f t="array" ref="L2194">_xlfn.IFS(
 K2194&lt;=50,"≤50",
 AND(K2194&gt;=51,K2194&lt;=100),"51–100",
 AND(K2194&gt;=101,K2194&lt;=250),"101–250",
 AND(K2194&gt;=251,K2194&lt;=500),"251–500",
 AND(K2194&gt;=501,K2194&lt;=1000),"501–1000",
 K2194&gt;=1001,"1001+"
)</f>
        <v>101–250</v>
      </c>
    </row>
    <row r="2195" spans="1:12" x14ac:dyDescent="0.3">
      <c r="A2195" t="s">
        <v>4264</v>
      </c>
      <c r="B2195" t="s">
        <v>9</v>
      </c>
      <c r="C2195" t="s">
        <v>5780</v>
      </c>
      <c r="D2195" t="s">
        <v>847</v>
      </c>
      <c r="E2195" t="s">
        <v>15</v>
      </c>
      <c r="F2195" t="s">
        <v>20</v>
      </c>
      <c r="G2195" t="s">
        <v>21</v>
      </c>
      <c r="J2195" t="s">
        <v>5749</v>
      </c>
      <c r="K2195">
        <v>150</v>
      </c>
      <c r="L2195" t="str" cm="1">
        <f t="array" ref="L2195">_xlfn.IFS(
 K2195&lt;=50,"≤50",
 AND(K2195&gt;=51,K2195&lt;=100),"51–100",
 AND(K2195&gt;=101,K2195&lt;=250),"101–250",
 AND(K2195&gt;=251,K2195&lt;=500),"251–500",
 AND(K2195&gt;=501,K2195&lt;=1000),"501–1000",
 K2195&gt;=1001,"1001+"
)</f>
        <v>101–250</v>
      </c>
    </row>
    <row r="2196" spans="1:12" x14ac:dyDescent="0.3">
      <c r="A2196" t="s">
        <v>4265</v>
      </c>
      <c r="B2196" t="s">
        <v>9</v>
      </c>
      <c r="C2196" t="s">
        <v>5780</v>
      </c>
      <c r="D2196" t="s">
        <v>2322</v>
      </c>
      <c r="F2196" t="s">
        <v>5770</v>
      </c>
      <c r="J2196" t="s">
        <v>5740</v>
      </c>
      <c r="K2196">
        <v>150</v>
      </c>
      <c r="L2196" t="str" cm="1">
        <f t="array" ref="L2196">_xlfn.IFS(
 K2196&lt;=50,"≤50",
 AND(K2196&gt;=51,K2196&lt;=100),"51–100",
 AND(K2196&gt;=101,K2196&lt;=250),"101–250",
 AND(K2196&gt;=251,K2196&lt;=500),"251–500",
 AND(K2196&gt;=501,K2196&lt;=1000),"501–1000",
 K2196&gt;=1001,"1001+"
)</f>
        <v>101–250</v>
      </c>
    </row>
    <row r="2197" spans="1:12" x14ac:dyDescent="0.3">
      <c r="A2197" t="s">
        <v>4266</v>
      </c>
      <c r="B2197" t="s">
        <v>9</v>
      </c>
      <c r="C2197" t="s">
        <v>5780</v>
      </c>
      <c r="D2197" t="s">
        <v>1896</v>
      </c>
      <c r="F2197" t="s">
        <v>5770</v>
      </c>
      <c r="J2197" t="s">
        <v>5737</v>
      </c>
      <c r="K2197">
        <v>150</v>
      </c>
      <c r="L2197" t="str" cm="1">
        <f t="array" ref="L2197">_xlfn.IFS(
 K2197&lt;=50,"≤50",
 AND(K2197&gt;=51,K2197&lt;=100),"51–100",
 AND(K2197&gt;=101,K2197&lt;=250),"101–250",
 AND(K2197&gt;=251,K2197&lt;=500),"251–500",
 AND(K2197&gt;=501,K2197&lt;=1000),"501–1000",
 K2197&gt;=1001,"1001+"
)</f>
        <v>101–250</v>
      </c>
    </row>
    <row r="2198" spans="1:12" x14ac:dyDescent="0.3">
      <c r="A2198" t="s">
        <v>4267</v>
      </c>
      <c r="B2198" t="s">
        <v>9</v>
      </c>
      <c r="C2198" t="s">
        <v>5780</v>
      </c>
      <c r="D2198" t="s">
        <v>4268</v>
      </c>
      <c r="E2198" t="s">
        <v>15</v>
      </c>
      <c r="F2198" t="s">
        <v>54</v>
      </c>
      <c r="G2198" t="s">
        <v>2427</v>
      </c>
      <c r="J2198" t="s">
        <v>5756</v>
      </c>
      <c r="K2198">
        <v>150</v>
      </c>
      <c r="L2198" t="str" cm="1">
        <f t="array" ref="L2198">_xlfn.IFS(
 K2198&lt;=50,"≤50",
 AND(K2198&gt;=51,K2198&lt;=100),"51–100",
 AND(K2198&gt;=101,K2198&lt;=250),"101–250",
 AND(K2198&gt;=251,K2198&lt;=500),"251–500",
 AND(K2198&gt;=501,K2198&lt;=1000),"501–1000",
 K2198&gt;=1001,"1001+"
)</f>
        <v>101–250</v>
      </c>
    </row>
    <row r="2199" spans="1:12" x14ac:dyDescent="0.3">
      <c r="A2199" t="s">
        <v>4269</v>
      </c>
      <c r="B2199" t="s">
        <v>11</v>
      </c>
      <c r="C2199" t="s">
        <v>5776</v>
      </c>
      <c r="F2199" t="s">
        <v>5770</v>
      </c>
      <c r="J2199" t="s">
        <v>5737</v>
      </c>
      <c r="K2199">
        <v>150</v>
      </c>
      <c r="L2199" t="str" cm="1">
        <f t="array" ref="L2199">_xlfn.IFS(
 K2199&lt;=50,"≤50",
 AND(K2199&gt;=51,K2199&lt;=100),"51–100",
 AND(K2199&gt;=101,K2199&lt;=250),"101–250",
 AND(K2199&gt;=251,K2199&lt;=500),"251–500",
 AND(K2199&gt;=501,K2199&lt;=1000),"501–1000",
 K2199&gt;=1001,"1001+"
)</f>
        <v>101–250</v>
      </c>
    </row>
    <row r="2200" spans="1:12" x14ac:dyDescent="0.3">
      <c r="A2200" t="s">
        <v>4270</v>
      </c>
      <c r="B2200" t="s">
        <v>9</v>
      </c>
      <c r="C2200" t="s">
        <v>5780</v>
      </c>
      <c r="D2200" t="s">
        <v>4271</v>
      </c>
      <c r="E2200" t="s">
        <v>15</v>
      </c>
      <c r="F2200" t="s">
        <v>54</v>
      </c>
      <c r="G2200" t="s">
        <v>4272</v>
      </c>
      <c r="J2200" t="s">
        <v>5737</v>
      </c>
      <c r="K2200">
        <v>150</v>
      </c>
      <c r="L2200" t="str" cm="1">
        <f t="array" ref="L2200">_xlfn.IFS(
 K2200&lt;=50,"≤50",
 AND(K2200&gt;=51,K2200&lt;=100),"51–100",
 AND(K2200&gt;=101,K2200&lt;=250),"101–250",
 AND(K2200&gt;=251,K2200&lt;=500),"251–500",
 AND(K2200&gt;=501,K2200&lt;=1000),"501–1000",
 K2200&gt;=1001,"1001+"
)</f>
        <v>101–250</v>
      </c>
    </row>
    <row r="2201" spans="1:12" x14ac:dyDescent="0.3">
      <c r="A2201" t="s">
        <v>4273</v>
      </c>
      <c r="B2201" t="s">
        <v>9</v>
      </c>
      <c r="C2201" t="s">
        <v>5780</v>
      </c>
      <c r="D2201" t="s">
        <v>301</v>
      </c>
      <c r="F2201" t="s">
        <v>5770</v>
      </c>
      <c r="J2201" t="s">
        <v>5737</v>
      </c>
      <c r="K2201">
        <v>150</v>
      </c>
      <c r="L2201" t="str" cm="1">
        <f t="array" ref="L2201">_xlfn.IFS(
 K2201&lt;=50,"≤50",
 AND(K2201&gt;=51,K2201&lt;=100),"51–100",
 AND(K2201&gt;=101,K2201&lt;=250),"101–250",
 AND(K2201&gt;=251,K2201&lt;=500),"251–500",
 AND(K2201&gt;=501,K2201&lt;=1000),"501–1000",
 K2201&gt;=1001,"1001+"
)</f>
        <v>101–250</v>
      </c>
    </row>
    <row r="2202" spans="1:12" x14ac:dyDescent="0.3">
      <c r="A2202" t="s">
        <v>4274</v>
      </c>
      <c r="B2202" t="s">
        <v>9</v>
      </c>
      <c r="C2202" t="s">
        <v>5780</v>
      </c>
      <c r="D2202" t="s">
        <v>28</v>
      </c>
      <c r="F2202" t="s">
        <v>5770</v>
      </c>
      <c r="J2202" t="s">
        <v>5737</v>
      </c>
      <c r="K2202">
        <v>150</v>
      </c>
      <c r="L2202" t="str" cm="1">
        <f t="array" ref="L2202">_xlfn.IFS(
 K2202&lt;=50,"≤50",
 AND(K2202&gt;=51,K2202&lt;=100),"51–100",
 AND(K2202&gt;=101,K2202&lt;=250),"101–250",
 AND(K2202&gt;=251,K2202&lt;=500),"251–500",
 AND(K2202&gt;=501,K2202&lt;=1000),"501–1000",
 K2202&gt;=1001,"1001+"
)</f>
        <v>101–250</v>
      </c>
    </row>
    <row r="2203" spans="1:12" x14ac:dyDescent="0.3">
      <c r="A2203" t="s">
        <v>4275</v>
      </c>
      <c r="B2203" t="s">
        <v>9</v>
      </c>
      <c r="C2203" t="s">
        <v>5780</v>
      </c>
      <c r="D2203" t="s">
        <v>4276</v>
      </c>
      <c r="F2203" t="s">
        <v>20</v>
      </c>
      <c r="G2203" t="s">
        <v>21</v>
      </c>
      <c r="J2203" t="s">
        <v>5737</v>
      </c>
      <c r="K2203">
        <v>150</v>
      </c>
      <c r="L2203" t="str" cm="1">
        <f t="array" ref="L2203">_xlfn.IFS(
 K2203&lt;=50,"≤50",
 AND(K2203&gt;=51,K2203&lt;=100),"51–100",
 AND(K2203&gt;=101,K2203&lt;=250),"101–250",
 AND(K2203&gt;=251,K2203&lt;=500),"251–500",
 AND(K2203&gt;=501,K2203&lt;=1000),"501–1000",
 K2203&gt;=1001,"1001+"
)</f>
        <v>101–250</v>
      </c>
    </row>
    <row r="2204" spans="1:12" x14ac:dyDescent="0.3">
      <c r="A2204" t="s">
        <v>4277</v>
      </c>
      <c r="B2204" t="s">
        <v>9</v>
      </c>
      <c r="C2204" t="s">
        <v>5780</v>
      </c>
      <c r="D2204" t="s">
        <v>4278</v>
      </c>
      <c r="F2204" t="s">
        <v>20</v>
      </c>
      <c r="G2204" t="s">
        <v>21</v>
      </c>
      <c r="J2204" t="s">
        <v>5738</v>
      </c>
      <c r="K2204">
        <v>150</v>
      </c>
      <c r="L2204" t="str" cm="1">
        <f t="array" ref="L2204">_xlfn.IFS(
 K2204&lt;=50,"≤50",
 AND(K2204&gt;=51,K2204&lt;=100),"51–100",
 AND(K2204&gt;=101,K2204&lt;=250),"101–250",
 AND(K2204&gt;=251,K2204&lt;=500),"251–500",
 AND(K2204&gt;=501,K2204&lt;=1000),"501–1000",
 K2204&gt;=1001,"1001+"
)</f>
        <v>101–250</v>
      </c>
    </row>
    <row r="2205" spans="1:12" x14ac:dyDescent="0.3">
      <c r="A2205" t="s">
        <v>4279</v>
      </c>
      <c r="B2205" t="s">
        <v>9</v>
      </c>
      <c r="C2205" t="s">
        <v>5780</v>
      </c>
      <c r="D2205" t="s">
        <v>28</v>
      </c>
      <c r="E2205" t="s">
        <v>15</v>
      </c>
      <c r="F2205" t="s">
        <v>20</v>
      </c>
      <c r="G2205" t="s">
        <v>4280</v>
      </c>
      <c r="J2205" t="s">
        <v>5744</v>
      </c>
      <c r="K2205">
        <v>150</v>
      </c>
      <c r="L2205" t="str" cm="1">
        <f t="array" ref="L2205">_xlfn.IFS(
 K2205&lt;=50,"≤50",
 AND(K2205&gt;=51,K2205&lt;=100),"51–100",
 AND(K2205&gt;=101,K2205&lt;=250),"101–250",
 AND(K2205&gt;=251,K2205&lt;=500),"251–500",
 AND(K2205&gt;=501,K2205&lt;=1000),"501–1000",
 K2205&gt;=1001,"1001+"
)</f>
        <v>101–250</v>
      </c>
    </row>
    <row r="2206" spans="1:12" x14ac:dyDescent="0.3">
      <c r="A2206" t="s">
        <v>4281</v>
      </c>
      <c r="B2206" t="s">
        <v>9</v>
      </c>
      <c r="C2206" t="s">
        <v>5780</v>
      </c>
      <c r="D2206" t="s">
        <v>4282</v>
      </c>
      <c r="E2206" t="s">
        <v>15</v>
      </c>
      <c r="F2206" t="s">
        <v>20</v>
      </c>
      <c r="G2206" t="s">
        <v>21</v>
      </c>
      <c r="J2206" t="s">
        <v>5742</v>
      </c>
      <c r="K2206">
        <v>150</v>
      </c>
      <c r="L2206" t="str" cm="1">
        <f t="array" ref="L2206">_xlfn.IFS(
 K2206&lt;=50,"≤50",
 AND(K2206&gt;=51,K2206&lt;=100),"51–100",
 AND(K2206&gt;=101,K2206&lt;=250),"101–250",
 AND(K2206&gt;=251,K2206&lt;=500),"251–500",
 AND(K2206&gt;=501,K2206&lt;=1000),"501–1000",
 K2206&gt;=1001,"1001+"
)</f>
        <v>101–250</v>
      </c>
    </row>
    <row r="2207" spans="1:12" x14ac:dyDescent="0.3">
      <c r="A2207" t="s">
        <v>4283</v>
      </c>
      <c r="B2207" t="s">
        <v>11</v>
      </c>
      <c r="C2207" t="s">
        <v>5776</v>
      </c>
      <c r="F2207" t="s">
        <v>5770</v>
      </c>
      <c r="J2207" t="s">
        <v>5737</v>
      </c>
      <c r="K2207">
        <v>150</v>
      </c>
      <c r="L2207" t="str" cm="1">
        <f t="array" ref="L2207">_xlfn.IFS(
 K2207&lt;=50,"≤50",
 AND(K2207&gt;=51,K2207&lt;=100),"51–100",
 AND(K2207&gt;=101,K2207&lt;=250),"101–250",
 AND(K2207&gt;=251,K2207&lt;=500),"251–500",
 AND(K2207&gt;=501,K2207&lt;=1000),"501–1000",
 K2207&gt;=1001,"1001+"
)</f>
        <v>101–250</v>
      </c>
    </row>
    <row r="2208" spans="1:12" x14ac:dyDescent="0.3">
      <c r="A2208" t="s">
        <v>4284</v>
      </c>
      <c r="B2208" t="s">
        <v>9</v>
      </c>
      <c r="C2208" t="s">
        <v>5780</v>
      </c>
      <c r="D2208" t="s">
        <v>4285</v>
      </c>
      <c r="E2208" t="s">
        <v>15</v>
      </c>
      <c r="F2208" t="s">
        <v>54</v>
      </c>
      <c r="G2208" t="s">
        <v>4286</v>
      </c>
      <c r="J2208" t="s">
        <v>5737</v>
      </c>
      <c r="K2208">
        <v>150</v>
      </c>
      <c r="L2208" t="str" cm="1">
        <f t="array" ref="L2208">_xlfn.IFS(
 K2208&lt;=50,"≤50",
 AND(K2208&gt;=51,K2208&lt;=100),"51–100",
 AND(K2208&gt;=101,K2208&lt;=250),"101–250",
 AND(K2208&gt;=251,K2208&lt;=500),"251–500",
 AND(K2208&gt;=501,K2208&lt;=1000),"501–1000",
 K2208&gt;=1001,"1001+"
)</f>
        <v>101–250</v>
      </c>
    </row>
    <row r="2209" spans="1:12" x14ac:dyDescent="0.3">
      <c r="A2209" t="s">
        <v>4287</v>
      </c>
      <c r="B2209" t="s">
        <v>13</v>
      </c>
      <c r="C2209" t="s">
        <v>5777</v>
      </c>
      <c r="D2209" t="s">
        <v>4288</v>
      </c>
      <c r="F2209" t="s">
        <v>20</v>
      </c>
      <c r="G2209" t="s">
        <v>4289</v>
      </c>
      <c r="J2209" t="s">
        <v>5737</v>
      </c>
      <c r="K2209">
        <v>150</v>
      </c>
      <c r="L2209" t="str" cm="1">
        <f t="array" ref="L2209">_xlfn.IFS(
 K2209&lt;=50,"≤50",
 AND(K2209&gt;=51,K2209&lt;=100),"51–100",
 AND(K2209&gt;=101,K2209&lt;=250),"101–250",
 AND(K2209&gt;=251,K2209&lt;=500),"251–500",
 AND(K2209&gt;=501,K2209&lt;=1000),"501–1000",
 K2209&gt;=1001,"1001+"
)</f>
        <v>101–250</v>
      </c>
    </row>
    <row r="2210" spans="1:12" x14ac:dyDescent="0.3">
      <c r="A2210" t="s">
        <v>4290</v>
      </c>
      <c r="B2210" t="s">
        <v>9</v>
      </c>
      <c r="C2210" t="s">
        <v>5780</v>
      </c>
      <c r="D2210" t="s">
        <v>4291</v>
      </c>
      <c r="E2210" t="s">
        <v>15</v>
      </c>
      <c r="F2210" t="s">
        <v>16</v>
      </c>
      <c r="G2210" t="s">
        <v>4292</v>
      </c>
      <c r="J2210" t="s">
        <v>5737</v>
      </c>
      <c r="K2210">
        <v>150</v>
      </c>
      <c r="L2210" t="str" cm="1">
        <f t="array" ref="L2210">_xlfn.IFS(
 K2210&lt;=50,"≤50",
 AND(K2210&gt;=51,K2210&lt;=100),"51–100",
 AND(K2210&gt;=101,K2210&lt;=250),"101–250",
 AND(K2210&gt;=251,K2210&lt;=500),"251–500",
 AND(K2210&gt;=501,K2210&lt;=1000),"501–1000",
 K2210&gt;=1001,"1001+"
)</f>
        <v>101–250</v>
      </c>
    </row>
    <row r="2211" spans="1:12" x14ac:dyDescent="0.3">
      <c r="A2211" t="s">
        <v>4293</v>
      </c>
      <c r="B2211" t="s">
        <v>9</v>
      </c>
      <c r="C2211" t="s">
        <v>5780</v>
      </c>
      <c r="D2211" t="s">
        <v>4294</v>
      </c>
      <c r="F2211" t="s">
        <v>5770</v>
      </c>
      <c r="J2211" t="s">
        <v>5737</v>
      </c>
      <c r="K2211">
        <v>150</v>
      </c>
      <c r="L2211" t="str" cm="1">
        <f t="array" ref="L2211">_xlfn.IFS(
 K2211&lt;=50,"≤50",
 AND(K2211&gt;=51,K2211&lt;=100),"51–100",
 AND(K2211&gt;=101,K2211&lt;=250),"101–250",
 AND(K2211&gt;=251,K2211&lt;=500),"251–500",
 AND(K2211&gt;=501,K2211&lt;=1000),"501–1000",
 K2211&gt;=1001,"1001+"
)</f>
        <v>101–250</v>
      </c>
    </row>
    <row r="2212" spans="1:12" x14ac:dyDescent="0.3">
      <c r="A2212" t="s">
        <v>4295</v>
      </c>
      <c r="B2212" t="s">
        <v>9</v>
      </c>
      <c r="C2212" t="s">
        <v>5780</v>
      </c>
      <c r="D2212" t="s">
        <v>28</v>
      </c>
      <c r="F2212" t="s">
        <v>5770</v>
      </c>
      <c r="J2212" t="s">
        <v>5742</v>
      </c>
      <c r="K2212">
        <v>150</v>
      </c>
      <c r="L2212" t="str" cm="1">
        <f t="array" ref="L2212">_xlfn.IFS(
 K2212&lt;=50,"≤50",
 AND(K2212&gt;=51,K2212&lt;=100),"51–100",
 AND(K2212&gt;=101,K2212&lt;=250),"101–250",
 AND(K2212&gt;=251,K2212&lt;=500),"251–500",
 AND(K2212&gt;=501,K2212&lt;=1000),"501–1000",
 K2212&gt;=1001,"1001+"
)</f>
        <v>101–250</v>
      </c>
    </row>
    <row r="2213" spans="1:12" x14ac:dyDescent="0.3">
      <c r="A2213" t="s">
        <v>4296</v>
      </c>
      <c r="B2213" t="s">
        <v>11</v>
      </c>
      <c r="C2213" t="s">
        <v>5776</v>
      </c>
      <c r="F2213" t="s">
        <v>5770</v>
      </c>
      <c r="J2213" t="s">
        <v>5745</v>
      </c>
      <c r="K2213">
        <v>150</v>
      </c>
      <c r="L2213" t="str" cm="1">
        <f t="array" ref="L2213">_xlfn.IFS(
 K2213&lt;=50,"≤50",
 AND(K2213&gt;=51,K2213&lt;=100),"51–100",
 AND(K2213&gt;=101,K2213&lt;=250),"101–250",
 AND(K2213&gt;=251,K2213&lt;=500),"251–500",
 AND(K2213&gt;=501,K2213&lt;=1000),"501–1000",
 K2213&gt;=1001,"1001+"
)</f>
        <v>101–250</v>
      </c>
    </row>
    <row r="2214" spans="1:12" x14ac:dyDescent="0.3">
      <c r="A2214" t="s">
        <v>4297</v>
      </c>
      <c r="B2214" t="s">
        <v>9</v>
      </c>
      <c r="C2214" t="s">
        <v>5780</v>
      </c>
      <c r="D2214" t="s">
        <v>4298</v>
      </c>
      <c r="E2214" t="s">
        <v>15</v>
      </c>
      <c r="F2214" t="s">
        <v>54</v>
      </c>
      <c r="G2214" t="s">
        <v>4299</v>
      </c>
      <c r="J2214" t="s">
        <v>5738</v>
      </c>
      <c r="K2214">
        <v>154</v>
      </c>
      <c r="L2214" t="str" cm="1">
        <f t="array" ref="L2214">_xlfn.IFS(
 K2214&lt;=50,"≤50",
 AND(K2214&gt;=51,K2214&lt;=100),"51–100",
 AND(K2214&gt;=101,K2214&lt;=250),"101–250",
 AND(K2214&gt;=251,K2214&lt;=500),"251–500",
 AND(K2214&gt;=501,K2214&lt;=1000),"501–1000",
 K2214&gt;=1001,"1001+"
)</f>
        <v>101–250</v>
      </c>
    </row>
    <row r="2215" spans="1:12" x14ac:dyDescent="0.3">
      <c r="A2215" t="s">
        <v>4300</v>
      </c>
      <c r="B2215" t="s">
        <v>9</v>
      </c>
      <c r="C2215" t="s">
        <v>5780</v>
      </c>
      <c r="D2215" t="s">
        <v>4301</v>
      </c>
      <c r="E2215" t="s">
        <v>15</v>
      </c>
      <c r="F2215" t="s">
        <v>16</v>
      </c>
      <c r="G2215" t="s">
        <v>4302</v>
      </c>
      <c r="J2215" t="s">
        <v>5737</v>
      </c>
      <c r="K2215">
        <v>155</v>
      </c>
      <c r="L2215" t="str" cm="1">
        <f t="array" ref="L2215">_xlfn.IFS(
 K2215&lt;=50,"≤50",
 AND(K2215&gt;=51,K2215&lt;=100),"51–100",
 AND(K2215&gt;=101,K2215&lt;=250),"101–250",
 AND(K2215&gt;=251,K2215&lt;=500),"251–500",
 AND(K2215&gt;=501,K2215&lt;=1000),"501–1000",
 K2215&gt;=1001,"1001+"
)</f>
        <v>101–250</v>
      </c>
    </row>
    <row r="2216" spans="1:12" x14ac:dyDescent="0.3">
      <c r="A2216" t="s">
        <v>4303</v>
      </c>
      <c r="B2216" t="s">
        <v>13</v>
      </c>
      <c r="C2216" t="s">
        <v>5777</v>
      </c>
      <c r="D2216" t="s">
        <v>4304</v>
      </c>
      <c r="E2216" t="s">
        <v>15</v>
      </c>
      <c r="F2216" t="s">
        <v>54</v>
      </c>
      <c r="G2216" t="s">
        <v>4305</v>
      </c>
      <c r="J2216" t="s">
        <v>5737</v>
      </c>
      <c r="K2216">
        <v>156</v>
      </c>
      <c r="L2216" t="str" cm="1">
        <f t="array" ref="L2216">_xlfn.IFS(
 K2216&lt;=50,"≤50",
 AND(K2216&gt;=51,K2216&lt;=100),"51–100",
 AND(K2216&gt;=101,K2216&lt;=250),"101–250",
 AND(K2216&gt;=251,K2216&lt;=500),"251–500",
 AND(K2216&gt;=501,K2216&lt;=1000),"501–1000",
 K2216&gt;=1001,"1001+"
)</f>
        <v>101–250</v>
      </c>
    </row>
    <row r="2217" spans="1:12" x14ac:dyDescent="0.3">
      <c r="A2217" t="s">
        <v>4306</v>
      </c>
      <c r="B2217" t="s">
        <v>11</v>
      </c>
      <c r="C2217" t="s">
        <v>5776</v>
      </c>
      <c r="F2217" t="s">
        <v>5770</v>
      </c>
      <c r="J2217" t="s">
        <v>5737</v>
      </c>
      <c r="K2217">
        <v>160</v>
      </c>
      <c r="L2217" t="str" cm="1">
        <f t="array" ref="L2217">_xlfn.IFS(
 K2217&lt;=50,"≤50",
 AND(K2217&gt;=51,K2217&lt;=100),"51–100",
 AND(K2217&gt;=101,K2217&lt;=250),"101–250",
 AND(K2217&gt;=251,K2217&lt;=500),"251–500",
 AND(K2217&gt;=501,K2217&lt;=1000),"501–1000",
 K2217&gt;=1001,"1001+"
)</f>
        <v>101–250</v>
      </c>
    </row>
    <row r="2218" spans="1:12" x14ac:dyDescent="0.3">
      <c r="A2218" t="s">
        <v>4307</v>
      </c>
      <c r="B2218" t="s">
        <v>9</v>
      </c>
      <c r="C2218" t="s">
        <v>5780</v>
      </c>
      <c r="D2218" t="s">
        <v>4308</v>
      </c>
      <c r="F2218" t="s">
        <v>5770</v>
      </c>
      <c r="J2218" t="s">
        <v>5737</v>
      </c>
      <c r="K2218">
        <v>160</v>
      </c>
      <c r="L2218" t="str" cm="1">
        <f t="array" ref="L2218">_xlfn.IFS(
 K2218&lt;=50,"≤50",
 AND(K2218&gt;=51,K2218&lt;=100),"51–100",
 AND(K2218&gt;=101,K2218&lt;=250),"101–250",
 AND(K2218&gt;=251,K2218&lt;=500),"251–500",
 AND(K2218&gt;=501,K2218&lt;=1000),"501–1000",
 K2218&gt;=1001,"1001+"
)</f>
        <v>101–250</v>
      </c>
    </row>
    <row r="2219" spans="1:12" x14ac:dyDescent="0.3">
      <c r="A2219" t="s">
        <v>4309</v>
      </c>
      <c r="B2219" t="s">
        <v>9</v>
      </c>
      <c r="C2219" t="s">
        <v>5780</v>
      </c>
      <c r="D2219" t="s">
        <v>4310</v>
      </c>
      <c r="E2219" t="s">
        <v>15</v>
      </c>
      <c r="F2219" t="s">
        <v>54</v>
      </c>
      <c r="G2219" t="s">
        <v>4311</v>
      </c>
      <c r="J2219" t="s">
        <v>5737</v>
      </c>
      <c r="K2219">
        <v>160</v>
      </c>
      <c r="L2219" t="str" cm="1">
        <f t="array" ref="L2219">_xlfn.IFS(
 K2219&lt;=50,"≤50",
 AND(K2219&gt;=51,K2219&lt;=100),"51–100",
 AND(K2219&gt;=101,K2219&lt;=250),"101–250",
 AND(K2219&gt;=251,K2219&lt;=500),"251–500",
 AND(K2219&gt;=501,K2219&lt;=1000),"501–1000",
 K2219&gt;=1001,"1001+"
)</f>
        <v>101–250</v>
      </c>
    </row>
    <row r="2220" spans="1:12" x14ac:dyDescent="0.3">
      <c r="A2220" t="s">
        <v>4312</v>
      </c>
      <c r="B2220" t="s">
        <v>9</v>
      </c>
      <c r="C2220" t="s">
        <v>5780</v>
      </c>
      <c r="D2220" t="s">
        <v>28</v>
      </c>
      <c r="F2220" t="s">
        <v>5770</v>
      </c>
      <c r="J2220" t="s">
        <v>5737</v>
      </c>
      <c r="K2220">
        <v>160</v>
      </c>
      <c r="L2220" t="str" cm="1">
        <f t="array" ref="L2220">_xlfn.IFS(
 K2220&lt;=50,"≤50",
 AND(K2220&gt;=51,K2220&lt;=100),"51–100",
 AND(K2220&gt;=101,K2220&lt;=250),"101–250",
 AND(K2220&gt;=251,K2220&lt;=500),"251–500",
 AND(K2220&gt;=501,K2220&lt;=1000),"501–1000",
 K2220&gt;=1001,"1001+"
)</f>
        <v>101–250</v>
      </c>
    </row>
    <row r="2221" spans="1:12" x14ac:dyDescent="0.3">
      <c r="A2221" t="s">
        <v>4313</v>
      </c>
      <c r="B2221" t="s">
        <v>9</v>
      </c>
      <c r="C2221" t="s">
        <v>5780</v>
      </c>
      <c r="D2221" t="s">
        <v>4314</v>
      </c>
      <c r="F2221" t="s">
        <v>5770</v>
      </c>
      <c r="J2221" t="s">
        <v>5737</v>
      </c>
      <c r="K2221">
        <v>160</v>
      </c>
      <c r="L2221" t="str" cm="1">
        <f t="array" ref="L2221">_xlfn.IFS(
 K2221&lt;=50,"≤50",
 AND(K2221&gt;=51,K2221&lt;=100),"51–100",
 AND(K2221&gt;=101,K2221&lt;=250),"101–250",
 AND(K2221&gt;=251,K2221&lt;=500),"251–500",
 AND(K2221&gt;=501,K2221&lt;=1000),"501–1000",
 K2221&gt;=1001,"1001+"
)</f>
        <v>101–250</v>
      </c>
    </row>
    <row r="2222" spans="1:12" x14ac:dyDescent="0.3">
      <c r="A2222" t="s">
        <v>4315</v>
      </c>
      <c r="B2222" t="s">
        <v>9</v>
      </c>
      <c r="C2222" t="s">
        <v>5780</v>
      </c>
      <c r="D2222" t="s">
        <v>4316</v>
      </c>
      <c r="E2222" t="s">
        <v>15</v>
      </c>
      <c r="F2222" t="s">
        <v>20</v>
      </c>
      <c r="G2222" t="s">
        <v>21</v>
      </c>
      <c r="J2222" t="s">
        <v>5737</v>
      </c>
      <c r="K2222">
        <v>160</v>
      </c>
      <c r="L2222" t="str" cm="1">
        <f t="array" ref="L2222">_xlfn.IFS(
 K2222&lt;=50,"≤50",
 AND(K2222&gt;=51,K2222&lt;=100),"51–100",
 AND(K2222&gt;=101,K2222&lt;=250),"101–250",
 AND(K2222&gt;=251,K2222&lt;=500),"251–500",
 AND(K2222&gt;=501,K2222&lt;=1000),"501–1000",
 K2222&gt;=1001,"1001+"
)</f>
        <v>101–250</v>
      </c>
    </row>
    <row r="2223" spans="1:12" x14ac:dyDescent="0.3">
      <c r="A2223" t="s">
        <v>4317</v>
      </c>
      <c r="B2223" t="s">
        <v>9</v>
      </c>
      <c r="C2223" t="s">
        <v>5780</v>
      </c>
      <c r="D2223" t="s">
        <v>28</v>
      </c>
      <c r="F2223" t="s">
        <v>5770</v>
      </c>
      <c r="J2223" t="s">
        <v>5737</v>
      </c>
      <c r="K2223">
        <v>160</v>
      </c>
      <c r="L2223" t="str" cm="1">
        <f t="array" ref="L2223">_xlfn.IFS(
 K2223&lt;=50,"≤50",
 AND(K2223&gt;=51,K2223&lt;=100),"51–100",
 AND(K2223&gt;=101,K2223&lt;=250),"101–250",
 AND(K2223&gt;=251,K2223&lt;=500),"251–500",
 AND(K2223&gt;=501,K2223&lt;=1000),"501–1000",
 K2223&gt;=1001,"1001+"
)</f>
        <v>101–250</v>
      </c>
    </row>
    <row r="2224" spans="1:12" x14ac:dyDescent="0.3">
      <c r="A2224" t="s">
        <v>4318</v>
      </c>
      <c r="B2224" t="s">
        <v>9</v>
      </c>
      <c r="C2224" t="s">
        <v>5780</v>
      </c>
      <c r="D2224" t="s">
        <v>4319</v>
      </c>
      <c r="E2224" t="s">
        <v>15</v>
      </c>
      <c r="F2224" t="s">
        <v>54</v>
      </c>
      <c r="G2224" t="s">
        <v>3075</v>
      </c>
      <c r="J2224" t="s">
        <v>5737</v>
      </c>
      <c r="K2224">
        <v>160</v>
      </c>
      <c r="L2224" t="str" cm="1">
        <f t="array" ref="L2224">_xlfn.IFS(
 K2224&lt;=50,"≤50",
 AND(K2224&gt;=51,K2224&lt;=100),"51–100",
 AND(K2224&gt;=101,K2224&lt;=250),"101–250",
 AND(K2224&gt;=251,K2224&lt;=500),"251–500",
 AND(K2224&gt;=501,K2224&lt;=1000),"501–1000",
 K2224&gt;=1001,"1001+"
)</f>
        <v>101–250</v>
      </c>
    </row>
    <row r="2225" spans="1:12" x14ac:dyDescent="0.3">
      <c r="A2225" t="s">
        <v>4320</v>
      </c>
      <c r="B2225" t="s">
        <v>9</v>
      </c>
      <c r="C2225" t="s">
        <v>5780</v>
      </c>
      <c r="D2225" t="s">
        <v>28</v>
      </c>
      <c r="E2225" t="s">
        <v>15</v>
      </c>
      <c r="F2225" t="s">
        <v>16</v>
      </c>
      <c r="G2225" t="s">
        <v>4321</v>
      </c>
      <c r="J2225" t="s">
        <v>5737</v>
      </c>
      <c r="K2225">
        <v>160</v>
      </c>
      <c r="L2225" t="str" cm="1">
        <f t="array" ref="L2225">_xlfn.IFS(
 K2225&lt;=50,"≤50",
 AND(K2225&gt;=51,K2225&lt;=100),"51–100",
 AND(K2225&gt;=101,K2225&lt;=250),"101–250",
 AND(K2225&gt;=251,K2225&lt;=500),"251–500",
 AND(K2225&gt;=501,K2225&lt;=1000),"501–1000",
 K2225&gt;=1001,"1001+"
)</f>
        <v>101–250</v>
      </c>
    </row>
    <row r="2226" spans="1:12" x14ac:dyDescent="0.3">
      <c r="A2226" t="s">
        <v>4322</v>
      </c>
      <c r="B2226" t="s">
        <v>9</v>
      </c>
      <c r="C2226" t="s">
        <v>5780</v>
      </c>
      <c r="D2226" t="s">
        <v>4323</v>
      </c>
      <c r="F2226" t="s">
        <v>20</v>
      </c>
      <c r="G2226" t="s">
        <v>21</v>
      </c>
      <c r="J2226" t="s">
        <v>5738</v>
      </c>
      <c r="K2226">
        <v>160</v>
      </c>
      <c r="L2226" t="str" cm="1">
        <f t="array" ref="L2226">_xlfn.IFS(
 K2226&lt;=50,"≤50",
 AND(K2226&gt;=51,K2226&lt;=100),"51–100",
 AND(K2226&gt;=101,K2226&lt;=250),"101–250",
 AND(K2226&gt;=251,K2226&lt;=500),"251–500",
 AND(K2226&gt;=501,K2226&lt;=1000),"501–1000",
 K2226&gt;=1001,"1001+"
)</f>
        <v>101–250</v>
      </c>
    </row>
    <row r="2227" spans="1:12" x14ac:dyDescent="0.3">
      <c r="A2227" t="s">
        <v>4324</v>
      </c>
      <c r="B2227" t="s">
        <v>9</v>
      </c>
      <c r="C2227" t="s">
        <v>5780</v>
      </c>
      <c r="D2227" t="s">
        <v>4325</v>
      </c>
      <c r="E2227" t="s">
        <v>15</v>
      </c>
      <c r="F2227" t="s">
        <v>54</v>
      </c>
      <c r="G2227" t="s">
        <v>4326</v>
      </c>
      <c r="J2227" t="s">
        <v>5737</v>
      </c>
      <c r="K2227">
        <v>160</v>
      </c>
      <c r="L2227" t="str" cm="1">
        <f t="array" ref="L2227">_xlfn.IFS(
 K2227&lt;=50,"≤50",
 AND(K2227&gt;=51,K2227&lt;=100),"51–100",
 AND(K2227&gt;=101,K2227&lt;=250),"101–250",
 AND(K2227&gt;=251,K2227&lt;=500),"251–500",
 AND(K2227&gt;=501,K2227&lt;=1000),"501–1000",
 K2227&gt;=1001,"1001+"
)</f>
        <v>101–250</v>
      </c>
    </row>
    <row r="2228" spans="1:12" x14ac:dyDescent="0.3">
      <c r="A2228" t="s">
        <v>4327</v>
      </c>
      <c r="B2228" t="s">
        <v>9</v>
      </c>
      <c r="C2228" t="s">
        <v>5780</v>
      </c>
      <c r="D2228" t="s">
        <v>442</v>
      </c>
      <c r="F2228" t="s">
        <v>20</v>
      </c>
      <c r="G2228" t="s">
        <v>135</v>
      </c>
      <c r="J2228" t="s">
        <v>5738</v>
      </c>
      <c r="K2228">
        <v>160</v>
      </c>
      <c r="L2228" t="str" cm="1">
        <f t="array" ref="L2228">_xlfn.IFS(
 K2228&lt;=50,"≤50",
 AND(K2228&gt;=51,K2228&lt;=100),"51–100",
 AND(K2228&gt;=101,K2228&lt;=250),"101–250",
 AND(K2228&gt;=251,K2228&lt;=500),"251–500",
 AND(K2228&gt;=501,K2228&lt;=1000),"501–1000",
 K2228&gt;=1001,"1001+"
)</f>
        <v>101–250</v>
      </c>
    </row>
    <row r="2229" spans="1:12" x14ac:dyDescent="0.3">
      <c r="A2229" t="s">
        <v>4328</v>
      </c>
      <c r="B2229" t="s">
        <v>9</v>
      </c>
      <c r="C2229" t="s">
        <v>5780</v>
      </c>
      <c r="D2229" t="s">
        <v>4329</v>
      </c>
      <c r="E2229" t="s">
        <v>15</v>
      </c>
      <c r="F2229" t="s">
        <v>20</v>
      </c>
      <c r="G2229" t="s">
        <v>4330</v>
      </c>
      <c r="J2229" t="s">
        <v>5743</v>
      </c>
      <c r="K2229">
        <v>160</v>
      </c>
      <c r="L2229" t="str" cm="1">
        <f t="array" ref="L2229">_xlfn.IFS(
 K2229&lt;=50,"≤50",
 AND(K2229&gt;=51,K2229&lt;=100),"51–100",
 AND(K2229&gt;=101,K2229&lt;=250),"101–250",
 AND(K2229&gt;=251,K2229&lt;=500),"251–500",
 AND(K2229&gt;=501,K2229&lt;=1000),"501–1000",
 K2229&gt;=1001,"1001+"
)</f>
        <v>101–250</v>
      </c>
    </row>
    <row r="2230" spans="1:12" x14ac:dyDescent="0.3">
      <c r="A2230" t="s">
        <v>4331</v>
      </c>
      <c r="B2230" t="s">
        <v>9</v>
      </c>
      <c r="C2230" t="s">
        <v>5780</v>
      </c>
      <c r="D2230" t="s">
        <v>28</v>
      </c>
      <c r="E2230" t="s">
        <v>15</v>
      </c>
      <c r="F2230" t="s">
        <v>54</v>
      </c>
      <c r="G2230" t="s">
        <v>4332</v>
      </c>
      <c r="J2230" t="s">
        <v>5758</v>
      </c>
      <c r="K2230">
        <v>160</v>
      </c>
      <c r="L2230" t="str" cm="1">
        <f t="array" ref="L2230">_xlfn.IFS(
 K2230&lt;=50,"≤50",
 AND(K2230&gt;=51,K2230&lt;=100),"51–100",
 AND(K2230&gt;=101,K2230&lt;=250),"101–250",
 AND(K2230&gt;=251,K2230&lt;=500),"251–500",
 AND(K2230&gt;=501,K2230&lt;=1000),"501–1000",
 K2230&gt;=1001,"1001+"
)</f>
        <v>101–250</v>
      </c>
    </row>
    <row r="2231" spans="1:12" x14ac:dyDescent="0.3">
      <c r="A2231" t="s">
        <v>4333</v>
      </c>
      <c r="B2231" t="s">
        <v>11</v>
      </c>
      <c r="C2231" t="s">
        <v>5776</v>
      </c>
      <c r="F2231" t="s">
        <v>54</v>
      </c>
      <c r="G2231" t="s">
        <v>3531</v>
      </c>
      <c r="J2231" t="s">
        <v>5745</v>
      </c>
      <c r="K2231">
        <v>160</v>
      </c>
      <c r="L2231" t="str" cm="1">
        <f t="array" ref="L2231">_xlfn.IFS(
 K2231&lt;=50,"≤50",
 AND(K2231&gt;=51,K2231&lt;=100),"51–100",
 AND(K2231&gt;=101,K2231&lt;=250),"101–250",
 AND(K2231&gt;=251,K2231&lt;=500),"251–500",
 AND(K2231&gt;=501,K2231&lt;=1000),"501–1000",
 K2231&gt;=1001,"1001+"
)</f>
        <v>101–250</v>
      </c>
    </row>
    <row r="2232" spans="1:12" x14ac:dyDescent="0.3">
      <c r="A2232" t="s">
        <v>4334</v>
      </c>
      <c r="B2232" t="s">
        <v>9</v>
      </c>
      <c r="C2232" t="s">
        <v>5780</v>
      </c>
      <c r="D2232" t="s">
        <v>28</v>
      </c>
      <c r="F2232" t="s">
        <v>5770</v>
      </c>
      <c r="J2232" t="s">
        <v>5739</v>
      </c>
      <c r="K2232">
        <v>160</v>
      </c>
      <c r="L2232" t="str" cm="1">
        <f t="array" ref="L2232">_xlfn.IFS(
 K2232&lt;=50,"≤50",
 AND(K2232&gt;=51,K2232&lt;=100),"51–100",
 AND(K2232&gt;=101,K2232&lt;=250),"101–250",
 AND(K2232&gt;=251,K2232&lt;=500),"251–500",
 AND(K2232&gt;=501,K2232&lt;=1000),"501–1000",
 K2232&gt;=1001,"1001+"
)</f>
        <v>101–250</v>
      </c>
    </row>
    <row r="2233" spans="1:12" x14ac:dyDescent="0.3">
      <c r="A2233" t="s">
        <v>4335</v>
      </c>
      <c r="B2233" t="s">
        <v>9</v>
      </c>
      <c r="C2233" t="s">
        <v>5780</v>
      </c>
      <c r="D2233" t="s">
        <v>4336</v>
      </c>
      <c r="F2233" t="s">
        <v>5770</v>
      </c>
      <c r="J2233" t="s">
        <v>5760</v>
      </c>
      <c r="K2233">
        <v>160</v>
      </c>
      <c r="L2233" t="str" cm="1">
        <f t="array" ref="L2233">_xlfn.IFS(
 K2233&lt;=50,"≤50",
 AND(K2233&gt;=51,K2233&lt;=100),"51–100",
 AND(K2233&gt;=101,K2233&lt;=250),"101–250",
 AND(K2233&gt;=251,K2233&lt;=500),"251–500",
 AND(K2233&gt;=501,K2233&lt;=1000),"501–1000",
 K2233&gt;=1001,"1001+"
)</f>
        <v>101–250</v>
      </c>
    </row>
    <row r="2234" spans="1:12" x14ac:dyDescent="0.3">
      <c r="A2234" t="s">
        <v>4337</v>
      </c>
      <c r="B2234" t="s">
        <v>9</v>
      </c>
      <c r="C2234" t="s">
        <v>5780</v>
      </c>
      <c r="D2234" t="s">
        <v>51</v>
      </c>
      <c r="F2234" t="s">
        <v>5770</v>
      </c>
      <c r="J2234" t="s">
        <v>5740</v>
      </c>
      <c r="K2234">
        <v>160</v>
      </c>
      <c r="L2234" t="str" cm="1">
        <f t="array" ref="L2234">_xlfn.IFS(
 K2234&lt;=50,"≤50",
 AND(K2234&gt;=51,K2234&lt;=100),"51–100",
 AND(K2234&gt;=101,K2234&lt;=250),"101–250",
 AND(K2234&gt;=251,K2234&lt;=500),"251–500",
 AND(K2234&gt;=501,K2234&lt;=1000),"501–1000",
 K2234&gt;=1001,"1001+"
)</f>
        <v>101–250</v>
      </c>
    </row>
    <row r="2235" spans="1:12" x14ac:dyDescent="0.3">
      <c r="A2235" t="s">
        <v>4338</v>
      </c>
      <c r="B2235" t="s">
        <v>13</v>
      </c>
      <c r="C2235" t="s">
        <v>5777</v>
      </c>
      <c r="D2235" t="s">
        <v>4339</v>
      </c>
      <c r="F2235" t="s">
        <v>5770</v>
      </c>
      <c r="J2235" t="s">
        <v>5751</v>
      </c>
      <c r="K2235">
        <v>160</v>
      </c>
      <c r="L2235" t="str" cm="1">
        <f t="array" ref="L2235">_xlfn.IFS(
 K2235&lt;=50,"≤50",
 AND(K2235&gt;=51,K2235&lt;=100),"51–100",
 AND(K2235&gt;=101,K2235&lt;=250),"101–250",
 AND(K2235&gt;=251,K2235&lt;=500),"251–500",
 AND(K2235&gt;=501,K2235&lt;=1000),"501–1000",
 K2235&gt;=1001,"1001+"
)</f>
        <v>101–250</v>
      </c>
    </row>
    <row r="2236" spans="1:12" x14ac:dyDescent="0.3">
      <c r="A2236" t="s">
        <v>4340</v>
      </c>
      <c r="B2236" t="s">
        <v>9</v>
      </c>
      <c r="C2236" t="s">
        <v>5780</v>
      </c>
      <c r="D2236" t="s">
        <v>4341</v>
      </c>
      <c r="E2236" t="s">
        <v>15</v>
      </c>
      <c r="F2236" t="s">
        <v>54</v>
      </c>
      <c r="G2236" t="s">
        <v>4342</v>
      </c>
      <c r="J2236" t="s">
        <v>5742</v>
      </c>
      <c r="K2236">
        <v>160</v>
      </c>
      <c r="L2236" t="str" cm="1">
        <f t="array" ref="L2236">_xlfn.IFS(
 K2236&lt;=50,"≤50",
 AND(K2236&gt;=51,K2236&lt;=100),"51–100",
 AND(K2236&gt;=101,K2236&lt;=250),"101–250",
 AND(K2236&gt;=251,K2236&lt;=500),"251–500",
 AND(K2236&gt;=501,K2236&lt;=1000),"501–1000",
 K2236&gt;=1001,"1001+"
)</f>
        <v>101–250</v>
      </c>
    </row>
    <row r="2237" spans="1:12" x14ac:dyDescent="0.3">
      <c r="A2237" t="s">
        <v>4343</v>
      </c>
      <c r="B2237" t="s">
        <v>13</v>
      </c>
      <c r="C2237" t="s">
        <v>5777</v>
      </c>
      <c r="D2237" t="s">
        <v>4344</v>
      </c>
      <c r="E2237" t="s">
        <v>15</v>
      </c>
      <c r="F2237" t="s">
        <v>16</v>
      </c>
      <c r="G2237" t="s">
        <v>4345</v>
      </c>
      <c r="J2237" t="s">
        <v>5760</v>
      </c>
      <c r="K2237">
        <v>160</v>
      </c>
      <c r="L2237" t="str" cm="1">
        <f t="array" ref="L2237">_xlfn.IFS(
 K2237&lt;=50,"≤50",
 AND(K2237&gt;=51,K2237&lt;=100),"51–100",
 AND(K2237&gt;=101,K2237&lt;=250),"101–250",
 AND(K2237&gt;=251,K2237&lt;=500),"251–500",
 AND(K2237&gt;=501,K2237&lt;=1000),"501–1000",
 K2237&gt;=1001,"1001+"
)</f>
        <v>101–250</v>
      </c>
    </row>
    <row r="2238" spans="1:12" x14ac:dyDescent="0.3">
      <c r="A2238" t="s">
        <v>4346</v>
      </c>
      <c r="B2238" t="s">
        <v>9</v>
      </c>
      <c r="C2238" t="s">
        <v>5780</v>
      </c>
      <c r="D2238" t="s">
        <v>4347</v>
      </c>
      <c r="F2238" t="s">
        <v>5770</v>
      </c>
      <c r="J2238" t="s">
        <v>5762</v>
      </c>
      <c r="K2238">
        <v>160</v>
      </c>
      <c r="L2238" t="str" cm="1">
        <f t="array" ref="L2238">_xlfn.IFS(
 K2238&lt;=50,"≤50",
 AND(K2238&gt;=51,K2238&lt;=100),"51–100",
 AND(K2238&gt;=101,K2238&lt;=250),"101–250",
 AND(K2238&gt;=251,K2238&lt;=500),"251–500",
 AND(K2238&gt;=501,K2238&lt;=1000),"501–1000",
 K2238&gt;=1001,"1001+"
)</f>
        <v>101–250</v>
      </c>
    </row>
    <row r="2239" spans="1:12" x14ac:dyDescent="0.3">
      <c r="A2239" t="s">
        <v>4348</v>
      </c>
      <c r="B2239" t="s">
        <v>9</v>
      </c>
      <c r="C2239" t="s">
        <v>5780</v>
      </c>
      <c r="D2239" t="s">
        <v>4349</v>
      </c>
      <c r="F2239" t="s">
        <v>5770</v>
      </c>
      <c r="J2239" t="s">
        <v>5751</v>
      </c>
      <c r="K2239">
        <v>160</v>
      </c>
      <c r="L2239" t="str" cm="1">
        <f t="array" ref="L2239">_xlfn.IFS(
 K2239&lt;=50,"≤50",
 AND(K2239&gt;=51,K2239&lt;=100),"51–100",
 AND(K2239&gt;=101,K2239&lt;=250),"101–250",
 AND(K2239&gt;=251,K2239&lt;=500),"251–500",
 AND(K2239&gt;=501,K2239&lt;=1000),"501–1000",
 K2239&gt;=1001,"1001+"
)</f>
        <v>101–250</v>
      </c>
    </row>
    <row r="2240" spans="1:12" x14ac:dyDescent="0.3">
      <c r="A2240" t="s">
        <v>4350</v>
      </c>
      <c r="B2240" t="s">
        <v>9</v>
      </c>
      <c r="C2240" t="s">
        <v>5780</v>
      </c>
      <c r="D2240" t="s">
        <v>4351</v>
      </c>
      <c r="F2240" t="s">
        <v>20</v>
      </c>
      <c r="G2240" t="s">
        <v>21</v>
      </c>
      <c r="J2240" t="s">
        <v>5737</v>
      </c>
      <c r="K2240">
        <v>161</v>
      </c>
      <c r="L2240" t="str" cm="1">
        <f t="array" ref="L2240">_xlfn.IFS(
 K2240&lt;=50,"≤50",
 AND(K2240&gt;=51,K2240&lt;=100),"51–100",
 AND(K2240&gt;=101,K2240&lt;=250),"101–250",
 AND(K2240&gt;=251,K2240&lt;=500),"251–500",
 AND(K2240&gt;=501,K2240&lt;=1000),"501–1000",
 K2240&gt;=1001,"1001+"
)</f>
        <v>101–250</v>
      </c>
    </row>
    <row r="2241" spans="1:12" x14ac:dyDescent="0.3">
      <c r="A2241" t="s">
        <v>4352</v>
      </c>
      <c r="B2241" t="s">
        <v>9</v>
      </c>
      <c r="C2241" t="s">
        <v>5780</v>
      </c>
      <c r="D2241" t="s">
        <v>4353</v>
      </c>
      <c r="E2241" t="s">
        <v>15</v>
      </c>
      <c r="F2241" t="s">
        <v>54</v>
      </c>
      <c r="G2241" t="s">
        <v>4354</v>
      </c>
      <c r="J2241" t="s">
        <v>5746</v>
      </c>
      <c r="K2241">
        <v>163</v>
      </c>
      <c r="L2241" t="str" cm="1">
        <f t="array" ref="L2241">_xlfn.IFS(
 K2241&lt;=50,"≤50",
 AND(K2241&gt;=51,K2241&lt;=100),"51–100",
 AND(K2241&gt;=101,K2241&lt;=250),"101–250",
 AND(K2241&gt;=251,K2241&lt;=500),"251–500",
 AND(K2241&gt;=501,K2241&lt;=1000),"501–1000",
 K2241&gt;=1001,"1001+"
)</f>
        <v>101–250</v>
      </c>
    </row>
    <row r="2242" spans="1:12" x14ac:dyDescent="0.3">
      <c r="A2242" t="s">
        <v>4355</v>
      </c>
      <c r="B2242" t="s">
        <v>9</v>
      </c>
      <c r="C2242" t="s">
        <v>5780</v>
      </c>
      <c r="D2242" t="s">
        <v>4356</v>
      </c>
      <c r="F2242" t="s">
        <v>20</v>
      </c>
      <c r="G2242" t="s">
        <v>135</v>
      </c>
      <c r="J2242" t="s">
        <v>5737</v>
      </c>
      <c r="K2242">
        <v>165</v>
      </c>
      <c r="L2242" t="str" cm="1">
        <f t="array" ref="L2242">_xlfn.IFS(
 K2242&lt;=50,"≤50",
 AND(K2242&gt;=51,K2242&lt;=100),"51–100",
 AND(K2242&gt;=101,K2242&lt;=250),"101–250",
 AND(K2242&gt;=251,K2242&lt;=500),"251–500",
 AND(K2242&gt;=501,K2242&lt;=1000),"501–1000",
 K2242&gt;=1001,"1001+"
)</f>
        <v>101–250</v>
      </c>
    </row>
    <row r="2243" spans="1:12" x14ac:dyDescent="0.3">
      <c r="A2243" t="s">
        <v>4357</v>
      </c>
      <c r="B2243" t="s">
        <v>9</v>
      </c>
      <c r="C2243" t="s">
        <v>5780</v>
      </c>
      <c r="D2243" t="s">
        <v>4358</v>
      </c>
      <c r="E2243" t="s">
        <v>15</v>
      </c>
      <c r="F2243" t="s">
        <v>54</v>
      </c>
      <c r="G2243" t="s">
        <v>4359</v>
      </c>
      <c r="J2243" t="s">
        <v>5755</v>
      </c>
      <c r="K2243">
        <v>165</v>
      </c>
      <c r="L2243" t="str" cm="1">
        <f t="array" ref="L2243">_xlfn.IFS(
 K2243&lt;=50,"≤50",
 AND(K2243&gt;=51,K2243&lt;=100),"51–100",
 AND(K2243&gt;=101,K2243&lt;=250),"101–250",
 AND(K2243&gt;=251,K2243&lt;=500),"251–500",
 AND(K2243&gt;=501,K2243&lt;=1000),"501–1000",
 K2243&gt;=1001,"1001+"
)</f>
        <v>101–250</v>
      </c>
    </row>
    <row r="2244" spans="1:12" x14ac:dyDescent="0.3">
      <c r="A2244" t="s">
        <v>4360</v>
      </c>
      <c r="B2244" t="s">
        <v>9</v>
      </c>
      <c r="C2244" t="s">
        <v>5780</v>
      </c>
      <c r="D2244" t="s">
        <v>4361</v>
      </c>
      <c r="E2244" t="s">
        <v>15</v>
      </c>
      <c r="F2244" t="s">
        <v>54</v>
      </c>
      <c r="G2244" t="s">
        <v>4362</v>
      </c>
      <c r="J2244" t="s">
        <v>5737</v>
      </c>
      <c r="K2244">
        <v>166</v>
      </c>
      <c r="L2244" t="str" cm="1">
        <f t="array" ref="L2244">_xlfn.IFS(
 K2244&lt;=50,"≤50",
 AND(K2244&gt;=51,K2244&lt;=100),"51–100",
 AND(K2244&gt;=101,K2244&lt;=250),"101–250",
 AND(K2244&gt;=251,K2244&lt;=500),"251–500",
 AND(K2244&gt;=501,K2244&lt;=1000),"501–1000",
 K2244&gt;=1001,"1001+"
)</f>
        <v>101–250</v>
      </c>
    </row>
    <row r="2245" spans="1:12" x14ac:dyDescent="0.3">
      <c r="A2245" t="s">
        <v>4363</v>
      </c>
      <c r="B2245" t="s">
        <v>13</v>
      </c>
      <c r="C2245" t="s">
        <v>5777</v>
      </c>
      <c r="D2245" t="s">
        <v>4364</v>
      </c>
      <c r="E2245" t="s">
        <v>15</v>
      </c>
      <c r="F2245" t="s">
        <v>20</v>
      </c>
      <c r="G2245" t="s">
        <v>4365</v>
      </c>
      <c r="J2245" t="s">
        <v>5737</v>
      </c>
      <c r="K2245">
        <v>167</v>
      </c>
      <c r="L2245" t="str" cm="1">
        <f t="array" ref="L2245">_xlfn.IFS(
 K2245&lt;=50,"≤50",
 AND(K2245&gt;=51,K2245&lt;=100),"51–100",
 AND(K2245&gt;=101,K2245&lt;=250),"101–250",
 AND(K2245&gt;=251,K2245&lt;=500),"251–500",
 AND(K2245&gt;=501,K2245&lt;=1000),"501–1000",
 K2245&gt;=1001,"1001+"
)</f>
        <v>101–250</v>
      </c>
    </row>
    <row r="2246" spans="1:12" x14ac:dyDescent="0.3">
      <c r="A2246" t="s">
        <v>4366</v>
      </c>
      <c r="B2246" t="s">
        <v>11</v>
      </c>
      <c r="C2246" t="s">
        <v>5776</v>
      </c>
      <c r="F2246" t="s">
        <v>5770</v>
      </c>
      <c r="J2246" t="s">
        <v>5745</v>
      </c>
      <c r="K2246">
        <v>168</v>
      </c>
      <c r="L2246" t="str" cm="1">
        <f t="array" ref="L2246">_xlfn.IFS(
 K2246&lt;=50,"≤50",
 AND(K2246&gt;=51,K2246&lt;=100),"51–100",
 AND(K2246&gt;=101,K2246&lt;=250),"101–250",
 AND(K2246&gt;=251,K2246&lt;=500),"251–500",
 AND(K2246&gt;=501,K2246&lt;=1000),"501–1000",
 K2246&gt;=1001,"1001+"
)</f>
        <v>101–250</v>
      </c>
    </row>
    <row r="2247" spans="1:12" x14ac:dyDescent="0.3">
      <c r="A2247" t="s">
        <v>4367</v>
      </c>
      <c r="B2247" t="s">
        <v>9</v>
      </c>
      <c r="C2247" t="s">
        <v>5780</v>
      </c>
      <c r="D2247" t="s">
        <v>4368</v>
      </c>
      <c r="E2247" t="s">
        <v>15</v>
      </c>
      <c r="F2247" t="s">
        <v>16</v>
      </c>
      <c r="G2247" t="s">
        <v>4369</v>
      </c>
      <c r="J2247" t="s">
        <v>5737</v>
      </c>
      <c r="K2247">
        <v>169</v>
      </c>
      <c r="L2247" t="str" cm="1">
        <f t="array" ref="L2247">_xlfn.IFS(
 K2247&lt;=50,"≤50",
 AND(K2247&gt;=51,K2247&lt;=100),"51–100",
 AND(K2247&gt;=101,K2247&lt;=250),"101–250",
 AND(K2247&gt;=251,K2247&lt;=500),"251–500",
 AND(K2247&gt;=501,K2247&lt;=1000),"501–1000",
 K2247&gt;=1001,"1001+"
)</f>
        <v>101–250</v>
      </c>
    </row>
    <row r="2248" spans="1:12" x14ac:dyDescent="0.3">
      <c r="A2248" t="s">
        <v>4370</v>
      </c>
      <c r="B2248" t="s">
        <v>13</v>
      </c>
      <c r="C2248" t="s">
        <v>5777</v>
      </c>
      <c r="D2248" t="s">
        <v>4371</v>
      </c>
      <c r="E2248" t="s">
        <v>15</v>
      </c>
      <c r="F2248" t="s">
        <v>16</v>
      </c>
      <c r="G2248" t="s">
        <v>4372</v>
      </c>
      <c r="J2248" t="s">
        <v>5737</v>
      </c>
      <c r="K2248">
        <v>170</v>
      </c>
      <c r="L2248" t="str" cm="1">
        <f t="array" ref="L2248">_xlfn.IFS(
 K2248&lt;=50,"≤50",
 AND(K2248&gt;=51,K2248&lt;=100),"51–100",
 AND(K2248&gt;=101,K2248&lt;=250),"101–250",
 AND(K2248&gt;=251,K2248&lt;=500),"251–500",
 AND(K2248&gt;=501,K2248&lt;=1000),"501–1000",
 K2248&gt;=1001,"1001+"
)</f>
        <v>101–250</v>
      </c>
    </row>
    <row r="2249" spans="1:12" x14ac:dyDescent="0.3">
      <c r="A2249" t="s">
        <v>4373</v>
      </c>
      <c r="B2249" t="s">
        <v>9</v>
      </c>
      <c r="C2249" t="s">
        <v>5780</v>
      </c>
      <c r="D2249" t="s">
        <v>28</v>
      </c>
      <c r="E2249" t="s">
        <v>15</v>
      </c>
      <c r="F2249" t="s">
        <v>20</v>
      </c>
      <c r="G2249" t="s">
        <v>1585</v>
      </c>
      <c r="J2249" t="s">
        <v>5740</v>
      </c>
      <c r="K2249">
        <v>170</v>
      </c>
      <c r="L2249" t="str" cm="1">
        <f t="array" ref="L2249">_xlfn.IFS(
 K2249&lt;=50,"≤50",
 AND(K2249&gt;=51,K2249&lt;=100),"51–100",
 AND(K2249&gt;=101,K2249&lt;=250),"101–250",
 AND(K2249&gt;=251,K2249&lt;=500),"251–500",
 AND(K2249&gt;=501,K2249&lt;=1000),"501–1000",
 K2249&gt;=1001,"1001+"
)</f>
        <v>101–250</v>
      </c>
    </row>
    <row r="2250" spans="1:12" x14ac:dyDescent="0.3">
      <c r="A2250" t="s">
        <v>4374</v>
      </c>
      <c r="B2250" t="s">
        <v>9</v>
      </c>
      <c r="C2250" t="s">
        <v>5780</v>
      </c>
      <c r="D2250" t="s">
        <v>4375</v>
      </c>
      <c r="E2250" t="s">
        <v>15</v>
      </c>
      <c r="F2250" t="s">
        <v>5770</v>
      </c>
      <c r="J2250" t="s">
        <v>5740</v>
      </c>
      <c r="K2250">
        <v>170</v>
      </c>
      <c r="L2250" t="str" cm="1">
        <f t="array" ref="L2250">_xlfn.IFS(
 K2250&lt;=50,"≤50",
 AND(K2250&gt;=51,K2250&lt;=100),"51–100",
 AND(K2250&gt;=101,K2250&lt;=250),"101–250",
 AND(K2250&gt;=251,K2250&lt;=500),"251–500",
 AND(K2250&gt;=501,K2250&lt;=1000),"501–1000",
 K2250&gt;=1001,"1001+"
)</f>
        <v>101–250</v>
      </c>
    </row>
    <row r="2251" spans="1:12" x14ac:dyDescent="0.3">
      <c r="A2251" t="s">
        <v>4376</v>
      </c>
      <c r="B2251" t="s">
        <v>9</v>
      </c>
      <c r="C2251" t="s">
        <v>5780</v>
      </c>
      <c r="D2251" t="s">
        <v>4377</v>
      </c>
      <c r="F2251" t="s">
        <v>20</v>
      </c>
      <c r="G2251" t="s">
        <v>4378</v>
      </c>
      <c r="J2251" t="s">
        <v>5737</v>
      </c>
      <c r="K2251">
        <v>170</v>
      </c>
      <c r="L2251" t="str" cm="1">
        <f t="array" ref="L2251">_xlfn.IFS(
 K2251&lt;=50,"≤50",
 AND(K2251&gt;=51,K2251&lt;=100),"51–100",
 AND(K2251&gt;=101,K2251&lt;=250),"101–250",
 AND(K2251&gt;=251,K2251&lt;=500),"251–500",
 AND(K2251&gt;=501,K2251&lt;=1000),"501–1000",
 K2251&gt;=1001,"1001+"
)</f>
        <v>101–250</v>
      </c>
    </row>
    <row r="2252" spans="1:12" x14ac:dyDescent="0.3">
      <c r="A2252" t="s">
        <v>4379</v>
      </c>
      <c r="B2252" t="s">
        <v>9</v>
      </c>
      <c r="C2252" t="s">
        <v>5780</v>
      </c>
      <c r="D2252" t="s">
        <v>2181</v>
      </c>
      <c r="E2252" t="s">
        <v>15</v>
      </c>
      <c r="F2252" t="s">
        <v>20</v>
      </c>
      <c r="G2252" t="s">
        <v>21</v>
      </c>
      <c r="J2252" t="s">
        <v>5740</v>
      </c>
      <c r="K2252">
        <v>170</v>
      </c>
      <c r="L2252" t="str" cm="1">
        <f t="array" ref="L2252">_xlfn.IFS(
 K2252&lt;=50,"≤50",
 AND(K2252&gt;=51,K2252&lt;=100),"51–100",
 AND(K2252&gt;=101,K2252&lt;=250),"101–250",
 AND(K2252&gt;=251,K2252&lt;=500),"251–500",
 AND(K2252&gt;=501,K2252&lt;=1000),"501–1000",
 K2252&gt;=1001,"1001+"
)</f>
        <v>101–250</v>
      </c>
    </row>
    <row r="2253" spans="1:12" x14ac:dyDescent="0.3">
      <c r="A2253" t="s">
        <v>4380</v>
      </c>
      <c r="B2253" t="s">
        <v>11</v>
      </c>
      <c r="C2253" t="s">
        <v>5776</v>
      </c>
      <c r="F2253" t="s">
        <v>5770</v>
      </c>
      <c r="J2253" t="s">
        <v>5744</v>
      </c>
      <c r="K2253">
        <v>170</v>
      </c>
      <c r="L2253" t="str" cm="1">
        <f t="array" ref="L2253">_xlfn.IFS(
 K2253&lt;=50,"≤50",
 AND(K2253&gt;=51,K2253&lt;=100),"51–100",
 AND(K2253&gt;=101,K2253&lt;=250),"101–250",
 AND(K2253&gt;=251,K2253&lt;=500),"251–500",
 AND(K2253&gt;=501,K2253&lt;=1000),"501–1000",
 K2253&gt;=1001,"1001+"
)</f>
        <v>101–250</v>
      </c>
    </row>
    <row r="2254" spans="1:12" x14ac:dyDescent="0.3">
      <c r="A2254" t="s">
        <v>4381</v>
      </c>
      <c r="B2254" t="s">
        <v>13</v>
      </c>
      <c r="C2254" t="s">
        <v>5777</v>
      </c>
      <c r="D2254" t="s">
        <v>4382</v>
      </c>
      <c r="E2254" t="s">
        <v>15</v>
      </c>
      <c r="F2254" t="s">
        <v>20</v>
      </c>
      <c r="G2254" t="s">
        <v>4383</v>
      </c>
      <c r="J2254" t="s">
        <v>5750</v>
      </c>
      <c r="K2254">
        <v>170</v>
      </c>
      <c r="L2254" t="str" cm="1">
        <f t="array" ref="L2254">_xlfn.IFS(
 K2254&lt;=50,"≤50",
 AND(K2254&gt;=51,K2254&lt;=100),"51–100",
 AND(K2254&gt;=101,K2254&lt;=250),"101–250",
 AND(K2254&gt;=251,K2254&lt;=500),"251–500",
 AND(K2254&gt;=501,K2254&lt;=1000),"501–1000",
 K2254&gt;=1001,"1001+"
)</f>
        <v>101–250</v>
      </c>
    </row>
    <row r="2255" spans="1:12" x14ac:dyDescent="0.3">
      <c r="A2255" t="s">
        <v>4384</v>
      </c>
      <c r="B2255" t="s">
        <v>13</v>
      </c>
      <c r="C2255" t="s">
        <v>5777</v>
      </c>
      <c r="D2255" t="s">
        <v>4385</v>
      </c>
      <c r="E2255" t="s">
        <v>15</v>
      </c>
      <c r="F2255" t="s">
        <v>16</v>
      </c>
      <c r="G2255" t="s">
        <v>4386</v>
      </c>
      <c r="J2255" t="s">
        <v>5738</v>
      </c>
      <c r="K2255">
        <v>170</v>
      </c>
      <c r="L2255" t="str" cm="1">
        <f t="array" ref="L2255">_xlfn.IFS(
 K2255&lt;=50,"≤50",
 AND(K2255&gt;=51,K2255&lt;=100),"51–100",
 AND(K2255&gt;=101,K2255&lt;=250),"101–250",
 AND(K2255&gt;=251,K2255&lt;=500),"251–500",
 AND(K2255&gt;=501,K2255&lt;=1000),"501–1000",
 K2255&gt;=1001,"1001+"
)</f>
        <v>101–250</v>
      </c>
    </row>
    <row r="2256" spans="1:12" x14ac:dyDescent="0.3">
      <c r="A2256" t="s">
        <v>4387</v>
      </c>
      <c r="B2256" t="s">
        <v>13</v>
      </c>
      <c r="C2256" t="s">
        <v>5777</v>
      </c>
      <c r="D2256" t="s">
        <v>4388</v>
      </c>
      <c r="E2256" t="s">
        <v>15</v>
      </c>
      <c r="F2256" t="s">
        <v>5770</v>
      </c>
      <c r="J2256" t="s">
        <v>5760</v>
      </c>
      <c r="K2256">
        <v>170</v>
      </c>
      <c r="L2256" t="str" cm="1">
        <f t="array" ref="L2256">_xlfn.IFS(
 K2256&lt;=50,"≤50",
 AND(K2256&gt;=51,K2256&lt;=100),"51–100",
 AND(K2256&gt;=101,K2256&lt;=250),"101–250",
 AND(K2256&gt;=251,K2256&lt;=500),"251–500",
 AND(K2256&gt;=501,K2256&lt;=1000),"501–1000",
 K2256&gt;=1001,"1001+"
)</f>
        <v>101–250</v>
      </c>
    </row>
    <row r="2257" spans="1:12" x14ac:dyDescent="0.3">
      <c r="A2257" t="s">
        <v>4389</v>
      </c>
      <c r="B2257" t="s">
        <v>13</v>
      </c>
      <c r="C2257" t="s">
        <v>5777</v>
      </c>
      <c r="D2257" t="s">
        <v>4390</v>
      </c>
      <c r="E2257" t="s">
        <v>15</v>
      </c>
      <c r="F2257" t="s">
        <v>20</v>
      </c>
      <c r="G2257" t="s">
        <v>21</v>
      </c>
      <c r="J2257" t="s">
        <v>5748</v>
      </c>
      <c r="K2257">
        <v>170</v>
      </c>
      <c r="L2257" t="str" cm="1">
        <f t="array" ref="L2257">_xlfn.IFS(
 K2257&lt;=50,"≤50",
 AND(K2257&gt;=51,K2257&lt;=100),"51–100",
 AND(K2257&gt;=101,K2257&lt;=250),"101–250",
 AND(K2257&gt;=251,K2257&lt;=500),"251–500",
 AND(K2257&gt;=501,K2257&lt;=1000),"501–1000",
 K2257&gt;=1001,"1001+"
)</f>
        <v>101–250</v>
      </c>
    </row>
    <row r="2258" spans="1:12" x14ac:dyDescent="0.3">
      <c r="A2258" t="s">
        <v>4391</v>
      </c>
      <c r="B2258" t="s">
        <v>13</v>
      </c>
      <c r="C2258" t="s">
        <v>5777</v>
      </c>
      <c r="D2258" t="s">
        <v>4392</v>
      </c>
      <c r="E2258" t="s">
        <v>15</v>
      </c>
      <c r="F2258" t="s">
        <v>16</v>
      </c>
      <c r="G2258" t="s">
        <v>4393</v>
      </c>
      <c r="J2258" t="s">
        <v>5738</v>
      </c>
      <c r="K2258">
        <v>170</v>
      </c>
      <c r="L2258" t="str" cm="1">
        <f t="array" ref="L2258">_xlfn.IFS(
 K2258&lt;=50,"≤50",
 AND(K2258&gt;=51,K2258&lt;=100),"51–100",
 AND(K2258&gt;=101,K2258&lt;=250),"101–250",
 AND(K2258&gt;=251,K2258&lt;=500),"251–500",
 AND(K2258&gt;=501,K2258&lt;=1000),"501–1000",
 K2258&gt;=1001,"1001+"
)</f>
        <v>101–250</v>
      </c>
    </row>
    <row r="2259" spans="1:12" x14ac:dyDescent="0.3">
      <c r="A2259" t="s">
        <v>4394</v>
      </c>
      <c r="B2259" t="s">
        <v>197</v>
      </c>
      <c r="C2259" t="s">
        <v>5774</v>
      </c>
      <c r="D2259" t="s">
        <v>4395</v>
      </c>
      <c r="E2259" t="s">
        <v>15</v>
      </c>
      <c r="F2259" t="s">
        <v>20</v>
      </c>
      <c r="G2259" t="s">
        <v>21</v>
      </c>
      <c r="J2259" t="s">
        <v>5743</v>
      </c>
      <c r="K2259">
        <v>170</v>
      </c>
      <c r="L2259" t="str" cm="1">
        <f t="array" ref="L2259">_xlfn.IFS(
 K2259&lt;=50,"≤50",
 AND(K2259&gt;=51,K2259&lt;=100),"51–100",
 AND(K2259&gt;=101,K2259&lt;=250),"101–250",
 AND(K2259&gt;=251,K2259&lt;=500),"251–500",
 AND(K2259&gt;=501,K2259&lt;=1000),"501–1000",
 K2259&gt;=1001,"1001+"
)</f>
        <v>101–250</v>
      </c>
    </row>
    <row r="2260" spans="1:12" x14ac:dyDescent="0.3">
      <c r="A2260" t="s">
        <v>4396</v>
      </c>
      <c r="B2260" t="s">
        <v>9</v>
      </c>
      <c r="C2260" t="s">
        <v>5780</v>
      </c>
      <c r="D2260" t="s">
        <v>4397</v>
      </c>
      <c r="E2260" t="s">
        <v>15</v>
      </c>
      <c r="F2260" t="s">
        <v>20</v>
      </c>
      <c r="G2260" t="s">
        <v>21</v>
      </c>
      <c r="J2260" t="s">
        <v>5741</v>
      </c>
      <c r="K2260">
        <v>170</v>
      </c>
      <c r="L2260" t="str" cm="1">
        <f t="array" ref="L2260">_xlfn.IFS(
 K2260&lt;=50,"≤50",
 AND(K2260&gt;=51,K2260&lt;=100),"51–100",
 AND(K2260&gt;=101,K2260&lt;=250),"101–250",
 AND(K2260&gt;=251,K2260&lt;=500),"251–500",
 AND(K2260&gt;=501,K2260&lt;=1000),"501–1000",
 K2260&gt;=1001,"1001+"
)</f>
        <v>101–250</v>
      </c>
    </row>
    <row r="2261" spans="1:12" x14ac:dyDescent="0.3">
      <c r="A2261" t="s">
        <v>4398</v>
      </c>
      <c r="B2261" t="s">
        <v>11</v>
      </c>
      <c r="C2261" t="s">
        <v>5776</v>
      </c>
      <c r="F2261" t="s">
        <v>5770</v>
      </c>
      <c r="J2261" t="s">
        <v>5760</v>
      </c>
      <c r="K2261">
        <v>170</v>
      </c>
      <c r="L2261" t="str" cm="1">
        <f t="array" ref="L2261">_xlfn.IFS(
 K2261&lt;=50,"≤50",
 AND(K2261&gt;=51,K2261&lt;=100),"51–100",
 AND(K2261&gt;=101,K2261&lt;=250),"101–250",
 AND(K2261&gt;=251,K2261&lt;=500),"251–500",
 AND(K2261&gt;=501,K2261&lt;=1000),"501–1000",
 K2261&gt;=1001,"1001+"
)</f>
        <v>101–250</v>
      </c>
    </row>
    <row r="2262" spans="1:12" x14ac:dyDescent="0.3">
      <c r="A2262" t="s">
        <v>4399</v>
      </c>
      <c r="B2262" t="s">
        <v>9</v>
      </c>
      <c r="C2262" t="s">
        <v>5780</v>
      </c>
      <c r="D2262" t="s">
        <v>4400</v>
      </c>
      <c r="E2262" t="s">
        <v>15</v>
      </c>
      <c r="F2262" t="s">
        <v>16</v>
      </c>
      <c r="G2262" t="s">
        <v>4401</v>
      </c>
      <c r="J2262" t="s">
        <v>5744</v>
      </c>
      <c r="K2262">
        <v>170</v>
      </c>
      <c r="L2262" t="str" cm="1">
        <f t="array" ref="L2262">_xlfn.IFS(
 K2262&lt;=50,"≤50",
 AND(K2262&gt;=51,K2262&lt;=100),"51–100",
 AND(K2262&gt;=101,K2262&lt;=250),"101–250",
 AND(K2262&gt;=251,K2262&lt;=500),"251–500",
 AND(K2262&gt;=501,K2262&lt;=1000),"501–1000",
 K2262&gt;=1001,"1001+"
)</f>
        <v>101–250</v>
      </c>
    </row>
    <row r="2263" spans="1:12" x14ac:dyDescent="0.3">
      <c r="A2263" t="s">
        <v>4402</v>
      </c>
      <c r="B2263" t="s">
        <v>9</v>
      </c>
      <c r="C2263" t="s">
        <v>5780</v>
      </c>
      <c r="D2263" t="s">
        <v>4403</v>
      </c>
      <c r="E2263" t="s">
        <v>15</v>
      </c>
      <c r="F2263" t="s">
        <v>20</v>
      </c>
      <c r="G2263" t="s">
        <v>4404</v>
      </c>
      <c r="J2263" t="s">
        <v>5737</v>
      </c>
      <c r="K2263">
        <v>170</v>
      </c>
      <c r="L2263" t="str" cm="1">
        <f t="array" ref="L2263">_xlfn.IFS(
 K2263&lt;=50,"≤50",
 AND(K2263&gt;=51,K2263&lt;=100),"51–100",
 AND(K2263&gt;=101,K2263&lt;=250),"101–250",
 AND(K2263&gt;=251,K2263&lt;=500),"251–500",
 AND(K2263&gt;=501,K2263&lt;=1000),"501–1000",
 K2263&gt;=1001,"1001+"
)</f>
        <v>101–250</v>
      </c>
    </row>
    <row r="2264" spans="1:12" x14ac:dyDescent="0.3">
      <c r="A2264" t="s">
        <v>4405</v>
      </c>
      <c r="B2264" t="s">
        <v>13</v>
      </c>
      <c r="C2264" t="s">
        <v>5777</v>
      </c>
      <c r="D2264" t="s">
        <v>4406</v>
      </c>
      <c r="E2264" t="s">
        <v>15</v>
      </c>
      <c r="F2264" t="s">
        <v>54</v>
      </c>
      <c r="G2264" t="s">
        <v>4407</v>
      </c>
      <c r="J2264" t="s">
        <v>5737</v>
      </c>
      <c r="K2264">
        <v>170</v>
      </c>
      <c r="L2264" t="str" cm="1">
        <f t="array" ref="L2264">_xlfn.IFS(
 K2264&lt;=50,"≤50",
 AND(K2264&gt;=51,K2264&lt;=100),"51–100",
 AND(K2264&gt;=101,K2264&lt;=250),"101–250",
 AND(K2264&gt;=251,K2264&lt;=500),"251–500",
 AND(K2264&gt;=501,K2264&lt;=1000),"501–1000",
 K2264&gt;=1001,"1001+"
)</f>
        <v>101–250</v>
      </c>
    </row>
    <row r="2265" spans="1:12" x14ac:dyDescent="0.3">
      <c r="A2265" t="s">
        <v>4408</v>
      </c>
      <c r="B2265" t="s">
        <v>13</v>
      </c>
      <c r="C2265" t="s">
        <v>5777</v>
      </c>
      <c r="D2265" t="s">
        <v>4409</v>
      </c>
      <c r="E2265" t="s">
        <v>15</v>
      </c>
      <c r="F2265" t="s">
        <v>54</v>
      </c>
      <c r="G2265" t="s">
        <v>4410</v>
      </c>
      <c r="H2265" t="s">
        <v>15</v>
      </c>
      <c r="I2265" t="s">
        <v>4411</v>
      </c>
      <c r="J2265" t="s">
        <v>5741</v>
      </c>
      <c r="K2265">
        <v>170</v>
      </c>
      <c r="L2265" t="str" cm="1">
        <f t="array" ref="L2265">_xlfn.IFS(
 K2265&lt;=50,"≤50",
 AND(K2265&gt;=51,K2265&lt;=100),"51–100",
 AND(K2265&gt;=101,K2265&lt;=250),"101–250",
 AND(K2265&gt;=251,K2265&lt;=500),"251–500",
 AND(K2265&gt;=501,K2265&lt;=1000),"501–1000",
 K2265&gt;=1001,"1001+"
)</f>
        <v>101–250</v>
      </c>
    </row>
    <row r="2266" spans="1:12" x14ac:dyDescent="0.3">
      <c r="A2266" t="s">
        <v>4412</v>
      </c>
      <c r="B2266" t="s">
        <v>9</v>
      </c>
      <c r="C2266" t="s">
        <v>5780</v>
      </c>
      <c r="D2266" t="s">
        <v>4413</v>
      </c>
      <c r="E2266" t="s">
        <v>15</v>
      </c>
      <c r="F2266" t="s">
        <v>20</v>
      </c>
      <c r="G2266" t="s">
        <v>4414</v>
      </c>
      <c r="J2266" t="s">
        <v>5737</v>
      </c>
      <c r="K2266">
        <v>170</v>
      </c>
      <c r="L2266" t="str" cm="1">
        <f t="array" ref="L2266">_xlfn.IFS(
 K2266&lt;=50,"≤50",
 AND(K2266&gt;=51,K2266&lt;=100),"51–100",
 AND(K2266&gt;=101,K2266&lt;=250),"101–250",
 AND(K2266&gt;=251,K2266&lt;=500),"251–500",
 AND(K2266&gt;=501,K2266&lt;=1000),"501–1000",
 K2266&gt;=1001,"1001+"
)</f>
        <v>101–250</v>
      </c>
    </row>
    <row r="2267" spans="1:12" x14ac:dyDescent="0.3">
      <c r="A2267" t="s">
        <v>4415</v>
      </c>
      <c r="B2267" t="s">
        <v>13</v>
      </c>
      <c r="C2267" t="s">
        <v>5777</v>
      </c>
      <c r="D2267" t="s">
        <v>4416</v>
      </c>
      <c r="E2267" t="s">
        <v>15</v>
      </c>
      <c r="F2267" t="s">
        <v>20</v>
      </c>
      <c r="G2267" t="s">
        <v>36</v>
      </c>
      <c r="J2267" t="s">
        <v>5747</v>
      </c>
      <c r="K2267">
        <v>170</v>
      </c>
      <c r="L2267" t="str" cm="1">
        <f t="array" ref="L2267">_xlfn.IFS(
 K2267&lt;=50,"≤50",
 AND(K2267&gt;=51,K2267&lt;=100),"51–100",
 AND(K2267&gt;=101,K2267&lt;=250),"101–250",
 AND(K2267&gt;=251,K2267&lt;=500),"251–500",
 AND(K2267&gt;=501,K2267&lt;=1000),"501–1000",
 K2267&gt;=1001,"1001+"
)</f>
        <v>101–250</v>
      </c>
    </row>
    <row r="2268" spans="1:12" x14ac:dyDescent="0.3">
      <c r="A2268" t="s">
        <v>4417</v>
      </c>
      <c r="B2268" t="s">
        <v>9</v>
      </c>
      <c r="C2268" t="s">
        <v>5780</v>
      </c>
      <c r="D2268" t="s">
        <v>4418</v>
      </c>
      <c r="F2268" t="s">
        <v>20</v>
      </c>
      <c r="G2268" t="s">
        <v>21</v>
      </c>
      <c r="J2268" t="s">
        <v>5755</v>
      </c>
      <c r="K2268">
        <v>175</v>
      </c>
      <c r="L2268" t="str" cm="1">
        <f t="array" ref="L2268">_xlfn.IFS(
 K2268&lt;=50,"≤50",
 AND(K2268&gt;=51,K2268&lt;=100),"51–100",
 AND(K2268&gt;=101,K2268&lt;=250),"101–250",
 AND(K2268&gt;=251,K2268&lt;=500),"251–500",
 AND(K2268&gt;=501,K2268&lt;=1000),"501–1000",
 K2268&gt;=1001,"1001+"
)</f>
        <v>101–250</v>
      </c>
    </row>
    <row r="2269" spans="1:12" x14ac:dyDescent="0.3">
      <c r="A2269" t="s">
        <v>4419</v>
      </c>
      <c r="B2269" t="s">
        <v>11</v>
      </c>
      <c r="C2269" t="s">
        <v>5776</v>
      </c>
      <c r="F2269" t="s">
        <v>5770</v>
      </c>
      <c r="J2269" t="s">
        <v>5737</v>
      </c>
      <c r="K2269">
        <v>180</v>
      </c>
      <c r="L2269" t="str" cm="1">
        <f t="array" ref="L2269">_xlfn.IFS(
 K2269&lt;=50,"≤50",
 AND(K2269&gt;=51,K2269&lt;=100),"51–100",
 AND(K2269&gt;=101,K2269&lt;=250),"101–250",
 AND(K2269&gt;=251,K2269&lt;=500),"251–500",
 AND(K2269&gt;=501,K2269&lt;=1000),"501–1000",
 K2269&gt;=1001,"1001+"
)</f>
        <v>101–250</v>
      </c>
    </row>
    <row r="2270" spans="1:12" x14ac:dyDescent="0.3">
      <c r="A2270" t="s">
        <v>4420</v>
      </c>
      <c r="B2270" t="s">
        <v>9</v>
      </c>
      <c r="C2270" t="s">
        <v>5780</v>
      </c>
      <c r="D2270" t="s">
        <v>2060</v>
      </c>
      <c r="E2270" t="s">
        <v>15</v>
      </c>
      <c r="F2270" t="s">
        <v>16</v>
      </c>
      <c r="G2270" t="s">
        <v>4421</v>
      </c>
      <c r="J2270" t="s">
        <v>5737</v>
      </c>
      <c r="K2270">
        <v>180</v>
      </c>
      <c r="L2270" t="str" cm="1">
        <f t="array" ref="L2270">_xlfn.IFS(
 K2270&lt;=50,"≤50",
 AND(K2270&gt;=51,K2270&lt;=100),"51–100",
 AND(K2270&gt;=101,K2270&lt;=250),"101–250",
 AND(K2270&gt;=251,K2270&lt;=500),"251–500",
 AND(K2270&gt;=501,K2270&lt;=1000),"501–1000",
 K2270&gt;=1001,"1001+"
)</f>
        <v>101–250</v>
      </c>
    </row>
    <row r="2271" spans="1:12" x14ac:dyDescent="0.3">
      <c r="A2271" t="s">
        <v>4422</v>
      </c>
      <c r="B2271" t="s">
        <v>9</v>
      </c>
      <c r="C2271" t="s">
        <v>5780</v>
      </c>
      <c r="D2271" t="s">
        <v>4423</v>
      </c>
      <c r="F2271" t="s">
        <v>16</v>
      </c>
      <c r="G2271" t="s">
        <v>4424</v>
      </c>
      <c r="J2271" t="s">
        <v>5737</v>
      </c>
      <c r="K2271">
        <v>180</v>
      </c>
      <c r="L2271" t="str" cm="1">
        <f t="array" ref="L2271">_xlfn.IFS(
 K2271&lt;=50,"≤50",
 AND(K2271&gt;=51,K2271&lt;=100),"51–100",
 AND(K2271&gt;=101,K2271&lt;=250),"101–250",
 AND(K2271&gt;=251,K2271&lt;=500),"251–500",
 AND(K2271&gt;=501,K2271&lt;=1000),"501–1000",
 K2271&gt;=1001,"1001+"
)</f>
        <v>101–250</v>
      </c>
    </row>
    <row r="2272" spans="1:12" x14ac:dyDescent="0.3">
      <c r="A2272" t="s">
        <v>4425</v>
      </c>
      <c r="B2272" t="s">
        <v>9</v>
      </c>
      <c r="C2272" t="s">
        <v>5780</v>
      </c>
      <c r="D2272" t="s">
        <v>4426</v>
      </c>
      <c r="F2272" t="s">
        <v>20</v>
      </c>
      <c r="G2272" t="s">
        <v>4427</v>
      </c>
      <c r="J2272" t="s">
        <v>5737</v>
      </c>
      <c r="K2272">
        <v>180</v>
      </c>
      <c r="L2272" t="str" cm="1">
        <f t="array" ref="L2272">_xlfn.IFS(
 K2272&lt;=50,"≤50",
 AND(K2272&gt;=51,K2272&lt;=100),"51–100",
 AND(K2272&gt;=101,K2272&lt;=250),"101–250",
 AND(K2272&gt;=251,K2272&lt;=500),"251–500",
 AND(K2272&gt;=501,K2272&lt;=1000),"501–1000",
 K2272&gt;=1001,"1001+"
)</f>
        <v>101–250</v>
      </c>
    </row>
    <row r="2273" spans="1:12" x14ac:dyDescent="0.3">
      <c r="A2273" t="s">
        <v>4428</v>
      </c>
      <c r="B2273" t="s">
        <v>9</v>
      </c>
      <c r="C2273" t="s">
        <v>5780</v>
      </c>
      <c r="D2273" t="s">
        <v>4429</v>
      </c>
      <c r="E2273" t="s">
        <v>15</v>
      </c>
      <c r="F2273" t="s">
        <v>20</v>
      </c>
      <c r="G2273" t="s">
        <v>4430</v>
      </c>
      <c r="J2273" t="s">
        <v>5738</v>
      </c>
      <c r="K2273">
        <v>180</v>
      </c>
      <c r="L2273" t="str" cm="1">
        <f t="array" ref="L2273">_xlfn.IFS(
 K2273&lt;=50,"≤50",
 AND(K2273&gt;=51,K2273&lt;=100),"51–100",
 AND(K2273&gt;=101,K2273&lt;=250),"101–250",
 AND(K2273&gt;=251,K2273&lt;=500),"251–500",
 AND(K2273&gt;=501,K2273&lt;=1000),"501–1000",
 K2273&gt;=1001,"1001+"
)</f>
        <v>101–250</v>
      </c>
    </row>
    <row r="2274" spans="1:12" x14ac:dyDescent="0.3">
      <c r="A2274" t="s">
        <v>4431</v>
      </c>
      <c r="B2274" t="s">
        <v>9</v>
      </c>
      <c r="C2274" t="s">
        <v>5780</v>
      </c>
      <c r="D2274" t="s">
        <v>406</v>
      </c>
      <c r="E2274" t="s">
        <v>15</v>
      </c>
      <c r="F2274" t="s">
        <v>20</v>
      </c>
      <c r="G2274" t="s">
        <v>135</v>
      </c>
      <c r="J2274" t="s">
        <v>5744</v>
      </c>
      <c r="K2274">
        <v>180</v>
      </c>
      <c r="L2274" t="str" cm="1">
        <f t="array" ref="L2274">_xlfn.IFS(
 K2274&lt;=50,"≤50",
 AND(K2274&gt;=51,K2274&lt;=100),"51–100",
 AND(K2274&gt;=101,K2274&lt;=250),"101–250",
 AND(K2274&gt;=251,K2274&lt;=500),"251–500",
 AND(K2274&gt;=501,K2274&lt;=1000),"501–1000",
 K2274&gt;=1001,"1001+"
)</f>
        <v>101–250</v>
      </c>
    </row>
    <row r="2275" spans="1:12" x14ac:dyDescent="0.3">
      <c r="A2275" t="s">
        <v>4432</v>
      </c>
      <c r="B2275" t="s">
        <v>9</v>
      </c>
      <c r="C2275" t="s">
        <v>5780</v>
      </c>
      <c r="D2275" t="s">
        <v>4433</v>
      </c>
      <c r="E2275" t="s">
        <v>15</v>
      </c>
      <c r="F2275" t="s">
        <v>16</v>
      </c>
      <c r="G2275" t="s">
        <v>4434</v>
      </c>
      <c r="J2275" t="s">
        <v>5742</v>
      </c>
      <c r="K2275">
        <v>180</v>
      </c>
      <c r="L2275" t="str" cm="1">
        <f t="array" ref="L2275">_xlfn.IFS(
 K2275&lt;=50,"≤50",
 AND(K2275&gt;=51,K2275&lt;=100),"51–100",
 AND(K2275&gt;=101,K2275&lt;=250),"101–250",
 AND(K2275&gt;=251,K2275&lt;=500),"251–500",
 AND(K2275&gt;=501,K2275&lt;=1000),"501–1000",
 K2275&gt;=1001,"1001+"
)</f>
        <v>101–250</v>
      </c>
    </row>
    <row r="2276" spans="1:12" x14ac:dyDescent="0.3">
      <c r="A2276" t="s">
        <v>4435</v>
      </c>
      <c r="B2276" t="s">
        <v>9</v>
      </c>
      <c r="C2276" t="s">
        <v>5780</v>
      </c>
      <c r="D2276" t="s">
        <v>4436</v>
      </c>
      <c r="E2276" t="s">
        <v>15</v>
      </c>
      <c r="F2276" t="s">
        <v>20</v>
      </c>
      <c r="G2276" t="s">
        <v>4437</v>
      </c>
      <c r="J2276" t="s">
        <v>5761</v>
      </c>
      <c r="K2276">
        <v>180</v>
      </c>
      <c r="L2276" t="str" cm="1">
        <f t="array" ref="L2276">_xlfn.IFS(
 K2276&lt;=50,"≤50",
 AND(K2276&gt;=51,K2276&lt;=100),"51–100",
 AND(K2276&gt;=101,K2276&lt;=250),"101–250",
 AND(K2276&gt;=251,K2276&lt;=500),"251–500",
 AND(K2276&gt;=501,K2276&lt;=1000),"501–1000",
 K2276&gt;=1001,"1001+"
)</f>
        <v>101–250</v>
      </c>
    </row>
    <row r="2277" spans="1:12" x14ac:dyDescent="0.3">
      <c r="A2277" t="s">
        <v>4438</v>
      </c>
      <c r="B2277" t="s">
        <v>9</v>
      </c>
      <c r="C2277" t="s">
        <v>5780</v>
      </c>
      <c r="D2277" t="s">
        <v>4439</v>
      </c>
      <c r="E2277" t="s">
        <v>15</v>
      </c>
      <c r="F2277" t="s">
        <v>20</v>
      </c>
      <c r="G2277" t="s">
        <v>4440</v>
      </c>
      <c r="J2277" t="s">
        <v>5762</v>
      </c>
      <c r="K2277">
        <v>180</v>
      </c>
      <c r="L2277" t="str" cm="1">
        <f t="array" ref="L2277">_xlfn.IFS(
 K2277&lt;=50,"≤50",
 AND(K2277&gt;=51,K2277&lt;=100),"51–100",
 AND(K2277&gt;=101,K2277&lt;=250),"101–250",
 AND(K2277&gt;=251,K2277&lt;=500),"251–500",
 AND(K2277&gt;=501,K2277&lt;=1000),"501–1000",
 K2277&gt;=1001,"1001+"
)</f>
        <v>101–250</v>
      </c>
    </row>
    <row r="2278" spans="1:12" x14ac:dyDescent="0.3">
      <c r="A2278" t="s">
        <v>4441</v>
      </c>
      <c r="B2278" t="s">
        <v>9</v>
      </c>
      <c r="C2278" t="s">
        <v>5780</v>
      </c>
      <c r="D2278" t="s">
        <v>4442</v>
      </c>
      <c r="F2278" t="s">
        <v>20</v>
      </c>
      <c r="G2278" t="s">
        <v>4443</v>
      </c>
      <c r="J2278" t="s">
        <v>5744</v>
      </c>
      <c r="K2278">
        <v>180</v>
      </c>
      <c r="L2278" t="str" cm="1">
        <f t="array" ref="L2278">_xlfn.IFS(
 K2278&lt;=50,"≤50",
 AND(K2278&gt;=51,K2278&lt;=100),"51–100",
 AND(K2278&gt;=101,K2278&lt;=250),"101–250",
 AND(K2278&gt;=251,K2278&lt;=500),"251–500",
 AND(K2278&gt;=501,K2278&lt;=1000),"501–1000",
 K2278&gt;=1001,"1001+"
)</f>
        <v>101–250</v>
      </c>
    </row>
    <row r="2279" spans="1:12" x14ac:dyDescent="0.3">
      <c r="A2279" t="s">
        <v>4444</v>
      </c>
      <c r="B2279" t="s">
        <v>13</v>
      </c>
      <c r="C2279" t="s">
        <v>5777</v>
      </c>
      <c r="D2279" t="s">
        <v>4445</v>
      </c>
      <c r="F2279" t="s">
        <v>20</v>
      </c>
      <c r="G2279" t="s">
        <v>4446</v>
      </c>
      <c r="J2279" t="s">
        <v>5743</v>
      </c>
      <c r="K2279">
        <v>180</v>
      </c>
      <c r="L2279" t="str" cm="1">
        <f t="array" ref="L2279">_xlfn.IFS(
 K2279&lt;=50,"≤50",
 AND(K2279&gt;=51,K2279&lt;=100),"51–100",
 AND(K2279&gt;=101,K2279&lt;=250),"101–250",
 AND(K2279&gt;=251,K2279&lt;=500),"251–500",
 AND(K2279&gt;=501,K2279&lt;=1000),"501–1000",
 K2279&gt;=1001,"1001+"
)</f>
        <v>101–250</v>
      </c>
    </row>
    <row r="2280" spans="1:12" x14ac:dyDescent="0.3">
      <c r="A2280" t="s">
        <v>4447</v>
      </c>
      <c r="B2280" t="s">
        <v>9</v>
      </c>
      <c r="C2280" t="s">
        <v>5780</v>
      </c>
      <c r="D2280" t="s">
        <v>4448</v>
      </c>
      <c r="E2280" t="s">
        <v>15</v>
      </c>
      <c r="F2280" t="s">
        <v>54</v>
      </c>
      <c r="G2280" t="s">
        <v>302</v>
      </c>
      <c r="J2280" t="s">
        <v>5747</v>
      </c>
      <c r="K2280">
        <v>180</v>
      </c>
      <c r="L2280" t="str" cm="1">
        <f t="array" ref="L2280">_xlfn.IFS(
 K2280&lt;=50,"≤50",
 AND(K2280&gt;=51,K2280&lt;=100),"51–100",
 AND(K2280&gt;=101,K2280&lt;=250),"101–250",
 AND(K2280&gt;=251,K2280&lt;=500),"251–500",
 AND(K2280&gt;=501,K2280&lt;=1000),"501–1000",
 K2280&gt;=1001,"1001+"
)</f>
        <v>101–250</v>
      </c>
    </row>
    <row r="2281" spans="1:12" x14ac:dyDescent="0.3">
      <c r="A2281" t="s">
        <v>4449</v>
      </c>
      <c r="B2281" t="s">
        <v>9</v>
      </c>
      <c r="C2281" t="s">
        <v>5780</v>
      </c>
      <c r="D2281" t="s">
        <v>4450</v>
      </c>
      <c r="E2281" t="s">
        <v>15</v>
      </c>
      <c r="F2281" t="s">
        <v>20</v>
      </c>
      <c r="G2281" t="s">
        <v>4451</v>
      </c>
      <c r="J2281" t="s">
        <v>5749</v>
      </c>
      <c r="K2281">
        <v>180</v>
      </c>
      <c r="L2281" t="str" cm="1">
        <f t="array" ref="L2281">_xlfn.IFS(
 K2281&lt;=50,"≤50",
 AND(K2281&gt;=51,K2281&lt;=100),"51–100",
 AND(K2281&gt;=101,K2281&lt;=250),"101–250",
 AND(K2281&gt;=251,K2281&lt;=500),"251–500",
 AND(K2281&gt;=501,K2281&lt;=1000),"501–1000",
 K2281&gt;=1001,"1001+"
)</f>
        <v>101–250</v>
      </c>
    </row>
    <row r="2282" spans="1:12" x14ac:dyDescent="0.3">
      <c r="A2282" t="s">
        <v>4452</v>
      </c>
      <c r="B2282" t="s">
        <v>9</v>
      </c>
      <c r="C2282" t="s">
        <v>5780</v>
      </c>
      <c r="D2282" t="s">
        <v>4453</v>
      </c>
      <c r="F2282" t="s">
        <v>5770</v>
      </c>
      <c r="J2282" t="s">
        <v>5737</v>
      </c>
      <c r="K2282">
        <v>180</v>
      </c>
      <c r="L2282" t="str" cm="1">
        <f t="array" ref="L2282">_xlfn.IFS(
 K2282&lt;=50,"≤50",
 AND(K2282&gt;=51,K2282&lt;=100),"51–100",
 AND(K2282&gt;=101,K2282&lt;=250),"101–250",
 AND(K2282&gt;=251,K2282&lt;=500),"251–500",
 AND(K2282&gt;=501,K2282&lt;=1000),"501–1000",
 K2282&gt;=1001,"1001+"
)</f>
        <v>101–250</v>
      </c>
    </row>
    <row r="2283" spans="1:12" x14ac:dyDescent="0.3">
      <c r="A2283" t="s">
        <v>4454</v>
      </c>
      <c r="B2283" t="s">
        <v>9</v>
      </c>
      <c r="C2283" t="s">
        <v>5780</v>
      </c>
      <c r="D2283" t="s">
        <v>4455</v>
      </c>
      <c r="E2283" t="s">
        <v>15</v>
      </c>
      <c r="F2283" t="s">
        <v>5770</v>
      </c>
      <c r="J2283" t="s">
        <v>5760</v>
      </c>
      <c r="K2283">
        <v>180</v>
      </c>
      <c r="L2283" t="str" cm="1">
        <f t="array" ref="L2283">_xlfn.IFS(
 K2283&lt;=50,"≤50",
 AND(K2283&gt;=51,K2283&lt;=100),"51–100",
 AND(K2283&gt;=101,K2283&lt;=250),"101–250",
 AND(K2283&gt;=251,K2283&lt;=500),"251–500",
 AND(K2283&gt;=501,K2283&lt;=1000),"501–1000",
 K2283&gt;=1001,"1001+"
)</f>
        <v>101–250</v>
      </c>
    </row>
    <row r="2284" spans="1:12" x14ac:dyDescent="0.3">
      <c r="A2284" t="s">
        <v>4456</v>
      </c>
      <c r="B2284" t="s">
        <v>9</v>
      </c>
      <c r="C2284" t="s">
        <v>5780</v>
      </c>
      <c r="D2284" t="s">
        <v>4457</v>
      </c>
      <c r="F2284" t="s">
        <v>5770</v>
      </c>
      <c r="J2284" t="s">
        <v>5740</v>
      </c>
      <c r="K2284">
        <v>180</v>
      </c>
      <c r="L2284" t="str" cm="1">
        <f t="array" ref="L2284">_xlfn.IFS(
 K2284&lt;=50,"≤50",
 AND(K2284&gt;=51,K2284&lt;=100),"51–100",
 AND(K2284&gt;=101,K2284&lt;=250),"101–250",
 AND(K2284&gt;=251,K2284&lt;=500),"251–500",
 AND(K2284&gt;=501,K2284&lt;=1000),"501–1000",
 K2284&gt;=1001,"1001+"
)</f>
        <v>101–250</v>
      </c>
    </row>
    <row r="2285" spans="1:12" x14ac:dyDescent="0.3">
      <c r="A2285" t="s">
        <v>4458</v>
      </c>
      <c r="B2285" t="s">
        <v>9</v>
      </c>
      <c r="C2285" t="s">
        <v>5780</v>
      </c>
      <c r="D2285" t="s">
        <v>28</v>
      </c>
      <c r="F2285" t="s">
        <v>5770</v>
      </c>
      <c r="J2285" t="s">
        <v>5744</v>
      </c>
      <c r="K2285">
        <v>180</v>
      </c>
      <c r="L2285" t="str" cm="1">
        <f t="array" ref="L2285">_xlfn.IFS(
 K2285&lt;=50,"≤50",
 AND(K2285&gt;=51,K2285&lt;=100),"51–100",
 AND(K2285&gt;=101,K2285&lt;=250),"101–250",
 AND(K2285&gt;=251,K2285&lt;=500),"251–500",
 AND(K2285&gt;=501,K2285&lt;=1000),"501–1000",
 K2285&gt;=1001,"1001+"
)</f>
        <v>101–250</v>
      </c>
    </row>
    <row r="2286" spans="1:12" x14ac:dyDescent="0.3">
      <c r="A2286" t="s">
        <v>4459</v>
      </c>
      <c r="B2286" t="s">
        <v>9</v>
      </c>
      <c r="C2286" t="s">
        <v>5780</v>
      </c>
      <c r="D2286" t="s">
        <v>4460</v>
      </c>
      <c r="E2286" t="s">
        <v>15</v>
      </c>
      <c r="F2286" t="s">
        <v>5770</v>
      </c>
      <c r="J2286" t="s">
        <v>5737</v>
      </c>
      <c r="K2286">
        <v>180</v>
      </c>
      <c r="L2286" t="str" cm="1">
        <f t="array" ref="L2286">_xlfn.IFS(
 K2286&lt;=50,"≤50",
 AND(K2286&gt;=51,K2286&lt;=100),"51–100",
 AND(K2286&gt;=101,K2286&lt;=250),"101–250",
 AND(K2286&gt;=251,K2286&lt;=500),"251–500",
 AND(K2286&gt;=501,K2286&lt;=1000),"501–1000",
 K2286&gt;=1001,"1001+"
)</f>
        <v>101–250</v>
      </c>
    </row>
    <row r="2287" spans="1:12" x14ac:dyDescent="0.3">
      <c r="A2287" t="s">
        <v>4461</v>
      </c>
      <c r="B2287" t="s">
        <v>13</v>
      </c>
      <c r="C2287" t="s">
        <v>5777</v>
      </c>
      <c r="D2287" t="s">
        <v>4462</v>
      </c>
      <c r="E2287" t="s">
        <v>15</v>
      </c>
      <c r="F2287" t="s">
        <v>16</v>
      </c>
      <c r="G2287" t="s">
        <v>4463</v>
      </c>
      <c r="J2287" t="s">
        <v>5738</v>
      </c>
      <c r="K2287">
        <v>180</v>
      </c>
      <c r="L2287" t="str" cm="1">
        <f t="array" ref="L2287">_xlfn.IFS(
 K2287&lt;=50,"≤50",
 AND(K2287&gt;=51,K2287&lt;=100),"51–100",
 AND(K2287&gt;=101,K2287&lt;=250),"101–250",
 AND(K2287&gt;=251,K2287&lt;=500),"251–500",
 AND(K2287&gt;=501,K2287&lt;=1000),"501–1000",
 K2287&gt;=1001,"1001+"
)</f>
        <v>101–250</v>
      </c>
    </row>
    <row r="2288" spans="1:12" x14ac:dyDescent="0.3">
      <c r="A2288" t="s">
        <v>4464</v>
      </c>
      <c r="B2288" t="s">
        <v>9</v>
      </c>
      <c r="C2288" t="s">
        <v>5780</v>
      </c>
      <c r="D2288" t="s">
        <v>4465</v>
      </c>
      <c r="E2288" t="s">
        <v>15</v>
      </c>
      <c r="F2288" t="s">
        <v>5770</v>
      </c>
      <c r="J2288" t="s">
        <v>5737</v>
      </c>
      <c r="K2288">
        <v>180</v>
      </c>
      <c r="L2288" t="str" cm="1">
        <f t="array" ref="L2288">_xlfn.IFS(
 K2288&lt;=50,"≤50",
 AND(K2288&gt;=51,K2288&lt;=100),"51–100",
 AND(K2288&gt;=101,K2288&lt;=250),"101–250",
 AND(K2288&gt;=251,K2288&lt;=500),"251–500",
 AND(K2288&gt;=501,K2288&lt;=1000),"501–1000",
 K2288&gt;=1001,"1001+"
)</f>
        <v>101–250</v>
      </c>
    </row>
    <row r="2289" spans="1:12" x14ac:dyDescent="0.3">
      <c r="A2289" t="s">
        <v>4466</v>
      </c>
      <c r="B2289" t="s">
        <v>11</v>
      </c>
      <c r="C2289" t="s">
        <v>5776</v>
      </c>
      <c r="F2289" t="s">
        <v>5770</v>
      </c>
      <c r="J2289" t="s">
        <v>5752</v>
      </c>
      <c r="K2289">
        <v>180</v>
      </c>
      <c r="L2289" t="str" cm="1">
        <f t="array" ref="L2289">_xlfn.IFS(
 K2289&lt;=50,"≤50",
 AND(K2289&gt;=51,K2289&lt;=100),"51–100",
 AND(K2289&gt;=101,K2289&lt;=250),"101–250",
 AND(K2289&gt;=251,K2289&lt;=500),"251–500",
 AND(K2289&gt;=501,K2289&lt;=1000),"501–1000",
 K2289&gt;=1001,"1001+"
)</f>
        <v>101–250</v>
      </c>
    </row>
    <row r="2290" spans="1:12" x14ac:dyDescent="0.3">
      <c r="A2290" t="s">
        <v>4467</v>
      </c>
      <c r="B2290" t="s">
        <v>9</v>
      </c>
      <c r="C2290" t="s">
        <v>5780</v>
      </c>
      <c r="D2290" t="s">
        <v>28</v>
      </c>
      <c r="F2290" t="s">
        <v>5770</v>
      </c>
      <c r="J2290" t="s">
        <v>5758</v>
      </c>
      <c r="K2290">
        <v>180</v>
      </c>
      <c r="L2290" t="str" cm="1">
        <f t="array" ref="L2290">_xlfn.IFS(
 K2290&lt;=50,"≤50",
 AND(K2290&gt;=51,K2290&lt;=100),"51–100",
 AND(K2290&gt;=101,K2290&lt;=250),"101–250",
 AND(K2290&gt;=251,K2290&lt;=500),"251–500",
 AND(K2290&gt;=501,K2290&lt;=1000),"501–1000",
 K2290&gt;=1001,"1001+"
)</f>
        <v>101–250</v>
      </c>
    </row>
    <row r="2291" spans="1:12" x14ac:dyDescent="0.3">
      <c r="A2291" t="s">
        <v>4468</v>
      </c>
      <c r="B2291" t="s">
        <v>13</v>
      </c>
      <c r="C2291" t="s">
        <v>5777</v>
      </c>
      <c r="D2291" t="s">
        <v>4469</v>
      </c>
      <c r="E2291" t="s">
        <v>15</v>
      </c>
      <c r="F2291" t="s">
        <v>20</v>
      </c>
      <c r="G2291" t="s">
        <v>21</v>
      </c>
      <c r="J2291" t="s">
        <v>5744</v>
      </c>
      <c r="K2291">
        <v>185</v>
      </c>
      <c r="L2291" t="str" cm="1">
        <f t="array" ref="L2291">_xlfn.IFS(
 K2291&lt;=50,"≤50",
 AND(K2291&gt;=51,K2291&lt;=100),"51–100",
 AND(K2291&gt;=101,K2291&lt;=250),"101–250",
 AND(K2291&gt;=251,K2291&lt;=500),"251–500",
 AND(K2291&gt;=501,K2291&lt;=1000),"501–1000",
 K2291&gt;=1001,"1001+"
)</f>
        <v>101–250</v>
      </c>
    </row>
    <row r="2292" spans="1:12" x14ac:dyDescent="0.3">
      <c r="A2292" t="s">
        <v>4470</v>
      </c>
      <c r="B2292" t="s">
        <v>13</v>
      </c>
      <c r="C2292" t="s">
        <v>5777</v>
      </c>
      <c r="D2292" t="s">
        <v>4471</v>
      </c>
      <c r="F2292" t="s">
        <v>16</v>
      </c>
      <c r="G2292" t="s">
        <v>4472</v>
      </c>
      <c r="J2292" t="s">
        <v>5746</v>
      </c>
      <c r="K2292">
        <v>185</v>
      </c>
      <c r="L2292" t="str" cm="1">
        <f t="array" ref="L2292">_xlfn.IFS(
 K2292&lt;=50,"≤50",
 AND(K2292&gt;=51,K2292&lt;=100),"51–100",
 AND(K2292&gt;=101,K2292&lt;=250),"101–250",
 AND(K2292&gt;=251,K2292&lt;=500),"251–500",
 AND(K2292&gt;=501,K2292&lt;=1000),"501–1000",
 K2292&gt;=1001,"1001+"
)</f>
        <v>101–250</v>
      </c>
    </row>
    <row r="2293" spans="1:12" x14ac:dyDescent="0.3">
      <c r="A2293" t="s">
        <v>4473</v>
      </c>
      <c r="B2293" t="s">
        <v>9</v>
      </c>
      <c r="C2293" t="s">
        <v>5780</v>
      </c>
      <c r="D2293" t="s">
        <v>4474</v>
      </c>
      <c r="E2293" t="s">
        <v>15</v>
      </c>
      <c r="F2293" t="s">
        <v>54</v>
      </c>
      <c r="G2293" t="s">
        <v>4475</v>
      </c>
      <c r="J2293" t="s">
        <v>5737</v>
      </c>
      <c r="K2293">
        <v>190</v>
      </c>
      <c r="L2293" t="str" cm="1">
        <f t="array" ref="L2293">_xlfn.IFS(
 K2293&lt;=50,"≤50",
 AND(K2293&gt;=51,K2293&lt;=100),"51–100",
 AND(K2293&gt;=101,K2293&lt;=250),"101–250",
 AND(K2293&gt;=251,K2293&lt;=500),"251–500",
 AND(K2293&gt;=501,K2293&lt;=1000),"501–1000",
 K2293&gt;=1001,"1001+"
)</f>
        <v>101–250</v>
      </c>
    </row>
    <row r="2294" spans="1:12" x14ac:dyDescent="0.3">
      <c r="A2294" t="s">
        <v>4476</v>
      </c>
      <c r="B2294" t="s">
        <v>11</v>
      </c>
      <c r="C2294" t="s">
        <v>5776</v>
      </c>
      <c r="F2294" t="s">
        <v>5770</v>
      </c>
      <c r="J2294" t="s">
        <v>5739</v>
      </c>
      <c r="K2294">
        <v>190</v>
      </c>
      <c r="L2294" t="str" cm="1">
        <f t="array" ref="L2294">_xlfn.IFS(
 K2294&lt;=50,"≤50",
 AND(K2294&gt;=51,K2294&lt;=100),"51–100",
 AND(K2294&gt;=101,K2294&lt;=250),"101–250",
 AND(K2294&gt;=251,K2294&lt;=500),"251–500",
 AND(K2294&gt;=501,K2294&lt;=1000),"501–1000",
 K2294&gt;=1001,"1001+"
)</f>
        <v>101–250</v>
      </c>
    </row>
    <row r="2295" spans="1:12" x14ac:dyDescent="0.3">
      <c r="A2295" t="s">
        <v>4477</v>
      </c>
      <c r="B2295" t="s">
        <v>13</v>
      </c>
      <c r="C2295" t="s">
        <v>5777</v>
      </c>
      <c r="D2295" t="s">
        <v>4478</v>
      </c>
      <c r="E2295" t="s">
        <v>15</v>
      </c>
      <c r="F2295" t="s">
        <v>5770</v>
      </c>
      <c r="J2295" t="s">
        <v>5737</v>
      </c>
      <c r="K2295">
        <v>190</v>
      </c>
      <c r="L2295" t="str" cm="1">
        <f t="array" ref="L2295">_xlfn.IFS(
 K2295&lt;=50,"≤50",
 AND(K2295&gt;=51,K2295&lt;=100),"51–100",
 AND(K2295&gt;=101,K2295&lt;=250),"101–250",
 AND(K2295&gt;=251,K2295&lt;=500),"251–500",
 AND(K2295&gt;=501,K2295&lt;=1000),"501–1000",
 K2295&gt;=1001,"1001+"
)</f>
        <v>101–250</v>
      </c>
    </row>
    <row r="2296" spans="1:12" x14ac:dyDescent="0.3">
      <c r="A2296" t="s">
        <v>4479</v>
      </c>
      <c r="B2296" t="s">
        <v>9</v>
      </c>
      <c r="C2296" t="s">
        <v>5780</v>
      </c>
      <c r="D2296" t="s">
        <v>4480</v>
      </c>
      <c r="F2296" t="s">
        <v>54</v>
      </c>
      <c r="G2296" t="s">
        <v>4481</v>
      </c>
      <c r="J2296" t="s">
        <v>5745</v>
      </c>
      <c r="K2296">
        <v>190</v>
      </c>
      <c r="L2296" t="str" cm="1">
        <f t="array" ref="L2296">_xlfn.IFS(
 K2296&lt;=50,"≤50",
 AND(K2296&gt;=51,K2296&lt;=100),"51–100",
 AND(K2296&gt;=101,K2296&lt;=250),"101–250",
 AND(K2296&gt;=251,K2296&lt;=500),"251–500",
 AND(K2296&gt;=501,K2296&lt;=1000),"501–1000",
 K2296&gt;=1001,"1001+"
)</f>
        <v>101–250</v>
      </c>
    </row>
    <row r="2297" spans="1:12" x14ac:dyDescent="0.3">
      <c r="A2297" t="s">
        <v>4482</v>
      </c>
      <c r="B2297" t="s">
        <v>13</v>
      </c>
      <c r="C2297" t="s">
        <v>5777</v>
      </c>
      <c r="D2297" t="s">
        <v>4483</v>
      </c>
      <c r="F2297" t="s">
        <v>5770</v>
      </c>
      <c r="J2297" t="s">
        <v>5762</v>
      </c>
      <c r="K2297">
        <v>195</v>
      </c>
      <c r="L2297" t="str" cm="1">
        <f t="array" ref="L2297">_xlfn.IFS(
 K2297&lt;=50,"≤50",
 AND(K2297&gt;=51,K2297&lt;=100),"51–100",
 AND(K2297&gt;=101,K2297&lt;=250),"101–250",
 AND(K2297&gt;=251,K2297&lt;=500),"251–500",
 AND(K2297&gt;=501,K2297&lt;=1000),"501–1000",
 K2297&gt;=1001,"1001+"
)</f>
        <v>101–250</v>
      </c>
    </row>
    <row r="2298" spans="1:12" x14ac:dyDescent="0.3">
      <c r="A2298" t="s">
        <v>4484</v>
      </c>
      <c r="B2298" t="s">
        <v>13</v>
      </c>
      <c r="C2298" t="s">
        <v>5777</v>
      </c>
      <c r="D2298" t="s">
        <v>112</v>
      </c>
      <c r="E2298" t="s">
        <v>15</v>
      </c>
      <c r="F2298" t="s">
        <v>16</v>
      </c>
      <c r="G2298" t="s">
        <v>4485</v>
      </c>
      <c r="J2298" t="s">
        <v>5738</v>
      </c>
      <c r="K2298">
        <v>195</v>
      </c>
      <c r="L2298" t="str" cm="1">
        <f t="array" ref="L2298">_xlfn.IFS(
 K2298&lt;=50,"≤50",
 AND(K2298&gt;=51,K2298&lt;=100),"51–100",
 AND(K2298&gt;=101,K2298&lt;=250),"101–250",
 AND(K2298&gt;=251,K2298&lt;=500),"251–500",
 AND(K2298&gt;=501,K2298&lt;=1000),"501–1000",
 K2298&gt;=1001,"1001+"
)</f>
        <v>101–250</v>
      </c>
    </row>
    <row r="2299" spans="1:12" x14ac:dyDescent="0.3">
      <c r="A2299" t="s">
        <v>4486</v>
      </c>
      <c r="B2299" t="s">
        <v>417</v>
      </c>
      <c r="C2299" t="s">
        <v>5778</v>
      </c>
      <c r="D2299" t="s">
        <v>4487</v>
      </c>
      <c r="E2299" t="s">
        <v>15</v>
      </c>
      <c r="F2299" t="s">
        <v>20</v>
      </c>
      <c r="G2299" t="s">
        <v>4488</v>
      </c>
      <c r="J2299" t="s">
        <v>5751</v>
      </c>
      <c r="K2299">
        <v>197</v>
      </c>
      <c r="L2299" t="str" cm="1">
        <f t="array" ref="L2299">_xlfn.IFS(
 K2299&lt;=50,"≤50",
 AND(K2299&gt;=51,K2299&lt;=100),"51–100",
 AND(K2299&gt;=101,K2299&lt;=250),"101–250",
 AND(K2299&gt;=251,K2299&lt;=500),"251–500",
 AND(K2299&gt;=501,K2299&lt;=1000),"501–1000",
 K2299&gt;=1001,"1001+"
)</f>
        <v>101–250</v>
      </c>
    </row>
    <row r="2300" spans="1:12" x14ac:dyDescent="0.3">
      <c r="A2300" t="s">
        <v>4489</v>
      </c>
      <c r="B2300" t="s">
        <v>9</v>
      </c>
      <c r="C2300" t="s">
        <v>5780</v>
      </c>
      <c r="D2300" t="s">
        <v>4490</v>
      </c>
      <c r="E2300" t="s">
        <v>15</v>
      </c>
      <c r="F2300" t="s">
        <v>54</v>
      </c>
      <c r="G2300" t="s">
        <v>4491</v>
      </c>
      <c r="J2300" t="s">
        <v>5737</v>
      </c>
      <c r="K2300">
        <v>198</v>
      </c>
      <c r="L2300" t="str" cm="1">
        <f t="array" ref="L2300">_xlfn.IFS(
 K2300&lt;=50,"≤50",
 AND(K2300&gt;=51,K2300&lt;=100),"51–100",
 AND(K2300&gt;=101,K2300&lt;=250),"101–250",
 AND(K2300&gt;=251,K2300&lt;=500),"251–500",
 AND(K2300&gt;=501,K2300&lt;=1000),"501–1000",
 K2300&gt;=1001,"1001+"
)</f>
        <v>101–250</v>
      </c>
    </row>
    <row r="2301" spans="1:12" x14ac:dyDescent="0.3">
      <c r="A2301" t="s">
        <v>4492</v>
      </c>
      <c r="B2301" t="s">
        <v>13</v>
      </c>
      <c r="C2301" t="s">
        <v>5777</v>
      </c>
      <c r="D2301" t="s">
        <v>4493</v>
      </c>
      <c r="E2301" t="s">
        <v>15</v>
      </c>
      <c r="F2301" t="s">
        <v>20</v>
      </c>
      <c r="G2301" t="s">
        <v>21</v>
      </c>
      <c r="J2301" t="s">
        <v>5746</v>
      </c>
      <c r="K2301">
        <v>200</v>
      </c>
      <c r="L2301" t="str" cm="1">
        <f t="array" ref="L2301">_xlfn.IFS(
 K2301&lt;=50,"≤50",
 AND(K2301&gt;=51,K2301&lt;=100),"51–100",
 AND(K2301&gt;=101,K2301&lt;=250),"101–250",
 AND(K2301&gt;=251,K2301&lt;=500),"251–500",
 AND(K2301&gt;=501,K2301&lt;=1000),"501–1000",
 K2301&gt;=1001,"1001+"
)</f>
        <v>101–250</v>
      </c>
    </row>
    <row r="2302" spans="1:12" x14ac:dyDescent="0.3">
      <c r="A2302" t="s">
        <v>4494</v>
      </c>
      <c r="B2302" t="s">
        <v>9</v>
      </c>
      <c r="C2302" t="s">
        <v>5780</v>
      </c>
      <c r="D2302" t="s">
        <v>4495</v>
      </c>
      <c r="E2302" t="s">
        <v>15</v>
      </c>
      <c r="F2302" t="s">
        <v>16</v>
      </c>
      <c r="G2302" t="s">
        <v>4496</v>
      </c>
      <c r="J2302" t="s">
        <v>5737</v>
      </c>
      <c r="K2302">
        <v>200</v>
      </c>
      <c r="L2302" t="str" cm="1">
        <f t="array" ref="L2302">_xlfn.IFS(
 K2302&lt;=50,"≤50",
 AND(K2302&gt;=51,K2302&lt;=100),"51–100",
 AND(K2302&gt;=101,K2302&lt;=250),"101–250",
 AND(K2302&gt;=251,K2302&lt;=500),"251–500",
 AND(K2302&gt;=501,K2302&lt;=1000),"501–1000",
 K2302&gt;=1001,"1001+"
)</f>
        <v>101–250</v>
      </c>
    </row>
    <row r="2303" spans="1:12" x14ac:dyDescent="0.3">
      <c r="A2303" t="s">
        <v>4497</v>
      </c>
      <c r="B2303" t="s">
        <v>13</v>
      </c>
      <c r="C2303" t="s">
        <v>5777</v>
      </c>
      <c r="D2303" t="s">
        <v>4498</v>
      </c>
      <c r="E2303" t="s">
        <v>15</v>
      </c>
      <c r="F2303" t="s">
        <v>20</v>
      </c>
      <c r="G2303" t="s">
        <v>4499</v>
      </c>
      <c r="J2303" t="s">
        <v>5737</v>
      </c>
      <c r="K2303">
        <v>200</v>
      </c>
      <c r="L2303" t="str" cm="1">
        <f t="array" ref="L2303">_xlfn.IFS(
 K2303&lt;=50,"≤50",
 AND(K2303&gt;=51,K2303&lt;=100),"51–100",
 AND(K2303&gt;=101,K2303&lt;=250),"101–250",
 AND(K2303&gt;=251,K2303&lt;=500),"251–500",
 AND(K2303&gt;=501,K2303&lt;=1000),"501–1000",
 K2303&gt;=1001,"1001+"
)</f>
        <v>101–250</v>
      </c>
    </row>
    <row r="2304" spans="1:12" x14ac:dyDescent="0.3">
      <c r="A2304" t="s">
        <v>4500</v>
      </c>
      <c r="B2304" t="s">
        <v>9</v>
      </c>
      <c r="C2304" t="s">
        <v>5780</v>
      </c>
      <c r="D2304" t="s">
        <v>4501</v>
      </c>
      <c r="E2304" t="s">
        <v>15</v>
      </c>
      <c r="F2304" t="s">
        <v>16</v>
      </c>
      <c r="G2304" t="s">
        <v>4502</v>
      </c>
      <c r="J2304" t="s">
        <v>5737</v>
      </c>
      <c r="K2304">
        <v>200</v>
      </c>
      <c r="L2304" t="str" cm="1">
        <f t="array" ref="L2304">_xlfn.IFS(
 K2304&lt;=50,"≤50",
 AND(K2304&gt;=51,K2304&lt;=100),"51–100",
 AND(K2304&gt;=101,K2304&lt;=250),"101–250",
 AND(K2304&gt;=251,K2304&lt;=500),"251–500",
 AND(K2304&gt;=501,K2304&lt;=1000),"501–1000",
 K2304&gt;=1001,"1001+"
)</f>
        <v>101–250</v>
      </c>
    </row>
    <row r="2305" spans="1:12" x14ac:dyDescent="0.3">
      <c r="A2305" t="s">
        <v>4503</v>
      </c>
      <c r="B2305" t="s">
        <v>13</v>
      </c>
      <c r="C2305" t="s">
        <v>5777</v>
      </c>
      <c r="D2305" t="s">
        <v>4504</v>
      </c>
      <c r="F2305" t="s">
        <v>5770</v>
      </c>
      <c r="J2305" t="s">
        <v>5746</v>
      </c>
      <c r="K2305">
        <v>200</v>
      </c>
      <c r="L2305" t="str" cm="1">
        <f t="array" ref="L2305">_xlfn.IFS(
 K2305&lt;=50,"≤50",
 AND(K2305&gt;=51,K2305&lt;=100),"51–100",
 AND(K2305&gt;=101,K2305&lt;=250),"101–250",
 AND(K2305&gt;=251,K2305&lt;=500),"251–500",
 AND(K2305&gt;=501,K2305&lt;=1000),"501–1000",
 K2305&gt;=1001,"1001+"
)</f>
        <v>101–250</v>
      </c>
    </row>
    <row r="2306" spans="1:12" x14ac:dyDescent="0.3">
      <c r="A2306" t="s">
        <v>4505</v>
      </c>
      <c r="B2306" t="s">
        <v>13</v>
      </c>
      <c r="C2306" t="s">
        <v>5777</v>
      </c>
      <c r="D2306" t="s">
        <v>4506</v>
      </c>
      <c r="E2306" t="s">
        <v>15</v>
      </c>
      <c r="F2306" t="s">
        <v>54</v>
      </c>
      <c r="G2306" t="s">
        <v>4507</v>
      </c>
      <c r="J2306" t="s">
        <v>5737</v>
      </c>
      <c r="K2306">
        <v>200</v>
      </c>
      <c r="L2306" t="str" cm="1">
        <f t="array" ref="L2306">_xlfn.IFS(
 K2306&lt;=50,"≤50",
 AND(K2306&gt;=51,K2306&lt;=100),"51–100",
 AND(K2306&gt;=101,K2306&lt;=250),"101–250",
 AND(K2306&gt;=251,K2306&lt;=500),"251–500",
 AND(K2306&gt;=501,K2306&lt;=1000),"501–1000",
 K2306&gt;=1001,"1001+"
)</f>
        <v>101–250</v>
      </c>
    </row>
    <row r="2307" spans="1:12" x14ac:dyDescent="0.3">
      <c r="A2307" t="s">
        <v>4508</v>
      </c>
      <c r="B2307" t="s">
        <v>9</v>
      </c>
      <c r="C2307" t="s">
        <v>5780</v>
      </c>
      <c r="D2307" t="s">
        <v>4509</v>
      </c>
      <c r="F2307" t="s">
        <v>16</v>
      </c>
      <c r="G2307" t="s">
        <v>4510</v>
      </c>
      <c r="J2307" t="s">
        <v>5760</v>
      </c>
      <c r="K2307">
        <v>200</v>
      </c>
      <c r="L2307" t="str" cm="1">
        <f t="array" ref="L2307">_xlfn.IFS(
 K2307&lt;=50,"≤50",
 AND(K2307&gt;=51,K2307&lt;=100),"51–100",
 AND(K2307&gt;=101,K2307&lt;=250),"101–250",
 AND(K2307&gt;=251,K2307&lt;=500),"251–500",
 AND(K2307&gt;=501,K2307&lt;=1000),"501–1000",
 K2307&gt;=1001,"1001+"
)</f>
        <v>101–250</v>
      </c>
    </row>
    <row r="2308" spans="1:12" x14ac:dyDescent="0.3">
      <c r="A2308" t="s">
        <v>4511</v>
      </c>
      <c r="B2308" t="s">
        <v>13</v>
      </c>
      <c r="C2308" t="s">
        <v>5777</v>
      </c>
      <c r="D2308" t="s">
        <v>4512</v>
      </c>
      <c r="E2308" t="s">
        <v>15</v>
      </c>
      <c r="F2308" t="s">
        <v>16</v>
      </c>
      <c r="G2308" t="s">
        <v>4513</v>
      </c>
      <c r="J2308" t="s">
        <v>5737</v>
      </c>
      <c r="K2308">
        <v>200</v>
      </c>
      <c r="L2308" t="str" cm="1">
        <f t="array" ref="L2308">_xlfn.IFS(
 K2308&lt;=50,"≤50",
 AND(K2308&gt;=51,K2308&lt;=100),"51–100",
 AND(K2308&gt;=101,K2308&lt;=250),"101–250",
 AND(K2308&gt;=251,K2308&lt;=500),"251–500",
 AND(K2308&gt;=501,K2308&lt;=1000),"501–1000",
 K2308&gt;=1001,"1001+"
)</f>
        <v>101–250</v>
      </c>
    </row>
    <row r="2309" spans="1:12" x14ac:dyDescent="0.3">
      <c r="A2309" t="s">
        <v>4514</v>
      </c>
      <c r="B2309" t="s">
        <v>9</v>
      </c>
      <c r="C2309" t="s">
        <v>5780</v>
      </c>
      <c r="D2309" t="s">
        <v>4515</v>
      </c>
      <c r="E2309" t="s">
        <v>15</v>
      </c>
      <c r="F2309" t="s">
        <v>54</v>
      </c>
      <c r="G2309" t="s">
        <v>4516</v>
      </c>
      <c r="J2309" t="s">
        <v>5741</v>
      </c>
      <c r="K2309">
        <v>200</v>
      </c>
      <c r="L2309" t="str" cm="1">
        <f t="array" ref="L2309">_xlfn.IFS(
 K2309&lt;=50,"≤50",
 AND(K2309&gt;=51,K2309&lt;=100),"51–100",
 AND(K2309&gt;=101,K2309&lt;=250),"101–250",
 AND(K2309&gt;=251,K2309&lt;=500),"251–500",
 AND(K2309&gt;=501,K2309&lt;=1000),"501–1000",
 K2309&gt;=1001,"1001+"
)</f>
        <v>101–250</v>
      </c>
    </row>
    <row r="2310" spans="1:12" x14ac:dyDescent="0.3">
      <c r="A2310" t="s">
        <v>4517</v>
      </c>
      <c r="B2310" t="s">
        <v>9</v>
      </c>
      <c r="C2310" t="s">
        <v>5780</v>
      </c>
      <c r="D2310" t="s">
        <v>4518</v>
      </c>
      <c r="E2310" t="s">
        <v>15</v>
      </c>
      <c r="F2310" t="s">
        <v>20</v>
      </c>
      <c r="G2310" t="s">
        <v>4519</v>
      </c>
      <c r="J2310" t="s">
        <v>5750</v>
      </c>
      <c r="K2310">
        <v>200</v>
      </c>
      <c r="L2310" t="str" cm="1">
        <f t="array" ref="L2310">_xlfn.IFS(
 K2310&lt;=50,"≤50",
 AND(K2310&gt;=51,K2310&lt;=100),"51–100",
 AND(K2310&gt;=101,K2310&lt;=250),"101–250",
 AND(K2310&gt;=251,K2310&lt;=500),"251–500",
 AND(K2310&gt;=501,K2310&lt;=1000),"501–1000",
 K2310&gt;=1001,"1001+"
)</f>
        <v>101–250</v>
      </c>
    </row>
    <row r="2311" spans="1:12" x14ac:dyDescent="0.3">
      <c r="A2311" t="s">
        <v>4520</v>
      </c>
      <c r="B2311" t="s">
        <v>9</v>
      </c>
      <c r="C2311" t="s">
        <v>5780</v>
      </c>
      <c r="D2311" t="s">
        <v>4521</v>
      </c>
      <c r="E2311" t="s">
        <v>15</v>
      </c>
      <c r="F2311" t="s">
        <v>5770</v>
      </c>
      <c r="J2311" t="s">
        <v>5749</v>
      </c>
      <c r="K2311">
        <v>200</v>
      </c>
      <c r="L2311" t="str" cm="1">
        <f t="array" ref="L2311">_xlfn.IFS(
 K2311&lt;=50,"≤50",
 AND(K2311&gt;=51,K2311&lt;=100),"51–100",
 AND(K2311&gt;=101,K2311&lt;=250),"101–250",
 AND(K2311&gt;=251,K2311&lt;=500),"251–500",
 AND(K2311&gt;=501,K2311&lt;=1000),"501–1000",
 K2311&gt;=1001,"1001+"
)</f>
        <v>101–250</v>
      </c>
    </row>
    <row r="2312" spans="1:12" x14ac:dyDescent="0.3">
      <c r="A2312" t="s">
        <v>4522</v>
      </c>
      <c r="B2312" t="s">
        <v>9</v>
      </c>
      <c r="C2312" t="s">
        <v>5780</v>
      </c>
      <c r="D2312" t="s">
        <v>4523</v>
      </c>
      <c r="E2312" t="s">
        <v>15</v>
      </c>
      <c r="F2312" t="s">
        <v>16</v>
      </c>
      <c r="G2312" t="s">
        <v>4524</v>
      </c>
      <c r="J2312" t="s">
        <v>5737</v>
      </c>
      <c r="K2312">
        <v>200</v>
      </c>
      <c r="L2312" t="str" cm="1">
        <f t="array" ref="L2312">_xlfn.IFS(
 K2312&lt;=50,"≤50",
 AND(K2312&gt;=51,K2312&lt;=100),"51–100",
 AND(K2312&gt;=101,K2312&lt;=250),"101–250",
 AND(K2312&gt;=251,K2312&lt;=500),"251–500",
 AND(K2312&gt;=501,K2312&lt;=1000),"501–1000",
 K2312&gt;=1001,"1001+"
)</f>
        <v>101–250</v>
      </c>
    </row>
    <row r="2313" spans="1:12" x14ac:dyDescent="0.3">
      <c r="A2313" t="s">
        <v>4525</v>
      </c>
      <c r="B2313" t="s">
        <v>13</v>
      </c>
      <c r="C2313" t="s">
        <v>5777</v>
      </c>
      <c r="D2313" t="s">
        <v>4526</v>
      </c>
      <c r="E2313" t="s">
        <v>15</v>
      </c>
      <c r="F2313" t="s">
        <v>20</v>
      </c>
      <c r="G2313" t="s">
        <v>4527</v>
      </c>
      <c r="J2313" t="s">
        <v>5737</v>
      </c>
      <c r="K2313">
        <v>200</v>
      </c>
      <c r="L2313" t="str" cm="1">
        <f t="array" ref="L2313">_xlfn.IFS(
 K2313&lt;=50,"≤50",
 AND(K2313&gt;=51,K2313&lt;=100),"51–100",
 AND(K2313&gt;=101,K2313&lt;=250),"101–250",
 AND(K2313&gt;=251,K2313&lt;=500),"251–500",
 AND(K2313&gt;=501,K2313&lt;=1000),"501–1000",
 K2313&gt;=1001,"1001+"
)</f>
        <v>101–250</v>
      </c>
    </row>
    <row r="2314" spans="1:12" x14ac:dyDescent="0.3">
      <c r="A2314" t="s">
        <v>4528</v>
      </c>
      <c r="B2314" t="s">
        <v>13</v>
      </c>
      <c r="C2314" t="s">
        <v>5777</v>
      </c>
      <c r="D2314" t="s">
        <v>4529</v>
      </c>
      <c r="F2314" t="s">
        <v>5770</v>
      </c>
      <c r="J2314" t="s">
        <v>5761</v>
      </c>
      <c r="K2314">
        <v>200</v>
      </c>
      <c r="L2314" t="str" cm="1">
        <f t="array" ref="L2314">_xlfn.IFS(
 K2314&lt;=50,"≤50",
 AND(K2314&gt;=51,K2314&lt;=100),"51–100",
 AND(K2314&gt;=101,K2314&lt;=250),"101–250",
 AND(K2314&gt;=251,K2314&lt;=500),"251–500",
 AND(K2314&gt;=501,K2314&lt;=1000),"501–1000",
 K2314&gt;=1001,"1001+"
)</f>
        <v>101–250</v>
      </c>
    </row>
    <row r="2315" spans="1:12" x14ac:dyDescent="0.3">
      <c r="A2315" t="s">
        <v>4530</v>
      </c>
      <c r="B2315" t="s">
        <v>9</v>
      </c>
      <c r="C2315" t="s">
        <v>5780</v>
      </c>
      <c r="D2315" t="s">
        <v>4531</v>
      </c>
      <c r="E2315" t="s">
        <v>15</v>
      </c>
      <c r="F2315" t="s">
        <v>5770</v>
      </c>
      <c r="J2315" t="s">
        <v>5739</v>
      </c>
      <c r="K2315">
        <v>200</v>
      </c>
      <c r="L2315" t="str" cm="1">
        <f t="array" ref="L2315">_xlfn.IFS(
 K2315&lt;=50,"≤50",
 AND(K2315&gt;=51,K2315&lt;=100),"51–100",
 AND(K2315&gt;=101,K2315&lt;=250),"101–250",
 AND(K2315&gt;=251,K2315&lt;=500),"251–500",
 AND(K2315&gt;=501,K2315&lt;=1000),"501–1000",
 K2315&gt;=1001,"1001+"
)</f>
        <v>101–250</v>
      </c>
    </row>
    <row r="2316" spans="1:12" x14ac:dyDescent="0.3">
      <c r="A2316" t="s">
        <v>4532</v>
      </c>
      <c r="B2316" t="s">
        <v>9</v>
      </c>
      <c r="C2316" t="s">
        <v>5780</v>
      </c>
      <c r="D2316" t="s">
        <v>28</v>
      </c>
      <c r="F2316" t="s">
        <v>20</v>
      </c>
      <c r="G2316" t="s">
        <v>1222</v>
      </c>
      <c r="J2316" t="s">
        <v>5737</v>
      </c>
      <c r="K2316">
        <v>200</v>
      </c>
      <c r="L2316" t="str" cm="1">
        <f t="array" ref="L2316">_xlfn.IFS(
 K2316&lt;=50,"≤50",
 AND(K2316&gt;=51,K2316&lt;=100),"51–100",
 AND(K2316&gt;=101,K2316&lt;=250),"101–250",
 AND(K2316&gt;=251,K2316&lt;=500),"251–500",
 AND(K2316&gt;=501,K2316&lt;=1000),"501–1000",
 K2316&gt;=1001,"1001+"
)</f>
        <v>101–250</v>
      </c>
    </row>
    <row r="2317" spans="1:12" x14ac:dyDescent="0.3">
      <c r="A2317" t="s">
        <v>4533</v>
      </c>
      <c r="B2317" t="s">
        <v>9</v>
      </c>
      <c r="C2317" t="s">
        <v>5780</v>
      </c>
      <c r="D2317" t="s">
        <v>4534</v>
      </c>
      <c r="E2317" t="s">
        <v>15</v>
      </c>
      <c r="F2317" t="s">
        <v>54</v>
      </c>
      <c r="G2317" t="s">
        <v>302</v>
      </c>
      <c r="J2317" t="s">
        <v>5744</v>
      </c>
      <c r="K2317">
        <v>200</v>
      </c>
      <c r="L2317" t="str" cm="1">
        <f t="array" ref="L2317">_xlfn.IFS(
 K2317&lt;=50,"≤50",
 AND(K2317&gt;=51,K2317&lt;=100),"51–100",
 AND(K2317&gt;=101,K2317&lt;=250),"101–250",
 AND(K2317&gt;=251,K2317&lt;=500),"251–500",
 AND(K2317&gt;=501,K2317&lt;=1000),"501–1000",
 K2317&gt;=1001,"1001+"
)</f>
        <v>101–250</v>
      </c>
    </row>
    <row r="2318" spans="1:12" x14ac:dyDescent="0.3">
      <c r="A2318" t="s">
        <v>4535</v>
      </c>
      <c r="B2318" t="s">
        <v>13</v>
      </c>
      <c r="C2318" t="s">
        <v>5777</v>
      </c>
      <c r="D2318" t="s">
        <v>4536</v>
      </c>
      <c r="F2318" t="s">
        <v>20</v>
      </c>
      <c r="G2318" t="s">
        <v>4537</v>
      </c>
      <c r="J2318" t="s">
        <v>5753</v>
      </c>
      <c r="K2318">
        <v>200</v>
      </c>
      <c r="L2318" t="str" cm="1">
        <f t="array" ref="L2318">_xlfn.IFS(
 K2318&lt;=50,"≤50",
 AND(K2318&gt;=51,K2318&lt;=100),"51–100",
 AND(K2318&gt;=101,K2318&lt;=250),"101–250",
 AND(K2318&gt;=251,K2318&lt;=500),"251–500",
 AND(K2318&gt;=501,K2318&lt;=1000),"501–1000",
 K2318&gt;=1001,"1001+"
)</f>
        <v>101–250</v>
      </c>
    </row>
    <row r="2319" spans="1:12" x14ac:dyDescent="0.3">
      <c r="A2319" t="s">
        <v>4538</v>
      </c>
      <c r="B2319" t="s">
        <v>9</v>
      </c>
      <c r="C2319" t="s">
        <v>5780</v>
      </c>
      <c r="D2319" t="s">
        <v>4539</v>
      </c>
      <c r="E2319" t="s">
        <v>15</v>
      </c>
      <c r="F2319" t="s">
        <v>54</v>
      </c>
      <c r="G2319" t="s">
        <v>302</v>
      </c>
      <c r="J2319" t="s">
        <v>5754</v>
      </c>
      <c r="K2319">
        <v>200</v>
      </c>
      <c r="L2319" t="str" cm="1">
        <f t="array" ref="L2319">_xlfn.IFS(
 K2319&lt;=50,"≤50",
 AND(K2319&gt;=51,K2319&lt;=100),"51–100",
 AND(K2319&gt;=101,K2319&lt;=250),"101–250",
 AND(K2319&gt;=251,K2319&lt;=500),"251–500",
 AND(K2319&gt;=501,K2319&lt;=1000),"501–1000",
 K2319&gt;=1001,"1001+"
)</f>
        <v>101–250</v>
      </c>
    </row>
    <row r="2320" spans="1:12" x14ac:dyDescent="0.3">
      <c r="A2320" t="s">
        <v>4540</v>
      </c>
      <c r="B2320" t="s">
        <v>9</v>
      </c>
      <c r="C2320" t="s">
        <v>5780</v>
      </c>
      <c r="D2320" t="s">
        <v>4541</v>
      </c>
      <c r="E2320" t="s">
        <v>15</v>
      </c>
      <c r="F2320" t="s">
        <v>20</v>
      </c>
      <c r="G2320" t="s">
        <v>42</v>
      </c>
      <c r="J2320" t="s">
        <v>5737</v>
      </c>
      <c r="K2320">
        <v>200</v>
      </c>
      <c r="L2320" t="str" cm="1">
        <f t="array" ref="L2320">_xlfn.IFS(
 K2320&lt;=50,"≤50",
 AND(K2320&gt;=51,K2320&lt;=100),"51–100",
 AND(K2320&gt;=101,K2320&lt;=250),"101–250",
 AND(K2320&gt;=251,K2320&lt;=500),"251–500",
 AND(K2320&gt;=501,K2320&lt;=1000),"501–1000",
 K2320&gt;=1001,"1001+"
)</f>
        <v>101–250</v>
      </c>
    </row>
    <row r="2321" spans="1:12" x14ac:dyDescent="0.3">
      <c r="A2321" t="s">
        <v>4542</v>
      </c>
      <c r="B2321" t="s">
        <v>9</v>
      </c>
      <c r="C2321" t="s">
        <v>5780</v>
      </c>
      <c r="D2321" t="s">
        <v>4543</v>
      </c>
      <c r="F2321" t="s">
        <v>5770</v>
      </c>
      <c r="J2321" t="s">
        <v>5740</v>
      </c>
      <c r="K2321">
        <v>200</v>
      </c>
      <c r="L2321" t="str" cm="1">
        <f t="array" ref="L2321">_xlfn.IFS(
 K2321&lt;=50,"≤50",
 AND(K2321&gt;=51,K2321&lt;=100),"51–100",
 AND(K2321&gt;=101,K2321&lt;=250),"101–250",
 AND(K2321&gt;=251,K2321&lt;=500),"251–500",
 AND(K2321&gt;=501,K2321&lt;=1000),"501–1000",
 K2321&gt;=1001,"1001+"
)</f>
        <v>101–250</v>
      </c>
    </row>
    <row r="2322" spans="1:12" x14ac:dyDescent="0.3">
      <c r="A2322" t="s">
        <v>4544</v>
      </c>
      <c r="B2322" t="s">
        <v>9</v>
      </c>
      <c r="C2322" t="s">
        <v>5780</v>
      </c>
      <c r="D2322" t="s">
        <v>4545</v>
      </c>
      <c r="E2322" t="s">
        <v>15</v>
      </c>
      <c r="F2322" t="s">
        <v>54</v>
      </c>
      <c r="G2322" t="s">
        <v>4546</v>
      </c>
      <c r="J2322" t="s">
        <v>5760</v>
      </c>
      <c r="K2322">
        <v>200</v>
      </c>
      <c r="L2322" t="str" cm="1">
        <f t="array" ref="L2322">_xlfn.IFS(
 K2322&lt;=50,"≤50",
 AND(K2322&gt;=51,K2322&lt;=100),"51–100",
 AND(K2322&gt;=101,K2322&lt;=250),"101–250",
 AND(K2322&gt;=251,K2322&lt;=500),"251–500",
 AND(K2322&gt;=501,K2322&lt;=1000),"501–1000",
 K2322&gt;=1001,"1001+"
)</f>
        <v>101–250</v>
      </c>
    </row>
    <row r="2323" spans="1:12" x14ac:dyDescent="0.3">
      <c r="A2323" t="s">
        <v>4547</v>
      </c>
      <c r="B2323" t="s">
        <v>13</v>
      </c>
      <c r="C2323" t="s">
        <v>5777</v>
      </c>
      <c r="D2323" t="s">
        <v>4548</v>
      </c>
      <c r="E2323" t="s">
        <v>15</v>
      </c>
      <c r="F2323" t="s">
        <v>20</v>
      </c>
      <c r="G2323" t="s">
        <v>21</v>
      </c>
      <c r="J2323" t="s">
        <v>5737</v>
      </c>
      <c r="K2323">
        <v>200</v>
      </c>
      <c r="L2323" t="str" cm="1">
        <f t="array" ref="L2323">_xlfn.IFS(
 K2323&lt;=50,"≤50",
 AND(K2323&gt;=51,K2323&lt;=100),"51–100",
 AND(K2323&gt;=101,K2323&lt;=250),"101–250",
 AND(K2323&gt;=251,K2323&lt;=500),"251–500",
 AND(K2323&gt;=501,K2323&lt;=1000),"501–1000",
 K2323&gt;=1001,"1001+"
)</f>
        <v>101–250</v>
      </c>
    </row>
    <row r="2324" spans="1:12" x14ac:dyDescent="0.3">
      <c r="A2324" t="s">
        <v>4549</v>
      </c>
      <c r="B2324" t="s">
        <v>9</v>
      </c>
      <c r="C2324" t="s">
        <v>5780</v>
      </c>
      <c r="D2324" t="s">
        <v>28</v>
      </c>
      <c r="F2324" t="s">
        <v>5770</v>
      </c>
      <c r="J2324" t="s">
        <v>5753</v>
      </c>
      <c r="K2324">
        <v>200</v>
      </c>
      <c r="L2324" t="str" cm="1">
        <f t="array" ref="L2324">_xlfn.IFS(
 K2324&lt;=50,"≤50",
 AND(K2324&gt;=51,K2324&lt;=100),"51–100",
 AND(K2324&gt;=101,K2324&lt;=250),"101–250",
 AND(K2324&gt;=251,K2324&lt;=500),"251–500",
 AND(K2324&gt;=501,K2324&lt;=1000),"501–1000",
 K2324&gt;=1001,"1001+"
)</f>
        <v>101–250</v>
      </c>
    </row>
    <row r="2325" spans="1:12" x14ac:dyDescent="0.3">
      <c r="A2325" t="s">
        <v>4550</v>
      </c>
      <c r="B2325" t="s">
        <v>9</v>
      </c>
      <c r="C2325" t="s">
        <v>5780</v>
      </c>
      <c r="D2325" t="s">
        <v>4551</v>
      </c>
      <c r="F2325" t="s">
        <v>54</v>
      </c>
      <c r="G2325" t="s">
        <v>4552</v>
      </c>
      <c r="J2325" t="s">
        <v>5752</v>
      </c>
      <c r="K2325">
        <v>200</v>
      </c>
      <c r="L2325" t="str" cm="1">
        <f t="array" ref="L2325">_xlfn.IFS(
 K2325&lt;=50,"≤50",
 AND(K2325&gt;=51,K2325&lt;=100),"51–100",
 AND(K2325&gt;=101,K2325&lt;=250),"101–250",
 AND(K2325&gt;=251,K2325&lt;=500),"251–500",
 AND(K2325&gt;=501,K2325&lt;=1000),"501–1000",
 K2325&gt;=1001,"1001+"
)</f>
        <v>101–250</v>
      </c>
    </row>
    <row r="2326" spans="1:12" x14ac:dyDescent="0.3">
      <c r="A2326" t="s">
        <v>4553</v>
      </c>
      <c r="B2326" t="s">
        <v>9</v>
      </c>
      <c r="C2326" t="s">
        <v>5780</v>
      </c>
      <c r="D2326" t="s">
        <v>4554</v>
      </c>
      <c r="E2326" t="s">
        <v>15</v>
      </c>
      <c r="F2326" t="s">
        <v>16</v>
      </c>
      <c r="G2326" t="s">
        <v>4555</v>
      </c>
      <c r="J2326" t="s">
        <v>5748</v>
      </c>
      <c r="K2326">
        <v>200</v>
      </c>
      <c r="L2326" t="str" cm="1">
        <f t="array" ref="L2326">_xlfn.IFS(
 K2326&lt;=50,"≤50",
 AND(K2326&gt;=51,K2326&lt;=100),"51–100",
 AND(K2326&gt;=101,K2326&lt;=250),"101–250",
 AND(K2326&gt;=251,K2326&lt;=500),"251–500",
 AND(K2326&gt;=501,K2326&lt;=1000),"501–1000",
 K2326&gt;=1001,"1001+"
)</f>
        <v>101–250</v>
      </c>
    </row>
    <row r="2327" spans="1:12" x14ac:dyDescent="0.3">
      <c r="A2327" t="s">
        <v>4556</v>
      </c>
      <c r="B2327" t="s">
        <v>9</v>
      </c>
      <c r="C2327" t="s">
        <v>5780</v>
      </c>
      <c r="D2327" t="s">
        <v>4557</v>
      </c>
      <c r="E2327" t="s">
        <v>15</v>
      </c>
      <c r="F2327" t="s">
        <v>16</v>
      </c>
      <c r="G2327" t="s">
        <v>2534</v>
      </c>
      <c r="J2327" t="s">
        <v>5737</v>
      </c>
      <c r="K2327">
        <v>200</v>
      </c>
      <c r="L2327" t="str" cm="1">
        <f t="array" ref="L2327">_xlfn.IFS(
 K2327&lt;=50,"≤50",
 AND(K2327&gt;=51,K2327&lt;=100),"51–100",
 AND(K2327&gt;=101,K2327&lt;=250),"101–250",
 AND(K2327&gt;=251,K2327&lt;=500),"251–500",
 AND(K2327&gt;=501,K2327&lt;=1000),"501–1000",
 K2327&gt;=1001,"1001+"
)</f>
        <v>101–250</v>
      </c>
    </row>
    <row r="2328" spans="1:12" x14ac:dyDescent="0.3">
      <c r="A2328" t="s">
        <v>4558</v>
      </c>
      <c r="B2328" t="s">
        <v>9</v>
      </c>
      <c r="C2328" t="s">
        <v>5780</v>
      </c>
      <c r="D2328" t="s">
        <v>4559</v>
      </c>
      <c r="E2328" t="s">
        <v>15</v>
      </c>
      <c r="F2328" t="s">
        <v>16</v>
      </c>
      <c r="G2328" t="s">
        <v>4560</v>
      </c>
      <c r="J2328" t="s">
        <v>5738</v>
      </c>
      <c r="K2328">
        <v>200</v>
      </c>
      <c r="L2328" t="str" cm="1">
        <f t="array" ref="L2328">_xlfn.IFS(
 K2328&lt;=50,"≤50",
 AND(K2328&gt;=51,K2328&lt;=100),"51–100",
 AND(K2328&gt;=101,K2328&lt;=250),"101–250",
 AND(K2328&gt;=251,K2328&lt;=500),"251–500",
 AND(K2328&gt;=501,K2328&lt;=1000),"501–1000",
 K2328&gt;=1001,"1001+"
)</f>
        <v>101–250</v>
      </c>
    </row>
    <row r="2329" spans="1:12" x14ac:dyDescent="0.3">
      <c r="A2329" t="s">
        <v>4561</v>
      </c>
      <c r="B2329" t="s">
        <v>9</v>
      </c>
      <c r="C2329" t="s">
        <v>5780</v>
      </c>
      <c r="D2329" t="s">
        <v>4562</v>
      </c>
      <c r="E2329" t="s">
        <v>15</v>
      </c>
      <c r="F2329" t="s">
        <v>20</v>
      </c>
      <c r="G2329" t="s">
        <v>4563</v>
      </c>
      <c r="J2329" t="s">
        <v>5743</v>
      </c>
      <c r="K2329">
        <v>200</v>
      </c>
      <c r="L2329" t="str" cm="1">
        <f t="array" ref="L2329">_xlfn.IFS(
 K2329&lt;=50,"≤50",
 AND(K2329&gt;=51,K2329&lt;=100),"51–100",
 AND(K2329&gt;=101,K2329&lt;=250),"101–250",
 AND(K2329&gt;=251,K2329&lt;=500),"251–500",
 AND(K2329&gt;=501,K2329&lt;=1000),"501–1000",
 K2329&gt;=1001,"1001+"
)</f>
        <v>101–250</v>
      </c>
    </row>
    <row r="2330" spans="1:12" x14ac:dyDescent="0.3">
      <c r="A2330" t="s">
        <v>4564</v>
      </c>
      <c r="B2330" t="s">
        <v>9</v>
      </c>
      <c r="C2330" t="s">
        <v>5780</v>
      </c>
      <c r="D2330" t="s">
        <v>4565</v>
      </c>
      <c r="E2330" t="s">
        <v>15</v>
      </c>
      <c r="F2330" t="s">
        <v>54</v>
      </c>
      <c r="G2330" t="s">
        <v>481</v>
      </c>
      <c r="H2330" t="s">
        <v>15</v>
      </c>
      <c r="I2330" t="s">
        <v>4566</v>
      </c>
      <c r="J2330" t="s">
        <v>5744</v>
      </c>
      <c r="K2330">
        <v>200</v>
      </c>
      <c r="L2330" t="str" cm="1">
        <f t="array" ref="L2330">_xlfn.IFS(
 K2330&lt;=50,"≤50",
 AND(K2330&gt;=51,K2330&lt;=100),"51–100",
 AND(K2330&gt;=101,K2330&lt;=250),"101–250",
 AND(K2330&gt;=251,K2330&lt;=500),"251–500",
 AND(K2330&gt;=501,K2330&lt;=1000),"501–1000",
 K2330&gt;=1001,"1001+"
)</f>
        <v>101–250</v>
      </c>
    </row>
    <row r="2331" spans="1:12" x14ac:dyDescent="0.3">
      <c r="A2331" t="s">
        <v>4567</v>
      </c>
      <c r="B2331" t="s">
        <v>13</v>
      </c>
      <c r="C2331" t="s">
        <v>5777</v>
      </c>
      <c r="D2331" t="s">
        <v>4568</v>
      </c>
      <c r="E2331" t="s">
        <v>15</v>
      </c>
      <c r="F2331" t="s">
        <v>16</v>
      </c>
      <c r="G2331" t="s">
        <v>4569</v>
      </c>
      <c r="J2331" t="s">
        <v>5737</v>
      </c>
      <c r="K2331">
        <v>200</v>
      </c>
      <c r="L2331" t="str" cm="1">
        <f t="array" ref="L2331">_xlfn.IFS(
 K2331&lt;=50,"≤50",
 AND(K2331&gt;=51,K2331&lt;=100),"51–100",
 AND(K2331&gt;=101,K2331&lt;=250),"101–250",
 AND(K2331&gt;=251,K2331&lt;=500),"251–500",
 AND(K2331&gt;=501,K2331&lt;=1000),"501–1000",
 K2331&gt;=1001,"1001+"
)</f>
        <v>101–250</v>
      </c>
    </row>
    <row r="2332" spans="1:12" x14ac:dyDescent="0.3">
      <c r="A2332" t="s">
        <v>4570</v>
      </c>
      <c r="B2332" t="s">
        <v>13</v>
      </c>
      <c r="C2332" t="s">
        <v>5777</v>
      </c>
      <c r="D2332" t="s">
        <v>4571</v>
      </c>
      <c r="E2332" t="s">
        <v>15</v>
      </c>
      <c r="F2332" t="s">
        <v>20</v>
      </c>
      <c r="G2332" t="s">
        <v>1423</v>
      </c>
      <c r="J2332" t="s">
        <v>5738</v>
      </c>
      <c r="K2332">
        <v>200</v>
      </c>
      <c r="L2332" t="str" cm="1">
        <f t="array" ref="L2332">_xlfn.IFS(
 K2332&lt;=50,"≤50",
 AND(K2332&gt;=51,K2332&lt;=100),"51–100",
 AND(K2332&gt;=101,K2332&lt;=250),"101–250",
 AND(K2332&gt;=251,K2332&lt;=500),"251–500",
 AND(K2332&gt;=501,K2332&lt;=1000),"501–1000",
 K2332&gt;=1001,"1001+"
)</f>
        <v>101–250</v>
      </c>
    </row>
    <row r="2333" spans="1:12" x14ac:dyDescent="0.3">
      <c r="A2333" t="s">
        <v>4572</v>
      </c>
      <c r="B2333" t="s">
        <v>13</v>
      </c>
      <c r="C2333" t="s">
        <v>5777</v>
      </c>
      <c r="D2333" t="s">
        <v>112</v>
      </c>
      <c r="F2333" t="s">
        <v>20</v>
      </c>
      <c r="G2333" t="s">
        <v>4573</v>
      </c>
      <c r="J2333" t="s">
        <v>5738</v>
      </c>
      <c r="K2333">
        <v>200</v>
      </c>
      <c r="L2333" t="str" cm="1">
        <f t="array" ref="L2333">_xlfn.IFS(
 K2333&lt;=50,"≤50",
 AND(K2333&gt;=51,K2333&lt;=100),"51–100",
 AND(K2333&gt;=101,K2333&lt;=250),"101–250",
 AND(K2333&gt;=251,K2333&lt;=500),"251–500",
 AND(K2333&gt;=501,K2333&lt;=1000),"501–1000",
 K2333&gt;=1001,"1001+"
)</f>
        <v>101–250</v>
      </c>
    </row>
    <row r="2334" spans="1:12" x14ac:dyDescent="0.3">
      <c r="A2334" t="s">
        <v>4574</v>
      </c>
      <c r="B2334" t="s">
        <v>9</v>
      </c>
      <c r="C2334" t="s">
        <v>5780</v>
      </c>
      <c r="D2334" t="s">
        <v>4575</v>
      </c>
      <c r="F2334" t="s">
        <v>54</v>
      </c>
      <c r="G2334" t="s">
        <v>1419</v>
      </c>
      <c r="J2334" t="s">
        <v>5752</v>
      </c>
      <c r="K2334">
        <v>200</v>
      </c>
      <c r="L2334" t="str" cm="1">
        <f t="array" ref="L2334">_xlfn.IFS(
 K2334&lt;=50,"≤50",
 AND(K2334&gt;=51,K2334&lt;=100),"51–100",
 AND(K2334&gt;=101,K2334&lt;=250),"101–250",
 AND(K2334&gt;=251,K2334&lt;=500),"251–500",
 AND(K2334&gt;=501,K2334&lt;=1000),"501–1000",
 K2334&gt;=1001,"1001+"
)</f>
        <v>101–250</v>
      </c>
    </row>
    <row r="2335" spans="1:12" x14ac:dyDescent="0.3">
      <c r="A2335" t="s">
        <v>4576</v>
      </c>
      <c r="B2335" t="s">
        <v>9</v>
      </c>
      <c r="C2335" t="s">
        <v>5780</v>
      </c>
      <c r="D2335" t="s">
        <v>4577</v>
      </c>
      <c r="E2335" t="s">
        <v>15</v>
      </c>
      <c r="F2335" t="s">
        <v>20</v>
      </c>
      <c r="G2335" t="s">
        <v>21</v>
      </c>
      <c r="J2335" t="s">
        <v>5757</v>
      </c>
      <c r="K2335">
        <v>200</v>
      </c>
      <c r="L2335" t="str" cm="1">
        <f t="array" ref="L2335">_xlfn.IFS(
 K2335&lt;=50,"≤50",
 AND(K2335&gt;=51,K2335&lt;=100),"51–100",
 AND(K2335&gt;=101,K2335&lt;=250),"101–250",
 AND(K2335&gt;=251,K2335&lt;=500),"251–500",
 AND(K2335&gt;=501,K2335&lt;=1000),"501–1000",
 K2335&gt;=1001,"1001+"
)</f>
        <v>101–250</v>
      </c>
    </row>
    <row r="2336" spans="1:12" x14ac:dyDescent="0.3">
      <c r="A2336" t="s">
        <v>4578</v>
      </c>
      <c r="B2336" t="s">
        <v>9</v>
      </c>
      <c r="C2336" t="s">
        <v>5780</v>
      </c>
      <c r="D2336" t="s">
        <v>4579</v>
      </c>
      <c r="F2336" t="s">
        <v>54</v>
      </c>
      <c r="G2336" t="s">
        <v>4580</v>
      </c>
      <c r="J2336" t="s">
        <v>5738</v>
      </c>
      <c r="K2336">
        <v>200</v>
      </c>
      <c r="L2336" t="str" cm="1">
        <f t="array" ref="L2336">_xlfn.IFS(
 K2336&lt;=50,"≤50",
 AND(K2336&gt;=51,K2336&lt;=100),"51–100",
 AND(K2336&gt;=101,K2336&lt;=250),"101–250",
 AND(K2336&gt;=251,K2336&lt;=500),"251–500",
 AND(K2336&gt;=501,K2336&lt;=1000),"501–1000",
 K2336&gt;=1001,"1001+"
)</f>
        <v>101–250</v>
      </c>
    </row>
    <row r="2337" spans="1:12" x14ac:dyDescent="0.3">
      <c r="A2337" t="s">
        <v>4581</v>
      </c>
      <c r="B2337" t="s">
        <v>9</v>
      </c>
      <c r="C2337" t="s">
        <v>5780</v>
      </c>
      <c r="D2337" t="s">
        <v>51</v>
      </c>
      <c r="F2337" t="s">
        <v>54</v>
      </c>
      <c r="G2337" t="s">
        <v>4582</v>
      </c>
      <c r="J2337" t="s">
        <v>5737</v>
      </c>
      <c r="K2337">
        <v>200</v>
      </c>
      <c r="L2337" t="str" cm="1">
        <f t="array" ref="L2337">_xlfn.IFS(
 K2337&lt;=50,"≤50",
 AND(K2337&gt;=51,K2337&lt;=100),"51–100",
 AND(K2337&gt;=101,K2337&lt;=250),"101–250",
 AND(K2337&gt;=251,K2337&lt;=500),"251–500",
 AND(K2337&gt;=501,K2337&lt;=1000),"501–1000",
 K2337&gt;=1001,"1001+"
)</f>
        <v>101–250</v>
      </c>
    </row>
    <row r="2338" spans="1:12" x14ac:dyDescent="0.3">
      <c r="A2338" t="s">
        <v>4583</v>
      </c>
      <c r="B2338" t="s">
        <v>9</v>
      </c>
      <c r="C2338" t="s">
        <v>5780</v>
      </c>
      <c r="D2338" t="s">
        <v>4584</v>
      </c>
      <c r="F2338" t="s">
        <v>5770</v>
      </c>
      <c r="J2338" t="s">
        <v>5737</v>
      </c>
      <c r="K2338">
        <v>200</v>
      </c>
      <c r="L2338" t="str" cm="1">
        <f t="array" ref="L2338">_xlfn.IFS(
 K2338&lt;=50,"≤50",
 AND(K2338&gt;=51,K2338&lt;=100),"51–100",
 AND(K2338&gt;=101,K2338&lt;=250),"101–250",
 AND(K2338&gt;=251,K2338&lt;=500),"251–500",
 AND(K2338&gt;=501,K2338&lt;=1000),"501–1000",
 K2338&gt;=1001,"1001+"
)</f>
        <v>101–250</v>
      </c>
    </row>
    <row r="2339" spans="1:12" x14ac:dyDescent="0.3">
      <c r="A2339" t="s">
        <v>4585</v>
      </c>
      <c r="B2339" t="s">
        <v>9</v>
      </c>
      <c r="C2339" t="s">
        <v>5780</v>
      </c>
      <c r="D2339" t="s">
        <v>4586</v>
      </c>
      <c r="E2339" t="s">
        <v>15</v>
      </c>
      <c r="F2339" t="s">
        <v>20</v>
      </c>
      <c r="G2339" t="s">
        <v>4587</v>
      </c>
      <c r="J2339" t="s">
        <v>5738</v>
      </c>
      <c r="K2339">
        <v>200</v>
      </c>
      <c r="L2339" t="str" cm="1">
        <f t="array" ref="L2339">_xlfn.IFS(
 K2339&lt;=50,"≤50",
 AND(K2339&gt;=51,K2339&lt;=100),"51–100",
 AND(K2339&gt;=101,K2339&lt;=250),"101–250",
 AND(K2339&gt;=251,K2339&lt;=500),"251–500",
 AND(K2339&gt;=501,K2339&lt;=1000),"501–1000",
 K2339&gt;=1001,"1001+"
)</f>
        <v>101–250</v>
      </c>
    </row>
    <row r="2340" spans="1:12" x14ac:dyDescent="0.3">
      <c r="A2340" t="s">
        <v>4588</v>
      </c>
      <c r="B2340" t="s">
        <v>9</v>
      </c>
      <c r="C2340" t="s">
        <v>5780</v>
      </c>
      <c r="D2340" t="s">
        <v>4589</v>
      </c>
      <c r="E2340" t="s">
        <v>15</v>
      </c>
      <c r="F2340" t="s">
        <v>20</v>
      </c>
      <c r="G2340" t="s">
        <v>4590</v>
      </c>
      <c r="J2340" t="s">
        <v>5738</v>
      </c>
      <c r="K2340">
        <v>200</v>
      </c>
      <c r="L2340" t="str" cm="1">
        <f t="array" ref="L2340">_xlfn.IFS(
 K2340&lt;=50,"≤50",
 AND(K2340&gt;=51,K2340&lt;=100),"51–100",
 AND(K2340&gt;=101,K2340&lt;=250),"101–250",
 AND(K2340&gt;=251,K2340&lt;=500),"251–500",
 AND(K2340&gt;=501,K2340&lt;=1000),"501–1000",
 K2340&gt;=1001,"1001+"
)</f>
        <v>101–250</v>
      </c>
    </row>
    <row r="2341" spans="1:12" x14ac:dyDescent="0.3">
      <c r="A2341" t="s">
        <v>4591</v>
      </c>
      <c r="B2341" t="s">
        <v>9</v>
      </c>
      <c r="C2341" t="s">
        <v>5780</v>
      </c>
      <c r="D2341" t="s">
        <v>4592</v>
      </c>
      <c r="E2341" t="s">
        <v>15</v>
      </c>
      <c r="F2341" t="s">
        <v>16</v>
      </c>
      <c r="G2341" t="s">
        <v>4593</v>
      </c>
      <c r="J2341" t="s">
        <v>5750</v>
      </c>
      <c r="K2341">
        <v>200</v>
      </c>
      <c r="L2341" t="str" cm="1">
        <f t="array" ref="L2341">_xlfn.IFS(
 K2341&lt;=50,"≤50",
 AND(K2341&gt;=51,K2341&lt;=100),"51–100",
 AND(K2341&gt;=101,K2341&lt;=250),"101–250",
 AND(K2341&gt;=251,K2341&lt;=500),"251–500",
 AND(K2341&gt;=501,K2341&lt;=1000),"501–1000",
 K2341&gt;=1001,"1001+"
)</f>
        <v>101–250</v>
      </c>
    </row>
    <row r="2342" spans="1:12" x14ac:dyDescent="0.3">
      <c r="A2342" t="s">
        <v>4594</v>
      </c>
      <c r="B2342" t="s">
        <v>13</v>
      </c>
      <c r="C2342" t="s">
        <v>5777</v>
      </c>
      <c r="D2342" t="s">
        <v>4595</v>
      </c>
      <c r="F2342" t="s">
        <v>5770</v>
      </c>
      <c r="J2342" t="s">
        <v>5737</v>
      </c>
      <c r="K2342">
        <v>200</v>
      </c>
      <c r="L2342" t="str" cm="1">
        <f t="array" ref="L2342">_xlfn.IFS(
 K2342&lt;=50,"≤50",
 AND(K2342&gt;=51,K2342&lt;=100),"51–100",
 AND(K2342&gt;=101,K2342&lt;=250),"101–250",
 AND(K2342&gt;=251,K2342&lt;=500),"251–500",
 AND(K2342&gt;=501,K2342&lt;=1000),"501–1000",
 K2342&gt;=1001,"1001+"
)</f>
        <v>101–250</v>
      </c>
    </row>
    <row r="2343" spans="1:12" x14ac:dyDescent="0.3">
      <c r="A2343" t="s">
        <v>4596</v>
      </c>
      <c r="B2343" t="s">
        <v>13</v>
      </c>
      <c r="C2343" t="s">
        <v>5777</v>
      </c>
      <c r="D2343" t="s">
        <v>4597</v>
      </c>
      <c r="E2343" t="s">
        <v>15</v>
      </c>
      <c r="F2343" t="s">
        <v>20</v>
      </c>
      <c r="G2343" t="s">
        <v>4598</v>
      </c>
      <c r="J2343" t="s">
        <v>5737</v>
      </c>
      <c r="K2343">
        <v>200</v>
      </c>
      <c r="L2343" t="str" cm="1">
        <f t="array" ref="L2343">_xlfn.IFS(
 K2343&lt;=50,"≤50",
 AND(K2343&gt;=51,K2343&lt;=100),"51–100",
 AND(K2343&gt;=101,K2343&lt;=250),"101–250",
 AND(K2343&gt;=251,K2343&lt;=500),"251–500",
 AND(K2343&gt;=501,K2343&lt;=1000),"501–1000",
 K2343&gt;=1001,"1001+"
)</f>
        <v>101–250</v>
      </c>
    </row>
    <row r="2344" spans="1:12" x14ac:dyDescent="0.3">
      <c r="A2344" t="s">
        <v>4599</v>
      </c>
      <c r="B2344" t="s">
        <v>13</v>
      </c>
      <c r="C2344" t="s">
        <v>5777</v>
      </c>
      <c r="D2344" t="s">
        <v>4600</v>
      </c>
      <c r="E2344" t="s">
        <v>15</v>
      </c>
      <c r="F2344" t="s">
        <v>5770</v>
      </c>
      <c r="J2344" t="s">
        <v>5737</v>
      </c>
      <c r="K2344">
        <v>200</v>
      </c>
      <c r="L2344" t="str" cm="1">
        <f t="array" ref="L2344">_xlfn.IFS(
 K2344&lt;=50,"≤50",
 AND(K2344&gt;=51,K2344&lt;=100),"51–100",
 AND(K2344&gt;=101,K2344&lt;=250),"101–250",
 AND(K2344&gt;=251,K2344&lt;=500),"251–500",
 AND(K2344&gt;=501,K2344&lt;=1000),"501–1000",
 K2344&gt;=1001,"1001+"
)</f>
        <v>101–250</v>
      </c>
    </row>
    <row r="2345" spans="1:12" x14ac:dyDescent="0.3">
      <c r="A2345" t="s">
        <v>4601</v>
      </c>
      <c r="B2345" t="s">
        <v>9</v>
      </c>
      <c r="C2345" t="s">
        <v>5780</v>
      </c>
      <c r="D2345" t="s">
        <v>4602</v>
      </c>
      <c r="E2345" t="s">
        <v>15</v>
      </c>
      <c r="F2345" t="s">
        <v>16</v>
      </c>
      <c r="G2345" t="s">
        <v>88</v>
      </c>
      <c r="J2345" t="s">
        <v>5744</v>
      </c>
      <c r="K2345">
        <v>200</v>
      </c>
      <c r="L2345" t="str" cm="1">
        <f t="array" ref="L2345">_xlfn.IFS(
 K2345&lt;=50,"≤50",
 AND(K2345&gt;=51,K2345&lt;=100),"51–100",
 AND(K2345&gt;=101,K2345&lt;=250),"101–250",
 AND(K2345&gt;=251,K2345&lt;=500),"251–500",
 AND(K2345&gt;=501,K2345&lt;=1000),"501–1000",
 K2345&gt;=1001,"1001+"
)</f>
        <v>101–250</v>
      </c>
    </row>
    <row r="2346" spans="1:12" x14ac:dyDescent="0.3">
      <c r="A2346" t="s">
        <v>4603</v>
      </c>
      <c r="B2346" t="s">
        <v>9</v>
      </c>
      <c r="C2346" t="s">
        <v>5780</v>
      </c>
      <c r="D2346" t="s">
        <v>28</v>
      </c>
      <c r="F2346" t="s">
        <v>5770</v>
      </c>
      <c r="J2346" t="s">
        <v>5755</v>
      </c>
      <c r="K2346">
        <v>200</v>
      </c>
      <c r="L2346" t="str" cm="1">
        <f t="array" ref="L2346">_xlfn.IFS(
 K2346&lt;=50,"≤50",
 AND(K2346&gt;=51,K2346&lt;=100),"51–100",
 AND(K2346&gt;=101,K2346&lt;=250),"101–250",
 AND(K2346&gt;=251,K2346&lt;=500),"251–500",
 AND(K2346&gt;=501,K2346&lt;=1000),"501–1000",
 K2346&gt;=1001,"1001+"
)</f>
        <v>101–250</v>
      </c>
    </row>
    <row r="2347" spans="1:12" x14ac:dyDescent="0.3">
      <c r="A2347" t="s">
        <v>4604</v>
      </c>
      <c r="B2347" t="s">
        <v>9</v>
      </c>
      <c r="C2347" t="s">
        <v>5780</v>
      </c>
      <c r="D2347" t="s">
        <v>51</v>
      </c>
      <c r="E2347" t="s">
        <v>15</v>
      </c>
      <c r="F2347" t="s">
        <v>54</v>
      </c>
      <c r="G2347" t="s">
        <v>1069</v>
      </c>
      <c r="J2347" t="s">
        <v>5737</v>
      </c>
      <c r="K2347">
        <v>200</v>
      </c>
      <c r="L2347" t="str" cm="1">
        <f t="array" ref="L2347">_xlfn.IFS(
 K2347&lt;=50,"≤50",
 AND(K2347&gt;=51,K2347&lt;=100),"51–100",
 AND(K2347&gt;=101,K2347&lt;=250),"101–250",
 AND(K2347&gt;=251,K2347&lt;=500),"251–500",
 AND(K2347&gt;=501,K2347&lt;=1000),"501–1000",
 K2347&gt;=1001,"1001+"
)</f>
        <v>101–250</v>
      </c>
    </row>
    <row r="2348" spans="1:12" x14ac:dyDescent="0.3">
      <c r="A2348" t="s">
        <v>4605</v>
      </c>
      <c r="B2348" t="s">
        <v>13</v>
      </c>
      <c r="C2348" t="s">
        <v>5777</v>
      </c>
      <c r="D2348" t="s">
        <v>4606</v>
      </c>
      <c r="F2348" t="s">
        <v>5770</v>
      </c>
      <c r="J2348" t="s">
        <v>5761</v>
      </c>
      <c r="K2348">
        <v>200</v>
      </c>
      <c r="L2348" t="str" cm="1">
        <f t="array" ref="L2348">_xlfn.IFS(
 K2348&lt;=50,"≤50",
 AND(K2348&gt;=51,K2348&lt;=100),"51–100",
 AND(K2348&gt;=101,K2348&lt;=250),"101–250",
 AND(K2348&gt;=251,K2348&lt;=500),"251–500",
 AND(K2348&gt;=501,K2348&lt;=1000),"501–1000",
 K2348&gt;=1001,"1001+"
)</f>
        <v>101–250</v>
      </c>
    </row>
    <row r="2349" spans="1:12" x14ac:dyDescent="0.3">
      <c r="A2349" t="s">
        <v>4607</v>
      </c>
      <c r="B2349" t="s">
        <v>13</v>
      </c>
      <c r="C2349" t="s">
        <v>5777</v>
      </c>
      <c r="D2349" t="s">
        <v>4608</v>
      </c>
      <c r="E2349" t="s">
        <v>15</v>
      </c>
      <c r="F2349" t="s">
        <v>20</v>
      </c>
      <c r="G2349" t="s">
        <v>4609</v>
      </c>
      <c r="J2349" t="s">
        <v>5738</v>
      </c>
      <c r="K2349">
        <v>200</v>
      </c>
      <c r="L2349" t="str" cm="1">
        <f t="array" ref="L2349">_xlfn.IFS(
 K2349&lt;=50,"≤50",
 AND(K2349&gt;=51,K2349&lt;=100),"51–100",
 AND(K2349&gt;=101,K2349&lt;=250),"101–250",
 AND(K2349&gt;=251,K2349&lt;=500),"251–500",
 AND(K2349&gt;=501,K2349&lt;=1000),"501–1000",
 K2349&gt;=1001,"1001+"
)</f>
        <v>101–250</v>
      </c>
    </row>
    <row r="2350" spans="1:12" x14ac:dyDescent="0.3">
      <c r="A2350" t="s">
        <v>4610</v>
      </c>
      <c r="B2350" t="s">
        <v>13</v>
      </c>
      <c r="C2350" t="s">
        <v>5777</v>
      </c>
      <c r="D2350" t="s">
        <v>4611</v>
      </c>
      <c r="E2350" t="s">
        <v>15</v>
      </c>
      <c r="F2350" t="s">
        <v>54</v>
      </c>
      <c r="G2350" t="s">
        <v>4612</v>
      </c>
      <c r="H2350" t="s">
        <v>15</v>
      </c>
      <c r="I2350" t="s">
        <v>4613</v>
      </c>
      <c r="J2350" t="s">
        <v>5738</v>
      </c>
      <c r="K2350">
        <v>200</v>
      </c>
      <c r="L2350" t="str" cm="1">
        <f t="array" ref="L2350">_xlfn.IFS(
 K2350&lt;=50,"≤50",
 AND(K2350&gt;=51,K2350&lt;=100),"51–100",
 AND(K2350&gt;=101,K2350&lt;=250),"101–250",
 AND(K2350&gt;=251,K2350&lt;=500),"251–500",
 AND(K2350&gt;=501,K2350&lt;=1000),"501–1000",
 K2350&gt;=1001,"1001+"
)</f>
        <v>101–250</v>
      </c>
    </row>
    <row r="2351" spans="1:12" x14ac:dyDescent="0.3">
      <c r="A2351" t="s">
        <v>4614</v>
      </c>
      <c r="B2351" t="s">
        <v>13</v>
      </c>
      <c r="C2351" t="s">
        <v>5777</v>
      </c>
      <c r="D2351" t="s">
        <v>4615</v>
      </c>
      <c r="E2351" t="s">
        <v>15</v>
      </c>
      <c r="F2351" t="s">
        <v>54</v>
      </c>
      <c r="G2351" t="s">
        <v>4616</v>
      </c>
      <c r="J2351" t="s">
        <v>5737</v>
      </c>
      <c r="K2351">
        <v>200</v>
      </c>
      <c r="L2351" t="str" cm="1">
        <f t="array" ref="L2351">_xlfn.IFS(
 K2351&lt;=50,"≤50",
 AND(K2351&gt;=51,K2351&lt;=100),"51–100",
 AND(K2351&gt;=101,K2351&lt;=250),"101–250",
 AND(K2351&gt;=251,K2351&lt;=500),"251–500",
 AND(K2351&gt;=501,K2351&lt;=1000),"501–1000",
 K2351&gt;=1001,"1001+"
)</f>
        <v>101–250</v>
      </c>
    </row>
    <row r="2352" spans="1:12" x14ac:dyDescent="0.3">
      <c r="A2352" t="s">
        <v>4617</v>
      </c>
      <c r="B2352" t="s">
        <v>9</v>
      </c>
      <c r="C2352" t="s">
        <v>5780</v>
      </c>
      <c r="D2352" t="s">
        <v>28</v>
      </c>
      <c r="E2352" t="s">
        <v>15</v>
      </c>
      <c r="F2352" t="s">
        <v>20</v>
      </c>
      <c r="G2352" t="s">
        <v>4618</v>
      </c>
      <c r="J2352" t="s">
        <v>5737</v>
      </c>
      <c r="K2352">
        <v>200</v>
      </c>
      <c r="L2352" t="str" cm="1">
        <f t="array" ref="L2352">_xlfn.IFS(
 K2352&lt;=50,"≤50",
 AND(K2352&gt;=51,K2352&lt;=100),"51–100",
 AND(K2352&gt;=101,K2352&lt;=250),"101–250",
 AND(K2352&gt;=251,K2352&lt;=500),"251–500",
 AND(K2352&gt;=501,K2352&lt;=1000),"501–1000",
 K2352&gt;=1001,"1001+"
)</f>
        <v>101–250</v>
      </c>
    </row>
    <row r="2353" spans="1:12" x14ac:dyDescent="0.3">
      <c r="A2353" t="s">
        <v>4619</v>
      </c>
      <c r="B2353" t="s">
        <v>9</v>
      </c>
      <c r="C2353" t="s">
        <v>5780</v>
      </c>
      <c r="D2353" t="s">
        <v>4620</v>
      </c>
      <c r="E2353" t="s">
        <v>15</v>
      </c>
      <c r="F2353" t="s">
        <v>20</v>
      </c>
      <c r="G2353" t="s">
        <v>21</v>
      </c>
      <c r="J2353" t="s">
        <v>5738</v>
      </c>
      <c r="K2353">
        <v>200</v>
      </c>
      <c r="L2353" t="str" cm="1">
        <f t="array" ref="L2353">_xlfn.IFS(
 K2353&lt;=50,"≤50",
 AND(K2353&gt;=51,K2353&lt;=100),"51–100",
 AND(K2353&gt;=101,K2353&lt;=250),"101–250",
 AND(K2353&gt;=251,K2353&lt;=500),"251–500",
 AND(K2353&gt;=501,K2353&lt;=1000),"501–1000",
 K2353&gt;=1001,"1001+"
)</f>
        <v>101–250</v>
      </c>
    </row>
    <row r="2354" spans="1:12" x14ac:dyDescent="0.3">
      <c r="A2354" t="s">
        <v>4621</v>
      </c>
      <c r="B2354" t="s">
        <v>9</v>
      </c>
      <c r="C2354" t="s">
        <v>5780</v>
      </c>
      <c r="D2354" t="s">
        <v>4622</v>
      </c>
      <c r="E2354" t="s">
        <v>15</v>
      </c>
      <c r="F2354" t="s">
        <v>16</v>
      </c>
      <c r="G2354" t="s">
        <v>4623</v>
      </c>
      <c r="J2354" t="s">
        <v>5737</v>
      </c>
      <c r="K2354">
        <v>200</v>
      </c>
      <c r="L2354" t="str" cm="1">
        <f t="array" ref="L2354">_xlfn.IFS(
 K2354&lt;=50,"≤50",
 AND(K2354&gt;=51,K2354&lt;=100),"51–100",
 AND(K2354&gt;=101,K2354&lt;=250),"101–250",
 AND(K2354&gt;=251,K2354&lt;=500),"251–500",
 AND(K2354&gt;=501,K2354&lt;=1000),"501–1000",
 K2354&gt;=1001,"1001+"
)</f>
        <v>101–250</v>
      </c>
    </row>
    <row r="2355" spans="1:12" x14ac:dyDescent="0.3">
      <c r="A2355" t="s">
        <v>4624</v>
      </c>
      <c r="B2355" t="s">
        <v>13</v>
      </c>
      <c r="C2355" t="s">
        <v>5777</v>
      </c>
      <c r="D2355" t="s">
        <v>4625</v>
      </c>
      <c r="E2355" t="s">
        <v>15</v>
      </c>
      <c r="F2355" t="s">
        <v>54</v>
      </c>
      <c r="G2355" t="s">
        <v>2218</v>
      </c>
      <c r="J2355" t="s">
        <v>5737</v>
      </c>
      <c r="K2355">
        <v>200</v>
      </c>
      <c r="L2355" t="str" cm="1">
        <f t="array" ref="L2355">_xlfn.IFS(
 K2355&lt;=50,"≤50",
 AND(K2355&gt;=51,K2355&lt;=100),"51–100",
 AND(K2355&gt;=101,K2355&lt;=250),"101–250",
 AND(K2355&gt;=251,K2355&lt;=500),"251–500",
 AND(K2355&gt;=501,K2355&lt;=1000),"501–1000",
 K2355&gt;=1001,"1001+"
)</f>
        <v>101–250</v>
      </c>
    </row>
    <row r="2356" spans="1:12" x14ac:dyDescent="0.3">
      <c r="A2356" t="s">
        <v>4626</v>
      </c>
      <c r="B2356" t="s">
        <v>11</v>
      </c>
      <c r="C2356" t="s">
        <v>5776</v>
      </c>
      <c r="F2356" t="s">
        <v>5770</v>
      </c>
      <c r="J2356" t="s">
        <v>5737</v>
      </c>
      <c r="K2356">
        <v>200</v>
      </c>
      <c r="L2356" t="str" cm="1">
        <f t="array" ref="L2356">_xlfn.IFS(
 K2356&lt;=50,"≤50",
 AND(K2356&gt;=51,K2356&lt;=100),"51–100",
 AND(K2356&gt;=101,K2356&lt;=250),"101–250",
 AND(K2356&gt;=251,K2356&lt;=500),"251–500",
 AND(K2356&gt;=501,K2356&lt;=1000),"501–1000",
 K2356&gt;=1001,"1001+"
)</f>
        <v>101–250</v>
      </c>
    </row>
    <row r="2357" spans="1:12" x14ac:dyDescent="0.3">
      <c r="A2357" t="s">
        <v>4627</v>
      </c>
      <c r="B2357" t="s">
        <v>11</v>
      </c>
      <c r="C2357" t="s">
        <v>5776</v>
      </c>
      <c r="F2357" t="s">
        <v>5770</v>
      </c>
      <c r="J2357" t="s">
        <v>5742</v>
      </c>
      <c r="K2357">
        <v>200</v>
      </c>
      <c r="L2357" t="str" cm="1">
        <f t="array" ref="L2357">_xlfn.IFS(
 K2357&lt;=50,"≤50",
 AND(K2357&gt;=51,K2357&lt;=100),"51–100",
 AND(K2357&gt;=101,K2357&lt;=250),"101–250",
 AND(K2357&gt;=251,K2357&lt;=500),"251–500",
 AND(K2357&gt;=501,K2357&lt;=1000),"501–1000",
 K2357&gt;=1001,"1001+"
)</f>
        <v>101–250</v>
      </c>
    </row>
    <row r="2358" spans="1:12" x14ac:dyDescent="0.3">
      <c r="A2358" t="s">
        <v>4628</v>
      </c>
      <c r="B2358" t="s">
        <v>13</v>
      </c>
      <c r="C2358" t="s">
        <v>5777</v>
      </c>
      <c r="D2358" t="s">
        <v>4629</v>
      </c>
      <c r="E2358" t="s">
        <v>15</v>
      </c>
      <c r="F2358" t="s">
        <v>54</v>
      </c>
      <c r="G2358" t="s">
        <v>1171</v>
      </c>
      <c r="J2358" t="s">
        <v>5737</v>
      </c>
      <c r="K2358">
        <v>200</v>
      </c>
      <c r="L2358" t="str" cm="1">
        <f t="array" ref="L2358">_xlfn.IFS(
 K2358&lt;=50,"≤50",
 AND(K2358&gt;=51,K2358&lt;=100),"51–100",
 AND(K2358&gt;=101,K2358&lt;=250),"101–250",
 AND(K2358&gt;=251,K2358&lt;=500),"251–500",
 AND(K2358&gt;=501,K2358&lt;=1000),"501–1000",
 K2358&gt;=1001,"1001+"
)</f>
        <v>101–250</v>
      </c>
    </row>
    <row r="2359" spans="1:12" x14ac:dyDescent="0.3">
      <c r="A2359" t="s">
        <v>4630</v>
      </c>
      <c r="B2359" t="s">
        <v>9</v>
      </c>
      <c r="C2359" t="s">
        <v>5780</v>
      </c>
      <c r="D2359" t="s">
        <v>4631</v>
      </c>
      <c r="E2359" t="s">
        <v>15</v>
      </c>
      <c r="F2359" t="s">
        <v>54</v>
      </c>
      <c r="G2359" t="s">
        <v>4632</v>
      </c>
      <c r="J2359" t="s">
        <v>5743</v>
      </c>
      <c r="K2359">
        <v>200</v>
      </c>
      <c r="L2359" t="str" cm="1">
        <f t="array" ref="L2359">_xlfn.IFS(
 K2359&lt;=50,"≤50",
 AND(K2359&gt;=51,K2359&lt;=100),"51–100",
 AND(K2359&gt;=101,K2359&lt;=250),"101–250",
 AND(K2359&gt;=251,K2359&lt;=500),"251–500",
 AND(K2359&gt;=501,K2359&lt;=1000),"501–1000",
 K2359&gt;=1001,"1001+"
)</f>
        <v>101–250</v>
      </c>
    </row>
    <row r="2360" spans="1:12" x14ac:dyDescent="0.3">
      <c r="A2360" t="s">
        <v>4633</v>
      </c>
      <c r="B2360" t="s">
        <v>9</v>
      </c>
      <c r="C2360" t="s">
        <v>5780</v>
      </c>
      <c r="D2360" t="s">
        <v>4634</v>
      </c>
      <c r="E2360" t="s">
        <v>15</v>
      </c>
      <c r="F2360" t="s">
        <v>20</v>
      </c>
      <c r="G2360" t="s">
        <v>4635</v>
      </c>
      <c r="J2360" t="s">
        <v>5738</v>
      </c>
      <c r="K2360">
        <v>200</v>
      </c>
      <c r="L2360" t="str" cm="1">
        <f t="array" ref="L2360">_xlfn.IFS(
 K2360&lt;=50,"≤50",
 AND(K2360&gt;=51,K2360&lt;=100),"51–100",
 AND(K2360&gt;=101,K2360&lt;=250),"101–250",
 AND(K2360&gt;=251,K2360&lt;=500),"251–500",
 AND(K2360&gt;=501,K2360&lt;=1000),"501–1000",
 K2360&gt;=1001,"1001+"
)</f>
        <v>101–250</v>
      </c>
    </row>
    <row r="2361" spans="1:12" x14ac:dyDescent="0.3">
      <c r="A2361" t="s">
        <v>4636</v>
      </c>
      <c r="B2361" t="s">
        <v>9</v>
      </c>
      <c r="C2361" t="s">
        <v>5780</v>
      </c>
      <c r="D2361" t="s">
        <v>28</v>
      </c>
      <c r="E2361" t="s">
        <v>15</v>
      </c>
      <c r="F2361" t="s">
        <v>16</v>
      </c>
      <c r="G2361" t="s">
        <v>4637</v>
      </c>
      <c r="J2361" t="s">
        <v>5750</v>
      </c>
      <c r="K2361">
        <v>200</v>
      </c>
      <c r="L2361" t="str" cm="1">
        <f t="array" ref="L2361">_xlfn.IFS(
 K2361&lt;=50,"≤50",
 AND(K2361&gt;=51,K2361&lt;=100),"51–100",
 AND(K2361&gt;=101,K2361&lt;=250),"101–250",
 AND(K2361&gt;=251,K2361&lt;=500),"251–500",
 AND(K2361&gt;=501,K2361&lt;=1000),"501–1000",
 K2361&gt;=1001,"1001+"
)</f>
        <v>101–250</v>
      </c>
    </row>
    <row r="2362" spans="1:12" x14ac:dyDescent="0.3">
      <c r="A2362" t="s">
        <v>4638</v>
      </c>
      <c r="B2362" t="s">
        <v>11</v>
      </c>
      <c r="C2362" t="s">
        <v>5776</v>
      </c>
      <c r="F2362" t="s">
        <v>5770</v>
      </c>
      <c r="J2362" t="s">
        <v>5760</v>
      </c>
      <c r="K2362">
        <v>200</v>
      </c>
      <c r="L2362" t="str" cm="1">
        <f t="array" ref="L2362">_xlfn.IFS(
 K2362&lt;=50,"≤50",
 AND(K2362&gt;=51,K2362&lt;=100),"51–100",
 AND(K2362&gt;=101,K2362&lt;=250),"101–250",
 AND(K2362&gt;=251,K2362&lt;=500),"251–500",
 AND(K2362&gt;=501,K2362&lt;=1000),"501–1000",
 K2362&gt;=1001,"1001+"
)</f>
        <v>101–250</v>
      </c>
    </row>
    <row r="2363" spans="1:12" x14ac:dyDescent="0.3">
      <c r="A2363" t="s">
        <v>4639</v>
      </c>
      <c r="B2363" t="s">
        <v>9</v>
      </c>
      <c r="C2363" t="s">
        <v>5780</v>
      </c>
      <c r="D2363" t="s">
        <v>4640</v>
      </c>
      <c r="F2363" t="s">
        <v>16</v>
      </c>
      <c r="G2363" t="s">
        <v>4641</v>
      </c>
      <c r="J2363" t="s">
        <v>5754</v>
      </c>
      <c r="K2363">
        <v>200</v>
      </c>
      <c r="L2363" t="str" cm="1">
        <f t="array" ref="L2363">_xlfn.IFS(
 K2363&lt;=50,"≤50",
 AND(K2363&gt;=51,K2363&lt;=100),"51–100",
 AND(K2363&gt;=101,K2363&lt;=250),"101–250",
 AND(K2363&gt;=251,K2363&lt;=500),"251–500",
 AND(K2363&gt;=501,K2363&lt;=1000),"501–1000",
 K2363&gt;=1001,"1001+"
)</f>
        <v>101–250</v>
      </c>
    </row>
    <row r="2364" spans="1:12" x14ac:dyDescent="0.3">
      <c r="A2364" t="s">
        <v>4642</v>
      </c>
      <c r="B2364" t="s">
        <v>13</v>
      </c>
      <c r="C2364" t="s">
        <v>5777</v>
      </c>
      <c r="D2364" t="s">
        <v>369</v>
      </c>
      <c r="F2364" t="s">
        <v>5770</v>
      </c>
      <c r="J2364" t="s">
        <v>5737</v>
      </c>
      <c r="K2364">
        <v>200</v>
      </c>
      <c r="L2364" t="str" cm="1">
        <f t="array" ref="L2364">_xlfn.IFS(
 K2364&lt;=50,"≤50",
 AND(K2364&gt;=51,K2364&lt;=100),"51–100",
 AND(K2364&gt;=101,K2364&lt;=250),"101–250",
 AND(K2364&gt;=251,K2364&lt;=500),"251–500",
 AND(K2364&gt;=501,K2364&lt;=1000),"501–1000",
 K2364&gt;=1001,"1001+"
)</f>
        <v>101–250</v>
      </c>
    </row>
    <row r="2365" spans="1:12" x14ac:dyDescent="0.3">
      <c r="A2365" t="s">
        <v>4643</v>
      </c>
      <c r="B2365" t="s">
        <v>9</v>
      </c>
      <c r="C2365" t="s">
        <v>5780</v>
      </c>
      <c r="D2365" t="s">
        <v>4644</v>
      </c>
      <c r="E2365" t="s">
        <v>15</v>
      </c>
      <c r="F2365" t="s">
        <v>20</v>
      </c>
      <c r="G2365" t="s">
        <v>4645</v>
      </c>
      <c r="J2365" t="s">
        <v>5738</v>
      </c>
      <c r="K2365">
        <v>200</v>
      </c>
      <c r="L2365" t="str" cm="1">
        <f t="array" ref="L2365">_xlfn.IFS(
 K2365&lt;=50,"≤50",
 AND(K2365&gt;=51,K2365&lt;=100),"51–100",
 AND(K2365&gt;=101,K2365&lt;=250),"101–250",
 AND(K2365&gt;=251,K2365&lt;=500),"251–500",
 AND(K2365&gt;=501,K2365&lt;=1000),"501–1000",
 K2365&gt;=1001,"1001+"
)</f>
        <v>101–250</v>
      </c>
    </row>
    <row r="2366" spans="1:12" x14ac:dyDescent="0.3">
      <c r="A2366" t="s">
        <v>4646</v>
      </c>
      <c r="B2366" t="s">
        <v>9</v>
      </c>
      <c r="C2366" t="s">
        <v>5780</v>
      </c>
      <c r="D2366" t="s">
        <v>4647</v>
      </c>
      <c r="F2366" t="s">
        <v>20</v>
      </c>
      <c r="G2366" t="s">
        <v>4648</v>
      </c>
      <c r="J2366" t="s">
        <v>5746</v>
      </c>
      <c r="K2366">
        <v>200</v>
      </c>
      <c r="L2366" t="str" cm="1">
        <f t="array" ref="L2366">_xlfn.IFS(
 K2366&lt;=50,"≤50",
 AND(K2366&gt;=51,K2366&lt;=100),"51–100",
 AND(K2366&gt;=101,K2366&lt;=250),"101–250",
 AND(K2366&gt;=251,K2366&lt;=500),"251–500",
 AND(K2366&gt;=501,K2366&lt;=1000),"501–1000",
 K2366&gt;=1001,"1001+"
)</f>
        <v>101–250</v>
      </c>
    </row>
    <row r="2367" spans="1:12" x14ac:dyDescent="0.3">
      <c r="A2367" t="s">
        <v>4649</v>
      </c>
      <c r="B2367" t="s">
        <v>11</v>
      </c>
      <c r="C2367" t="s">
        <v>5776</v>
      </c>
      <c r="F2367" t="s">
        <v>5770</v>
      </c>
      <c r="J2367" t="s">
        <v>5757</v>
      </c>
      <c r="K2367">
        <v>200</v>
      </c>
      <c r="L2367" t="str" cm="1">
        <f t="array" ref="L2367">_xlfn.IFS(
 K2367&lt;=50,"≤50",
 AND(K2367&gt;=51,K2367&lt;=100),"51–100",
 AND(K2367&gt;=101,K2367&lt;=250),"101–250",
 AND(K2367&gt;=251,K2367&lt;=500),"251–500",
 AND(K2367&gt;=501,K2367&lt;=1000),"501–1000",
 K2367&gt;=1001,"1001+"
)</f>
        <v>101–250</v>
      </c>
    </row>
    <row r="2368" spans="1:12" x14ac:dyDescent="0.3">
      <c r="A2368" t="s">
        <v>4650</v>
      </c>
      <c r="B2368" t="s">
        <v>11</v>
      </c>
      <c r="C2368" t="s">
        <v>5776</v>
      </c>
      <c r="F2368" t="s">
        <v>5770</v>
      </c>
      <c r="J2368" t="s">
        <v>5737</v>
      </c>
      <c r="K2368">
        <v>200</v>
      </c>
      <c r="L2368" t="str" cm="1">
        <f t="array" ref="L2368">_xlfn.IFS(
 K2368&lt;=50,"≤50",
 AND(K2368&gt;=51,K2368&lt;=100),"51–100",
 AND(K2368&gt;=101,K2368&lt;=250),"101–250",
 AND(K2368&gt;=251,K2368&lt;=500),"251–500",
 AND(K2368&gt;=501,K2368&lt;=1000),"501–1000",
 K2368&gt;=1001,"1001+"
)</f>
        <v>101–250</v>
      </c>
    </row>
    <row r="2369" spans="1:12" x14ac:dyDescent="0.3">
      <c r="A2369" t="s">
        <v>4651</v>
      </c>
      <c r="B2369" t="s">
        <v>9</v>
      </c>
      <c r="C2369" t="s">
        <v>5780</v>
      </c>
      <c r="D2369" t="s">
        <v>4652</v>
      </c>
      <c r="E2369" t="s">
        <v>15</v>
      </c>
      <c r="F2369" t="s">
        <v>54</v>
      </c>
      <c r="G2369" t="s">
        <v>4653</v>
      </c>
      <c r="H2369" t="s">
        <v>15</v>
      </c>
      <c r="I2369" t="s">
        <v>4654</v>
      </c>
      <c r="J2369" t="s">
        <v>5737</v>
      </c>
      <c r="K2369">
        <v>200</v>
      </c>
      <c r="L2369" t="str" cm="1">
        <f t="array" ref="L2369">_xlfn.IFS(
 K2369&lt;=50,"≤50",
 AND(K2369&gt;=51,K2369&lt;=100),"51–100",
 AND(K2369&gt;=101,K2369&lt;=250),"101–250",
 AND(K2369&gt;=251,K2369&lt;=500),"251–500",
 AND(K2369&gt;=501,K2369&lt;=1000),"501–1000",
 K2369&gt;=1001,"1001+"
)</f>
        <v>101–250</v>
      </c>
    </row>
    <row r="2370" spans="1:12" x14ac:dyDescent="0.3">
      <c r="A2370" t="s">
        <v>4655</v>
      </c>
      <c r="B2370" t="s">
        <v>9</v>
      </c>
      <c r="C2370" t="s">
        <v>5780</v>
      </c>
      <c r="D2370" t="s">
        <v>4656</v>
      </c>
      <c r="E2370" t="s">
        <v>15</v>
      </c>
      <c r="F2370" t="s">
        <v>16</v>
      </c>
      <c r="G2370" t="s">
        <v>4657</v>
      </c>
      <c r="J2370" t="s">
        <v>5737</v>
      </c>
      <c r="K2370">
        <v>200</v>
      </c>
      <c r="L2370" t="str" cm="1">
        <f t="array" ref="L2370">_xlfn.IFS(
 K2370&lt;=50,"≤50",
 AND(K2370&gt;=51,K2370&lt;=100),"51–100",
 AND(K2370&gt;=101,K2370&lt;=250),"101–250",
 AND(K2370&gt;=251,K2370&lt;=500),"251–500",
 AND(K2370&gt;=501,K2370&lt;=1000),"501–1000",
 K2370&gt;=1001,"1001+"
)</f>
        <v>101–250</v>
      </c>
    </row>
    <row r="2371" spans="1:12" x14ac:dyDescent="0.3">
      <c r="A2371" t="s">
        <v>4658</v>
      </c>
      <c r="B2371" t="s">
        <v>9</v>
      </c>
      <c r="C2371" t="s">
        <v>5780</v>
      </c>
      <c r="D2371" t="s">
        <v>4659</v>
      </c>
      <c r="E2371" t="s">
        <v>15</v>
      </c>
      <c r="F2371" t="s">
        <v>5770</v>
      </c>
      <c r="J2371" t="s">
        <v>5737</v>
      </c>
      <c r="K2371">
        <v>200</v>
      </c>
      <c r="L2371" t="str" cm="1">
        <f t="array" ref="L2371">_xlfn.IFS(
 K2371&lt;=50,"≤50",
 AND(K2371&gt;=51,K2371&lt;=100),"51–100",
 AND(K2371&gt;=101,K2371&lt;=250),"101–250",
 AND(K2371&gt;=251,K2371&lt;=500),"251–500",
 AND(K2371&gt;=501,K2371&lt;=1000),"501–1000",
 K2371&gt;=1001,"1001+"
)</f>
        <v>101–250</v>
      </c>
    </row>
    <row r="2372" spans="1:12" x14ac:dyDescent="0.3">
      <c r="A2372" t="s">
        <v>4660</v>
      </c>
      <c r="B2372" t="s">
        <v>9</v>
      </c>
      <c r="C2372" t="s">
        <v>5780</v>
      </c>
      <c r="D2372" t="s">
        <v>4661</v>
      </c>
      <c r="F2372" t="s">
        <v>5770</v>
      </c>
      <c r="J2372" t="s">
        <v>5737</v>
      </c>
      <c r="K2372">
        <v>200</v>
      </c>
      <c r="L2372" t="str" cm="1">
        <f t="array" ref="L2372">_xlfn.IFS(
 K2372&lt;=50,"≤50",
 AND(K2372&gt;=51,K2372&lt;=100),"51–100",
 AND(K2372&gt;=101,K2372&lt;=250),"101–250",
 AND(K2372&gt;=251,K2372&lt;=500),"251–500",
 AND(K2372&gt;=501,K2372&lt;=1000),"501–1000",
 K2372&gt;=1001,"1001+"
)</f>
        <v>101–250</v>
      </c>
    </row>
    <row r="2373" spans="1:12" x14ac:dyDescent="0.3">
      <c r="A2373" t="s">
        <v>4662</v>
      </c>
      <c r="B2373" t="s">
        <v>9</v>
      </c>
      <c r="C2373" t="s">
        <v>5780</v>
      </c>
      <c r="D2373" t="s">
        <v>4663</v>
      </c>
      <c r="E2373" t="s">
        <v>15</v>
      </c>
      <c r="F2373" t="s">
        <v>20</v>
      </c>
      <c r="G2373" t="s">
        <v>4664</v>
      </c>
      <c r="J2373" t="s">
        <v>5746</v>
      </c>
      <c r="K2373">
        <v>200</v>
      </c>
      <c r="L2373" t="str" cm="1">
        <f t="array" ref="L2373">_xlfn.IFS(
 K2373&lt;=50,"≤50",
 AND(K2373&gt;=51,K2373&lt;=100),"51–100",
 AND(K2373&gt;=101,K2373&lt;=250),"101–250",
 AND(K2373&gt;=251,K2373&lt;=500),"251–500",
 AND(K2373&gt;=501,K2373&lt;=1000),"501–1000",
 K2373&gt;=1001,"1001+"
)</f>
        <v>101–250</v>
      </c>
    </row>
    <row r="2374" spans="1:12" x14ac:dyDescent="0.3">
      <c r="A2374" t="s">
        <v>4665</v>
      </c>
      <c r="B2374" t="s">
        <v>9</v>
      </c>
      <c r="C2374" t="s">
        <v>5780</v>
      </c>
      <c r="D2374" t="s">
        <v>4666</v>
      </c>
      <c r="E2374" t="s">
        <v>15</v>
      </c>
      <c r="F2374" t="s">
        <v>20</v>
      </c>
      <c r="G2374" t="s">
        <v>2396</v>
      </c>
      <c r="J2374" t="s">
        <v>5738</v>
      </c>
      <c r="K2374">
        <v>200</v>
      </c>
      <c r="L2374" t="str" cm="1">
        <f t="array" ref="L2374">_xlfn.IFS(
 K2374&lt;=50,"≤50",
 AND(K2374&gt;=51,K2374&lt;=100),"51–100",
 AND(K2374&gt;=101,K2374&lt;=250),"101–250",
 AND(K2374&gt;=251,K2374&lt;=500),"251–500",
 AND(K2374&gt;=501,K2374&lt;=1000),"501–1000",
 K2374&gt;=1001,"1001+"
)</f>
        <v>101–250</v>
      </c>
    </row>
    <row r="2375" spans="1:12" x14ac:dyDescent="0.3">
      <c r="A2375" t="s">
        <v>4667</v>
      </c>
      <c r="B2375" t="s">
        <v>13</v>
      </c>
      <c r="C2375" t="s">
        <v>5777</v>
      </c>
      <c r="D2375" t="s">
        <v>4668</v>
      </c>
      <c r="E2375" t="s">
        <v>15</v>
      </c>
      <c r="F2375" t="s">
        <v>5770</v>
      </c>
      <c r="J2375" t="s">
        <v>5757</v>
      </c>
      <c r="K2375">
        <v>200</v>
      </c>
      <c r="L2375" t="str" cm="1">
        <f t="array" ref="L2375">_xlfn.IFS(
 K2375&lt;=50,"≤50",
 AND(K2375&gt;=51,K2375&lt;=100),"51–100",
 AND(K2375&gt;=101,K2375&lt;=250),"101–250",
 AND(K2375&gt;=251,K2375&lt;=500),"251–500",
 AND(K2375&gt;=501,K2375&lt;=1000),"501–1000",
 K2375&gt;=1001,"1001+"
)</f>
        <v>101–250</v>
      </c>
    </row>
    <row r="2376" spans="1:12" x14ac:dyDescent="0.3">
      <c r="A2376" t="s">
        <v>4669</v>
      </c>
      <c r="B2376" t="s">
        <v>9</v>
      </c>
      <c r="C2376" t="s">
        <v>5780</v>
      </c>
      <c r="D2376" t="s">
        <v>4670</v>
      </c>
      <c r="F2376" t="s">
        <v>54</v>
      </c>
      <c r="G2376" t="s">
        <v>3606</v>
      </c>
      <c r="J2376" t="s">
        <v>5737</v>
      </c>
      <c r="K2376">
        <v>200</v>
      </c>
      <c r="L2376" t="str" cm="1">
        <f t="array" ref="L2376">_xlfn.IFS(
 K2376&lt;=50,"≤50",
 AND(K2376&gt;=51,K2376&lt;=100),"51–100",
 AND(K2376&gt;=101,K2376&lt;=250),"101–250",
 AND(K2376&gt;=251,K2376&lt;=500),"251–500",
 AND(K2376&gt;=501,K2376&lt;=1000),"501–1000",
 K2376&gt;=1001,"1001+"
)</f>
        <v>101–250</v>
      </c>
    </row>
    <row r="2377" spans="1:12" x14ac:dyDescent="0.3">
      <c r="A2377" t="s">
        <v>4671</v>
      </c>
      <c r="B2377" t="s">
        <v>9</v>
      </c>
      <c r="C2377" t="s">
        <v>5780</v>
      </c>
      <c r="D2377" t="s">
        <v>4672</v>
      </c>
      <c r="E2377" t="s">
        <v>15</v>
      </c>
      <c r="F2377" t="s">
        <v>54</v>
      </c>
      <c r="G2377" t="s">
        <v>4673</v>
      </c>
      <c r="H2377" t="s">
        <v>15</v>
      </c>
      <c r="I2377" t="s">
        <v>4674</v>
      </c>
      <c r="J2377" t="s">
        <v>5753</v>
      </c>
      <c r="K2377">
        <v>200</v>
      </c>
      <c r="L2377" t="str" cm="1">
        <f t="array" ref="L2377">_xlfn.IFS(
 K2377&lt;=50,"≤50",
 AND(K2377&gt;=51,K2377&lt;=100),"51–100",
 AND(K2377&gt;=101,K2377&lt;=250),"101–250",
 AND(K2377&gt;=251,K2377&lt;=500),"251–500",
 AND(K2377&gt;=501,K2377&lt;=1000),"501–1000",
 K2377&gt;=1001,"1001+"
)</f>
        <v>101–250</v>
      </c>
    </row>
    <row r="2378" spans="1:12" x14ac:dyDescent="0.3">
      <c r="A2378" t="s">
        <v>4675</v>
      </c>
      <c r="B2378" t="s">
        <v>13</v>
      </c>
      <c r="C2378" t="s">
        <v>5777</v>
      </c>
      <c r="D2378" t="s">
        <v>4676</v>
      </c>
      <c r="E2378" t="s">
        <v>15</v>
      </c>
      <c r="F2378" t="s">
        <v>20</v>
      </c>
      <c r="G2378" t="s">
        <v>4677</v>
      </c>
      <c r="J2378" t="s">
        <v>5737</v>
      </c>
      <c r="K2378">
        <v>200</v>
      </c>
      <c r="L2378" t="str" cm="1">
        <f t="array" ref="L2378">_xlfn.IFS(
 K2378&lt;=50,"≤50",
 AND(K2378&gt;=51,K2378&lt;=100),"51–100",
 AND(K2378&gt;=101,K2378&lt;=250),"101–250",
 AND(K2378&gt;=251,K2378&lt;=500),"251–500",
 AND(K2378&gt;=501,K2378&lt;=1000),"501–1000",
 K2378&gt;=1001,"1001+"
)</f>
        <v>101–250</v>
      </c>
    </row>
    <row r="2379" spans="1:12" x14ac:dyDescent="0.3">
      <c r="A2379" t="s">
        <v>4678</v>
      </c>
      <c r="B2379" t="s">
        <v>9</v>
      </c>
      <c r="C2379" t="s">
        <v>5780</v>
      </c>
      <c r="D2379" t="s">
        <v>4679</v>
      </c>
      <c r="E2379" t="s">
        <v>15</v>
      </c>
      <c r="F2379" t="s">
        <v>54</v>
      </c>
      <c r="G2379" t="s">
        <v>2963</v>
      </c>
      <c r="J2379" t="s">
        <v>5737</v>
      </c>
      <c r="K2379">
        <v>200</v>
      </c>
      <c r="L2379" t="str" cm="1">
        <f t="array" ref="L2379">_xlfn.IFS(
 K2379&lt;=50,"≤50",
 AND(K2379&gt;=51,K2379&lt;=100),"51–100",
 AND(K2379&gt;=101,K2379&lt;=250),"101–250",
 AND(K2379&gt;=251,K2379&lt;=500),"251–500",
 AND(K2379&gt;=501,K2379&lt;=1000),"501–1000",
 K2379&gt;=1001,"1001+"
)</f>
        <v>101–250</v>
      </c>
    </row>
    <row r="2380" spans="1:12" x14ac:dyDescent="0.3">
      <c r="A2380" t="s">
        <v>4680</v>
      </c>
      <c r="B2380" t="s">
        <v>11</v>
      </c>
      <c r="C2380" t="s">
        <v>5776</v>
      </c>
      <c r="F2380" t="s">
        <v>5770</v>
      </c>
      <c r="J2380" t="s">
        <v>5737</v>
      </c>
      <c r="K2380">
        <v>200</v>
      </c>
      <c r="L2380" t="str" cm="1">
        <f t="array" ref="L2380">_xlfn.IFS(
 K2380&lt;=50,"≤50",
 AND(K2380&gt;=51,K2380&lt;=100),"51–100",
 AND(K2380&gt;=101,K2380&lt;=250),"101–250",
 AND(K2380&gt;=251,K2380&lt;=500),"251–500",
 AND(K2380&gt;=501,K2380&lt;=1000),"501–1000",
 K2380&gt;=1001,"1001+"
)</f>
        <v>101–250</v>
      </c>
    </row>
    <row r="2381" spans="1:12" x14ac:dyDescent="0.3">
      <c r="A2381" t="s">
        <v>4681</v>
      </c>
      <c r="B2381" t="s">
        <v>9</v>
      </c>
      <c r="C2381" t="s">
        <v>5780</v>
      </c>
      <c r="D2381" t="s">
        <v>4682</v>
      </c>
      <c r="F2381" t="s">
        <v>5770</v>
      </c>
      <c r="J2381" t="s">
        <v>5740</v>
      </c>
      <c r="K2381">
        <v>200</v>
      </c>
      <c r="L2381" t="str" cm="1">
        <f t="array" ref="L2381">_xlfn.IFS(
 K2381&lt;=50,"≤50",
 AND(K2381&gt;=51,K2381&lt;=100),"51–100",
 AND(K2381&gt;=101,K2381&lt;=250),"101–250",
 AND(K2381&gt;=251,K2381&lt;=500),"251–500",
 AND(K2381&gt;=501,K2381&lt;=1000),"501–1000",
 K2381&gt;=1001,"1001+"
)</f>
        <v>101–250</v>
      </c>
    </row>
    <row r="2382" spans="1:12" x14ac:dyDescent="0.3">
      <c r="A2382" t="s">
        <v>4683</v>
      </c>
      <c r="B2382" t="s">
        <v>9</v>
      </c>
      <c r="C2382" t="s">
        <v>5780</v>
      </c>
      <c r="D2382" t="s">
        <v>28</v>
      </c>
      <c r="F2382" t="s">
        <v>5770</v>
      </c>
      <c r="J2382" t="s">
        <v>5738</v>
      </c>
      <c r="K2382">
        <v>200</v>
      </c>
      <c r="L2382" t="str" cm="1">
        <f t="array" ref="L2382">_xlfn.IFS(
 K2382&lt;=50,"≤50",
 AND(K2382&gt;=51,K2382&lt;=100),"51–100",
 AND(K2382&gt;=101,K2382&lt;=250),"101–250",
 AND(K2382&gt;=251,K2382&lt;=500),"251–500",
 AND(K2382&gt;=501,K2382&lt;=1000),"501–1000",
 K2382&gt;=1001,"1001+"
)</f>
        <v>101–250</v>
      </c>
    </row>
    <row r="2383" spans="1:12" x14ac:dyDescent="0.3">
      <c r="A2383" t="s">
        <v>4684</v>
      </c>
      <c r="B2383" t="s">
        <v>9</v>
      </c>
      <c r="C2383" t="s">
        <v>5780</v>
      </c>
      <c r="D2383" t="s">
        <v>4685</v>
      </c>
      <c r="F2383" t="s">
        <v>5770</v>
      </c>
      <c r="J2383" t="s">
        <v>5737</v>
      </c>
      <c r="K2383">
        <v>200</v>
      </c>
      <c r="L2383" t="str" cm="1">
        <f t="array" ref="L2383">_xlfn.IFS(
 K2383&lt;=50,"≤50",
 AND(K2383&gt;=51,K2383&lt;=100),"51–100",
 AND(K2383&gt;=101,K2383&lt;=250),"101–250",
 AND(K2383&gt;=251,K2383&lt;=500),"251–500",
 AND(K2383&gt;=501,K2383&lt;=1000),"501–1000",
 K2383&gt;=1001,"1001+"
)</f>
        <v>101–250</v>
      </c>
    </row>
    <row r="2384" spans="1:12" x14ac:dyDescent="0.3">
      <c r="A2384" t="s">
        <v>4686</v>
      </c>
      <c r="B2384" t="s">
        <v>13</v>
      </c>
      <c r="C2384" t="s">
        <v>5777</v>
      </c>
      <c r="D2384" t="s">
        <v>4687</v>
      </c>
      <c r="E2384" t="s">
        <v>15</v>
      </c>
      <c r="F2384" t="s">
        <v>16</v>
      </c>
      <c r="G2384" t="s">
        <v>4688</v>
      </c>
      <c r="J2384" t="s">
        <v>5747</v>
      </c>
      <c r="K2384">
        <v>200</v>
      </c>
      <c r="L2384" t="str" cm="1">
        <f t="array" ref="L2384">_xlfn.IFS(
 K2384&lt;=50,"≤50",
 AND(K2384&gt;=51,K2384&lt;=100),"51–100",
 AND(K2384&gt;=101,K2384&lt;=250),"101–250",
 AND(K2384&gt;=251,K2384&lt;=500),"251–500",
 AND(K2384&gt;=501,K2384&lt;=1000),"501–1000",
 K2384&gt;=1001,"1001+"
)</f>
        <v>101–250</v>
      </c>
    </row>
    <row r="2385" spans="1:12" x14ac:dyDescent="0.3">
      <c r="A2385" t="s">
        <v>4689</v>
      </c>
      <c r="B2385" t="s">
        <v>13</v>
      </c>
      <c r="C2385" t="s">
        <v>5777</v>
      </c>
      <c r="D2385" t="s">
        <v>4690</v>
      </c>
      <c r="F2385" t="s">
        <v>5770</v>
      </c>
      <c r="J2385" t="s">
        <v>5737</v>
      </c>
      <c r="K2385">
        <v>200</v>
      </c>
      <c r="L2385" t="str" cm="1">
        <f t="array" ref="L2385">_xlfn.IFS(
 K2385&lt;=50,"≤50",
 AND(K2385&gt;=51,K2385&lt;=100),"51–100",
 AND(K2385&gt;=101,K2385&lt;=250),"101–250",
 AND(K2385&gt;=251,K2385&lt;=500),"251–500",
 AND(K2385&gt;=501,K2385&lt;=1000),"501–1000",
 K2385&gt;=1001,"1001+"
)</f>
        <v>101–250</v>
      </c>
    </row>
    <row r="2386" spans="1:12" x14ac:dyDescent="0.3">
      <c r="A2386" t="s">
        <v>4691</v>
      </c>
      <c r="B2386" t="s">
        <v>9</v>
      </c>
      <c r="C2386" t="s">
        <v>5780</v>
      </c>
      <c r="D2386" t="s">
        <v>4692</v>
      </c>
      <c r="E2386" t="s">
        <v>15</v>
      </c>
      <c r="F2386" t="s">
        <v>20</v>
      </c>
      <c r="G2386" t="s">
        <v>4693</v>
      </c>
      <c r="J2386" t="s">
        <v>5737</v>
      </c>
      <c r="K2386">
        <v>200</v>
      </c>
      <c r="L2386" t="str" cm="1">
        <f t="array" ref="L2386">_xlfn.IFS(
 K2386&lt;=50,"≤50",
 AND(K2386&gt;=51,K2386&lt;=100),"51–100",
 AND(K2386&gt;=101,K2386&lt;=250),"101–250",
 AND(K2386&gt;=251,K2386&lt;=500),"251–500",
 AND(K2386&gt;=501,K2386&lt;=1000),"501–1000",
 K2386&gt;=1001,"1001+"
)</f>
        <v>101–250</v>
      </c>
    </row>
    <row r="2387" spans="1:12" x14ac:dyDescent="0.3">
      <c r="A2387" t="s">
        <v>4694</v>
      </c>
      <c r="B2387" t="s">
        <v>13</v>
      </c>
      <c r="C2387" t="s">
        <v>5777</v>
      </c>
      <c r="D2387" t="s">
        <v>573</v>
      </c>
      <c r="F2387" t="s">
        <v>20</v>
      </c>
      <c r="G2387" t="s">
        <v>4695</v>
      </c>
      <c r="J2387" t="s">
        <v>5737</v>
      </c>
      <c r="K2387">
        <v>200</v>
      </c>
      <c r="L2387" t="str" cm="1">
        <f t="array" ref="L2387">_xlfn.IFS(
 K2387&lt;=50,"≤50",
 AND(K2387&gt;=51,K2387&lt;=100),"51–100",
 AND(K2387&gt;=101,K2387&lt;=250),"101–250",
 AND(K2387&gt;=251,K2387&lt;=500),"251–500",
 AND(K2387&gt;=501,K2387&lt;=1000),"501–1000",
 K2387&gt;=1001,"1001+"
)</f>
        <v>101–250</v>
      </c>
    </row>
    <row r="2388" spans="1:12" x14ac:dyDescent="0.3">
      <c r="A2388" t="s">
        <v>4696</v>
      </c>
      <c r="B2388" t="s">
        <v>13</v>
      </c>
      <c r="C2388" t="s">
        <v>5777</v>
      </c>
      <c r="D2388" t="s">
        <v>4697</v>
      </c>
      <c r="F2388" t="s">
        <v>5770</v>
      </c>
      <c r="J2388" t="s">
        <v>5737</v>
      </c>
      <c r="K2388">
        <v>200</v>
      </c>
      <c r="L2388" t="str" cm="1">
        <f t="array" ref="L2388">_xlfn.IFS(
 K2388&lt;=50,"≤50",
 AND(K2388&gt;=51,K2388&lt;=100),"51–100",
 AND(K2388&gt;=101,K2388&lt;=250),"101–250",
 AND(K2388&gt;=251,K2388&lt;=500),"251–500",
 AND(K2388&gt;=501,K2388&lt;=1000),"501–1000",
 K2388&gt;=1001,"1001+"
)</f>
        <v>101–250</v>
      </c>
    </row>
    <row r="2389" spans="1:12" x14ac:dyDescent="0.3">
      <c r="A2389" t="s">
        <v>4698</v>
      </c>
      <c r="B2389" t="s">
        <v>11</v>
      </c>
      <c r="C2389" t="s">
        <v>5776</v>
      </c>
      <c r="F2389" t="s">
        <v>5770</v>
      </c>
      <c r="J2389" t="s">
        <v>5753</v>
      </c>
      <c r="K2389">
        <v>200</v>
      </c>
      <c r="L2389" t="str" cm="1">
        <f t="array" ref="L2389">_xlfn.IFS(
 K2389&lt;=50,"≤50",
 AND(K2389&gt;=51,K2389&lt;=100),"51–100",
 AND(K2389&gt;=101,K2389&lt;=250),"101–250",
 AND(K2389&gt;=251,K2389&lt;=500),"251–500",
 AND(K2389&gt;=501,K2389&lt;=1000),"501–1000",
 K2389&gt;=1001,"1001+"
)</f>
        <v>101–250</v>
      </c>
    </row>
    <row r="2390" spans="1:12" x14ac:dyDescent="0.3">
      <c r="A2390" t="s">
        <v>4699</v>
      </c>
      <c r="B2390" t="s">
        <v>13</v>
      </c>
      <c r="C2390" t="s">
        <v>5777</v>
      </c>
      <c r="D2390" t="s">
        <v>4700</v>
      </c>
      <c r="E2390" t="s">
        <v>15</v>
      </c>
      <c r="F2390" t="s">
        <v>5770</v>
      </c>
      <c r="J2390" t="s">
        <v>5737</v>
      </c>
      <c r="K2390">
        <v>200</v>
      </c>
      <c r="L2390" t="str" cm="1">
        <f t="array" ref="L2390">_xlfn.IFS(
 K2390&lt;=50,"≤50",
 AND(K2390&gt;=51,K2390&lt;=100),"51–100",
 AND(K2390&gt;=101,K2390&lt;=250),"101–250",
 AND(K2390&gt;=251,K2390&lt;=500),"251–500",
 AND(K2390&gt;=501,K2390&lt;=1000),"501–1000",
 K2390&gt;=1001,"1001+"
)</f>
        <v>101–250</v>
      </c>
    </row>
    <row r="2391" spans="1:12" x14ac:dyDescent="0.3">
      <c r="A2391" t="s">
        <v>4701</v>
      </c>
      <c r="B2391" t="s">
        <v>9</v>
      </c>
      <c r="C2391" t="s">
        <v>5780</v>
      </c>
      <c r="D2391" t="s">
        <v>4702</v>
      </c>
      <c r="E2391" t="s">
        <v>15</v>
      </c>
      <c r="F2391" t="s">
        <v>16</v>
      </c>
      <c r="G2391" t="s">
        <v>4703</v>
      </c>
      <c r="J2391" t="s">
        <v>5738</v>
      </c>
      <c r="K2391">
        <v>205</v>
      </c>
      <c r="L2391" t="str" cm="1">
        <f t="array" ref="L2391">_xlfn.IFS(
 K2391&lt;=50,"≤50",
 AND(K2391&gt;=51,K2391&lt;=100),"51–100",
 AND(K2391&gt;=101,K2391&lt;=250),"101–250",
 AND(K2391&gt;=251,K2391&lt;=500),"251–500",
 AND(K2391&gt;=501,K2391&lt;=1000),"501–1000",
 K2391&gt;=1001,"1001+"
)</f>
        <v>101–250</v>
      </c>
    </row>
    <row r="2392" spans="1:12" x14ac:dyDescent="0.3">
      <c r="A2392" t="s">
        <v>4704</v>
      </c>
      <c r="B2392" t="s">
        <v>9</v>
      </c>
      <c r="C2392" t="s">
        <v>5780</v>
      </c>
      <c r="D2392" t="s">
        <v>4705</v>
      </c>
      <c r="F2392" t="s">
        <v>20</v>
      </c>
      <c r="G2392" t="s">
        <v>4706</v>
      </c>
      <c r="J2392" t="s">
        <v>5737</v>
      </c>
      <c r="K2392">
        <v>210</v>
      </c>
      <c r="L2392" t="str" cm="1">
        <f t="array" ref="L2392">_xlfn.IFS(
 K2392&lt;=50,"≤50",
 AND(K2392&gt;=51,K2392&lt;=100),"51–100",
 AND(K2392&gt;=101,K2392&lt;=250),"101–250",
 AND(K2392&gt;=251,K2392&lt;=500),"251–500",
 AND(K2392&gt;=501,K2392&lt;=1000),"501–1000",
 K2392&gt;=1001,"1001+"
)</f>
        <v>101–250</v>
      </c>
    </row>
    <row r="2393" spans="1:12" x14ac:dyDescent="0.3">
      <c r="A2393" t="s">
        <v>4707</v>
      </c>
      <c r="B2393" t="s">
        <v>13</v>
      </c>
      <c r="C2393" t="s">
        <v>5777</v>
      </c>
      <c r="D2393" t="s">
        <v>4708</v>
      </c>
      <c r="E2393" t="s">
        <v>15</v>
      </c>
      <c r="F2393" t="s">
        <v>5770</v>
      </c>
      <c r="J2393" t="s">
        <v>5737</v>
      </c>
      <c r="K2393">
        <v>210</v>
      </c>
      <c r="L2393" t="str" cm="1">
        <f t="array" ref="L2393">_xlfn.IFS(
 K2393&lt;=50,"≤50",
 AND(K2393&gt;=51,K2393&lt;=100),"51–100",
 AND(K2393&gt;=101,K2393&lt;=250),"101–250",
 AND(K2393&gt;=251,K2393&lt;=500),"251–500",
 AND(K2393&gt;=501,K2393&lt;=1000),"501–1000",
 K2393&gt;=1001,"1001+"
)</f>
        <v>101–250</v>
      </c>
    </row>
    <row r="2394" spans="1:12" x14ac:dyDescent="0.3">
      <c r="A2394" t="s">
        <v>4709</v>
      </c>
      <c r="B2394" t="s">
        <v>13</v>
      </c>
      <c r="C2394" t="s">
        <v>5777</v>
      </c>
      <c r="D2394" t="s">
        <v>4710</v>
      </c>
      <c r="F2394" t="s">
        <v>20</v>
      </c>
      <c r="G2394" t="s">
        <v>4711</v>
      </c>
      <c r="J2394" t="s">
        <v>5738</v>
      </c>
      <c r="K2394">
        <v>210</v>
      </c>
      <c r="L2394" t="str" cm="1">
        <f t="array" ref="L2394">_xlfn.IFS(
 K2394&lt;=50,"≤50",
 AND(K2394&gt;=51,K2394&lt;=100),"51–100",
 AND(K2394&gt;=101,K2394&lt;=250),"101–250",
 AND(K2394&gt;=251,K2394&lt;=500),"251–500",
 AND(K2394&gt;=501,K2394&lt;=1000),"501–1000",
 K2394&gt;=1001,"1001+"
)</f>
        <v>101–250</v>
      </c>
    </row>
    <row r="2395" spans="1:12" x14ac:dyDescent="0.3">
      <c r="A2395" t="s">
        <v>4712</v>
      </c>
      <c r="B2395" t="s">
        <v>9</v>
      </c>
      <c r="C2395" t="s">
        <v>5780</v>
      </c>
      <c r="D2395" t="s">
        <v>4713</v>
      </c>
      <c r="E2395" t="s">
        <v>15</v>
      </c>
      <c r="F2395" t="s">
        <v>54</v>
      </c>
      <c r="G2395" t="s">
        <v>4714</v>
      </c>
      <c r="J2395" t="s">
        <v>5737</v>
      </c>
      <c r="K2395">
        <v>213</v>
      </c>
      <c r="L2395" t="str" cm="1">
        <f t="array" ref="L2395">_xlfn.IFS(
 K2395&lt;=50,"≤50",
 AND(K2395&gt;=51,K2395&lt;=100),"51–100",
 AND(K2395&gt;=101,K2395&lt;=250),"101–250",
 AND(K2395&gt;=251,K2395&lt;=500),"251–500",
 AND(K2395&gt;=501,K2395&lt;=1000),"501–1000",
 K2395&gt;=1001,"1001+"
)</f>
        <v>101–250</v>
      </c>
    </row>
    <row r="2396" spans="1:12" x14ac:dyDescent="0.3">
      <c r="A2396" t="s">
        <v>4715</v>
      </c>
      <c r="B2396" t="s">
        <v>13</v>
      </c>
      <c r="C2396" t="s">
        <v>5777</v>
      </c>
      <c r="D2396" t="s">
        <v>4716</v>
      </c>
      <c r="E2396" t="s">
        <v>15</v>
      </c>
      <c r="F2396" t="s">
        <v>20</v>
      </c>
      <c r="G2396" t="s">
        <v>4717</v>
      </c>
      <c r="J2396" t="s">
        <v>5737</v>
      </c>
      <c r="K2396">
        <v>220</v>
      </c>
      <c r="L2396" t="str" cm="1">
        <f t="array" ref="L2396">_xlfn.IFS(
 K2396&lt;=50,"≤50",
 AND(K2396&gt;=51,K2396&lt;=100),"51–100",
 AND(K2396&gt;=101,K2396&lt;=250),"101–250",
 AND(K2396&gt;=251,K2396&lt;=500),"251–500",
 AND(K2396&gt;=501,K2396&lt;=1000),"501–1000",
 K2396&gt;=1001,"1001+"
)</f>
        <v>101–250</v>
      </c>
    </row>
    <row r="2397" spans="1:12" x14ac:dyDescent="0.3">
      <c r="A2397" t="s">
        <v>4718</v>
      </c>
      <c r="B2397" t="s">
        <v>13</v>
      </c>
      <c r="C2397" t="s">
        <v>5777</v>
      </c>
      <c r="D2397" t="s">
        <v>4719</v>
      </c>
      <c r="F2397" t="s">
        <v>5770</v>
      </c>
      <c r="J2397" t="s">
        <v>5737</v>
      </c>
      <c r="K2397">
        <v>220</v>
      </c>
      <c r="L2397" t="str" cm="1">
        <f t="array" ref="L2397">_xlfn.IFS(
 K2397&lt;=50,"≤50",
 AND(K2397&gt;=51,K2397&lt;=100),"51–100",
 AND(K2397&gt;=101,K2397&lt;=250),"101–250",
 AND(K2397&gt;=251,K2397&lt;=500),"251–500",
 AND(K2397&gt;=501,K2397&lt;=1000),"501–1000",
 K2397&gt;=1001,"1001+"
)</f>
        <v>101–250</v>
      </c>
    </row>
    <row r="2398" spans="1:12" x14ac:dyDescent="0.3">
      <c r="A2398" t="s">
        <v>4720</v>
      </c>
      <c r="B2398" t="s">
        <v>9</v>
      </c>
      <c r="C2398" t="s">
        <v>5780</v>
      </c>
      <c r="D2398" t="s">
        <v>4721</v>
      </c>
      <c r="F2398" t="s">
        <v>5770</v>
      </c>
      <c r="J2398" t="s">
        <v>5752</v>
      </c>
      <c r="K2398">
        <v>220</v>
      </c>
      <c r="L2398" t="str" cm="1">
        <f t="array" ref="L2398">_xlfn.IFS(
 K2398&lt;=50,"≤50",
 AND(K2398&gt;=51,K2398&lt;=100),"51–100",
 AND(K2398&gt;=101,K2398&lt;=250),"101–250",
 AND(K2398&gt;=251,K2398&lt;=500),"251–500",
 AND(K2398&gt;=501,K2398&lt;=1000),"501–1000",
 K2398&gt;=1001,"1001+"
)</f>
        <v>101–250</v>
      </c>
    </row>
    <row r="2399" spans="1:12" x14ac:dyDescent="0.3">
      <c r="A2399" t="s">
        <v>4722</v>
      </c>
      <c r="B2399" t="s">
        <v>13</v>
      </c>
      <c r="C2399" t="s">
        <v>5777</v>
      </c>
      <c r="D2399" t="s">
        <v>4723</v>
      </c>
      <c r="E2399" t="s">
        <v>15</v>
      </c>
      <c r="F2399" t="s">
        <v>20</v>
      </c>
      <c r="G2399" t="s">
        <v>4724</v>
      </c>
      <c r="J2399" t="s">
        <v>5753</v>
      </c>
      <c r="K2399">
        <v>220</v>
      </c>
      <c r="L2399" t="str" cm="1">
        <f t="array" ref="L2399">_xlfn.IFS(
 K2399&lt;=50,"≤50",
 AND(K2399&gt;=51,K2399&lt;=100),"51–100",
 AND(K2399&gt;=101,K2399&lt;=250),"101–250",
 AND(K2399&gt;=251,K2399&lt;=500),"251–500",
 AND(K2399&gt;=501,K2399&lt;=1000),"501–1000",
 K2399&gt;=1001,"1001+"
)</f>
        <v>101–250</v>
      </c>
    </row>
    <row r="2400" spans="1:12" x14ac:dyDescent="0.3">
      <c r="A2400" t="s">
        <v>4725</v>
      </c>
      <c r="B2400" t="s">
        <v>13</v>
      </c>
      <c r="C2400" t="s">
        <v>5777</v>
      </c>
      <c r="D2400" t="s">
        <v>4726</v>
      </c>
      <c r="E2400" t="s">
        <v>15</v>
      </c>
      <c r="F2400" t="s">
        <v>54</v>
      </c>
      <c r="G2400" t="s">
        <v>4727</v>
      </c>
      <c r="J2400" t="s">
        <v>5737</v>
      </c>
      <c r="K2400">
        <v>220</v>
      </c>
      <c r="L2400" t="str" cm="1">
        <f t="array" ref="L2400">_xlfn.IFS(
 K2400&lt;=50,"≤50",
 AND(K2400&gt;=51,K2400&lt;=100),"51–100",
 AND(K2400&gt;=101,K2400&lt;=250),"101–250",
 AND(K2400&gt;=251,K2400&lt;=500),"251–500",
 AND(K2400&gt;=501,K2400&lt;=1000),"501–1000",
 K2400&gt;=1001,"1001+"
)</f>
        <v>101–250</v>
      </c>
    </row>
    <row r="2401" spans="1:12" x14ac:dyDescent="0.3">
      <c r="A2401" t="s">
        <v>4728</v>
      </c>
      <c r="B2401" t="s">
        <v>9</v>
      </c>
      <c r="C2401" t="s">
        <v>5780</v>
      </c>
      <c r="D2401" t="s">
        <v>4729</v>
      </c>
      <c r="E2401" t="s">
        <v>15</v>
      </c>
      <c r="F2401" t="s">
        <v>16</v>
      </c>
      <c r="G2401" t="s">
        <v>4730</v>
      </c>
      <c r="J2401" t="s">
        <v>5737</v>
      </c>
      <c r="K2401">
        <v>220</v>
      </c>
      <c r="L2401" t="str" cm="1">
        <f t="array" ref="L2401">_xlfn.IFS(
 K2401&lt;=50,"≤50",
 AND(K2401&gt;=51,K2401&lt;=100),"51–100",
 AND(K2401&gt;=101,K2401&lt;=250),"101–250",
 AND(K2401&gt;=251,K2401&lt;=500),"251–500",
 AND(K2401&gt;=501,K2401&lt;=1000),"501–1000",
 K2401&gt;=1001,"1001+"
)</f>
        <v>101–250</v>
      </c>
    </row>
    <row r="2402" spans="1:12" x14ac:dyDescent="0.3">
      <c r="A2402" t="s">
        <v>4731</v>
      </c>
      <c r="B2402" t="s">
        <v>11</v>
      </c>
      <c r="C2402" t="s">
        <v>5776</v>
      </c>
      <c r="F2402" t="s">
        <v>5770</v>
      </c>
      <c r="J2402" t="s">
        <v>5753</v>
      </c>
      <c r="K2402">
        <v>220</v>
      </c>
      <c r="L2402" t="str" cm="1">
        <f t="array" ref="L2402">_xlfn.IFS(
 K2402&lt;=50,"≤50",
 AND(K2402&gt;=51,K2402&lt;=100),"51–100",
 AND(K2402&gt;=101,K2402&lt;=250),"101–250",
 AND(K2402&gt;=251,K2402&lt;=500),"251–500",
 AND(K2402&gt;=501,K2402&lt;=1000),"501–1000",
 K2402&gt;=1001,"1001+"
)</f>
        <v>101–250</v>
      </c>
    </row>
    <row r="2403" spans="1:12" x14ac:dyDescent="0.3">
      <c r="A2403" t="s">
        <v>4732</v>
      </c>
      <c r="B2403" t="s">
        <v>197</v>
      </c>
      <c r="C2403" t="s">
        <v>5774</v>
      </c>
      <c r="D2403" t="s">
        <v>4733</v>
      </c>
      <c r="E2403" t="s">
        <v>15</v>
      </c>
      <c r="F2403" t="s">
        <v>5770</v>
      </c>
      <c r="J2403" t="s">
        <v>5738</v>
      </c>
      <c r="K2403">
        <v>220</v>
      </c>
      <c r="L2403" t="str" cm="1">
        <f t="array" ref="L2403">_xlfn.IFS(
 K2403&lt;=50,"≤50",
 AND(K2403&gt;=51,K2403&lt;=100),"51–100",
 AND(K2403&gt;=101,K2403&lt;=250),"101–250",
 AND(K2403&gt;=251,K2403&lt;=500),"251–500",
 AND(K2403&gt;=501,K2403&lt;=1000),"501–1000",
 K2403&gt;=1001,"1001+"
)</f>
        <v>101–250</v>
      </c>
    </row>
    <row r="2404" spans="1:12" x14ac:dyDescent="0.3">
      <c r="A2404" t="s">
        <v>4734</v>
      </c>
      <c r="B2404" t="s">
        <v>9</v>
      </c>
      <c r="C2404" t="s">
        <v>5780</v>
      </c>
      <c r="D2404" t="s">
        <v>4735</v>
      </c>
      <c r="E2404" t="s">
        <v>15</v>
      </c>
      <c r="F2404" t="s">
        <v>54</v>
      </c>
      <c r="G2404" t="s">
        <v>4736</v>
      </c>
      <c r="J2404" t="s">
        <v>5737</v>
      </c>
      <c r="K2404">
        <v>230</v>
      </c>
      <c r="L2404" t="str" cm="1">
        <f t="array" ref="L2404">_xlfn.IFS(
 K2404&lt;=50,"≤50",
 AND(K2404&gt;=51,K2404&lt;=100),"51–100",
 AND(K2404&gt;=101,K2404&lt;=250),"101–250",
 AND(K2404&gt;=251,K2404&lt;=500),"251–500",
 AND(K2404&gt;=501,K2404&lt;=1000),"501–1000",
 K2404&gt;=1001,"1001+"
)</f>
        <v>101–250</v>
      </c>
    </row>
    <row r="2405" spans="1:12" x14ac:dyDescent="0.3">
      <c r="A2405" t="s">
        <v>4737</v>
      </c>
      <c r="B2405" t="s">
        <v>13</v>
      </c>
      <c r="C2405" t="s">
        <v>5777</v>
      </c>
      <c r="D2405" t="s">
        <v>112</v>
      </c>
      <c r="E2405" t="s">
        <v>15</v>
      </c>
      <c r="F2405" t="s">
        <v>54</v>
      </c>
      <c r="G2405" t="s">
        <v>4738</v>
      </c>
      <c r="J2405" t="s">
        <v>5737</v>
      </c>
      <c r="K2405">
        <v>230</v>
      </c>
      <c r="L2405" t="str" cm="1">
        <f t="array" ref="L2405">_xlfn.IFS(
 K2405&lt;=50,"≤50",
 AND(K2405&gt;=51,K2405&lt;=100),"51–100",
 AND(K2405&gt;=101,K2405&lt;=250),"101–250",
 AND(K2405&gt;=251,K2405&lt;=500),"251–500",
 AND(K2405&gt;=501,K2405&lt;=1000),"501–1000",
 K2405&gt;=1001,"1001+"
)</f>
        <v>101–250</v>
      </c>
    </row>
    <row r="2406" spans="1:12" x14ac:dyDescent="0.3">
      <c r="A2406" t="s">
        <v>4739</v>
      </c>
      <c r="B2406" t="s">
        <v>13</v>
      </c>
      <c r="C2406" t="s">
        <v>5777</v>
      </c>
      <c r="D2406" t="s">
        <v>4740</v>
      </c>
      <c r="E2406" t="s">
        <v>15</v>
      </c>
      <c r="F2406" t="s">
        <v>20</v>
      </c>
      <c r="G2406" t="s">
        <v>4741</v>
      </c>
      <c r="J2406" t="s">
        <v>5738</v>
      </c>
      <c r="K2406">
        <v>230</v>
      </c>
      <c r="L2406" t="str" cm="1">
        <f t="array" ref="L2406">_xlfn.IFS(
 K2406&lt;=50,"≤50",
 AND(K2406&gt;=51,K2406&lt;=100),"51–100",
 AND(K2406&gt;=101,K2406&lt;=250),"101–250",
 AND(K2406&gt;=251,K2406&lt;=500),"251–500",
 AND(K2406&gt;=501,K2406&lt;=1000),"501–1000",
 K2406&gt;=1001,"1001+"
)</f>
        <v>101–250</v>
      </c>
    </row>
    <row r="2407" spans="1:12" x14ac:dyDescent="0.3">
      <c r="A2407" t="s">
        <v>4742</v>
      </c>
      <c r="B2407" t="s">
        <v>13</v>
      </c>
      <c r="C2407" t="s">
        <v>5777</v>
      </c>
      <c r="D2407" t="s">
        <v>4743</v>
      </c>
      <c r="E2407" t="s">
        <v>15</v>
      </c>
      <c r="F2407" t="s">
        <v>20</v>
      </c>
      <c r="G2407" t="s">
        <v>4744</v>
      </c>
      <c r="J2407" t="s">
        <v>5737</v>
      </c>
      <c r="K2407">
        <v>230</v>
      </c>
      <c r="L2407" t="str" cm="1">
        <f t="array" ref="L2407">_xlfn.IFS(
 K2407&lt;=50,"≤50",
 AND(K2407&gt;=51,K2407&lt;=100),"51–100",
 AND(K2407&gt;=101,K2407&lt;=250),"101–250",
 AND(K2407&gt;=251,K2407&lt;=500),"251–500",
 AND(K2407&gt;=501,K2407&lt;=1000),"501–1000",
 K2407&gt;=1001,"1001+"
)</f>
        <v>101–250</v>
      </c>
    </row>
    <row r="2408" spans="1:12" x14ac:dyDescent="0.3">
      <c r="A2408" t="s">
        <v>4745</v>
      </c>
      <c r="B2408" t="s">
        <v>9</v>
      </c>
      <c r="C2408" t="s">
        <v>5780</v>
      </c>
      <c r="D2408" t="s">
        <v>4746</v>
      </c>
      <c r="E2408" t="s">
        <v>15</v>
      </c>
      <c r="F2408" t="s">
        <v>20</v>
      </c>
      <c r="G2408" t="s">
        <v>21</v>
      </c>
      <c r="J2408" t="s">
        <v>5737</v>
      </c>
      <c r="K2408">
        <v>230</v>
      </c>
      <c r="L2408" t="str" cm="1">
        <f t="array" ref="L2408">_xlfn.IFS(
 K2408&lt;=50,"≤50",
 AND(K2408&gt;=51,K2408&lt;=100),"51–100",
 AND(K2408&gt;=101,K2408&lt;=250),"101–250",
 AND(K2408&gt;=251,K2408&lt;=500),"251–500",
 AND(K2408&gt;=501,K2408&lt;=1000),"501–1000",
 K2408&gt;=1001,"1001+"
)</f>
        <v>101–250</v>
      </c>
    </row>
    <row r="2409" spans="1:12" x14ac:dyDescent="0.3">
      <c r="A2409" t="s">
        <v>4747</v>
      </c>
      <c r="B2409" t="s">
        <v>9</v>
      </c>
      <c r="C2409" t="s">
        <v>5780</v>
      </c>
      <c r="D2409" t="s">
        <v>4748</v>
      </c>
      <c r="E2409" t="s">
        <v>15</v>
      </c>
      <c r="F2409" t="s">
        <v>20</v>
      </c>
      <c r="G2409" t="s">
        <v>21</v>
      </c>
      <c r="J2409" t="s">
        <v>5737</v>
      </c>
      <c r="K2409">
        <v>235</v>
      </c>
      <c r="L2409" t="str" cm="1">
        <f t="array" ref="L2409">_xlfn.IFS(
 K2409&lt;=50,"≤50",
 AND(K2409&gt;=51,K2409&lt;=100),"51–100",
 AND(K2409&gt;=101,K2409&lt;=250),"101–250",
 AND(K2409&gt;=251,K2409&lt;=500),"251–500",
 AND(K2409&gt;=501,K2409&lt;=1000),"501–1000",
 K2409&gt;=1001,"1001+"
)</f>
        <v>101–250</v>
      </c>
    </row>
    <row r="2410" spans="1:12" x14ac:dyDescent="0.3">
      <c r="A2410" t="s">
        <v>4749</v>
      </c>
      <c r="B2410" t="s">
        <v>9</v>
      </c>
      <c r="C2410" t="s">
        <v>5780</v>
      </c>
      <c r="D2410" t="s">
        <v>51</v>
      </c>
      <c r="F2410" t="s">
        <v>54</v>
      </c>
      <c r="G2410" t="s">
        <v>4750</v>
      </c>
      <c r="J2410" t="s">
        <v>5737</v>
      </c>
      <c r="K2410">
        <v>240</v>
      </c>
      <c r="L2410" t="str" cm="1">
        <f t="array" ref="L2410">_xlfn.IFS(
 K2410&lt;=50,"≤50",
 AND(K2410&gt;=51,K2410&lt;=100),"51–100",
 AND(K2410&gt;=101,K2410&lt;=250),"101–250",
 AND(K2410&gt;=251,K2410&lt;=500),"251–500",
 AND(K2410&gt;=501,K2410&lt;=1000),"501–1000",
 K2410&gt;=1001,"1001+"
)</f>
        <v>101–250</v>
      </c>
    </row>
    <row r="2411" spans="1:12" x14ac:dyDescent="0.3">
      <c r="A2411" t="s">
        <v>4751</v>
      </c>
      <c r="B2411" t="s">
        <v>13</v>
      </c>
      <c r="C2411" t="s">
        <v>5777</v>
      </c>
      <c r="D2411" t="s">
        <v>4752</v>
      </c>
      <c r="E2411" t="s">
        <v>15</v>
      </c>
      <c r="F2411" t="s">
        <v>16</v>
      </c>
      <c r="G2411" t="s">
        <v>4753</v>
      </c>
      <c r="J2411" t="s">
        <v>5758</v>
      </c>
      <c r="K2411">
        <v>240</v>
      </c>
      <c r="L2411" t="str" cm="1">
        <f t="array" ref="L2411">_xlfn.IFS(
 K2411&lt;=50,"≤50",
 AND(K2411&gt;=51,K2411&lt;=100),"51–100",
 AND(K2411&gt;=101,K2411&lt;=250),"101–250",
 AND(K2411&gt;=251,K2411&lt;=500),"251–500",
 AND(K2411&gt;=501,K2411&lt;=1000),"501–1000",
 K2411&gt;=1001,"1001+"
)</f>
        <v>101–250</v>
      </c>
    </row>
    <row r="2412" spans="1:12" x14ac:dyDescent="0.3">
      <c r="A2412" t="s">
        <v>4754</v>
      </c>
      <c r="B2412" t="s">
        <v>13</v>
      </c>
      <c r="C2412" t="s">
        <v>5777</v>
      </c>
      <c r="D2412" t="s">
        <v>4755</v>
      </c>
      <c r="E2412" t="s">
        <v>15</v>
      </c>
      <c r="F2412" t="s">
        <v>16</v>
      </c>
      <c r="G2412" t="s">
        <v>4756</v>
      </c>
      <c r="J2412" t="s">
        <v>5742</v>
      </c>
      <c r="K2412">
        <v>240</v>
      </c>
      <c r="L2412" t="str" cm="1">
        <f t="array" ref="L2412">_xlfn.IFS(
 K2412&lt;=50,"≤50",
 AND(K2412&gt;=51,K2412&lt;=100),"51–100",
 AND(K2412&gt;=101,K2412&lt;=250),"101–250",
 AND(K2412&gt;=251,K2412&lt;=500),"251–500",
 AND(K2412&gt;=501,K2412&lt;=1000),"501–1000",
 K2412&gt;=1001,"1001+"
)</f>
        <v>101–250</v>
      </c>
    </row>
    <row r="2413" spans="1:12" x14ac:dyDescent="0.3">
      <c r="A2413" t="s">
        <v>4757</v>
      </c>
      <c r="B2413" t="s">
        <v>9</v>
      </c>
      <c r="C2413" t="s">
        <v>5780</v>
      </c>
      <c r="D2413" t="s">
        <v>28</v>
      </c>
      <c r="F2413" t="s">
        <v>5770</v>
      </c>
      <c r="J2413" t="s">
        <v>5737</v>
      </c>
      <c r="K2413">
        <v>240</v>
      </c>
      <c r="L2413" t="str" cm="1">
        <f t="array" ref="L2413">_xlfn.IFS(
 K2413&lt;=50,"≤50",
 AND(K2413&gt;=51,K2413&lt;=100),"51–100",
 AND(K2413&gt;=101,K2413&lt;=250),"101–250",
 AND(K2413&gt;=251,K2413&lt;=500),"251–500",
 AND(K2413&gt;=501,K2413&lt;=1000),"501–1000",
 K2413&gt;=1001,"1001+"
)</f>
        <v>101–250</v>
      </c>
    </row>
    <row r="2414" spans="1:12" x14ac:dyDescent="0.3">
      <c r="A2414" t="s">
        <v>4758</v>
      </c>
      <c r="B2414" t="s">
        <v>9</v>
      </c>
      <c r="C2414" t="s">
        <v>5780</v>
      </c>
      <c r="D2414" t="s">
        <v>4759</v>
      </c>
      <c r="E2414" t="s">
        <v>15</v>
      </c>
      <c r="F2414" t="s">
        <v>16</v>
      </c>
      <c r="G2414" t="s">
        <v>4760</v>
      </c>
      <c r="J2414" t="s">
        <v>5737</v>
      </c>
      <c r="K2414">
        <v>240</v>
      </c>
      <c r="L2414" t="str" cm="1">
        <f t="array" ref="L2414">_xlfn.IFS(
 K2414&lt;=50,"≤50",
 AND(K2414&gt;=51,K2414&lt;=100),"51–100",
 AND(K2414&gt;=101,K2414&lt;=250),"101–250",
 AND(K2414&gt;=251,K2414&lt;=500),"251–500",
 AND(K2414&gt;=501,K2414&lt;=1000),"501–1000",
 K2414&gt;=1001,"1001+"
)</f>
        <v>101–250</v>
      </c>
    </row>
    <row r="2415" spans="1:12" x14ac:dyDescent="0.3">
      <c r="A2415" t="s">
        <v>4761</v>
      </c>
      <c r="B2415" t="s">
        <v>9</v>
      </c>
      <c r="C2415" t="s">
        <v>5780</v>
      </c>
      <c r="D2415" t="s">
        <v>4762</v>
      </c>
      <c r="E2415" t="s">
        <v>15</v>
      </c>
      <c r="F2415" t="s">
        <v>5770</v>
      </c>
      <c r="J2415" t="s">
        <v>5737</v>
      </c>
      <c r="K2415">
        <v>240</v>
      </c>
      <c r="L2415" t="str" cm="1">
        <f t="array" ref="L2415">_xlfn.IFS(
 K2415&lt;=50,"≤50",
 AND(K2415&gt;=51,K2415&lt;=100),"51–100",
 AND(K2415&gt;=101,K2415&lt;=250),"101–250",
 AND(K2415&gt;=251,K2415&lt;=500),"251–500",
 AND(K2415&gt;=501,K2415&lt;=1000),"501–1000",
 K2415&gt;=1001,"1001+"
)</f>
        <v>101–250</v>
      </c>
    </row>
    <row r="2416" spans="1:12" x14ac:dyDescent="0.3">
      <c r="A2416" t="s">
        <v>4763</v>
      </c>
      <c r="B2416" t="s">
        <v>11</v>
      </c>
      <c r="C2416" t="s">
        <v>5776</v>
      </c>
      <c r="F2416" t="s">
        <v>5770</v>
      </c>
      <c r="J2416" t="s">
        <v>5738</v>
      </c>
      <c r="K2416">
        <v>240</v>
      </c>
      <c r="L2416" t="str" cm="1">
        <f t="array" ref="L2416">_xlfn.IFS(
 K2416&lt;=50,"≤50",
 AND(K2416&gt;=51,K2416&lt;=100),"51–100",
 AND(K2416&gt;=101,K2416&lt;=250),"101–250",
 AND(K2416&gt;=251,K2416&lt;=500),"251–500",
 AND(K2416&gt;=501,K2416&lt;=1000),"501–1000",
 K2416&gt;=1001,"1001+"
)</f>
        <v>101–250</v>
      </c>
    </row>
    <row r="2417" spans="1:12" x14ac:dyDescent="0.3">
      <c r="A2417" t="s">
        <v>4764</v>
      </c>
      <c r="B2417" t="s">
        <v>9</v>
      </c>
      <c r="C2417" t="s">
        <v>5780</v>
      </c>
      <c r="D2417" t="s">
        <v>4765</v>
      </c>
      <c r="E2417" t="s">
        <v>15</v>
      </c>
      <c r="F2417" t="s">
        <v>20</v>
      </c>
      <c r="G2417" t="s">
        <v>1023</v>
      </c>
      <c r="J2417" t="s">
        <v>5737</v>
      </c>
      <c r="K2417">
        <v>240</v>
      </c>
      <c r="L2417" t="str" cm="1">
        <f t="array" ref="L2417">_xlfn.IFS(
 K2417&lt;=50,"≤50",
 AND(K2417&gt;=51,K2417&lt;=100),"51–100",
 AND(K2417&gt;=101,K2417&lt;=250),"101–250",
 AND(K2417&gt;=251,K2417&lt;=500),"251–500",
 AND(K2417&gt;=501,K2417&lt;=1000),"501–1000",
 K2417&gt;=1001,"1001+"
)</f>
        <v>101–250</v>
      </c>
    </row>
    <row r="2418" spans="1:12" x14ac:dyDescent="0.3">
      <c r="A2418" t="s">
        <v>4766</v>
      </c>
      <c r="B2418" t="s">
        <v>9</v>
      </c>
      <c r="C2418" t="s">
        <v>5780</v>
      </c>
      <c r="D2418" t="s">
        <v>4767</v>
      </c>
      <c r="E2418" t="s">
        <v>15</v>
      </c>
      <c r="F2418" t="s">
        <v>54</v>
      </c>
      <c r="G2418" t="s">
        <v>4768</v>
      </c>
      <c r="J2418" t="s">
        <v>5737</v>
      </c>
      <c r="K2418">
        <v>240</v>
      </c>
      <c r="L2418" t="str" cm="1">
        <f t="array" ref="L2418">_xlfn.IFS(
 K2418&lt;=50,"≤50",
 AND(K2418&gt;=51,K2418&lt;=100),"51–100",
 AND(K2418&gt;=101,K2418&lt;=250),"101–250",
 AND(K2418&gt;=251,K2418&lt;=500),"251–500",
 AND(K2418&gt;=501,K2418&lt;=1000),"501–1000",
 K2418&gt;=1001,"1001+"
)</f>
        <v>101–250</v>
      </c>
    </row>
    <row r="2419" spans="1:12" x14ac:dyDescent="0.3">
      <c r="A2419" t="s">
        <v>4769</v>
      </c>
      <c r="B2419" t="s">
        <v>13</v>
      </c>
      <c r="C2419" t="s">
        <v>5777</v>
      </c>
      <c r="D2419" t="s">
        <v>4770</v>
      </c>
      <c r="F2419" t="s">
        <v>5770</v>
      </c>
      <c r="J2419" t="s">
        <v>5737</v>
      </c>
      <c r="K2419">
        <v>245</v>
      </c>
      <c r="L2419" t="str" cm="1">
        <f t="array" ref="L2419">_xlfn.IFS(
 K2419&lt;=50,"≤50",
 AND(K2419&gt;=51,K2419&lt;=100),"51–100",
 AND(K2419&gt;=101,K2419&lt;=250),"101–250",
 AND(K2419&gt;=251,K2419&lt;=500),"251–500",
 AND(K2419&gt;=501,K2419&lt;=1000),"501–1000",
 K2419&gt;=1001,"1001+"
)</f>
        <v>101–250</v>
      </c>
    </row>
    <row r="2420" spans="1:12" x14ac:dyDescent="0.3">
      <c r="A2420" t="s">
        <v>4771</v>
      </c>
      <c r="B2420" t="s">
        <v>9</v>
      </c>
      <c r="C2420" t="s">
        <v>5780</v>
      </c>
      <c r="D2420" t="s">
        <v>4772</v>
      </c>
      <c r="F2420" t="s">
        <v>16</v>
      </c>
      <c r="G2420" t="s">
        <v>4773</v>
      </c>
      <c r="J2420" t="s">
        <v>5737</v>
      </c>
      <c r="K2420">
        <v>250</v>
      </c>
      <c r="L2420" t="str" cm="1">
        <f t="array" ref="L2420">_xlfn.IFS(
 K2420&lt;=50,"≤50",
 AND(K2420&gt;=51,K2420&lt;=100),"51–100",
 AND(K2420&gt;=101,K2420&lt;=250),"101–250",
 AND(K2420&gt;=251,K2420&lt;=500),"251–500",
 AND(K2420&gt;=501,K2420&lt;=1000),"501–1000",
 K2420&gt;=1001,"1001+"
)</f>
        <v>101–250</v>
      </c>
    </row>
    <row r="2421" spans="1:12" x14ac:dyDescent="0.3">
      <c r="A2421" t="s">
        <v>4774</v>
      </c>
      <c r="B2421" t="s">
        <v>13</v>
      </c>
      <c r="C2421" t="s">
        <v>5777</v>
      </c>
      <c r="D2421" t="s">
        <v>4775</v>
      </c>
      <c r="E2421" t="s">
        <v>15</v>
      </c>
      <c r="F2421" t="s">
        <v>5770</v>
      </c>
      <c r="J2421" t="s">
        <v>5737</v>
      </c>
      <c r="K2421">
        <v>250</v>
      </c>
      <c r="L2421" t="str" cm="1">
        <f t="array" ref="L2421">_xlfn.IFS(
 K2421&lt;=50,"≤50",
 AND(K2421&gt;=51,K2421&lt;=100),"51–100",
 AND(K2421&gt;=101,K2421&lt;=250),"101–250",
 AND(K2421&gt;=251,K2421&lt;=500),"251–500",
 AND(K2421&gt;=501,K2421&lt;=1000),"501–1000",
 K2421&gt;=1001,"1001+"
)</f>
        <v>101–250</v>
      </c>
    </row>
    <row r="2422" spans="1:12" x14ac:dyDescent="0.3">
      <c r="A2422" t="s">
        <v>4776</v>
      </c>
      <c r="B2422" t="s">
        <v>9</v>
      </c>
      <c r="C2422" t="s">
        <v>5780</v>
      </c>
      <c r="D2422" t="s">
        <v>28</v>
      </c>
      <c r="E2422" t="s">
        <v>15</v>
      </c>
      <c r="F2422" t="s">
        <v>16</v>
      </c>
      <c r="G2422" t="s">
        <v>4777</v>
      </c>
      <c r="J2422" t="s">
        <v>5751</v>
      </c>
      <c r="K2422">
        <v>250</v>
      </c>
      <c r="L2422" t="str" cm="1">
        <f t="array" ref="L2422">_xlfn.IFS(
 K2422&lt;=50,"≤50",
 AND(K2422&gt;=51,K2422&lt;=100),"51–100",
 AND(K2422&gt;=101,K2422&lt;=250),"101–250",
 AND(K2422&gt;=251,K2422&lt;=500),"251–500",
 AND(K2422&gt;=501,K2422&lt;=1000),"501–1000",
 K2422&gt;=1001,"1001+"
)</f>
        <v>101–250</v>
      </c>
    </row>
    <row r="2423" spans="1:12" x14ac:dyDescent="0.3">
      <c r="A2423" t="s">
        <v>4778</v>
      </c>
      <c r="B2423" t="s">
        <v>13</v>
      </c>
      <c r="C2423" t="s">
        <v>5777</v>
      </c>
      <c r="D2423" t="s">
        <v>4779</v>
      </c>
      <c r="E2423" t="s">
        <v>15</v>
      </c>
      <c r="F2423" t="s">
        <v>54</v>
      </c>
      <c r="G2423" t="s">
        <v>4780</v>
      </c>
      <c r="J2423" t="s">
        <v>5737</v>
      </c>
      <c r="K2423">
        <v>250</v>
      </c>
      <c r="L2423" t="str" cm="1">
        <f t="array" ref="L2423">_xlfn.IFS(
 K2423&lt;=50,"≤50",
 AND(K2423&gt;=51,K2423&lt;=100),"51–100",
 AND(K2423&gt;=101,K2423&lt;=250),"101–250",
 AND(K2423&gt;=251,K2423&lt;=500),"251–500",
 AND(K2423&gt;=501,K2423&lt;=1000),"501–1000",
 K2423&gt;=1001,"1001+"
)</f>
        <v>101–250</v>
      </c>
    </row>
    <row r="2424" spans="1:12" x14ac:dyDescent="0.3">
      <c r="A2424" t="s">
        <v>4781</v>
      </c>
      <c r="B2424" t="s">
        <v>13</v>
      </c>
      <c r="C2424" t="s">
        <v>5777</v>
      </c>
      <c r="D2424" t="s">
        <v>4445</v>
      </c>
      <c r="F2424" t="s">
        <v>5770</v>
      </c>
      <c r="J2424" t="s">
        <v>5737</v>
      </c>
      <c r="K2424">
        <v>250</v>
      </c>
      <c r="L2424" t="str" cm="1">
        <f t="array" ref="L2424">_xlfn.IFS(
 K2424&lt;=50,"≤50",
 AND(K2424&gt;=51,K2424&lt;=100),"51–100",
 AND(K2424&gt;=101,K2424&lt;=250),"101–250",
 AND(K2424&gt;=251,K2424&lt;=500),"251–500",
 AND(K2424&gt;=501,K2424&lt;=1000),"501–1000",
 K2424&gt;=1001,"1001+"
)</f>
        <v>101–250</v>
      </c>
    </row>
    <row r="2425" spans="1:12" x14ac:dyDescent="0.3">
      <c r="A2425" t="s">
        <v>4782</v>
      </c>
      <c r="B2425" t="s">
        <v>197</v>
      </c>
      <c r="C2425" t="s">
        <v>5774</v>
      </c>
      <c r="D2425" t="s">
        <v>4783</v>
      </c>
      <c r="E2425" t="s">
        <v>15</v>
      </c>
      <c r="F2425" t="s">
        <v>54</v>
      </c>
      <c r="G2425" t="s">
        <v>4784</v>
      </c>
      <c r="J2425" t="s">
        <v>5738</v>
      </c>
      <c r="K2425">
        <v>250</v>
      </c>
      <c r="L2425" t="str" cm="1">
        <f t="array" ref="L2425">_xlfn.IFS(
 K2425&lt;=50,"≤50",
 AND(K2425&gt;=51,K2425&lt;=100),"51–100",
 AND(K2425&gt;=101,K2425&lt;=250),"101–250",
 AND(K2425&gt;=251,K2425&lt;=500),"251–500",
 AND(K2425&gt;=501,K2425&lt;=1000),"501–1000",
 K2425&gt;=1001,"1001+"
)</f>
        <v>101–250</v>
      </c>
    </row>
    <row r="2426" spans="1:12" x14ac:dyDescent="0.3">
      <c r="A2426" t="s">
        <v>4785</v>
      </c>
      <c r="B2426" t="s">
        <v>9</v>
      </c>
      <c r="C2426" t="s">
        <v>5780</v>
      </c>
      <c r="D2426" t="s">
        <v>937</v>
      </c>
      <c r="E2426" t="s">
        <v>15</v>
      </c>
      <c r="F2426" t="s">
        <v>20</v>
      </c>
      <c r="G2426" t="s">
        <v>4786</v>
      </c>
      <c r="J2426" t="s">
        <v>5737</v>
      </c>
      <c r="K2426">
        <v>250</v>
      </c>
      <c r="L2426" t="str" cm="1">
        <f t="array" ref="L2426">_xlfn.IFS(
 K2426&lt;=50,"≤50",
 AND(K2426&gt;=51,K2426&lt;=100),"51–100",
 AND(K2426&gt;=101,K2426&lt;=250),"101–250",
 AND(K2426&gt;=251,K2426&lt;=500),"251–500",
 AND(K2426&gt;=501,K2426&lt;=1000),"501–1000",
 K2426&gt;=1001,"1001+"
)</f>
        <v>101–250</v>
      </c>
    </row>
    <row r="2427" spans="1:12" x14ac:dyDescent="0.3">
      <c r="A2427" t="s">
        <v>4787</v>
      </c>
      <c r="B2427" t="s">
        <v>9</v>
      </c>
      <c r="C2427" t="s">
        <v>5780</v>
      </c>
      <c r="D2427" t="s">
        <v>4788</v>
      </c>
      <c r="E2427" t="s">
        <v>15</v>
      </c>
      <c r="F2427" t="s">
        <v>16</v>
      </c>
      <c r="G2427" t="s">
        <v>4789</v>
      </c>
      <c r="J2427" t="s">
        <v>5737</v>
      </c>
      <c r="K2427">
        <v>250</v>
      </c>
      <c r="L2427" t="str" cm="1">
        <f t="array" ref="L2427">_xlfn.IFS(
 K2427&lt;=50,"≤50",
 AND(K2427&gt;=51,K2427&lt;=100),"51–100",
 AND(K2427&gt;=101,K2427&lt;=250),"101–250",
 AND(K2427&gt;=251,K2427&lt;=500),"251–500",
 AND(K2427&gt;=501,K2427&lt;=1000),"501–1000",
 K2427&gt;=1001,"1001+"
)</f>
        <v>101–250</v>
      </c>
    </row>
    <row r="2428" spans="1:12" x14ac:dyDescent="0.3">
      <c r="A2428" t="s">
        <v>4790</v>
      </c>
      <c r="B2428" t="s">
        <v>9</v>
      </c>
      <c r="C2428" t="s">
        <v>5780</v>
      </c>
      <c r="D2428" t="s">
        <v>4791</v>
      </c>
      <c r="E2428" t="s">
        <v>15</v>
      </c>
      <c r="F2428" t="s">
        <v>16</v>
      </c>
      <c r="G2428" t="s">
        <v>4792</v>
      </c>
      <c r="J2428" t="s">
        <v>5738</v>
      </c>
      <c r="K2428">
        <v>250</v>
      </c>
      <c r="L2428" t="str" cm="1">
        <f t="array" ref="L2428">_xlfn.IFS(
 K2428&lt;=50,"≤50",
 AND(K2428&gt;=51,K2428&lt;=100),"51–100",
 AND(K2428&gt;=101,K2428&lt;=250),"101–250",
 AND(K2428&gt;=251,K2428&lt;=500),"251–500",
 AND(K2428&gt;=501,K2428&lt;=1000),"501–1000",
 K2428&gt;=1001,"1001+"
)</f>
        <v>101–250</v>
      </c>
    </row>
    <row r="2429" spans="1:12" x14ac:dyDescent="0.3">
      <c r="A2429" t="s">
        <v>4793</v>
      </c>
      <c r="B2429" t="s">
        <v>9</v>
      </c>
      <c r="C2429" t="s">
        <v>5780</v>
      </c>
      <c r="D2429" t="s">
        <v>4794</v>
      </c>
      <c r="F2429" t="s">
        <v>5770</v>
      </c>
      <c r="J2429" t="s">
        <v>5762</v>
      </c>
      <c r="K2429">
        <v>250</v>
      </c>
      <c r="L2429" t="str" cm="1">
        <f t="array" ref="L2429">_xlfn.IFS(
 K2429&lt;=50,"≤50",
 AND(K2429&gt;=51,K2429&lt;=100),"51–100",
 AND(K2429&gt;=101,K2429&lt;=250),"101–250",
 AND(K2429&gt;=251,K2429&lt;=500),"251–500",
 AND(K2429&gt;=501,K2429&lt;=1000),"501–1000",
 K2429&gt;=1001,"1001+"
)</f>
        <v>101–250</v>
      </c>
    </row>
    <row r="2430" spans="1:12" x14ac:dyDescent="0.3">
      <c r="A2430" t="s">
        <v>4795</v>
      </c>
      <c r="B2430" t="s">
        <v>13</v>
      </c>
      <c r="C2430" t="s">
        <v>5777</v>
      </c>
      <c r="D2430" t="s">
        <v>4796</v>
      </c>
      <c r="F2430" t="s">
        <v>5770</v>
      </c>
      <c r="J2430" t="s">
        <v>5737</v>
      </c>
      <c r="K2430">
        <v>250</v>
      </c>
      <c r="L2430" t="str" cm="1">
        <f t="array" ref="L2430">_xlfn.IFS(
 K2430&lt;=50,"≤50",
 AND(K2430&gt;=51,K2430&lt;=100),"51–100",
 AND(K2430&gt;=101,K2430&lt;=250),"101–250",
 AND(K2430&gt;=251,K2430&lt;=500),"251–500",
 AND(K2430&gt;=501,K2430&lt;=1000),"501–1000",
 K2430&gt;=1001,"1001+"
)</f>
        <v>101–250</v>
      </c>
    </row>
    <row r="2431" spans="1:12" x14ac:dyDescent="0.3">
      <c r="A2431" t="s">
        <v>4797</v>
      </c>
      <c r="B2431" t="s">
        <v>9</v>
      </c>
      <c r="C2431" t="s">
        <v>5780</v>
      </c>
      <c r="D2431" t="s">
        <v>4798</v>
      </c>
      <c r="E2431" t="s">
        <v>15</v>
      </c>
      <c r="F2431" t="s">
        <v>20</v>
      </c>
      <c r="G2431" t="s">
        <v>4799</v>
      </c>
      <c r="J2431" t="s">
        <v>5746</v>
      </c>
      <c r="K2431">
        <v>250</v>
      </c>
      <c r="L2431" t="str" cm="1">
        <f t="array" ref="L2431">_xlfn.IFS(
 K2431&lt;=50,"≤50",
 AND(K2431&gt;=51,K2431&lt;=100),"51–100",
 AND(K2431&gt;=101,K2431&lt;=250),"101–250",
 AND(K2431&gt;=251,K2431&lt;=500),"251–500",
 AND(K2431&gt;=501,K2431&lt;=1000),"501–1000",
 K2431&gt;=1001,"1001+"
)</f>
        <v>101–250</v>
      </c>
    </row>
    <row r="2432" spans="1:12" x14ac:dyDescent="0.3">
      <c r="A2432" t="s">
        <v>4800</v>
      </c>
      <c r="B2432" t="s">
        <v>9</v>
      </c>
      <c r="C2432" t="s">
        <v>5780</v>
      </c>
      <c r="D2432" t="s">
        <v>4801</v>
      </c>
      <c r="E2432" t="s">
        <v>15</v>
      </c>
      <c r="F2432" t="s">
        <v>20</v>
      </c>
      <c r="G2432" t="s">
        <v>21</v>
      </c>
      <c r="J2432" t="s">
        <v>5754</v>
      </c>
      <c r="K2432">
        <v>250</v>
      </c>
      <c r="L2432" t="str" cm="1">
        <f t="array" ref="L2432">_xlfn.IFS(
 K2432&lt;=50,"≤50",
 AND(K2432&gt;=51,K2432&lt;=100),"51–100",
 AND(K2432&gt;=101,K2432&lt;=250),"101–250",
 AND(K2432&gt;=251,K2432&lt;=500),"251–500",
 AND(K2432&gt;=501,K2432&lt;=1000),"501–1000",
 K2432&gt;=1001,"1001+"
)</f>
        <v>101–250</v>
      </c>
    </row>
    <row r="2433" spans="1:12" x14ac:dyDescent="0.3">
      <c r="A2433" t="s">
        <v>4802</v>
      </c>
      <c r="B2433" t="s">
        <v>13</v>
      </c>
      <c r="C2433" t="s">
        <v>5777</v>
      </c>
      <c r="D2433" t="s">
        <v>4803</v>
      </c>
      <c r="F2433" t="s">
        <v>16</v>
      </c>
      <c r="G2433" t="s">
        <v>4804</v>
      </c>
      <c r="J2433" t="s">
        <v>5737</v>
      </c>
      <c r="K2433">
        <v>250</v>
      </c>
      <c r="L2433" t="str" cm="1">
        <f t="array" ref="L2433">_xlfn.IFS(
 K2433&lt;=50,"≤50",
 AND(K2433&gt;=51,K2433&lt;=100),"51–100",
 AND(K2433&gt;=101,K2433&lt;=250),"101–250",
 AND(K2433&gt;=251,K2433&lt;=500),"251–500",
 AND(K2433&gt;=501,K2433&lt;=1000),"501–1000",
 K2433&gt;=1001,"1001+"
)</f>
        <v>101–250</v>
      </c>
    </row>
    <row r="2434" spans="1:12" x14ac:dyDescent="0.3">
      <c r="A2434" t="s">
        <v>4805</v>
      </c>
      <c r="B2434" t="s">
        <v>13</v>
      </c>
      <c r="C2434" t="s">
        <v>5777</v>
      </c>
      <c r="D2434" t="s">
        <v>4806</v>
      </c>
      <c r="F2434" t="s">
        <v>54</v>
      </c>
      <c r="G2434" t="s">
        <v>4807</v>
      </c>
      <c r="J2434" t="s">
        <v>5737</v>
      </c>
      <c r="K2434">
        <v>250</v>
      </c>
      <c r="L2434" t="str" cm="1">
        <f t="array" ref="L2434">_xlfn.IFS(
 K2434&lt;=50,"≤50",
 AND(K2434&gt;=51,K2434&lt;=100),"51–100",
 AND(K2434&gt;=101,K2434&lt;=250),"101–250",
 AND(K2434&gt;=251,K2434&lt;=500),"251–500",
 AND(K2434&gt;=501,K2434&lt;=1000),"501–1000",
 K2434&gt;=1001,"1001+"
)</f>
        <v>101–250</v>
      </c>
    </row>
    <row r="2435" spans="1:12" x14ac:dyDescent="0.3">
      <c r="A2435" t="s">
        <v>4808</v>
      </c>
      <c r="B2435" t="s">
        <v>9</v>
      </c>
      <c r="C2435" t="s">
        <v>5780</v>
      </c>
      <c r="D2435" t="s">
        <v>4809</v>
      </c>
      <c r="E2435" t="s">
        <v>15</v>
      </c>
      <c r="F2435" t="s">
        <v>20</v>
      </c>
      <c r="G2435" t="s">
        <v>4810</v>
      </c>
      <c r="J2435" t="s">
        <v>5742</v>
      </c>
      <c r="K2435">
        <v>250</v>
      </c>
      <c r="L2435" t="str" cm="1">
        <f t="array" ref="L2435">_xlfn.IFS(
 K2435&lt;=50,"≤50",
 AND(K2435&gt;=51,K2435&lt;=100),"51–100",
 AND(K2435&gt;=101,K2435&lt;=250),"101–250",
 AND(K2435&gt;=251,K2435&lt;=500),"251–500",
 AND(K2435&gt;=501,K2435&lt;=1000),"501–1000",
 K2435&gt;=1001,"1001+"
)</f>
        <v>101–250</v>
      </c>
    </row>
    <row r="2436" spans="1:12" x14ac:dyDescent="0.3">
      <c r="A2436" t="s">
        <v>4811</v>
      </c>
      <c r="B2436" t="s">
        <v>9</v>
      </c>
      <c r="C2436" t="s">
        <v>5780</v>
      </c>
      <c r="D2436" t="s">
        <v>4812</v>
      </c>
      <c r="E2436" t="s">
        <v>15</v>
      </c>
      <c r="F2436" t="s">
        <v>54</v>
      </c>
      <c r="G2436" t="s">
        <v>4813</v>
      </c>
      <c r="J2436" t="s">
        <v>5738</v>
      </c>
      <c r="K2436">
        <v>250</v>
      </c>
      <c r="L2436" t="str" cm="1">
        <f t="array" ref="L2436">_xlfn.IFS(
 K2436&lt;=50,"≤50",
 AND(K2436&gt;=51,K2436&lt;=100),"51–100",
 AND(K2436&gt;=101,K2436&lt;=250),"101–250",
 AND(K2436&gt;=251,K2436&lt;=500),"251–500",
 AND(K2436&gt;=501,K2436&lt;=1000),"501–1000",
 K2436&gt;=1001,"1001+"
)</f>
        <v>101–250</v>
      </c>
    </row>
    <row r="2437" spans="1:12" x14ac:dyDescent="0.3">
      <c r="A2437" t="s">
        <v>4814</v>
      </c>
      <c r="B2437" t="s">
        <v>13</v>
      </c>
      <c r="C2437" t="s">
        <v>5777</v>
      </c>
      <c r="D2437" t="s">
        <v>4815</v>
      </c>
      <c r="F2437" t="s">
        <v>20</v>
      </c>
      <c r="G2437" t="s">
        <v>4816</v>
      </c>
      <c r="J2437" t="s">
        <v>5737</v>
      </c>
      <c r="K2437">
        <v>250</v>
      </c>
      <c r="L2437" t="str" cm="1">
        <f t="array" ref="L2437">_xlfn.IFS(
 K2437&lt;=50,"≤50",
 AND(K2437&gt;=51,K2437&lt;=100),"51–100",
 AND(K2437&gt;=101,K2437&lt;=250),"101–250",
 AND(K2437&gt;=251,K2437&lt;=500),"251–500",
 AND(K2437&gt;=501,K2437&lt;=1000),"501–1000",
 K2437&gt;=1001,"1001+"
)</f>
        <v>101–250</v>
      </c>
    </row>
    <row r="2438" spans="1:12" x14ac:dyDescent="0.3">
      <c r="A2438" t="s">
        <v>4817</v>
      </c>
      <c r="B2438" t="s">
        <v>9</v>
      </c>
      <c r="C2438" t="s">
        <v>5780</v>
      </c>
      <c r="D2438" t="s">
        <v>4818</v>
      </c>
      <c r="E2438" t="s">
        <v>15</v>
      </c>
      <c r="F2438" t="s">
        <v>20</v>
      </c>
      <c r="G2438" t="s">
        <v>4819</v>
      </c>
      <c r="J2438" t="s">
        <v>5738</v>
      </c>
      <c r="K2438">
        <v>250</v>
      </c>
      <c r="L2438" t="str" cm="1">
        <f t="array" ref="L2438">_xlfn.IFS(
 K2438&lt;=50,"≤50",
 AND(K2438&gt;=51,K2438&lt;=100),"51–100",
 AND(K2438&gt;=101,K2438&lt;=250),"101–250",
 AND(K2438&gt;=251,K2438&lt;=500),"251–500",
 AND(K2438&gt;=501,K2438&lt;=1000),"501–1000",
 K2438&gt;=1001,"1001+"
)</f>
        <v>101–250</v>
      </c>
    </row>
    <row r="2439" spans="1:12" x14ac:dyDescent="0.3">
      <c r="A2439" t="s">
        <v>4820</v>
      </c>
      <c r="B2439" t="s">
        <v>9</v>
      </c>
      <c r="C2439" t="s">
        <v>5780</v>
      </c>
      <c r="D2439" t="s">
        <v>841</v>
      </c>
      <c r="F2439" t="s">
        <v>5770</v>
      </c>
      <c r="J2439" t="s">
        <v>5752</v>
      </c>
      <c r="K2439">
        <v>250</v>
      </c>
      <c r="L2439" t="str" cm="1">
        <f t="array" ref="L2439">_xlfn.IFS(
 K2439&lt;=50,"≤50",
 AND(K2439&gt;=51,K2439&lt;=100),"51–100",
 AND(K2439&gt;=101,K2439&lt;=250),"101–250",
 AND(K2439&gt;=251,K2439&lt;=500),"251–500",
 AND(K2439&gt;=501,K2439&lt;=1000),"501–1000",
 K2439&gt;=1001,"1001+"
)</f>
        <v>101–250</v>
      </c>
    </row>
    <row r="2440" spans="1:12" x14ac:dyDescent="0.3">
      <c r="A2440" t="s">
        <v>4821</v>
      </c>
      <c r="B2440" t="s">
        <v>9</v>
      </c>
      <c r="C2440" t="s">
        <v>5780</v>
      </c>
      <c r="D2440" t="s">
        <v>51</v>
      </c>
      <c r="E2440" t="s">
        <v>15</v>
      </c>
      <c r="F2440" t="s">
        <v>54</v>
      </c>
      <c r="G2440" t="s">
        <v>588</v>
      </c>
      <c r="J2440" t="s">
        <v>5757</v>
      </c>
      <c r="K2440">
        <v>250</v>
      </c>
      <c r="L2440" t="str" cm="1">
        <f t="array" ref="L2440">_xlfn.IFS(
 K2440&lt;=50,"≤50",
 AND(K2440&gt;=51,K2440&lt;=100),"51–100",
 AND(K2440&gt;=101,K2440&lt;=250),"101–250",
 AND(K2440&gt;=251,K2440&lt;=500),"251–500",
 AND(K2440&gt;=501,K2440&lt;=1000),"501–1000",
 K2440&gt;=1001,"1001+"
)</f>
        <v>101–250</v>
      </c>
    </row>
    <row r="2441" spans="1:12" x14ac:dyDescent="0.3">
      <c r="A2441" t="s">
        <v>4822</v>
      </c>
      <c r="B2441" t="s">
        <v>13</v>
      </c>
      <c r="C2441" t="s">
        <v>5777</v>
      </c>
      <c r="D2441" t="s">
        <v>112</v>
      </c>
      <c r="E2441" t="s">
        <v>15</v>
      </c>
      <c r="F2441" t="s">
        <v>54</v>
      </c>
      <c r="G2441" t="s">
        <v>588</v>
      </c>
      <c r="J2441" t="s">
        <v>5743</v>
      </c>
      <c r="K2441">
        <v>250</v>
      </c>
      <c r="L2441" t="str" cm="1">
        <f t="array" ref="L2441">_xlfn.IFS(
 K2441&lt;=50,"≤50",
 AND(K2441&gt;=51,K2441&lt;=100),"51–100",
 AND(K2441&gt;=101,K2441&lt;=250),"101–250",
 AND(K2441&gt;=251,K2441&lt;=500),"251–500",
 AND(K2441&gt;=501,K2441&lt;=1000),"501–1000",
 K2441&gt;=1001,"1001+"
)</f>
        <v>101–250</v>
      </c>
    </row>
    <row r="2442" spans="1:12" x14ac:dyDescent="0.3">
      <c r="A2442" t="s">
        <v>4823</v>
      </c>
      <c r="B2442" t="s">
        <v>9</v>
      </c>
      <c r="C2442" t="s">
        <v>5780</v>
      </c>
      <c r="D2442" t="s">
        <v>4824</v>
      </c>
      <c r="E2442" t="s">
        <v>15</v>
      </c>
      <c r="F2442" t="s">
        <v>20</v>
      </c>
      <c r="G2442" t="s">
        <v>135</v>
      </c>
      <c r="J2442" t="s">
        <v>5751</v>
      </c>
      <c r="K2442">
        <v>250</v>
      </c>
      <c r="L2442" t="str" cm="1">
        <f t="array" ref="L2442">_xlfn.IFS(
 K2442&lt;=50,"≤50",
 AND(K2442&gt;=51,K2442&lt;=100),"51–100",
 AND(K2442&gt;=101,K2442&lt;=250),"101–250",
 AND(K2442&gt;=251,K2442&lt;=500),"251–500",
 AND(K2442&gt;=501,K2442&lt;=1000),"501–1000",
 K2442&gt;=1001,"1001+"
)</f>
        <v>101–250</v>
      </c>
    </row>
    <row r="2443" spans="1:12" x14ac:dyDescent="0.3">
      <c r="A2443" t="s">
        <v>4825</v>
      </c>
      <c r="B2443" t="s">
        <v>9</v>
      </c>
      <c r="C2443" t="s">
        <v>5780</v>
      </c>
      <c r="D2443" t="s">
        <v>4826</v>
      </c>
      <c r="E2443" t="s">
        <v>15</v>
      </c>
      <c r="F2443" t="s">
        <v>54</v>
      </c>
      <c r="G2443" t="s">
        <v>4827</v>
      </c>
      <c r="J2443" t="s">
        <v>5742</v>
      </c>
      <c r="K2443">
        <v>250</v>
      </c>
      <c r="L2443" t="str" cm="1">
        <f t="array" ref="L2443">_xlfn.IFS(
 K2443&lt;=50,"≤50",
 AND(K2443&gt;=51,K2443&lt;=100),"51–100",
 AND(K2443&gt;=101,K2443&lt;=250),"101–250",
 AND(K2443&gt;=251,K2443&lt;=500),"251–500",
 AND(K2443&gt;=501,K2443&lt;=1000),"501–1000",
 K2443&gt;=1001,"1001+"
)</f>
        <v>101–250</v>
      </c>
    </row>
    <row r="2444" spans="1:12" x14ac:dyDescent="0.3">
      <c r="A2444" t="s">
        <v>4828</v>
      </c>
      <c r="B2444" t="s">
        <v>11</v>
      </c>
      <c r="C2444" t="s">
        <v>5776</v>
      </c>
      <c r="F2444" t="s">
        <v>5770</v>
      </c>
      <c r="J2444" t="s">
        <v>5737</v>
      </c>
      <c r="K2444">
        <v>250</v>
      </c>
      <c r="L2444" t="str" cm="1">
        <f t="array" ref="L2444">_xlfn.IFS(
 K2444&lt;=50,"≤50",
 AND(K2444&gt;=51,K2444&lt;=100),"51–100",
 AND(K2444&gt;=101,K2444&lt;=250),"101–250",
 AND(K2444&gt;=251,K2444&lt;=500),"251–500",
 AND(K2444&gt;=501,K2444&lt;=1000),"501–1000",
 K2444&gt;=1001,"1001+"
)</f>
        <v>101–250</v>
      </c>
    </row>
    <row r="2445" spans="1:12" x14ac:dyDescent="0.3">
      <c r="A2445" t="s">
        <v>4829</v>
      </c>
      <c r="B2445" t="s">
        <v>9</v>
      </c>
      <c r="C2445" t="s">
        <v>5780</v>
      </c>
      <c r="D2445" t="s">
        <v>4830</v>
      </c>
      <c r="F2445" t="s">
        <v>16</v>
      </c>
      <c r="G2445" t="s">
        <v>4831</v>
      </c>
      <c r="H2445" t="s">
        <v>15</v>
      </c>
      <c r="I2445" t="s">
        <v>4832</v>
      </c>
      <c r="J2445" t="s">
        <v>5737</v>
      </c>
      <c r="K2445">
        <v>250</v>
      </c>
      <c r="L2445" t="str" cm="1">
        <f t="array" ref="L2445">_xlfn.IFS(
 K2445&lt;=50,"≤50",
 AND(K2445&gt;=51,K2445&lt;=100),"51–100",
 AND(K2445&gt;=101,K2445&lt;=250),"101–250",
 AND(K2445&gt;=251,K2445&lt;=500),"251–500",
 AND(K2445&gt;=501,K2445&lt;=1000),"501–1000",
 K2445&gt;=1001,"1001+"
)</f>
        <v>101–250</v>
      </c>
    </row>
    <row r="2446" spans="1:12" x14ac:dyDescent="0.3">
      <c r="A2446" t="s">
        <v>4833</v>
      </c>
      <c r="B2446" t="s">
        <v>13</v>
      </c>
      <c r="C2446" t="s">
        <v>5777</v>
      </c>
      <c r="D2446" t="s">
        <v>4834</v>
      </c>
      <c r="E2446" t="s">
        <v>15</v>
      </c>
      <c r="F2446" t="s">
        <v>20</v>
      </c>
      <c r="G2446" t="s">
        <v>4835</v>
      </c>
      <c r="J2446" t="s">
        <v>5753</v>
      </c>
      <c r="K2446">
        <v>250</v>
      </c>
      <c r="L2446" t="str" cm="1">
        <f t="array" ref="L2446">_xlfn.IFS(
 K2446&lt;=50,"≤50",
 AND(K2446&gt;=51,K2446&lt;=100),"51–100",
 AND(K2446&gt;=101,K2446&lt;=250),"101–250",
 AND(K2446&gt;=251,K2446&lt;=500),"251–500",
 AND(K2446&gt;=501,K2446&lt;=1000),"501–1000",
 K2446&gt;=1001,"1001+"
)</f>
        <v>101–250</v>
      </c>
    </row>
    <row r="2447" spans="1:12" x14ac:dyDescent="0.3">
      <c r="A2447" t="s">
        <v>4836</v>
      </c>
      <c r="B2447" t="s">
        <v>9</v>
      </c>
      <c r="C2447" t="s">
        <v>5780</v>
      </c>
      <c r="D2447" t="s">
        <v>4837</v>
      </c>
      <c r="E2447" t="s">
        <v>15</v>
      </c>
      <c r="F2447" t="s">
        <v>16</v>
      </c>
      <c r="G2447" t="s">
        <v>4838</v>
      </c>
      <c r="H2447" t="s">
        <v>15</v>
      </c>
      <c r="I2447" t="s">
        <v>4839</v>
      </c>
      <c r="J2447" t="s">
        <v>5738</v>
      </c>
      <c r="K2447">
        <v>250</v>
      </c>
      <c r="L2447" t="str" cm="1">
        <f t="array" ref="L2447">_xlfn.IFS(
 K2447&lt;=50,"≤50",
 AND(K2447&gt;=51,K2447&lt;=100),"51–100",
 AND(K2447&gt;=101,K2447&lt;=250),"101–250",
 AND(K2447&gt;=251,K2447&lt;=500),"251–500",
 AND(K2447&gt;=501,K2447&lt;=1000),"501–1000",
 K2447&gt;=1001,"1001+"
)</f>
        <v>101–250</v>
      </c>
    </row>
    <row r="2448" spans="1:12" x14ac:dyDescent="0.3">
      <c r="A2448" t="s">
        <v>4840</v>
      </c>
      <c r="B2448" t="s">
        <v>13</v>
      </c>
      <c r="C2448" t="s">
        <v>5777</v>
      </c>
      <c r="D2448" t="s">
        <v>4841</v>
      </c>
      <c r="E2448" t="s">
        <v>15</v>
      </c>
      <c r="F2448" t="s">
        <v>54</v>
      </c>
      <c r="G2448" t="s">
        <v>4842</v>
      </c>
      <c r="J2448" t="s">
        <v>5737</v>
      </c>
      <c r="K2448">
        <v>250</v>
      </c>
      <c r="L2448" t="str" cm="1">
        <f t="array" ref="L2448">_xlfn.IFS(
 K2448&lt;=50,"≤50",
 AND(K2448&gt;=51,K2448&lt;=100),"51–100",
 AND(K2448&gt;=101,K2448&lt;=250),"101–250",
 AND(K2448&gt;=251,K2448&lt;=500),"251–500",
 AND(K2448&gt;=501,K2448&lt;=1000),"501–1000",
 K2448&gt;=1001,"1001+"
)</f>
        <v>101–250</v>
      </c>
    </row>
    <row r="2449" spans="1:12" x14ac:dyDescent="0.3">
      <c r="A2449" t="s">
        <v>4843</v>
      </c>
      <c r="B2449" t="s">
        <v>13</v>
      </c>
      <c r="C2449" t="s">
        <v>5777</v>
      </c>
      <c r="D2449" t="s">
        <v>4844</v>
      </c>
      <c r="F2449" t="s">
        <v>20</v>
      </c>
      <c r="G2449" t="s">
        <v>4845</v>
      </c>
      <c r="J2449" t="s">
        <v>5737</v>
      </c>
      <c r="K2449">
        <v>250</v>
      </c>
      <c r="L2449" t="str" cm="1">
        <f t="array" ref="L2449">_xlfn.IFS(
 K2449&lt;=50,"≤50",
 AND(K2449&gt;=51,K2449&lt;=100),"51–100",
 AND(K2449&gt;=101,K2449&lt;=250),"101–250",
 AND(K2449&gt;=251,K2449&lt;=500),"251–500",
 AND(K2449&gt;=501,K2449&lt;=1000),"501–1000",
 K2449&gt;=1001,"1001+"
)</f>
        <v>101–250</v>
      </c>
    </row>
    <row r="2450" spans="1:12" x14ac:dyDescent="0.3">
      <c r="A2450" t="s">
        <v>4846</v>
      </c>
      <c r="B2450" t="s">
        <v>197</v>
      </c>
      <c r="C2450" t="s">
        <v>5774</v>
      </c>
      <c r="D2450" t="s">
        <v>4847</v>
      </c>
      <c r="E2450" t="s">
        <v>15</v>
      </c>
      <c r="F2450" t="s">
        <v>16</v>
      </c>
      <c r="G2450" t="s">
        <v>4848</v>
      </c>
      <c r="J2450" t="s">
        <v>5737</v>
      </c>
      <c r="K2450">
        <v>250</v>
      </c>
      <c r="L2450" t="str" cm="1">
        <f t="array" ref="L2450">_xlfn.IFS(
 K2450&lt;=50,"≤50",
 AND(K2450&gt;=51,K2450&lt;=100),"51–100",
 AND(K2450&gt;=101,K2450&lt;=250),"101–250",
 AND(K2450&gt;=251,K2450&lt;=500),"251–500",
 AND(K2450&gt;=501,K2450&lt;=1000),"501–1000",
 K2450&gt;=1001,"1001+"
)</f>
        <v>101–250</v>
      </c>
    </row>
    <row r="2451" spans="1:12" x14ac:dyDescent="0.3">
      <c r="A2451" t="s">
        <v>4849</v>
      </c>
      <c r="B2451" t="s">
        <v>9</v>
      </c>
      <c r="C2451" t="s">
        <v>5780</v>
      </c>
      <c r="D2451" t="s">
        <v>4850</v>
      </c>
      <c r="E2451" t="s">
        <v>15</v>
      </c>
      <c r="F2451" t="s">
        <v>20</v>
      </c>
      <c r="G2451" t="s">
        <v>21</v>
      </c>
      <c r="J2451" t="s">
        <v>5737</v>
      </c>
      <c r="K2451">
        <v>250</v>
      </c>
      <c r="L2451" t="str" cm="1">
        <f t="array" ref="L2451">_xlfn.IFS(
 K2451&lt;=50,"≤50",
 AND(K2451&gt;=51,K2451&lt;=100),"51–100",
 AND(K2451&gt;=101,K2451&lt;=250),"101–250",
 AND(K2451&gt;=251,K2451&lt;=500),"251–500",
 AND(K2451&gt;=501,K2451&lt;=1000),"501–1000",
 K2451&gt;=1001,"1001+"
)</f>
        <v>101–250</v>
      </c>
    </row>
    <row r="2452" spans="1:12" x14ac:dyDescent="0.3">
      <c r="A2452" t="s">
        <v>4851</v>
      </c>
      <c r="B2452" t="s">
        <v>11</v>
      </c>
      <c r="C2452" t="s">
        <v>5776</v>
      </c>
      <c r="F2452" t="s">
        <v>5770</v>
      </c>
      <c r="J2452" t="s">
        <v>5747</v>
      </c>
      <c r="K2452">
        <v>250</v>
      </c>
      <c r="L2452" t="str" cm="1">
        <f t="array" ref="L2452">_xlfn.IFS(
 K2452&lt;=50,"≤50",
 AND(K2452&gt;=51,K2452&lt;=100),"51–100",
 AND(K2452&gt;=101,K2452&lt;=250),"101–250",
 AND(K2452&gt;=251,K2452&lt;=500),"251–500",
 AND(K2452&gt;=501,K2452&lt;=1000),"501–1000",
 K2452&gt;=1001,"1001+"
)</f>
        <v>101–250</v>
      </c>
    </row>
    <row r="2453" spans="1:12" x14ac:dyDescent="0.3">
      <c r="A2453" t="s">
        <v>4852</v>
      </c>
      <c r="B2453" t="s">
        <v>11</v>
      </c>
      <c r="C2453" t="s">
        <v>5776</v>
      </c>
      <c r="F2453" t="s">
        <v>20</v>
      </c>
      <c r="G2453" t="s">
        <v>1423</v>
      </c>
      <c r="J2453" t="s">
        <v>5746</v>
      </c>
      <c r="K2453">
        <v>250</v>
      </c>
      <c r="L2453" t="str" cm="1">
        <f t="array" ref="L2453">_xlfn.IFS(
 K2453&lt;=50,"≤50",
 AND(K2453&gt;=51,K2453&lt;=100),"51–100",
 AND(K2453&gt;=101,K2453&lt;=250),"101–250",
 AND(K2453&gt;=251,K2453&lt;=500),"251–500",
 AND(K2453&gt;=501,K2453&lt;=1000),"501–1000",
 K2453&gt;=1001,"1001+"
)</f>
        <v>101–250</v>
      </c>
    </row>
    <row r="2454" spans="1:12" x14ac:dyDescent="0.3">
      <c r="A2454" t="s">
        <v>4853</v>
      </c>
      <c r="B2454" t="s">
        <v>9</v>
      </c>
      <c r="C2454" t="s">
        <v>5780</v>
      </c>
      <c r="D2454" t="s">
        <v>4854</v>
      </c>
      <c r="F2454" t="s">
        <v>20</v>
      </c>
      <c r="G2454" t="s">
        <v>4855</v>
      </c>
      <c r="J2454" t="s">
        <v>5737</v>
      </c>
      <c r="K2454">
        <v>250</v>
      </c>
      <c r="L2454" t="str" cm="1">
        <f t="array" ref="L2454">_xlfn.IFS(
 K2454&lt;=50,"≤50",
 AND(K2454&gt;=51,K2454&lt;=100),"51–100",
 AND(K2454&gt;=101,K2454&lt;=250),"101–250",
 AND(K2454&gt;=251,K2454&lt;=500),"251–500",
 AND(K2454&gt;=501,K2454&lt;=1000),"501–1000",
 K2454&gt;=1001,"1001+"
)</f>
        <v>101–250</v>
      </c>
    </row>
    <row r="2455" spans="1:12" x14ac:dyDescent="0.3">
      <c r="A2455" t="s">
        <v>4856</v>
      </c>
      <c r="B2455" t="s">
        <v>9</v>
      </c>
      <c r="C2455" t="s">
        <v>5780</v>
      </c>
      <c r="D2455" t="s">
        <v>841</v>
      </c>
      <c r="F2455" t="s">
        <v>5770</v>
      </c>
      <c r="J2455" t="s">
        <v>5737</v>
      </c>
      <c r="K2455">
        <v>250</v>
      </c>
      <c r="L2455" t="str" cm="1">
        <f t="array" ref="L2455">_xlfn.IFS(
 K2455&lt;=50,"≤50",
 AND(K2455&gt;=51,K2455&lt;=100),"51–100",
 AND(K2455&gt;=101,K2455&lt;=250),"101–250",
 AND(K2455&gt;=251,K2455&lt;=500),"251–500",
 AND(K2455&gt;=501,K2455&lt;=1000),"501–1000",
 K2455&gt;=1001,"1001+"
)</f>
        <v>101–250</v>
      </c>
    </row>
    <row r="2456" spans="1:12" x14ac:dyDescent="0.3">
      <c r="A2456" t="s">
        <v>4857</v>
      </c>
      <c r="B2456" t="s">
        <v>9</v>
      </c>
      <c r="C2456" t="s">
        <v>5780</v>
      </c>
      <c r="D2456" t="s">
        <v>4858</v>
      </c>
      <c r="F2456" t="s">
        <v>20</v>
      </c>
      <c r="G2456" t="s">
        <v>21</v>
      </c>
      <c r="J2456" t="s">
        <v>5737</v>
      </c>
      <c r="K2456">
        <v>250</v>
      </c>
      <c r="L2456" t="str" cm="1">
        <f t="array" ref="L2456">_xlfn.IFS(
 K2456&lt;=50,"≤50",
 AND(K2456&gt;=51,K2456&lt;=100),"51–100",
 AND(K2456&gt;=101,K2456&lt;=250),"101–250",
 AND(K2456&gt;=251,K2456&lt;=500),"251–500",
 AND(K2456&gt;=501,K2456&lt;=1000),"501–1000",
 K2456&gt;=1001,"1001+"
)</f>
        <v>101–250</v>
      </c>
    </row>
    <row r="2457" spans="1:12" x14ac:dyDescent="0.3">
      <c r="A2457" t="s">
        <v>4859</v>
      </c>
      <c r="B2457" t="s">
        <v>11</v>
      </c>
      <c r="C2457" t="s">
        <v>5776</v>
      </c>
      <c r="E2457" t="s">
        <v>15</v>
      </c>
      <c r="F2457" t="s">
        <v>5770</v>
      </c>
      <c r="J2457" t="s">
        <v>5737</v>
      </c>
      <c r="K2457">
        <v>250</v>
      </c>
      <c r="L2457" t="str" cm="1">
        <f t="array" ref="L2457">_xlfn.IFS(
 K2457&lt;=50,"≤50",
 AND(K2457&gt;=51,K2457&lt;=100),"51–100",
 AND(K2457&gt;=101,K2457&lt;=250),"101–250",
 AND(K2457&gt;=251,K2457&lt;=500),"251–500",
 AND(K2457&gt;=501,K2457&lt;=1000),"501–1000",
 K2457&gt;=1001,"1001+"
)</f>
        <v>101–250</v>
      </c>
    </row>
    <row r="2458" spans="1:12" x14ac:dyDescent="0.3">
      <c r="A2458" t="s">
        <v>4860</v>
      </c>
      <c r="B2458" t="s">
        <v>9</v>
      </c>
      <c r="C2458" t="s">
        <v>5780</v>
      </c>
      <c r="D2458" t="s">
        <v>4861</v>
      </c>
      <c r="E2458" t="s">
        <v>15</v>
      </c>
      <c r="F2458" t="s">
        <v>54</v>
      </c>
      <c r="G2458" t="s">
        <v>4862</v>
      </c>
      <c r="J2458" t="s">
        <v>5747</v>
      </c>
      <c r="K2458">
        <v>250</v>
      </c>
      <c r="L2458" t="str" cm="1">
        <f t="array" ref="L2458">_xlfn.IFS(
 K2458&lt;=50,"≤50",
 AND(K2458&gt;=51,K2458&lt;=100),"51–100",
 AND(K2458&gt;=101,K2458&lt;=250),"101–250",
 AND(K2458&gt;=251,K2458&lt;=500),"251–500",
 AND(K2458&gt;=501,K2458&lt;=1000),"501–1000",
 K2458&gt;=1001,"1001+"
)</f>
        <v>101–250</v>
      </c>
    </row>
    <row r="2459" spans="1:12" x14ac:dyDescent="0.3">
      <c r="A2459" t="s">
        <v>4863</v>
      </c>
      <c r="B2459" t="s">
        <v>13</v>
      </c>
      <c r="C2459" t="s">
        <v>5777</v>
      </c>
      <c r="D2459" t="s">
        <v>4864</v>
      </c>
      <c r="E2459" t="s">
        <v>15</v>
      </c>
      <c r="F2459" t="s">
        <v>20</v>
      </c>
      <c r="G2459" t="s">
        <v>4865</v>
      </c>
      <c r="J2459" t="s">
        <v>5737</v>
      </c>
      <c r="K2459">
        <v>250</v>
      </c>
      <c r="L2459" t="str" cm="1">
        <f t="array" ref="L2459">_xlfn.IFS(
 K2459&lt;=50,"≤50",
 AND(K2459&gt;=51,K2459&lt;=100),"51–100",
 AND(K2459&gt;=101,K2459&lt;=250),"101–250",
 AND(K2459&gt;=251,K2459&lt;=500),"251–500",
 AND(K2459&gt;=501,K2459&lt;=1000),"501–1000",
 K2459&gt;=1001,"1001+"
)</f>
        <v>101–250</v>
      </c>
    </row>
    <row r="2460" spans="1:12" x14ac:dyDescent="0.3">
      <c r="A2460" t="s">
        <v>4866</v>
      </c>
      <c r="B2460" t="s">
        <v>11</v>
      </c>
      <c r="C2460" t="s">
        <v>5776</v>
      </c>
      <c r="F2460" t="s">
        <v>5770</v>
      </c>
      <c r="J2460" t="s">
        <v>5743</v>
      </c>
      <c r="K2460">
        <v>250</v>
      </c>
      <c r="L2460" t="str" cm="1">
        <f t="array" ref="L2460">_xlfn.IFS(
 K2460&lt;=50,"≤50",
 AND(K2460&gt;=51,K2460&lt;=100),"51–100",
 AND(K2460&gt;=101,K2460&lt;=250),"101–250",
 AND(K2460&gt;=251,K2460&lt;=500),"251–500",
 AND(K2460&gt;=501,K2460&lt;=1000),"501–1000",
 K2460&gt;=1001,"1001+"
)</f>
        <v>101–250</v>
      </c>
    </row>
    <row r="2461" spans="1:12" x14ac:dyDescent="0.3">
      <c r="A2461" t="s">
        <v>4867</v>
      </c>
      <c r="B2461" t="s">
        <v>13</v>
      </c>
      <c r="C2461" t="s">
        <v>5777</v>
      </c>
      <c r="D2461" t="s">
        <v>4868</v>
      </c>
      <c r="E2461" t="s">
        <v>15</v>
      </c>
      <c r="F2461" t="s">
        <v>54</v>
      </c>
      <c r="G2461" t="s">
        <v>4869</v>
      </c>
      <c r="J2461" t="s">
        <v>5737</v>
      </c>
      <c r="K2461">
        <v>250</v>
      </c>
      <c r="L2461" t="str" cm="1">
        <f t="array" ref="L2461">_xlfn.IFS(
 K2461&lt;=50,"≤50",
 AND(K2461&gt;=51,K2461&lt;=100),"51–100",
 AND(K2461&gt;=101,K2461&lt;=250),"101–250",
 AND(K2461&gt;=251,K2461&lt;=500),"251–500",
 AND(K2461&gt;=501,K2461&lt;=1000),"501–1000",
 K2461&gt;=1001,"1001+"
)</f>
        <v>101–250</v>
      </c>
    </row>
    <row r="2462" spans="1:12" x14ac:dyDescent="0.3">
      <c r="A2462" t="s">
        <v>4870</v>
      </c>
      <c r="B2462" t="s">
        <v>11</v>
      </c>
      <c r="C2462" t="s">
        <v>5776</v>
      </c>
      <c r="F2462" t="s">
        <v>5770</v>
      </c>
      <c r="J2462" t="s">
        <v>5737</v>
      </c>
      <c r="K2462">
        <v>250</v>
      </c>
      <c r="L2462" t="str" cm="1">
        <f t="array" ref="L2462">_xlfn.IFS(
 K2462&lt;=50,"≤50",
 AND(K2462&gt;=51,K2462&lt;=100),"51–100",
 AND(K2462&gt;=101,K2462&lt;=250),"101–250",
 AND(K2462&gt;=251,K2462&lt;=500),"251–500",
 AND(K2462&gt;=501,K2462&lt;=1000),"501–1000",
 K2462&gt;=1001,"1001+"
)</f>
        <v>101–250</v>
      </c>
    </row>
    <row r="2463" spans="1:12" x14ac:dyDescent="0.3">
      <c r="A2463" t="s">
        <v>4871</v>
      </c>
      <c r="B2463" t="s">
        <v>13</v>
      </c>
      <c r="C2463" t="s">
        <v>5777</v>
      </c>
      <c r="D2463" t="s">
        <v>4872</v>
      </c>
      <c r="E2463" t="s">
        <v>15</v>
      </c>
      <c r="F2463" t="s">
        <v>20</v>
      </c>
      <c r="G2463" t="s">
        <v>4873</v>
      </c>
      <c r="J2463" t="s">
        <v>5744</v>
      </c>
      <c r="K2463">
        <v>250</v>
      </c>
      <c r="L2463" t="str" cm="1">
        <f t="array" ref="L2463">_xlfn.IFS(
 K2463&lt;=50,"≤50",
 AND(K2463&gt;=51,K2463&lt;=100),"51–100",
 AND(K2463&gt;=101,K2463&lt;=250),"101–250",
 AND(K2463&gt;=251,K2463&lt;=500),"251–500",
 AND(K2463&gt;=501,K2463&lt;=1000),"501–1000",
 K2463&gt;=1001,"1001+"
)</f>
        <v>101–250</v>
      </c>
    </row>
    <row r="2464" spans="1:12" x14ac:dyDescent="0.3">
      <c r="A2464" t="s">
        <v>4874</v>
      </c>
      <c r="B2464" t="s">
        <v>13</v>
      </c>
      <c r="C2464" t="s">
        <v>5777</v>
      </c>
      <c r="D2464" t="s">
        <v>4875</v>
      </c>
      <c r="E2464" t="s">
        <v>15</v>
      </c>
      <c r="F2464" t="s">
        <v>16</v>
      </c>
      <c r="G2464" t="s">
        <v>4876</v>
      </c>
      <c r="J2464" t="s">
        <v>5737</v>
      </c>
      <c r="K2464">
        <v>251</v>
      </c>
      <c r="L2464" t="str" cm="1">
        <f t="array" ref="L2464">_xlfn.IFS(
 K2464&lt;=50,"≤50",
 AND(K2464&gt;=51,K2464&lt;=100),"51–100",
 AND(K2464&gt;=101,K2464&lt;=250),"101–250",
 AND(K2464&gt;=251,K2464&lt;=500),"251–500",
 AND(K2464&gt;=501,K2464&lt;=1000),"501–1000",
 K2464&gt;=1001,"1001+"
)</f>
        <v>251–500</v>
      </c>
    </row>
    <row r="2465" spans="1:12" x14ac:dyDescent="0.3">
      <c r="A2465" t="s">
        <v>4877</v>
      </c>
      <c r="B2465" t="s">
        <v>11</v>
      </c>
      <c r="C2465" t="s">
        <v>5776</v>
      </c>
      <c r="F2465" t="s">
        <v>5770</v>
      </c>
      <c r="J2465" t="s">
        <v>5738</v>
      </c>
      <c r="K2465">
        <v>260</v>
      </c>
      <c r="L2465" t="str" cm="1">
        <f t="array" ref="L2465">_xlfn.IFS(
 K2465&lt;=50,"≤50",
 AND(K2465&gt;=51,K2465&lt;=100),"51–100",
 AND(K2465&gt;=101,K2465&lt;=250),"101–250",
 AND(K2465&gt;=251,K2465&lt;=500),"251–500",
 AND(K2465&gt;=501,K2465&lt;=1000),"501–1000",
 K2465&gt;=1001,"1001+"
)</f>
        <v>251–500</v>
      </c>
    </row>
    <row r="2466" spans="1:12" x14ac:dyDescent="0.3">
      <c r="A2466" t="s">
        <v>4878</v>
      </c>
      <c r="B2466" t="s">
        <v>9</v>
      </c>
      <c r="C2466" t="s">
        <v>5780</v>
      </c>
      <c r="D2466" t="s">
        <v>4879</v>
      </c>
      <c r="E2466" t="s">
        <v>15</v>
      </c>
      <c r="F2466" t="s">
        <v>20</v>
      </c>
      <c r="G2466" t="s">
        <v>21</v>
      </c>
      <c r="J2466" t="s">
        <v>5737</v>
      </c>
      <c r="K2466">
        <v>260</v>
      </c>
      <c r="L2466" t="str" cm="1">
        <f t="array" ref="L2466">_xlfn.IFS(
 K2466&lt;=50,"≤50",
 AND(K2466&gt;=51,K2466&lt;=100),"51–100",
 AND(K2466&gt;=101,K2466&lt;=250),"101–250",
 AND(K2466&gt;=251,K2466&lt;=500),"251–500",
 AND(K2466&gt;=501,K2466&lt;=1000),"501–1000",
 K2466&gt;=1001,"1001+"
)</f>
        <v>251–500</v>
      </c>
    </row>
    <row r="2467" spans="1:12" x14ac:dyDescent="0.3">
      <c r="A2467" t="s">
        <v>4880</v>
      </c>
      <c r="B2467" t="s">
        <v>9</v>
      </c>
      <c r="C2467" t="s">
        <v>5780</v>
      </c>
      <c r="D2467" t="s">
        <v>4881</v>
      </c>
      <c r="E2467" t="s">
        <v>15</v>
      </c>
      <c r="F2467" t="s">
        <v>54</v>
      </c>
      <c r="G2467" t="s">
        <v>4882</v>
      </c>
      <c r="J2467" t="s">
        <v>5743</v>
      </c>
      <c r="K2467">
        <v>260</v>
      </c>
      <c r="L2467" t="str" cm="1">
        <f t="array" ref="L2467">_xlfn.IFS(
 K2467&lt;=50,"≤50",
 AND(K2467&gt;=51,K2467&lt;=100),"51–100",
 AND(K2467&gt;=101,K2467&lt;=250),"101–250",
 AND(K2467&gt;=251,K2467&lt;=500),"251–500",
 AND(K2467&gt;=501,K2467&lt;=1000),"501–1000",
 K2467&gt;=1001,"1001+"
)</f>
        <v>251–500</v>
      </c>
    </row>
    <row r="2468" spans="1:12" x14ac:dyDescent="0.3">
      <c r="A2468" t="s">
        <v>4883</v>
      </c>
      <c r="B2468" t="s">
        <v>9</v>
      </c>
      <c r="C2468" t="s">
        <v>5780</v>
      </c>
      <c r="D2468" t="s">
        <v>4884</v>
      </c>
      <c r="E2468" t="s">
        <v>15</v>
      </c>
      <c r="F2468" t="s">
        <v>20</v>
      </c>
      <c r="G2468" t="s">
        <v>135</v>
      </c>
      <c r="J2468" t="s">
        <v>5737</v>
      </c>
      <c r="K2468">
        <v>260</v>
      </c>
      <c r="L2468" t="str" cm="1">
        <f t="array" ref="L2468">_xlfn.IFS(
 K2468&lt;=50,"≤50",
 AND(K2468&gt;=51,K2468&lt;=100),"51–100",
 AND(K2468&gt;=101,K2468&lt;=250),"101–250",
 AND(K2468&gt;=251,K2468&lt;=500),"251–500",
 AND(K2468&gt;=501,K2468&lt;=1000),"501–1000",
 K2468&gt;=1001,"1001+"
)</f>
        <v>251–500</v>
      </c>
    </row>
    <row r="2469" spans="1:12" x14ac:dyDescent="0.3">
      <c r="A2469" t="s">
        <v>4885</v>
      </c>
      <c r="B2469" t="s">
        <v>9</v>
      </c>
      <c r="C2469" t="s">
        <v>5780</v>
      </c>
      <c r="D2469" t="s">
        <v>4886</v>
      </c>
      <c r="E2469" t="s">
        <v>15</v>
      </c>
      <c r="F2469" t="s">
        <v>20</v>
      </c>
      <c r="G2469" t="s">
        <v>1414</v>
      </c>
      <c r="J2469" t="s">
        <v>5738</v>
      </c>
      <c r="K2469">
        <v>265</v>
      </c>
      <c r="L2469" t="str" cm="1">
        <f t="array" ref="L2469">_xlfn.IFS(
 K2469&lt;=50,"≤50",
 AND(K2469&gt;=51,K2469&lt;=100),"51–100",
 AND(K2469&gt;=101,K2469&lt;=250),"101–250",
 AND(K2469&gt;=251,K2469&lt;=500),"251–500",
 AND(K2469&gt;=501,K2469&lt;=1000),"501–1000",
 K2469&gt;=1001,"1001+"
)</f>
        <v>251–500</v>
      </c>
    </row>
    <row r="2470" spans="1:12" x14ac:dyDescent="0.3">
      <c r="A2470" t="s">
        <v>4887</v>
      </c>
      <c r="B2470" t="s">
        <v>9</v>
      </c>
      <c r="C2470" t="s">
        <v>5780</v>
      </c>
      <c r="D2470" t="s">
        <v>4888</v>
      </c>
      <c r="E2470" t="s">
        <v>15</v>
      </c>
      <c r="F2470" t="s">
        <v>54</v>
      </c>
      <c r="G2470" t="s">
        <v>4889</v>
      </c>
      <c r="J2470" t="s">
        <v>5737</v>
      </c>
      <c r="K2470">
        <v>265</v>
      </c>
      <c r="L2470" t="str" cm="1">
        <f t="array" ref="L2470">_xlfn.IFS(
 K2470&lt;=50,"≤50",
 AND(K2470&gt;=51,K2470&lt;=100),"51–100",
 AND(K2470&gt;=101,K2470&lt;=250),"101–250",
 AND(K2470&gt;=251,K2470&lt;=500),"251–500",
 AND(K2470&gt;=501,K2470&lt;=1000),"501–1000",
 K2470&gt;=1001,"1001+"
)</f>
        <v>251–500</v>
      </c>
    </row>
    <row r="2471" spans="1:12" x14ac:dyDescent="0.3">
      <c r="A2471" t="s">
        <v>4890</v>
      </c>
      <c r="B2471" t="s">
        <v>9</v>
      </c>
      <c r="C2471" t="s">
        <v>5780</v>
      </c>
      <c r="D2471" t="s">
        <v>4891</v>
      </c>
      <c r="F2471" t="s">
        <v>20</v>
      </c>
      <c r="G2471" t="s">
        <v>1222</v>
      </c>
      <c r="J2471" t="s">
        <v>5737</v>
      </c>
      <c r="K2471">
        <v>267</v>
      </c>
      <c r="L2471" t="str" cm="1">
        <f t="array" ref="L2471">_xlfn.IFS(
 K2471&lt;=50,"≤50",
 AND(K2471&gt;=51,K2471&lt;=100),"51–100",
 AND(K2471&gt;=101,K2471&lt;=250),"101–250",
 AND(K2471&gt;=251,K2471&lt;=500),"251–500",
 AND(K2471&gt;=501,K2471&lt;=1000),"501–1000",
 K2471&gt;=1001,"1001+"
)</f>
        <v>251–500</v>
      </c>
    </row>
    <row r="2472" spans="1:12" x14ac:dyDescent="0.3">
      <c r="A2472" t="s">
        <v>4892</v>
      </c>
      <c r="B2472" t="s">
        <v>197</v>
      </c>
      <c r="C2472" t="s">
        <v>5774</v>
      </c>
      <c r="D2472" t="s">
        <v>4893</v>
      </c>
      <c r="F2472" t="s">
        <v>5770</v>
      </c>
      <c r="J2472" t="s">
        <v>5737</v>
      </c>
      <c r="K2472">
        <v>270</v>
      </c>
      <c r="L2472" t="str" cm="1">
        <f t="array" ref="L2472">_xlfn.IFS(
 K2472&lt;=50,"≤50",
 AND(K2472&gt;=51,K2472&lt;=100),"51–100",
 AND(K2472&gt;=101,K2472&lt;=250),"101–250",
 AND(K2472&gt;=251,K2472&lt;=500),"251–500",
 AND(K2472&gt;=501,K2472&lt;=1000),"501–1000",
 K2472&gt;=1001,"1001+"
)</f>
        <v>251–500</v>
      </c>
    </row>
    <row r="2473" spans="1:12" x14ac:dyDescent="0.3">
      <c r="A2473" t="s">
        <v>4894</v>
      </c>
      <c r="B2473" t="s">
        <v>9</v>
      </c>
      <c r="C2473" t="s">
        <v>5780</v>
      </c>
      <c r="D2473" t="s">
        <v>4895</v>
      </c>
      <c r="F2473" t="s">
        <v>5770</v>
      </c>
      <c r="J2473" t="s">
        <v>5737</v>
      </c>
      <c r="K2473">
        <v>270</v>
      </c>
      <c r="L2473" t="str" cm="1">
        <f t="array" ref="L2473">_xlfn.IFS(
 K2473&lt;=50,"≤50",
 AND(K2473&gt;=51,K2473&lt;=100),"51–100",
 AND(K2473&gt;=101,K2473&lt;=250),"101–250",
 AND(K2473&gt;=251,K2473&lt;=500),"251–500",
 AND(K2473&gt;=501,K2473&lt;=1000),"501–1000",
 K2473&gt;=1001,"1001+"
)</f>
        <v>251–500</v>
      </c>
    </row>
    <row r="2474" spans="1:12" x14ac:dyDescent="0.3">
      <c r="A2474" t="s">
        <v>4896</v>
      </c>
      <c r="B2474" t="s">
        <v>197</v>
      </c>
      <c r="C2474" t="s">
        <v>5774</v>
      </c>
      <c r="D2474" t="s">
        <v>4897</v>
      </c>
      <c r="F2474" t="s">
        <v>16</v>
      </c>
      <c r="G2474" t="s">
        <v>4898</v>
      </c>
      <c r="J2474" t="s">
        <v>5759</v>
      </c>
      <c r="K2474">
        <v>270</v>
      </c>
      <c r="L2474" t="str" cm="1">
        <f t="array" ref="L2474">_xlfn.IFS(
 K2474&lt;=50,"≤50",
 AND(K2474&gt;=51,K2474&lt;=100),"51–100",
 AND(K2474&gt;=101,K2474&lt;=250),"101–250",
 AND(K2474&gt;=251,K2474&lt;=500),"251–500",
 AND(K2474&gt;=501,K2474&lt;=1000),"501–1000",
 K2474&gt;=1001,"1001+"
)</f>
        <v>251–500</v>
      </c>
    </row>
    <row r="2475" spans="1:12" x14ac:dyDescent="0.3">
      <c r="A2475" t="s">
        <v>4899</v>
      </c>
      <c r="B2475" t="s">
        <v>13</v>
      </c>
      <c r="C2475" t="s">
        <v>5777</v>
      </c>
      <c r="D2475" t="s">
        <v>4462</v>
      </c>
      <c r="F2475" t="s">
        <v>5770</v>
      </c>
      <c r="J2475" t="s">
        <v>5738</v>
      </c>
      <c r="K2475">
        <v>270</v>
      </c>
      <c r="L2475" t="str" cm="1">
        <f t="array" ref="L2475">_xlfn.IFS(
 K2475&lt;=50,"≤50",
 AND(K2475&gt;=51,K2475&lt;=100),"51–100",
 AND(K2475&gt;=101,K2475&lt;=250),"101–250",
 AND(K2475&gt;=251,K2475&lt;=500),"251–500",
 AND(K2475&gt;=501,K2475&lt;=1000),"501–1000",
 K2475&gt;=1001,"1001+"
)</f>
        <v>251–500</v>
      </c>
    </row>
    <row r="2476" spans="1:12" x14ac:dyDescent="0.3">
      <c r="A2476" t="s">
        <v>4900</v>
      </c>
      <c r="B2476" t="s">
        <v>9</v>
      </c>
      <c r="C2476" t="s">
        <v>5780</v>
      </c>
      <c r="D2476" t="s">
        <v>4901</v>
      </c>
      <c r="E2476" t="s">
        <v>15</v>
      </c>
      <c r="F2476" t="s">
        <v>16</v>
      </c>
      <c r="G2476" t="s">
        <v>4902</v>
      </c>
      <c r="J2476" t="s">
        <v>5760</v>
      </c>
      <c r="K2476">
        <v>275</v>
      </c>
      <c r="L2476" t="str" cm="1">
        <f t="array" ref="L2476">_xlfn.IFS(
 K2476&lt;=50,"≤50",
 AND(K2476&gt;=51,K2476&lt;=100),"51–100",
 AND(K2476&gt;=101,K2476&lt;=250),"101–250",
 AND(K2476&gt;=251,K2476&lt;=500),"251–500",
 AND(K2476&gt;=501,K2476&lt;=1000),"501–1000",
 K2476&gt;=1001,"1001+"
)</f>
        <v>251–500</v>
      </c>
    </row>
    <row r="2477" spans="1:12" x14ac:dyDescent="0.3">
      <c r="A2477" t="s">
        <v>4903</v>
      </c>
      <c r="B2477" t="s">
        <v>9</v>
      </c>
      <c r="C2477" t="s">
        <v>5780</v>
      </c>
      <c r="D2477" t="s">
        <v>4904</v>
      </c>
      <c r="E2477" t="s">
        <v>15</v>
      </c>
      <c r="F2477" t="s">
        <v>54</v>
      </c>
      <c r="G2477" t="s">
        <v>4905</v>
      </c>
      <c r="H2477" t="s">
        <v>15</v>
      </c>
      <c r="I2477" t="s">
        <v>4906</v>
      </c>
      <c r="J2477" t="s">
        <v>5740</v>
      </c>
      <c r="K2477">
        <v>280</v>
      </c>
      <c r="L2477" t="str" cm="1">
        <f t="array" ref="L2477">_xlfn.IFS(
 K2477&lt;=50,"≤50",
 AND(K2477&gt;=51,K2477&lt;=100),"51–100",
 AND(K2477&gt;=101,K2477&lt;=250),"101–250",
 AND(K2477&gt;=251,K2477&lt;=500),"251–500",
 AND(K2477&gt;=501,K2477&lt;=1000),"501–1000",
 K2477&gt;=1001,"1001+"
)</f>
        <v>251–500</v>
      </c>
    </row>
    <row r="2478" spans="1:12" x14ac:dyDescent="0.3">
      <c r="A2478" t="s">
        <v>4907</v>
      </c>
      <c r="B2478" t="s">
        <v>197</v>
      </c>
      <c r="C2478" t="s">
        <v>5774</v>
      </c>
      <c r="D2478" t="s">
        <v>4908</v>
      </c>
      <c r="E2478" t="s">
        <v>15</v>
      </c>
      <c r="F2478" t="s">
        <v>16</v>
      </c>
      <c r="G2478" t="s">
        <v>4909</v>
      </c>
      <c r="J2478" t="s">
        <v>5746</v>
      </c>
      <c r="K2478">
        <v>280</v>
      </c>
      <c r="L2478" t="str" cm="1">
        <f t="array" ref="L2478">_xlfn.IFS(
 K2478&lt;=50,"≤50",
 AND(K2478&gt;=51,K2478&lt;=100),"51–100",
 AND(K2478&gt;=101,K2478&lt;=250),"101–250",
 AND(K2478&gt;=251,K2478&lt;=500),"251–500",
 AND(K2478&gt;=501,K2478&lt;=1000),"501–1000",
 K2478&gt;=1001,"1001+"
)</f>
        <v>251–500</v>
      </c>
    </row>
    <row r="2479" spans="1:12" x14ac:dyDescent="0.3">
      <c r="A2479" t="s">
        <v>4910</v>
      </c>
      <c r="B2479" t="s">
        <v>9</v>
      </c>
      <c r="C2479" t="s">
        <v>5780</v>
      </c>
      <c r="D2479" t="s">
        <v>691</v>
      </c>
      <c r="F2479" t="s">
        <v>54</v>
      </c>
      <c r="G2479" t="s">
        <v>588</v>
      </c>
      <c r="J2479" t="s">
        <v>5740</v>
      </c>
      <c r="K2479">
        <v>280</v>
      </c>
      <c r="L2479" t="str" cm="1">
        <f t="array" ref="L2479">_xlfn.IFS(
 K2479&lt;=50,"≤50",
 AND(K2479&gt;=51,K2479&lt;=100),"51–100",
 AND(K2479&gt;=101,K2479&lt;=250),"101–250",
 AND(K2479&gt;=251,K2479&lt;=500),"251–500",
 AND(K2479&gt;=501,K2479&lt;=1000),"501–1000",
 K2479&gt;=1001,"1001+"
)</f>
        <v>251–500</v>
      </c>
    </row>
    <row r="2480" spans="1:12" x14ac:dyDescent="0.3">
      <c r="A2480" t="s">
        <v>4911</v>
      </c>
      <c r="B2480" t="s">
        <v>9</v>
      </c>
      <c r="C2480" t="s">
        <v>5780</v>
      </c>
      <c r="D2480" t="s">
        <v>28</v>
      </c>
      <c r="F2480" t="s">
        <v>5770</v>
      </c>
      <c r="J2480" t="s">
        <v>5738</v>
      </c>
      <c r="K2480">
        <v>280</v>
      </c>
      <c r="L2480" t="str" cm="1">
        <f t="array" ref="L2480">_xlfn.IFS(
 K2480&lt;=50,"≤50",
 AND(K2480&gt;=51,K2480&lt;=100),"51–100",
 AND(K2480&gt;=101,K2480&lt;=250),"101–250",
 AND(K2480&gt;=251,K2480&lt;=500),"251–500",
 AND(K2480&gt;=501,K2480&lt;=1000),"501–1000",
 K2480&gt;=1001,"1001+"
)</f>
        <v>251–500</v>
      </c>
    </row>
    <row r="2481" spans="1:12" x14ac:dyDescent="0.3">
      <c r="A2481" t="s">
        <v>4912</v>
      </c>
      <c r="B2481" t="s">
        <v>9</v>
      </c>
      <c r="C2481" t="s">
        <v>5780</v>
      </c>
      <c r="D2481" t="s">
        <v>28</v>
      </c>
      <c r="F2481" t="s">
        <v>5770</v>
      </c>
      <c r="J2481" t="s">
        <v>5737</v>
      </c>
      <c r="K2481">
        <v>286</v>
      </c>
      <c r="L2481" t="str" cm="1">
        <f t="array" ref="L2481">_xlfn.IFS(
 K2481&lt;=50,"≤50",
 AND(K2481&gt;=51,K2481&lt;=100),"51–100",
 AND(K2481&gt;=101,K2481&lt;=250),"101–250",
 AND(K2481&gt;=251,K2481&lt;=500),"251–500",
 AND(K2481&gt;=501,K2481&lt;=1000),"501–1000",
 K2481&gt;=1001,"1001+"
)</f>
        <v>251–500</v>
      </c>
    </row>
    <row r="2482" spans="1:12" x14ac:dyDescent="0.3">
      <c r="A2482" t="s">
        <v>4913</v>
      </c>
      <c r="B2482" t="s">
        <v>9</v>
      </c>
      <c r="C2482" t="s">
        <v>5780</v>
      </c>
      <c r="D2482" t="s">
        <v>4914</v>
      </c>
      <c r="F2482" t="s">
        <v>5770</v>
      </c>
      <c r="J2482" t="s">
        <v>5752</v>
      </c>
      <c r="K2482">
        <v>290</v>
      </c>
      <c r="L2482" t="str" cm="1">
        <f t="array" ref="L2482">_xlfn.IFS(
 K2482&lt;=50,"≤50",
 AND(K2482&gt;=51,K2482&lt;=100),"51–100",
 AND(K2482&gt;=101,K2482&lt;=250),"101–250",
 AND(K2482&gt;=251,K2482&lt;=500),"251–500",
 AND(K2482&gt;=501,K2482&lt;=1000),"501–1000",
 K2482&gt;=1001,"1001+"
)</f>
        <v>251–500</v>
      </c>
    </row>
    <row r="2483" spans="1:12" x14ac:dyDescent="0.3">
      <c r="A2483" t="s">
        <v>4915</v>
      </c>
      <c r="B2483" t="s">
        <v>9</v>
      </c>
      <c r="C2483" t="s">
        <v>5780</v>
      </c>
      <c r="D2483" t="s">
        <v>4916</v>
      </c>
      <c r="F2483" t="s">
        <v>54</v>
      </c>
      <c r="G2483" t="s">
        <v>1036</v>
      </c>
      <c r="J2483" t="s">
        <v>5744</v>
      </c>
      <c r="K2483">
        <v>290</v>
      </c>
      <c r="L2483" t="str" cm="1">
        <f t="array" ref="L2483">_xlfn.IFS(
 K2483&lt;=50,"≤50",
 AND(K2483&gt;=51,K2483&lt;=100),"51–100",
 AND(K2483&gt;=101,K2483&lt;=250),"101–250",
 AND(K2483&gt;=251,K2483&lt;=500),"251–500",
 AND(K2483&gt;=501,K2483&lt;=1000),"501–1000",
 K2483&gt;=1001,"1001+"
)</f>
        <v>251–500</v>
      </c>
    </row>
    <row r="2484" spans="1:12" x14ac:dyDescent="0.3">
      <c r="A2484" t="s">
        <v>4917</v>
      </c>
      <c r="B2484" t="s">
        <v>9</v>
      </c>
      <c r="C2484" t="s">
        <v>5780</v>
      </c>
      <c r="D2484" t="s">
        <v>4918</v>
      </c>
      <c r="E2484" t="s">
        <v>15</v>
      </c>
      <c r="F2484" t="s">
        <v>20</v>
      </c>
      <c r="G2484" t="s">
        <v>21</v>
      </c>
      <c r="J2484" t="s">
        <v>5737</v>
      </c>
      <c r="K2484">
        <v>300</v>
      </c>
      <c r="L2484" t="str" cm="1">
        <f t="array" ref="L2484">_xlfn.IFS(
 K2484&lt;=50,"≤50",
 AND(K2484&gt;=51,K2484&lt;=100),"51–100",
 AND(K2484&gt;=101,K2484&lt;=250),"101–250",
 AND(K2484&gt;=251,K2484&lt;=500),"251–500",
 AND(K2484&gt;=501,K2484&lt;=1000),"501–1000",
 K2484&gt;=1001,"1001+"
)</f>
        <v>251–500</v>
      </c>
    </row>
    <row r="2485" spans="1:12" x14ac:dyDescent="0.3">
      <c r="A2485" t="s">
        <v>4919</v>
      </c>
      <c r="B2485" t="s">
        <v>9</v>
      </c>
      <c r="C2485" t="s">
        <v>5780</v>
      </c>
      <c r="D2485" t="s">
        <v>4920</v>
      </c>
      <c r="E2485" t="s">
        <v>15</v>
      </c>
      <c r="F2485" t="s">
        <v>20</v>
      </c>
      <c r="G2485" t="s">
        <v>21</v>
      </c>
      <c r="J2485" t="s">
        <v>5758</v>
      </c>
      <c r="K2485">
        <v>300</v>
      </c>
      <c r="L2485" t="str" cm="1">
        <f t="array" ref="L2485">_xlfn.IFS(
 K2485&lt;=50,"≤50",
 AND(K2485&gt;=51,K2485&lt;=100),"51–100",
 AND(K2485&gt;=101,K2485&lt;=250),"101–250",
 AND(K2485&gt;=251,K2485&lt;=500),"251–500",
 AND(K2485&gt;=501,K2485&lt;=1000),"501–1000",
 K2485&gt;=1001,"1001+"
)</f>
        <v>251–500</v>
      </c>
    </row>
    <row r="2486" spans="1:12" x14ac:dyDescent="0.3">
      <c r="A2486" t="s">
        <v>4921</v>
      </c>
      <c r="B2486" t="s">
        <v>9</v>
      </c>
      <c r="C2486" t="s">
        <v>5780</v>
      </c>
      <c r="D2486" t="s">
        <v>4922</v>
      </c>
      <c r="E2486" t="s">
        <v>15</v>
      </c>
      <c r="F2486" t="s">
        <v>54</v>
      </c>
      <c r="G2486" t="s">
        <v>4923</v>
      </c>
      <c r="J2486" t="s">
        <v>5738</v>
      </c>
      <c r="K2486">
        <v>300</v>
      </c>
      <c r="L2486" t="str" cm="1">
        <f t="array" ref="L2486">_xlfn.IFS(
 K2486&lt;=50,"≤50",
 AND(K2486&gt;=51,K2486&lt;=100),"51–100",
 AND(K2486&gt;=101,K2486&lt;=250),"101–250",
 AND(K2486&gt;=251,K2486&lt;=500),"251–500",
 AND(K2486&gt;=501,K2486&lt;=1000),"501–1000",
 K2486&gt;=1001,"1001+"
)</f>
        <v>251–500</v>
      </c>
    </row>
    <row r="2487" spans="1:12" x14ac:dyDescent="0.3">
      <c r="A2487" t="s">
        <v>4924</v>
      </c>
      <c r="B2487" t="s">
        <v>9</v>
      </c>
      <c r="C2487" t="s">
        <v>5780</v>
      </c>
      <c r="D2487" t="s">
        <v>4925</v>
      </c>
      <c r="E2487" t="s">
        <v>15</v>
      </c>
      <c r="F2487" t="s">
        <v>54</v>
      </c>
      <c r="G2487" t="s">
        <v>4926</v>
      </c>
      <c r="J2487" t="s">
        <v>5737</v>
      </c>
      <c r="K2487">
        <v>300</v>
      </c>
      <c r="L2487" t="str" cm="1">
        <f t="array" ref="L2487">_xlfn.IFS(
 K2487&lt;=50,"≤50",
 AND(K2487&gt;=51,K2487&lt;=100),"51–100",
 AND(K2487&gt;=101,K2487&lt;=250),"101–250",
 AND(K2487&gt;=251,K2487&lt;=500),"251–500",
 AND(K2487&gt;=501,K2487&lt;=1000),"501–1000",
 K2487&gt;=1001,"1001+"
)</f>
        <v>251–500</v>
      </c>
    </row>
    <row r="2488" spans="1:12" x14ac:dyDescent="0.3">
      <c r="A2488" t="s">
        <v>4927</v>
      </c>
      <c r="B2488" t="s">
        <v>9</v>
      </c>
      <c r="C2488" t="s">
        <v>5780</v>
      </c>
      <c r="D2488" t="s">
        <v>4928</v>
      </c>
      <c r="E2488" t="s">
        <v>15</v>
      </c>
      <c r="F2488" t="s">
        <v>16</v>
      </c>
      <c r="G2488" t="s">
        <v>4929</v>
      </c>
      <c r="J2488" t="s">
        <v>5747</v>
      </c>
      <c r="K2488">
        <v>300</v>
      </c>
      <c r="L2488" t="str" cm="1">
        <f t="array" ref="L2488">_xlfn.IFS(
 K2488&lt;=50,"≤50",
 AND(K2488&gt;=51,K2488&lt;=100),"51–100",
 AND(K2488&gt;=101,K2488&lt;=250),"101–250",
 AND(K2488&gt;=251,K2488&lt;=500),"251–500",
 AND(K2488&gt;=501,K2488&lt;=1000),"501–1000",
 K2488&gt;=1001,"1001+"
)</f>
        <v>251–500</v>
      </c>
    </row>
    <row r="2489" spans="1:12" x14ac:dyDescent="0.3">
      <c r="A2489" t="s">
        <v>4930</v>
      </c>
      <c r="B2489" t="s">
        <v>9</v>
      </c>
      <c r="C2489" t="s">
        <v>5780</v>
      </c>
      <c r="D2489" t="s">
        <v>4931</v>
      </c>
      <c r="F2489" t="s">
        <v>54</v>
      </c>
      <c r="G2489" t="s">
        <v>4932</v>
      </c>
      <c r="J2489" t="s">
        <v>5737</v>
      </c>
      <c r="K2489">
        <v>300</v>
      </c>
      <c r="L2489" t="str" cm="1">
        <f t="array" ref="L2489">_xlfn.IFS(
 K2489&lt;=50,"≤50",
 AND(K2489&gt;=51,K2489&lt;=100),"51–100",
 AND(K2489&gt;=101,K2489&lt;=250),"101–250",
 AND(K2489&gt;=251,K2489&lt;=500),"251–500",
 AND(K2489&gt;=501,K2489&lt;=1000),"501–1000",
 K2489&gt;=1001,"1001+"
)</f>
        <v>251–500</v>
      </c>
    </row>
    <row r="2490" spans="1:12" x14ac:dyDescent="0.3">
      <c r="A2490" t="s">
        <v>4933</v>
      </c>
      <c r="B2490" t="s">
        <v>13</v>
      </c>
      <c r="C2490" t="s">
        <v>5777</v>
      </c>
      <c r="D2490" t="s">
        <v>4934</v>
      </c>
      <c r="E2490" t="s">
        <v>15</v>
      </c>
      <c r="F2490" t="s">
        <v>20</v>
      </c>
      <c r="G2490" t="s">
        <v>4935</v>
      </c>
      <c r="J2490" t="s">
        <v>5737</v>
      </c>
      <c r="K2490">
        <v>300</v>
      </c>
      <c r="L2490" t="str" cm="1">
        <f t="array" ref="L2490">_xlfn.IFS(
 K2490&lt;=50,"≤50",
 AND(K2490&gt;=51,K2490&lt;=100),"51–100",
 AND(K2490&gt;=101,K2490&lt;=250),"101–250",
 AND(K2490&gt;=251,K2490&lt;=500),"251–500",
 AND(K2490&gt;=501,K2490&lt;=1000),"501–1000",
 K2490&gt;=1001,"1001+"
)</f>
        <v>251–500</v>
      </c>
    </row>
    <row r="2491" spans="1:12" x14ac:dyDescent="0.3">
      <c r="A2491" t="s">
        <v>4936</v>
      </c>
      <c r="B2491" t="s">
        <v>9</v>
      </c>
      <c r="C2491" t="s">
        <v>5780</v>
      </c>
      <c r="D2491" t="s">
        <v>4937</v>
      </c>
      <c r="E2491" t="s">
        <v>15</v>
      </c>
      <c r="F2491" t="s">
        <v>20</v>
      </c>
      <c r="G2491" t="s">
        <v>4938</v>
      </c>
      <c r="J2491" t="s">
        <v>5744</v>
      </c>
      <c r="K2491">
        <v>300</v>
      </c>
      <c r="L2491" t="str" cm="1">
        <f t="array" ref="L2491">_xlfn.IFS(
 K2491&lt;=50,"≤50",
 AND(K2491&gt;=51,K2491&lt;=100),"51–100",
 AND(K2491&gt;=101,K2491&lt;=250),"101–250",
 AND(K2491&gt;=251,K2491&lt;=500),"251–500",
 AND(K2491&gt;=501,K2491&lt;=1000),"501–1000",
 K2491&gt;=1001,"1001+"
)</f>
        <v>251–500</v>
      </c>
    </row>
    <row r="2492" spans="1:12" x14ac:dyDescent="0.3">
      <c r="A2492" t="s">
        <v>4939</v>
      </c>
      <c r="B2492" t="s">
        <v>9</v>
      </c>
      <c r="C2492" t="s">
        <v>5780</v>
      </c>
      <c r="D2492" t="s">
        <v>4940</v>
      </c>
      <c r="E2492" t="s">
        <v>15</v>
      </c>
      <c r="F2492" t="s">
        <v>16</v>
      </c>
      <c r="G2492" t="s">
        <v>4941</v>
      </c>
      <c r="J2492" t="s">
        <v>5737</v>
      </c>
      <c r="K2492">
        <v>300</v>
      </c>
      <c r="L2492" t="str" cm="1">
        <f t="array" ref="L2492">_xlfn.IFS(
 K2492&lt;=50,"≤50",
 AND(K2492&gt;=51,K2492&lt;=100),"51–100",
 AND(K2492&gt;=101,K2492&lt;=250),"101–250",
 AND(K2492&gt;=251,K2492&lt;=500),"251–500",
 AND(K2492&gt;=501,K2492&lt;=1000),"501–1000",
 K2492&gt;=1001,"1001+"
)</f>
        <v>251–500</v>
      </c>
    </row>
    <row r="2493" spans="1:12" x14ac:dyDescent="0.3">
      <c r="A2493" t="s">
        <v>4942</v>
      </c>
      <c r="B2493" t="s">
        <v>11</v>
      </c>
      <c r="C2493" t="s">
        <v>5776</v>
      </c>
      <c r="F2493" t="s">
        <v>5770</v>
      </c>
      <c r="J2493" t="s">
        <v>5737</v>
      </c>
      <c r="K2493">
        <v>300</v>
      </c>
      <c r="L2493" t="str" cm="1">
        <f t="array" ref="L2493">_xlfn.IFS(
 K2493&lt;=50,"≤50",
 AND(K2493&gt;=51,K2493&lt;=100),"51–100",
 AND(K2493&gt;=101,K2493&lt;=250),"101–250",
 AND(K2493&gt;=251,K2493&lt;=500),"251–500",
 AND(K2493&gt;=501,K2493&lt;=1000),"501–1000",
 K2493&gt;=1001,"1001+"
)</f>
        <v>251–500</v>
      </c>
    </row>
    <row r="2494" spans="1:12" x14ac:dyDescent="0.3">
      <c r="A2494" t="s">
        <v>4943</v>
      </c>
      <c r="B2494" t="s">
        <v>9</v>
      </c>
      <c r="C2494" t="s">
        <v>5780</v>
      </c>
      <c r="D2494" t="s">
        <v>4944</v>
      </c>
      <c r="F2494" t="s">
        <v>5770</v>
      </c>
      <c r="J2494" t="s">
        <v>5760</v>
      </c>
      <c r="K2494">
        <v>300</v>
      </c>
      <c r="L2494" t="str" cm="1">
        <f t="array" ref="L2494">_xlfn.IFS(
 K2494&lt;=50,"≤50",
 AND(K2494&gt;=51,K2494&lt;=100),"51–100",
 AND(K2494&gt;=101,K2494&lt;=250),"101–250",
 AND(K2494&gt;=251,K2494&lt;=500),"251–500",
 AND(K2494&gt;=501,K2494&lt;=1000),"501–1000",
 K2494&gt;=1001,"1001+"
)</f>
        <v>251–500</v>
      </c>
    </row>
    <row r="2495" spans="1:12" x14ac:dyDescent="0.3">
      <c r="A2495" t="s">
        <v>4945</v>
      </c>
      <c r="B2495" t="s">
        <v>11</v>
      </c>
      <c r="C2495" t="s">
        <v>5776</v>
      </c>
      <c r="F2495" t="s">
        <v>5770</v>
      </c>
      <c r="J2495" t="s">
        <v>5746</v>
      </c>
      <c r="K2495">
        <v>300</v>
      </c>
      <c r="L2495" t="str" cm="1">
        <f t="array" ref="L2495">_xlfn.IFS(
 K2495&lt;=50,"≤50",
 AND(K2495&gt;=51,K2495&lt;=100),"51–100",
 AND(K2495&gt;=101,K2495&lt;=250),"101–250",
 AND(K2495&gt;=251,K2495&lt;=500),"251–500",
 AND(K2495&gt;=501,K2495&lt;=1000),"501–1000",
 K2495&gt;=1001,"1001+"
)</f>
        <v>251–500</v>
      </c>
    </row>
    <row r="2496" spans="1:12" x14ac:dyDescent="0.3">
      <c r="A2496" t="s">
        <v>4946</v>
      </c>
      <c r="B2496" t="s">
        <v>9</v>
      </c>
      <c r="C2496" t="s">
        <v>5780</v>
      </c>
      <c r="D2496" t="s">
        <v>4947</v>
      </c>
      <c r="E2496" t="s">
        <v>15</v>
      </c>
      <c r="F2496" t="s">
        <v>54</v>
      </c>
      <c r="G2496" t="s">
        <v>4948</v>
      </c>
      <c r="J2496" t="s">
        <v>5737</v>
      </c>
      <c r="K2496">
        <v>300</v>
      </c>
      <c r="L2496" t="str" cm="1">
        <f t="array" ref="L2496">_xlfn.IFS(
 K2496&lt;=50,"≤50",
 AND(K2496&gt;=51,K2496&lt;=100),"51–100",
 AND(K2496&gt;=101,K2496&lt;=250),"101–250",
 AND(K2496&gt;=251,K2496&lt;=500),"251–500",
 AND(K2496&gt;=501,K2496&lt;=1000),"501–1000",
 K2496&gt;=1001,"1001+"
)</f>
        <v>251–500</v>
      </c>
    </row>
    <row r="2497" spans="1:12" x14ac:dyDescent="0.3">
      <c r="A2497" t="s">
        <v>4949</v>
      </c>
      <c r="B2497" t="s">
        <v>9</v>
      </c>
      <c r="C2497" t="s">
        <v>5780</v>
      </c>
      <c r="D2497" t="s">
        <v>4950</v>
      </c>
      <c r="E2497" t="s">
        <v>15</v>
      </c>
      <c r="F2497" t="s">
        <v>20</v>
      </c>
      <c r="G2497" t="s">
        <v>4951</v>
      </c>
      <c r="J2497" t="s">
        <v>5737</v>
      </c>
      <c r="K2497">
        <v>300</v>
      </c>
      <c r="L2497" t="str" cm="1">
        <f t="array" ref="L2497">_xlfn.IFS(
 K2497&lt;=50,"≤50",
 AND(K2497&gt;=51,K2497&lt;=100),"51–100",
 AND(K2497&gt;=101,K2497&lt;=250),"101–250",
 AND(K2497&gt;=251,K2497&lt;=500),"251–500",
 AND(K2497&gt;=501,K2497&lt;=1000),"501–1000",
 K2497&gt;=1001,"1001+"
)</f>
        <v>251–500</v>
      </c>
    </row>
    <row r="2498" spans="1:12" x14ac:dyDescent="0.3">
      <c r="A2498" t="s">
        <v>4952</v>
      </c>
      <c r="B2498" t="s">
        <v>9</v>
      </c>
      <c r="C2498" t="s">
        <v>5780</v>
      </c>
      <c r="D2498" t="s">
        <v>4953</v>
      </c>
      <c r="E2498" t="s">
        <v>15</v>
      </c>
      <c r="F2498" t="s">
        <v>20</v>
      </c>
      <c r="G2498" t="s">
        <v>1414</v>
      </c>
      <c r="J2498" t="s">
        <v>5756</v>
      </c>
      <c r="K2498">
        <v>300</v>
      </c>
      <c r="L2498" t="str" cm="1">
        <f t="array" ref="L2498">_xlfn.IFS(
 K2498&lt;=50,"≤50",
 AND(K2498&gt;=51,K2498&lt;=100),"51–100",
 AND(K2498&gt;=101,K2498&lt;=250),"101–250",
 AND(K2498&gt;=251,K2498&lt;=500),"251–500",
 AND(K2498&gt;=501,K2498&lt;=1000),"501–1000",
 K2498&gt;=1001,"1001+"
)</f>
        <v>251–500</v>
      </c>
    </row>
    <row r="2499" spans="1:12" x14ac:dyDescent="0.3">
      <c r="A2499" t="s">
        <v>4954</v>
      </c>
      <c r="B2499" t="s">
        <v>9</v>
      </c>
      <c r="C2499" t="s">
        <v>5780</v>
      </c>
      <c r="D2499" t="s">
        <v>4955</v>
      </c>
      <c r="E2499" t="s">
        <v>15</v>
      </c>
      <c r="F2499" t="s">
        <v>54</v>
      </c>
      <c r="G2499" t="s">
        <v>4956</v>
      </c>
      <c r="J2499" t="s">
        <v>5757</v>
      </c>
      <c r="K2499">
        <v>300</v>
      </c>
      <c r="L2499" t="str" cm="1">
        <f t="array" ref="L2499">_xlfn.IFS(
 K2499&lt;=50,"≤50",
 AND(K2499&gt;=51,K2499&lt;=100),"51–100",
 AND(K2499&gt;=101,K2499&lt;=250),"101–250",
 AND(K2499&gt;=251,K2499&lt;=500),"251–500",
 AND(K2499&gt;=501,K2499&lt;=1000),"501–1000",
 K2499&gt;=1001,"1001+"
)</f>
        <v>251–500</v>
      </c>
    </row>
    <row r="2500" spans="1:12" x14ac:dyDescent="0.3">
      <c r="A2500" t="s">
        <v>4957</v>
      </c>
      <c r="B2500" t="s">
        <v>9</v>
      </c>
      <c r="C2500" t="s">
        <v>5780</v>
      </c>
      <c r="D2500" t="s">
        <v>4958</v>
      </c>
      <c r="F2500" t="s">
        <v>54</v>
      </c>
      <c r="G2500" t="s">
        <v>4959</v>
      </c>
      <c r="J2500" t="s">
        <v>5752</v>
      </c>
      <c r="K2500">
        <v>300</v>
      </c>
      <c r="L2500" t="str" cm="1">
        <f t="array" ref="L2500">_xlfn.IFS(
 K2500&lt;=50,"≤50",
 AND(K2500&gt;=51,K2500&lt;=100),"51–100",
 AND(K2500&gt;=101,K2500&lt;=250),"101–250",
 AND(K2500&gt;=251,K2500&lt;=500),"251–500",
 AND(K2500&gt;=501,K2500&lt;=1000),"501–1000",
 K2500&gt;=1001,"1001+"
)</f>
        <v>251–500</v>
      </c>
    </row>
    <row r="2501" spans="1:12" x14ac:dyDescent="0.3">
      <c r="A2501" t="s">
        <v>4960</v>
      </c>
      <c r="B2501" t="s">
        <v>13</v>
      </c>
      <c r="C2501" t="s">
        <v>5777</v>
      </c>
      <c r="D2501" t="s">
        <v>4961</v>
      </c>
      <c r="E2501" t="s">
        <v>15</v>
      </c>
      <c r="F2501" t="s">
        <v>54</v>
      </c>
      <c r="G2501" t="s">
        <v>4962</v>
      </c>
      <c r="J2501" t="s">
        <v>5737</v>
      </c>
      <c r="K2501">
        <v>300</v>
      </c>
      <c r="L2501" t="str" cm="1">
        <f t="array" ref="L2501">_xlfn.IFS(
 K2501&lt;=50,"≤50",
 AND(K2501&gt;=51,K2501&lt;=100),"51–100",
 AND(K2501&gt;=101,K2501&lt;=250),"101–250",
 AND(K2501&gt;=251,K2501&lt;=500),"251–500",
 AND(K2501&gt;=501,K2501&lt;=1000),"501–1000",
 K2501&gt;=1001,"1001+"
)</f>
        <v>251–500</v>
      </c>
    </row>
    <row r="2502" spans="1:12" x14ac:dyDescent="0.3">
      <c r="A2502" t="s">
        <v>4963</v>
      </c>
      <c r="B2502" t="s">
        <v>13</v>
      </c>
      <c r="C2502" t="s">
        <v>5777</v>
      </c>
      <c r="D2502" t="s">
        <v>4964</v>
      </c>
      <c r="E2502" t="s">
        <v>15</v>
      </c>
      <c r="F2502" t="s">
        <v>16</v>
      </c>
      <c r="G2502" t="s">
        <v>138</v>
      </c>
      <c r="J2502" t="s">
        <v>5737</v>
      </c>
      <c r="K2502">
        <v>300</v>
      </c>
      <c r="L2502" t="str" cm="1">
        <f t="array" ref="L2502">_xlfn.IFS(
 K2502&lt;=50,"≤50",
 AND(K2502&gt;=51,K2502&lt;=100),"51–100",
 AND(K2502&gt;=101,K2502&lt;=250),"101–250",
 AND(K2502&gt;=251,K2502&lt;=500),"251–500",
 AND(K2502&gt;=501,K2502&lt;=1000),"501–1000",
 K2502&gt;=1001,"1001+"
)</f>
        <v>251–500</v>
      </c>
    </row>
    <row r="2503" spans="1:12" x14ac:dyDescent="0.3">
      <c r="A2503" t="s">
        <v>4965</v>
      </c>
      <c r="B2503" t="s">
        <v>13</v>
      </c>
      <c r="C2503" t="s">
        <v>5777</v>
      </c>
      <c r="D2503" t="s">
        <v>4966</v>
      </c>
      <c r="E2503" t="s">
        <v>15</v>
      </c>
      <c r="F2503" t="s">
        <v>20</v>
      </c>
      <c r="G2503" t="s">
        <v>4967</v>
      </c>
      <c r="J2503" t="s">
        <v>5737</v>
      </c>
      <c r="K2503">
        <v>300</v>
      </c>
      <c r="L2503" t="str" cm="1">
        <f t="array" ref="L2503">_xlfn.IFS(
 K2503&lt;=50,"≤50",
 AND(K2503&gt;=51,K2503&lt;=100),"51–100",
 AND(K2503&gt;=101,K2503&lt;=250),"101–250",
 AND(K2503&gt;=251,K2503&lt;=500),"251–500",
 AND(K2503&gt;=501,K2503&lt;=1000),"501–1000",
 K2503&gt;=1001,"1001+"
)</f>
        <v>251–500</v>
      </c>
    </row>
    <row r="2504" spans="1:12" x14ac:dyDescent="0.3">
      <c r="A2504" t="s">
        <v>4968</v>
      </c>
      <c r="B2504" t="s">
        <v>9</v>
      </c>
      <c r="C2504" t="s">
        <v>5780</v>
      </c>
      <c r="D2504" t="s">
        <v>4969</v>
      </c>
      <c r="E2504" t="s">
        <v>15</v>
      </c>
      <c r="F2504" t="s">
        <v>16</v>
      </c>
      <c r="G2504" t="s">
        <v>4970</v>
      </c>
      <c r="J2504" t="s">
        <v>5738</v>
      </c>
      <c r="K2504">
        <v>300</v>
      </c>
      <c r="L2504" t="str" cm="1">
        <f t="array" ref="L2504">_xlfn.IFS(
 K2504&lt;=50,"≤50",
 AND(K2504&gt;=51,K2504&lt;=100),"51–100",
 AND(K2504&gt;=101,K2504&lt;=250),"101–250",
 AND(K2504&gt;=251,K2504&lt;=500),"251–500",
 AND(K2504&gt;=501,K2504&lt;=1000),"501–1000",
 K2504&gt;=1001,"1001+"
)</f>
        <v>251–500</v>
      </c>
    </row>
    <row r="2505" spans="1:12" x14ac:dyDescent="0.3">
      <c r="A2505" t="s">
        <v>4971</v>
      </c>
      <c r="B2505" t="s">
        <v>9</v>
      </c>
      <c r="C2505" t="s">
        <v>5780</v>
      </c>
      <c r="D2505" t="s">
        <v>4972</v>
      </c>
      <c r="F2505" t="s">
        <v>54</v>
      </c>
      <c r="G2505" t="s">
        <v>588</v>
      </c>
      <c r="J2505" t="s">
        <v>5737</v>
      </c>
      <c r="K2505">
        <v>300</v>
      </c>
      <c r="L2505" t="str" cm="1">
        <f t="array" ref="L2505">_xlfn.IFS(
 K2505&lt;=50,"≤50",
 AND(K2505&gt;=51,K2505&lt;=100),"51–100",
 AND(K2505&gt;=101,K2505&lt;=250),"101–250",
 AND(K2505&gt;=251,K2505&lt;=500),"251–500",
 AND(K2505&gt;=501,K2505&lt;=1000),"501–1000",
 K2505&gt;=1001,"1001+"
)</f>
        <v>251–500</v>
      </c>
    </row>
    <row r="2506" spans="1:12" x14ac:dyDescent="0.3">
      <c r="A2506" t="s">
        <v>4973</v>
      </c>
      <c r="B2506" t="s">
        <v>9</v>
      </c>
      <c r="C2506" t="s">
        <v>5780</v>
      </c>
      <c r="D2506" t="s">
        <v>4974</v>
      </c>
      <c r="F2506" t="s">
        <v>5770</v>
      </c>
      <c r="J2506" t="s">
        <v>5737</v>
      </c>
      <c r="K2506">
        <v>300</v>
      </c>
      <c r="L2506" t="str" cm="1">
        <f t="array" ref="L2506">_xlfn.IFS(
 K2506&lt;=50,"≤50",
 AND(K2506&gt;=51,K2506&lt;=100),"51–100",
 AND(K2506&gt;=101,K2506&lt;=250),"101–250",
 AND(K2506&gt;=251,K2506&lt;=500),"251–500",
 AND(K2506&gt;=501,K2506&lt;=1000),"501–1000",
 K2506&gt;=1001,"1001+"
)</f>
        <v>251–500</v>
      </c>
    </row>
    <row r="2507" spans="1:12" x14ac:dyDescent="0.3">
      <c r="A2507" t="s">
        <v>4975</v>
      </c>
      <c r="B2507" t="s">
        <v>13</v>
      </c>
      <c r="C2507" t="s">
        <v>5777</v>
      </c>
      <c r="D2507" t="s">
        <v>4976</v>
      </c>
      <c r="F2507" t="s">
        <v>5770</v>
      </c>
      <c r="J2507" t="s">
        <v>5745</v>
      </c>
      <c r="K2507">
        <v>300</v>
      </c>
      <c r="L2507" t="str" cm="1">
        <f t="array" ref="L2507">_xlfn.IFS(
 K2507&lt;=50,"≤50",
 AND(K2507&gt;=51,K2507&lt;=100),"51–100",
 AND(K2507&gt;=101,K2507&lt;=250),"101–250",
 AND(K2507&gt;=251,K2507&lt;=500),"251–500",
 AND(K2507&gt;=501,K2507&lt;=1000),"501–1000",
 K2507&gt;=1001,"1001+"
)</f>
        <v>251–500</v>
      </c>
    </row>
    <row r="2508" spans="1:12" x14ac:dyDescent="0.3">
      <c r="A2508" t="s">
        <v>4977</v>
      </c>
      <c r="B2508" t="s">
        <v>13</v>
      </c>
      <c r="C2508" t="s">
        <v>5777</v>
      </c>
      <c r="D2508" t="s">
        <v>850</v>
      </c>
      <c r="E2508" t="s">
        <v>15</v>
      </c>
      <c r="F2508" t="s">
        <v>5770</v>
      </c>
      <c r="J2508" t="s">
        <v>5737</v>
      </c>
      <c r="K2508">
        <v>300</v>
      </c>
      <c r="L2508" t="str" cm="1">
        <f t="array" ref="L2508">_xlfn.IFS(
 K2508&lt;=50,"≤50",
 AND(K2508&gt;=51,K2508&lt;=100),"51–100",
 AND(K2508&gt;=101,K2508&lt;=250),"101–250",
 AND(K2508&gt;=251,K2508&lt;=500),"251–500",
 AND(K2508&gt;=501,K2508&lt;=1000),"501–1000",
 K2508&gt;=1001,"1001+"
)</f>
        <v>251–500</v>
      </c>
    </row>
    <row r="2509" spans="1:12" x14ac:dyDescent="0.3">
      <c r="A2509" t="s">
        <v>4978</v>
      </c>
      <c r="B2509" t="s">
        <v>9</v>
      </c>
      <c r="C2509" t="s">
        <v>5780</v>
      </c>
      <c r="D2509" t="s">
        <v>28</v>
      </c>
      <c r="F2509" t="s">
        <v>5770</v>
      </c>
      <c r="J2509" t="s">
        <v>5744</v>
      </c>
      <c r="K2509">
        <v>300</v>
      </c>
      <c r="L2509" t="str" cm="1">
        <f t="array" ref="L2509">_xlfn.IFS(
 K2509&lt;=50,"≤50",
 AND(K2509&gt;=51,K2509&lt;=100),"51–100",
 AND(K2509&gt;=101,K2509&lt;=250),"101–250",
 AND(K2509&gt;=251,K2509&lt;=500),"251–500",
 AND(K2509&gt;=501,K2509&lt;=1000),"501–1000",
 K2509&gt;=1001,"1001+"
)</f>
        <v>251–500</v>
      </c>
    </row>
    <row r="2510" spans="1:12" x14ac:dyDescent="0.3">
      <c r="A2510" t="s">
        <v>4979</v>
      </c>
      <c r="B2510" t="s">
        <v>9</v>
      </c>
      <c r="C2510" t="s">
        <v>5780</v>
      </c>
      <c r="D2510" t="s">
        <v>4980</v>
      </c>
      <c r="E2510" t="s">
        <v>15</v>
      </c>
      <c r="F2510" t="s">
        <v>20</v>
      </c>
      <c r="G2510" t="s">
        <v>4981</v>
      </c>
      <c r="J2510" t="s">
        <v>5761</v>
      </c>
      <c r="K2510">
        <v>300</v>
      </c>
      <c r="L2510" t="str" cm="1">
        <f t="array" ref="L2510">_xlfn.IFS(
 K2510&lt;=50,"≤50",
 AND(K2510&gt;=51,K2510&lt;=100),"51–100",
 AND(K2510&gt;=101,K2510&lt;=250),"101–250",
 AND(K2510&gt;=251,K2510&lt;=500),"251–500",
 AND(K2510&gt;=501,K2510&lt;=1000),"501–1000",
 K2510&gt;=1001,"1001+"
)</f>
        <v>251–500</v>
      </c>
    </row>
    <row r="2511" spans="1:12" x14ac:dyDescent="0.3">
      <c r="A2511" t="s">
        <v>4982</v>
      </c>
      <c r="B2511" t="s">
        <v>9</v>
      </c>
      <c r="C2511" t="s">
        <v>5780</v>
      </c>
      <c r="D2511" t="s">
        <v>51</v>
      </c>
      <c r="F2511" t="s">
        <v>54</v>
      </c>
      <c r="G2511" t="s">
        <v>4983</v>
      </c>
      <c r="J2511" t="s">
        <v>5737</v>
      </c>
      <c r="K2511">
        <v>300</v>
      </c>
      <c r="L2511" t="str" cm="1">
        <f t="array" ref="L2511">_xlfn.IFS(
 K2511&lt;=50,"≤50",
 AND(K2511&gt;=51,K2511&lt;=100),"51–100",
 AND(K2511&gt;=101,K2511&lt;=250),"101–250",
 AND(K2511&gt;=251,K2511&lt;=500),"251–500",
 AND(K2511&gt;=501,K2511&lt;=1000),"501–1000",
 K2511&gt;=1001,"1001+"
)</f>
        <v>251–500</v>
      </c>
    </row>
    <row r="2512" spans="1:12" x14ac:dyDescent="0.3">
      <c r="A2512" t="s">
        <v>4984</v>
      </c>
      <c r="B2512" t="s">
        <v>9</v>
      </c>
      <c r="C2512" t="s">
        <v>5780</v>
      </c>
      <c r="D2512" t="s">
        <v>4985</v>
      </c>
      <c r="E2512" t="s">
        <v>15</v>
      </c>
      <c r="F2512" t="s">
        <v>20</v>
      </c>
      <c r="G2512" t="s">
        <v>4986</v>
      </c>
      <c r="J2512" t="s">
        <v>5737</v>
      </c>
      <c r="K2512">
        <v>300</v>
      </c>
      <c r="L2512" t="str" cm="1">
        <f t="array" ref="L2512">_xlfn.IFS(
 K2512&lt;=50,"≤50",
 AND(K2512&gt;=51,K2512&lt;=100),"51–100",
 AND(K2512&gt;=101,K2512&lt;=250),"101–250",
 AND(K2512&gt;=251,K2512&lt;=500),"251–500",
 AND(K2512&gt;=501,K2512&lt;=1000),"501–1000",
 K2512&gt;=1001,"1001+"
)</f>
        <v>251–500</v>
      </c>
    </row>
    <row r="2513" spans="1:12" x14ac:dyDescent="0.3">
      <c r="A2513" t="s">
        <v>4987</v>
      </c>
      <c r="B2513" t="s">
        <v>9</v>
      </c>
      <c r="C2513" t="s">
        <v>5780</v>
      </c>
      <c r="D2513" t="s">
        <v>691</v>
      </c>
      <c r="E2513" t="s">
        <v>15</v>
      </c>
      <c r="F2513" t="s">
        <v>54</v>
      </c>
      <c r="G2513" t="s">
        <v>4988</v>
      </c>
      <c r="J2513" t="s">
        <v>5737</v>
      </c>
      <c r="K2513">
        <v>300</v>
      </c>
      <c r="L2513" t="str" cm="1">
        <f t="array" ref="L2513">_xlfn.IFS(
 K2513&lt;=50,"≤50",
 AND(K2513&gt;=51,K2513&lt;=100),"51–100",
 AND(K2513&gt;=101,K2513&lt;=250),"101–250",
 AND(K2513&gt;=251,K2513&lt;=500),"251–500",
 AND(K2513&gt;=501,K2513&lt;=1000),"501–1000",
 K2513&gt;=1001,"1001+"
)</f>
        <v>251–500</v>
      </c>
    </row>
    <row r="2514" spans="1:12" x14ac:dyDescent="0.3">
      <c r="A2514" t="s">
        <v>4989</v>
      </c>
      <c r="B2514" t="s">
        <v>9</v>
      </c>
      <c r="C2514" t="s">
        <v>5780</v>
      </c>
      <c r="D2514" t="s">
        <v>4990</v>
      </c>
      <c r="E2514" t="s">
        <v>15</v>
      </c>
      <c r="F2514" t="s">
        <v>16</v>
      </c>
      <c r="G2514" t="s">
        <v>4991</v>
      </c>
      <c r="J2514" t="s">
        <v>5739</v>
      </c>
      <c r="K2514">
        <v>300</v>
      </c>
      <c r="L2514" t="str" cm="1">
        <f t="array" ref="L2514">_xlfn.IFS(
 K2514&lt;=50,"≤50",
 AND(K2514&gt;=51,K2514&lt;=100),"51–100",
 AND(K2514&gt;=101,K2514&lt;=250),"101–250",
 AND(K2514&gt;=251,K2514&lt;=500),"251–500",
 AND(K2514&gt;=501,K2514&lt;=1000),"501–1000",
 K2514&gt;=1001,"1001+"
)</f>
        <v>251–500</v>
      </c>
    </row>
    <row r="2515" spans="1:12" x14ac:dyDescent="0.3">
      <c r="A2515" t="s">
        <v>4992</v>
      </c>
      <c r="B2515" t="s">
        <v>197</v>
      </c>
      <c r="C2515" t="s">
        <v>5774</v>
      </c>
      <c r="D2515" t="s">
        <v>4993</v>
      </c>
      <c r="E2515" t="s">
        <v>15</v>
      </c>
      <c r="F2515" t="s">
        <v>5770</v>
      </c>
      <c r="J2515" t="s">
        <v>5753</v>
      </c>
      <c r="K2515">
        <v>300</v>
      </c>
      <c r="L2515" t="str" cm="1">
        <f t="array" ref="L2515">_xlfn.IFS(
 K2515&lt;=50,"≤50",
 AND(K2515&gt;=51,K2515&lt;=100),"51–100",
 AND(K2515&gt;=101,K2515&lt;=250),"101–250",
 AND(K2515&gt;=251,K2515&lt;=500),"251–500",
 AND(K2515&gt;=501,K2515&lt;=1000),"501–1000",
 K2515&gt;=1001,"1001+"
)</f>
        <v>251–500</v>
      </c>
    </row>
    <row r="2516" spans="1:12" x14ac:dyDescent="0.3">
      <c r="A2516" t="s">
        <v>4994</v>
      </c>
      <c r="B2516" t="s">
        <v>13</v>
      </c>
      <c r="C2516" t="s">
        <v>5777</v>
      </c>
      <c r="D2516" t="s">
        <v>4995</v>
      </c>
      <c r="F2516" t="s">
        <v>5770</v>
      </c>
      <c r="J2516" t="s">
        <v>5754</v>
      </c>
      <c r="K2516">
        <v>300</v>
      </c>
      <c r="L2516" t="str" cm="1">
        <f t="array" ref="L2516">_xlfn.IFS(
 K2516&lt;=50,"≤50",
 AND(K2516&gt;=51,K2516&lt;=100),"51–100",
 AND(K2516&gt;=101,K2516&lt;=250),"101–250",
 AND(K2516&gt;=251,K2516&lt;=500),"251–500",
 AND(K2516&gt;=501,K2516&lt;=1000),"501–1000",
 K2516&gt;=1001,"1001+"
)</f>
        <v>251–500</v>
      </c>
    </row>
    <row r="2517" spans="1:12" x14ac:dyDescent="0.3">
      <c r="A2517" t="s">
        <v>4996</v>
      </c>
      <c r="B2517" t="s">
        <v>9</v>
      </c>
      <c r="C2517" t="s">
        <v>5780</v>
      </c>
      <c r="D2517" t="s">
        <v>4997</v>
      </c>
      <c r="E2517" t="s">
        <v>15</v>
      </c>
      <c r="F2517" t="s">
        <v>16</v>
      </c>
      <c r="G2517" t="s">
        <v>4998</v>
      </c>
      <c r="J2517" t="s">
        <v>5761</v>
      </c>
      <c r="K2517">
        <v>300</v>
      </c>
      <c r="L2517" t="str" cm="1">
        <f t="array" ref="L2517">_xlfn.IFS(
 K2517&lt;=50,"≤50",
 AND(K2517&gt;=51,K2517&lt;=100),"51–100",
 AND(K2517&gt;=101,K2517&lt;=250),"101–250",
 AND(K2517&gt;=251,K2517&lt;=500),"251–500",
 AND(K2517&gt;=501,K2517&lt;=1000),"501–1000",
 K2517&gt;=1001,"1001+"
)</f>
        <v>251–500</v>
      </c>
    </row>
    <row r="2518" spans="1:12" x14ac:dyDescent="0.3">
      <c r="A2518" t="s">
        <v>4999</v>
      </c>
      <c r="B2518" t="s">
        <v>13</v>
      </c>
      <c r="C2518" t="s">
        <v>5777</v>
      </c>
      <c r="D2518" t="s">
        <v>5000</v>
      </c>
      <c r="F2518" t="s">
        <v>5770</v>
      </c>
      <c r="J2518" t="s">
        <v>5753</v>
      </c>
      <c r="K2518">
        <v>300</v>
      </c>
      <c r="L2518" t="str" cm="1">
        <f t="array" ref="L2518">_xlfn.IFS(
 K2518&lt;=50,"≤50",
 AND(K2518&gt;=51,K2518&lt;=100),"51–100",
 AND(K2518&gt;=101,K2518&lt;=250),"101–250",
 AND(K2518&gt;=251,K2518&lt;=500),"251–500",
 AND(K2518&gt;=501,K2518&lt;=1000),"501–1000",
 K2518&gt;=1001,"1001+"
)</f>
        <v>251–500</v>
      </c>
    </row>
    <row r="2519" spans="1:12" x14ac:dyDescent="0.3">
      <c r="A2519" t="s">
        <v>5001</v>
      </c>
      <c r="B2519" t="s">
        <v>9</v>
      </c>
      <c r="C2519" t="s">
        <v>5780</v>
      </c>
      <c r="D2519" t="s">
        <v>5002</v>
      </c>
      <c r="E2519" t="s">
        <v>15</v>
      </c>
      <c r="F2519" t="s">
        <v>5770</v>
      </c>
      <c r="J2519" t="s">
        <v>5737</v>
      </c>
      <c r="K2519">
        <v>300</v>
      </c>
      <c r="L2519" t="str" cm="1">
        <f t="array" ref="L2519">_xlfn.IFS(
 K2519&lt;=50,"≤50",
 AND(K2519&gt;=51,K2519&lt;=100),"51–100",
 AND(K2519&gt;=101,K2519&lt;=250),"101–250",
 AND(K2519&gt;=251,K2519&lt;=500),"251–500",
 AND(K2519&gt;=501,K2519&lt;=1000),"501–1000",
 K2519&gt;=1001,"1001+"
)</f>
        <v>251–500</v>
      </c>
    </row>
    <row r="2520" spans="1:12" x14ac:dyDescent="0.3">
      <c r="A2520" t="s">
        <v>5003</v>
      </c>
      <c r="B2520" t="s">
        <v>9</v>
      </c>
      <c r="C2520" t="s">
        <v>5780</v>
      </c>
      <c r="D2520" t="s">
        <v>5004</v>
      </c>
      <c r="F2520" t="s">
        <v>54</v>
      </c>
      <c r="G2520" t="s">
        <v>5005</v>
      </c>
      <c r="J2520" t="s">
        <v>5758</v>
      </c>
      <c r="K2520">
        <v>300</v>
      </c>
      <c r="L2520" t="str" cm="1">
        <f t="array" ref="L2520">_xlfn.IFS(
 K2520&lt;=50,"≤50",
 AND(K2520&gt;=51,K2520&lt;=100),"51–100",
 AND(K2520&gt;=101,K2520&lt;=250),"101–250",
 AND(K2520&gt;=251,K2520&lt;=500),"251–500",
 AND(K2520&gt;=501,K2520&lt;=1000),"501–1000",
 K2520&gt;=1001,"1001+"
)</f>
        <v>251–500</v>
      </c>
    </row>
    <row r="2521" spans="1:12" x14ac:dyDescent="0.3">
      <c r="A2521" t="s">
        <v>5006</v>
      </c>
      <c r="B2521" t="s">
        <v>13</v>
      </c>
      <c r="C2521" t="s">
        <v>5777</v>
      </c>
      <c r="D2521" t="s">
        <v>5007</v>
      </c>
      <c r="E2521" t="s">
        <v>15</v>
      </c>
      <c r="F2521" t="s">
        <v>20</v>
      </c>
      <c r="G2521" t="s">
        <v>1414</v>
      </c>
      <c r="J2521" t="s">
        <v>5737</v>
      </c>
      <c r="K2521">
        <v>300</v>
      </c>
      <c r="L2521" t="str" cm="1">
        <f t="array" ref="L2521">_xlfn.IFS(
 K2521&lt;=50,"≤50",
 AND(K2521&gt;=51,K2521&lt;=100),"51–100",
 AND(K2521&gt;=101,K2521&lt;=250),"101–250",
 AND(K2521&gt;=251,K2521&lt;=500),"251–500",
 AND(K2521&gt;=501,K2521&lt;=1000),"501–1000",
 K2521&gt;=1001,"1001+"
)</f>
        <v>251–500</v>
      </c>
    </row>
    <row r="2522" spans="1:12" x14ac:dyDescent="0.3">
      <c r="A2522" t="s">
        <v>5008</v>
      </c>
      <c r="B2522" t="s">
        <v>11</v>
      </c>
      <c r="C2522" t="s">
        <v>5776</v>
      </c>
      <c r="F2522" t="s">
        <v>5770</v>
      </c>
      <c r="J2522" t="s">
        <v>5742</v>
      </c>
      <c r="K2522">
        <v>300</v>
      </c>
      <c r="L2522" t="str" cm="1">
        <f t="array" ref="L2522">_xlfn.IFS(
 K2522&lt;=50,"≤50",
 AND(K2522&gt;=51,K2522&lt;=100),"51–100",
 AND(K2522&gt;=101,K2522&lt;=250),"101–250",
 AND(K2522&gt;=251,K2522&lt;=500),"251–500",
 AND(K2522&gt;=501,K2522&lt;=1000),"501–1000",
 K2522&gt;=1001,"1001+"
)</f>
        <v>251–500</v>
      </c>
    </row>
    <row r="2523" spans="1:12" x14ac:dyDescent="0.3">
      <c r="A2523" t="s">
        <v>5009</v>
      </c>
      <c r="B2523" t="s">
        <v>9</v>
      </c>
      <c r="C2523" t="s">
        <v>5780</v>
      </c>
      <c r="D2523" t="s">
        <v>5010</v>
      </c>
      <c r="E2523" t="s">
        <v>15</v>
      </c>
      <c r="F2523" t="s">
        <v>16</v>
      </c>
      <c r="G2523" t="s">
        <v>5011</v>
      </c>
      <c r="J2523" t="s">
        <v>5737</v>
      </c>
      <c r="K2523">
        <v>300</v>
      </c>
      <c r="L2523" t="str" cm="1">
        <f t="array" ref="L2523">_xlfn.IFS(
 K2523&lt;=50,"≤50",
 AND(K2523&gt;=51,K2523&lt;=100),"51–100",
 AND(K2523&gt;=101,K2523&lt;=250),"101–250",
 AND(K2523&gt;=251,K2523&lt;=500),"251–500",
 AND(K2523&gt;=501,K2523&lt;=1000),"501–1000",
 K2523&gt;=1001,"1001+"
)</f>
        <v>251–500</v>
      </c>
    </row>
    <row r="2524" spans="1:12" x14ac:dyDescent="0.3">
      <c r="A2524" t="s">
        <v>5012</v>
      </c>
      <c r="B2524" t="s">
        <v>13</v>
      </c>
      <c r="C2524" t="s">
        <v>5777</v>
      </c>
      <c r="D2524" t="s">
        <v>5013</v>
      </c>
      <c r="E2524" t="s">
        <v>15</v>
      </c>
      <c r="F2524" t="s">
        <v>16</v>
      </c>
      <c r="G2524" t="s">
        <v>1823</v>
      </c>
      <c r="J2524" t="s">
        <v>5737</v>
      </c>
      <c r="K2524">
        <v>300</v>
      </c>
      <c r="L2524" t="str" cm="1">
        <f t="array" ref="L2524">_xlfn.IFS(
 K2524&lt;=50,"≤50",
 AND(K2524&gt;=51,K2524&lt;=100),"51–100",
 AND(K2524&gt;=101,K2524&lt;=250),"101–250",
 AND(K2524&gt;=251,K2524&lt;=500),"251–500",
 AND(K2524&gt;=501,K2524&lt;=1000),"501–1000",
 K2524&gt;=1001,"1001+"
)</f>
        <v>251–500</v>
      </c>
    </row>
    <row r="2525" spans="1:12" x14ac:dyDescent="0.3">
      <c r="A2525" t="s">
        <v>5014</v>
      </c>
      <c r="B2525" t="s">
        <v>13</v>
      </c>
      <c r="C2525" t="s">
        <v>5777</v>
      </c>
      <c r="D2525" t="s">
        <v>5015</v>
      </c>
      <c r="E2525" t="s">
        <v>15</v>
      </c>
      <c r="F2525" t="s">
        <v>20</v>
      </c>
      <c r="G2525" t="s">
        <v>5016</v>
      </c>
      <c r="J2525" t="s">
        <v>5738</v>
      </c>
      <c r="K2525">
        <v>300</v>
      </c>
      <c r="L2525" t="str" cm="1">
        <f t="array" ref="L2525">_xlfn.IFS(
 K2525&lt;=50,"≤50",
 AND(K2525&gt;=51,K2525&lt;=100),"51–100",
 AND(K2525&gt;=101,K2525&lt;=250),"101–250",
 AND(K2525&gt;=251,K2525&lt;=500),"251–500",
 AND(K2525&gt;=501,K2525&lt;=1000),"501–1000",
 K2525&gt;=1001,"1001+"
)</f>
        <v>251–500</v>
      </c>
    </row>
    <row r="2526" spans="1:12" x14ac:dyDescent="0.3">
      <c r="A2526" t="s">
        <v>5017</v>
      </c>
      <c r="B2526" t="s">
        <v>13</v>
      </c>
      <c r="C2526" t="s">
        <v>5777</v>
      </c>
      <c r="D2526" t="s">
        <v>5018</v>
      </c>
      <c r="E2526" t="s">
        <v>15</v>
      </c>
      <c r="F2526" t="s">
        <v>20</v>
      </c>
      <c r="G2526" t="s">
        <v>5019</v>
      </c>
      <c r="J2526" t="s">
        <v>5742</v>
      </c>
      <c r="K2526">
        <v>300</v>
      </c>
      <c r="L2526" t="str" cm="1">
        <f t="array" ref="L2526">_xlfn.IFS(
 K2526&lt;=50,"≤50",
 AND(K2526&gt;=51,K2526&lt;=100),"51–100",
 AND(K2526&gt;=101,K2526&lt;=250),"101–250",
 AND(K2526&gt;=251,K2526&lt;=500),"251–500",
 AND(K2526&gt;=501,K2526&lt;=1000),"501–1000",
 K2526&gt;=1001,"1001+"
)</f>
        <v>251–500</v>
      </c>
    </row>
    <row r="2527" spans="1:12" x14ac:dyDescent="0.3">
      <c r="A2527" t="s">
        <v>5020</v>
      </c>
      <c r="B2527" t="s">
        <v>9</v>
      </c>
      <c r="C2527" t="s">
        <v>5780</v>
      </c>
      <c r="D2527" t="s">
        <v>2141</v>
      </c>
      <c r="F2527" t="s">
        <v>54</v>
      </c>
      <c r="G2527" t="s">
        <v>5021</v>
      </c>
      <c r="J2527" t="s">
        <v>5737</v>
      </c>
      <c r="K2527">
        <v>300</v>
      </c>
      <c r="L2527" t="str" cm="1">
        <f t="array" ref="L2527">_xlfn.IFS(
 K2527&lt;=50,"≤50",
 AND(K2527&gt;=51,K2527&lt;=100),"51–100",
 AND(K2527&gt;=101,K2527&lt;=250),"101–250",
 AND(K2527&gt;=251,K2527&lt;=500),"251–500",
 AND(K2527&gt;=501,K2527&lt;=1000),"501–1000",
 K2527&gt;=1001,"1001+"
)</f>
        <v>251–500</v>
      </c>
    </row>
    <row r="2528" spans="1:12" x14ac:dyDescent="0.3">
      <c r="A2528" t="s">
        <v>5022</v>
      </c>
      <c r="B2528" t="s">
        <v>9</v>
      </c>
      <c r="C2528" t="s">
        <v>5780</v>
      </c>
      <c r="D2528" t="s">
        <v>5023</v>
      </c>
      <c r="F2528" t="s">
        <v>5770</v>
      </c>
      <c r="J2528" t="s">
        <v>5742</v>
      </c>
      <c r="K2528">
        <v>300</v>
      </c>
      <c r="L2528" t="str" cm="1">
        <f t="array" ref="L2528">_xlfn.IFS(
 K2528&lt;=50,"≤50",
 AND(K2528&gt;=51,K2528&lt;=100),"51–100",
 AND(K2528&gt;=101,K2528&lt;=250),"101–250",
 AND(K2528&gt;=251,K2528&lt;=500),"251–500",
 AND(K2528&gt;=501,K2528&lt;=1000),"501–1000",
 K2528&gt;=1001,"1001+"
)</f>
        <v>251–500</v>
      </c>
    </row>
    <row r="2529" spans="1:12" x14ac:dyDescent="0.3">
      <c r="A2529" t="s">
        <v>5024</v>
      </c>
      <c r="B2529" t="s">
        <v>11</v>
      </c>
      <c r="C2529" t="s">
        <v>5776</v>
      </c>
      <c r="F2529" t="s">
        <v>5770</v>
      </c>
      <c r="J2529" t="s">
        <v>5737</v>
      </c>
      <c r="K2529">
        <v>300</v>
      </c>
      <c r="L2529" t="str" cm="1">
        <f t="array" ref="L2529">_xlfn.IFS(
 K2529&lt;=50,"≤50",
 AND(K2529&gt;=51,K2529&lt;=100),"51–100",
 AND(K2529&gt;=101,K2529&lt;=250),"101–250",
 AND(K2529&gt;=251,K2529&lt;=500),"251–500",
 AND(K2529&gt;=501,K2529&lt;=1000),"501–1000",
 K2529&gt;=1001,"1001+"
)</f>
        <v>251–500</v>
      </c>
    </row>
    <row r="2530" spans="1:12" x14ac:dyDescent="0.3">
      <c r="A2530" t="s">
        <v>5025</v>
      </c>
      <c r="B2530" t="s">
        <v>9</v>
      </c>
      <c r="C2530" t="s">
        <v>5780</v>
      </c>
      <c r="D2530" t="s">
        <v>5026</v>
      </c>
      <c r="E2530" t="s">
        <v>15</v>
      </c>
      <c r="F2530" t="s">
        <v>54</v>
      </c>
      <c r="G2530" t="s">
        <v>5027</v>
      </c>
      <c r="H2530" t="s">
        <v>15</v>
      </c>
      <c r="I2530" t="s">
        <v>5028</v>
      </c>
      <c r="J2530" t="s">
        <v>5744</v>
      </c>
      <c r="K2530">
        <v>300</v>
      </c>
      <c r="L2530" t="str" cm="1">
        <f t="array" ref="L2530">_xlfn.IFS(
 K2530&lt;=50,"≤50",
 AND(K2530&gt;=51,K2530&lt;=100),"51–100",
 AND(K2530&gt;=101,K2530&lt;=250),"101–250",
 AND(K2530&gt;=251,K2530&lt;=500),"251–500",
 AND(K2530&gt;=501,K2530&lt;=1000),"501–1000",
 K2530&gt;=1001,"1001+"
)</f>
        <v>251–500</v>
      </c>
    </row>
    <row r="2531" spans="1:12" x14ac:dyDescent="0.3">
      <c r="A2531" t="s">
        <v>5029</v>
      </c>
      <c r="B2531" t="s">
        <v>9</v>
      </c>
      <c r="C2531" t="s">
        <v>5780</v>
      </c>
      <c r="D2531" t="s">
        <v>5030</v>
      </c>
      <c r="E2531" t="s">
        <v>15</v>
      </c>
      <c r="F2531" t="s">
        <v>20</v>
      </c>
      <c r="G2531" t="s">
        <v>36</v>
      </c>
      <c r="J2531" t="s">
        <v>5737</v>
      </c>
      <c r="K2531">
        <v>300</v>
      </c>
      <c r="L2531" t="str" cm="1">
        <f t="array" ref="L2531">_xlfn.IFS(
 K2531&lt;=50,"≤50",
 AND(K2531&gt;=51,K2531&lt;=100),"51–100",
 AND(K2531&gt;=101,K2531&lt;=250),"101–250",
 AND(K2531&gt;=251,K2531&lt;=500),"251–500",
 AND(K2531&gt;=501,K2531&lt;=1000),"501–1000",
 K2531&gt;=1001,"1001+"
)</f>
        <v>251–500</v>
      </c>
    </row>
    <row r="2532" spans="1:12" x14ac:dyDescent="0.3">
      <c r="A2532" t="s">
        <v>5031</v>
      </c>
      <c r="B2532" t="s">
        <v>13</v>
      </c>
      <c r="C2532" t="s">
        <v>5777</v>
      </c>
      <c r="D2532" t="s">
        <v>5032</v>
      </c>
      <c r="E2532" t="s">
        <v>15</v>
      </c>
      <c r="F2532" t="s">
        <v>20</v>
      </c>
      <c r="G2532" t="s">
        <v>5033</v>
      </c>
      <c r="J2532" t="s">
        <v>5737</v>
      </c>
      <c r="K2532">
        <v>300</v>
      </c>
      <c r="L2532" t="str" cm="1">
        <f t="array" ref="L2532">_xlfn.IFS(
 K2532&lt;=50,"≤50",
 AND(K2532&gt;=51,K2532&lt;=100),"51–100",
 AND(K2532&gt;=101,K2532&lt;=250),"101–250",
 AND(K2532&gt;=251,K2532&lt;=500),"251–500",
 AND(K2532&gt;=501,K2532&lt;=1000),"501–1000",
 K2532&gt;=1001,"1001+"
)</f>
        <v>251–500</v>
      </c>
    </row>
    <row r="2533" spans="1:12" x14ac:dyDescent="0.3">
      <c r="A2533" t="s">
        <v>5034</v>
      </c>
      <c r="B2533" t="s">
        <v>9</v>
      </c>
      <c r="C2533" t="s">
        <v>5780</v>
      </c>
      <c r="D2533" t="s">
        <v>5035</v>
      </c>
      <c r="E2533" t="s">
        <v>15</v>
      </c>
      <c r="F2533" t="s">
        <v>20</v>
      </c>
      <c r="G2533" t="s">
        <v>5036</v>
      </c>
      <c r="J2533" t="s">
        <v>5742</v>
      </c>
      <c r="K2533">
        <v>300</v>
      </c>
      <c r="L2533" t="str" cm="1">
        <f t="array" ref="L2533">_xlfn.IFS(
 K2533&lt;=50,"≤50",
 AND(K2533&gt;=51,K2533&lt;=100),"51–100",
 AND(K2533&gt;=101,K2533&lt;=250),"101–250",
 AND(K2533&gt;=251,K2533&lt;=500),"251–500",
 AND(K2533&gt;=501,K2533&lt;=1000),"501–1000",
 K2533&gt;=1001,"1001+"
)</f>
        <v>251–500</v>
      </c>
    </row>
    <row r="2534" spans="1:12" x14ac:dyDescent="0.3">
      <c r="A2534" t="s">
        <v>5037</v>
      </c>
      <c r="B2534" t="s">
        <v>9</v>
      </c>
      <c r="C2534" t="s">
        <v>5780</v>
      </c>
      <c r="D2534" t="s">
        <v>51</v>
      </c>
      <c r="F2534" t="s">
        <v>54</v>
      </c>
      <c r="G2534" t="s">
        <v>5038</v>
      </c>
      <c r="J2534" t="s">
        <v>5749</v>
      </c>
      <c r="K2534">
        <v>300</v>
      </c>
      <c r="L2534" t="str" cm="1">
        <f t="array" ref="L2534">_xlfn.IFS(
 K2534&lt;=50,"≤50",
 AND(K2534&gt;=51,K2534&lt;=100),"51–100",
 AND(K2534&gt;=101,K2534&lt;=250),"101–250",
 AND(K2534&gt;=251,K2534&lt;=500),"251–500",
 AND(K2534&gt;=501,K2534&lt;=1000),"501–1000",
 K2534&gt;=1001,"1001+"
)</f>
        <v>251–500</v>
      </c>
    </row>
    <row r="2535" spans="1:12" x14ac:dyDescent="0.3">
      <c r="A2535" t="s">
        <v>5039</v>
      </c>
      <c r="B2535" t="s">
        <v>9</v>
      </c>
      <c r="C2535" t="s">
        <v>5780</v>
      </c>
      <c r="D2535" t="s">
        <v>5040</v>
      </c>
      <c r="F2535" t="s">
        <v>5770</v>
      </c>
      <c r="J2535" t="s">
        <v>5754</v>
      </c>
      <c r="K2535">
        <v>310</v>
      </c>
      <c r="L2535" t="str" cm="1">
        <f t="array" ref="L2535">_xlfn.IFS(
 K2535&lt;=50,"≤50",
 AND(K2535&gt;=51,K2535&lt;=100),"51–100",
 AND(K2535&gt;=101,K2535&lt;=250),"101–250",
 AND(K2535&gt;=251,K2535&lt;=500),"251–500",
 AND(K2535&gt;=501,K2535&lt;=1000),"501–1000",
 K2535&gt;=1001,"1001+"
)</f>
        <v>251–500</v>
      </c>
    </row>
    <row r="2536" spans="1:12" x14ac:dyDescent="0.3">
      <c r="A2536" t="s">
        <v>5041</v>
      </c>
      <c r="B2536" t="s">
        <v>9</v>
      </c>
      <c r="C2536" t="s">
        <v>5780</v>
      </c>
      <c r="D2536" t="s">
        <v>5042</v>
      </c>
      <c r="E2536" t="s">
        <v>15</v>
      </c>
      <c r="F2536" t="s">
        <v>20</v>
      </c>
      <c r="G2536" t="s">
        <v>5043</v>
      </c>
      <c r="J2536" t="s">
        <v>5737</v>
      </c>
      <c r="K2536">
        <v>310</v>
      </c>
      <c r="L2536" t="str" cm="1">
        <f t="array" ref="L2536">_xlfn.IFS(
 K2536&lt;=50,"≤50",
 AND(K2536&gt;=51,K2536&lt;=100),"51–100",
 AND(K2536&gt;=101,K2536&lt;=250),"101–250",
 AND(K2536&gt;=251,K2536&lt;=500),"251–500",
 AND(K2536&gt;=501,K2536&lt;=1000),"501–1000",
 K2536&gt;=1001,"1001+"
)</f>
        <v>251–500</v>
      </c>
    </row>
    <row r="2537" spans="1:12" x14ac:dyDescent="0.3">
      <c r="A2537" t="s">
        <v>5044</v>
      </c>
      <c r="B2537" t="s">
        <v>9</v>
      </c>
      <c r="C2537" t="s">
        <v>5780</v>
      </c>
      <c r="D2537" t="s">
        <v>5045</v>
      </c>
      <c r="F2537" t="s">
        <v>20</v>
      </c>
      <c r="G2537" t="s">
        <v>5046</v>
      </c>
      <c r="J2537" t="s">
        <v>5737</v>
      </c>
      <c r="K2537">
        <v>320</v>
      </c>
      <c r="L2537" t="str" cm="1">
        <f t="array" ref="L2537">_xlfn.IFS(
 K2537&lt;=50,"≤50",
 AND(K2537&gt;=51,K2537&lt;=100),"51–100",
 AND(K2537&gt;=101,K2537&lt;=250),"101–250",
 AND(K2537&gt;=251,K2537&lt;=500),"251–500",
 AND(K2537&gt;=501,K2537&lt;=1000),"501–1000",
 K2537&gt;=1001,"1001+"
)</f>
        <v>251–500</v>
      </c>
    </row>
    <row r="2538" spans="1:12" x14ac:dyDescent="0.3">
      <c r="A2538" t="s">
        <v>5047</v>
      </c>
      <c r="B2538" t="s">
        <v>9</v>
      </c>
      <c r="C2538" t="s">
        <v>5780</v>
      </c>
      <c r="D2538" t="s">
        <v>5048</v>
      </c>
      <c r="E2538" t="s">
        <v>15</v>
      </c>
      <c r="F2538" t="s">
        <v>54</v>
      </c>
      <c r="G2538" t="s">
        <v>1419</v>
      </c>
      <c r="J2538" t="s">
        <v>5737</v>
      </c>
      <c r="K2538">
        <v>320</v>
      </c>
      <c r="L2538" t="str" cm="1">
        <f t="array" ref="L2538">_xlfn.IFS(
 K2538&lt;=50,"≤50",
 AND(K2538&gt;=51,K2538&lt;=100),"51–100",
 AND(K2538&gt;=101,K2538&lt;=250),"101–250",
 AND(K2538&gt;=251,K2538&lt;=500),"251–500",
 AND(K2538&gt;=501,K2538&lt;=1000),"501–1000",
 K2538&gt;=1001,"1001+"
)</f>
        <v>251–500</v>
      </c>
    </row>
    <row r="2539" spans="1:12" x14ac:dyDescent="0.3">
      <c r="A2539" t="s">
        <v>5049</v>
      </c>
      <c r="B2539" t="s">
        <v>9</v>
      </c>
      <c r="C2539" t="s">
        <v>5780</v>
      </c>
      <c r="D2539" t="s">
        <v>5050</v>
      </c>
      <c r="F2539" t="s">
        <v>54</v>
      </c>
      <c r="G2539" t="s">
        <v>5051</v>
      </c>
      <c r="J2539" t="s">
        <v>5737</v>
      </c>
      <c r="K2539">
        <v>320</v>
      </c>
      <c r="L2539" t="str" cm="1">
        <f t="array" ref="L2539">_xlfn.IFS(
 K2539&lt;=50,"≤50",
 AND(K2539&gt;=51,K2539&lt;=100),"51–100",
 AND(K2539&gt;=101,K2539&lt;=250),"101–250",
 AND(K2539&gt;=251,K2539&lt;=500),"251–500",
 AND(K2539&gt;=501,K2539&lt;=1000),"501–1000",
 K2539&gt;=1001,"1001+"
)</f>
        <v>251–500</v>
      </c>
    </row>
    <row r="2540" spans="1:12" x14ac:dyDescent="0.3">
      <c r="A2540" t="s">
        <v>5052</v>
      </c>
      <c r="B2540" t="s">
        <v>13</v>
      </c>
      <c r="C2540" t="s">
        <v>5777</v>
      </c>
      <c r="D2540" t="s">
        <v>5053</v>
      </c>
      <c r="E2540" t="s">
        <v>15</v>
      </c>
      <c r="F2540" t="s">
        <v>54</v>
      </c>
      <c r="G2540" t="s">
        <v>5054</v>
      </c>
      <c r="J2540" t="s">
        <v>5737</v>
      </c>
      <c r="K2540">
        <v>320</v>
      </c>
      <c r="L2540" t="str" cm="1">
        <f t="array" ref="L2540">_xlfn.IFS(
 K2540&lt;=50,"≤50",
 AND(K2540&gt;=51,K2540&lt;=100),"51–100",
 AND(K2540&gt;=101,K2540&lt;=250),"101–250",
 AND(K2540&gt;=251,K2540&lt;=500),"251–500",
 AND(K2540&gt;=501,K2540&lt;=1000),"501–1000",
 K2540&gt;=1001,"1001+"
)</f>
        <v>251–500</v>
      </c>
    </row>
    <row r="2541" spans="1:12" x14ac:dyDescent="0.3">
      <c r="A2541" t="s">
        <v>5055</v>
      </c>
      <c r="B2541" t="s">
        <v>13</v>
      </c>
      <c r="C2541" t="s">
        <v>5777</v>
      </c>
      <c r="D2541" t="s">
        <v>5056</v>
      </c>
      <c r="E2541" t="s">
        <v>15</v>
      </c>
      <c r="F2541" t="s">
        <v>54</v>
      </c>
      <c r="G2541" t="s">
        <v>588</v>
      </c>
      <c r="J2541" t="s">
        <v>5740</v>
      </c>
      <c r="K2541">
        <v>320</v>
      </c>
      <c r="L2541" t="str" cm="1">
        <f t="array" ref="L2541">_xlfn.IFS(
 K2541&lt;=50,"≤50",
 AND(K2541&gt;=51,K2541&lt;=100),"51–100",
 AND(K2541&gt;=101,K2541&lt;=250),"101–250",
 AND(K2541&gt;=251,K2541&lt;=500),"251–500",
 AND(K2541&gt;=501,K2541&lt;=1000),"501–1000",
 K2541&gt;=1001,"1001+"
)</f>
        <v>251–500</v>
      </c>
    </row>
    <row r="2542" spans="1:12" x14ac:dyDescent="0.3">
      <c r="A2542" t="s">
        <v>5057</v>
      </c>
      <c r="B2542" t="s">
        <v>9</v>
      </c>
      <c r="C2542" t="s">
        <v>5780</v>
      </c>
      <c r="D2542" t="s">
        <v>5058</v>
      </c>
      <c r="E2542" t="s">
        <v>15</v>
      </c>
      <c r="F2542" t="s">
        <v>16</v>
      </c>
      <c r="G2542" t="s">
        <v>138</v>
      </c>
      <c r="J2542" t="s">
        <v>5738</v>
      </c>
      <c r="K2542">
        <v>320</v>
      </c>
      <c r="L2542" t="str" cm="1">
        <f t="array" ref="L2542">_xlfn.IFS(
 K2542&lt;=50,"≤50",
 AND(K2542&gt;=51,K2542&lt;=100),"51–100",
 AND(K2542&gt;=101,K2542&lt;=250),"101–250",
 AND(K2542&gt;=251,K2542&lt;=500),"251–500",
 AND(K2542&gt;=501,K2542&lt;=1000),"501–1000",
 K2542&gt;=1001,"1001+"
)</f>
        <v>251–500</v>
      </c>
    </row>
    <row r="2543" spans="1:12" x14ac:dyDescent="0.3">
      <c r="A2543" t="s">
        <v>5059</v>
      </c>
      <c r="B2543" t="s">
        <v>9</v>
      </c>
      <c r="C2543" t="s">
        <v>5780</v>
      </c>
      <c r="D2543" t="s">
        <v>5060</v>
      </c>
      <c r="E2543" t="s">
        <v>15</v>
      </c>
      <c r="F2543" t="s">
        <v>16</v>
      </c>
      <c r="G2543" t="s">
        <v>138</v>
      </c>
      <c r="J2543" t="s">
        <v>5744</v>
      </c>
      <c r="K2543">
        <v>320</v>
      </c>
      <c r="L2543" t="str" cm="1">
        <f t="array" ref="L2543">_xlfn.IFS(
 K2543&lt;=50,"≤50",
 AND(K2543&gt;=51,K2543&lt;=100),"51–100",
 AND(K2543&gt;=101,K2543&lt;=250),"101–250",
 AND(K2543&gt;=251,K2543&lt;=500),"251–500",
 AND(K2543&gt;=501,K2543&lt;=1000),"501–1000",
 K2543&gt;=1001,"1001+"
)</f>
        <v>251–500</v>
      </c>
    </row>
    <row r="2544" spans="1:12" x14ac:dyDescent="0.3">
      <c r="A2544" t="s">
        <v>5061</v>
      </c>
      <c r="B2544" t="s">
        <v>13</v>
      </c>
      <c r="C2544" t="s">
        <v>5777</v>
      </c>
      <c r="D2544" t="s">
        <v>5062</v>
      </c>
      <c r="F2544" t="s">
        <v>54</v>
      </c>
      <c r="G2544" t="s">
        <v>5063</v>
      </c>
      <c r="J2544" t="s">
        <v>5748</v>
      </c>
      <c r="K2544">
        <v>320</v>
      </c>
      <c r="L2544" t="str" cm="1">
        <f t="array" ref="L2544">_xlfn.IFS(
 K2544&lt;=50,"≤50",
 AND(K2544&gt;=51,K2544&lt;=100),"51–100",
 AND(K2544&gt;=101,K2544&lt;=250),"101–250",
 AND(K2544&gt;=251,K2544&lt;=500),"251–500",
 AND(K2544&gt;=501,K2544&lt;=1000),"501–1000",
 K2544&gt;=1001,"1001+"
)</f>
        <v>251–500</v>
      </c>
    </row>
    <row r="2545" spans="1:12" x14ac:dyDescent="0.3">
      <c r="A2545" t="s">
        <v>5064</v>
      </c>
      <c r="B2545" t="s">
        <v>9</v>
      </c>
      <c r="C2545" t="s">
        <v>5780</v>
      </c>
      <c r="D2545" t="s">
        <v>5065</v>
      </c>
      <c r="E2545" t="s">
        <v>15</v>
      </c>
      <c r="F2545" t="s">
        <v>16</v>
      </c>
      <c r="G2545" t="s">
        <v>5066</v>
      </c>
      <c r="J2545" t="s">
        <v>5739</v>
      </c>
      <c r="K2545">
        <v>320</v>
      </c>
      <c r="L2545" t="str" cm="1">
        <f t="array" ref="L2545">_xlfn.IFS(
 K2545&lt;=50,"≤50",
 AND(K2545&gt;=51,K2545&lt;=100),"51–100",
 AND(K2545&gt;=101,K2545&lt;=250),"101–250",
 AND(K2545&gt;=251,K2545&lt;=500),"251–500",
 AND(K2545&gt;=501,K2545&lt;=1000),"501–1000",
 K2545&gt;=1001,"1001+"
)</f>
        <v>251–500</v>
      </c>
    </row>
    <row r="2546" spans="1:12" x14ac:dyDescent="0.3">
      <c r="A2546" t="s">
        <v>5067</v>
      </c>
      <c r="B2546" t="s">
        <v>13</v>
      </c>
      <c r="C2546" t="s">
        <v>5777</v>
      </c>
      <c r="D2546" t="s">
        <v>5068</v>
      </c>
      <c r="F2546" t="s">
        <v>54</v>
      </c>
      <c r="G2546" t="s">
        <v>4215</v>
      </c>
      <c r="J2546" t="s">
        <v>5744</v>
      </c>
      <c r="K2546">
        <v>320</v>
      </c>
      <c r="L2546" t="str" cm="1">
        <f t="array" ref="L2546">_xlfn.IFS(
 K2546&lt;=50,"≤50",
 AND(K2546&gt;=51,K2546&lt;=100),"51–100",
 AND(K2546&gt;=101,K2546&lt;=250),"101–250",
 AND(K2546&gt;=251,K2546&lt;=500),"251–500",
 AND(K2546&gt;=501,K2546&lt;=1000),"501–1000",
 K2546&gt;=1001,"1001+"
)</f>
        <v>251–500</v>
      </c>
    </row>
    <row r="2547" spans="1:12" x14ac:dyDescent="0.3">
      <c r="A2547" t="s">
        <v>5069</v>
      </c>
      <c r="B2547" t="s">
        <v>13</v>
      </c>
      <c r="C2547" t="s">
        <v>5777</v>
      </c>
      <c r="D2547" t="s">
        <v>576</v>
      </c>
      <c r="E2547" t="s">
        <v>15</v>
      </c>
      <c r="F2547" t="s">
        <v>54</v>
      </c>
      <c r="G2547" t="s">
        <v>1036</v>
      </c>
      <c r="J2547" t="s">
        <v>5737</v>
      </c>
      <c r="K2547">
        <v>330</v>
      </c>
      <c r="L2547" t="str" cm="1">
        <f t="array" ref="L2547">_xlfn.IFS(
 K2547&lt;=50,"≤50",
 AND(K2547&gt;=51,K2547&lt;=100),"51–100",
 AND(K2547&gt;=101,K2547&lt;=250),"101–250",
 AND(K2547&gt;=251,K2547&lt;=500),"251–500",
 AND(K2547&gt;=501,K2547&lt;=1000),"501–1000",
 K2547&gt;=1001,"1001+"
)</f>
        <v>251–500</v>
      </c>
    </row>
    <row r="2548" spans="1:12" x14ac:dyDescent="0.3">
      <c r="A2548" t="s">
        <v>5070</v>
      </c>
      <c r="B2548" t="s">
        <v>9</v>
      </c>
      <c r="C2548" t="s">
        <v>5780</v>
      </c>
      <c r="D2548" t="s">
        <v>5071</v>
      </c>
      <c r="E2548" t="s">
        <v>15</v>
      </c>
      <c r="F2548" t="s">
        <v>16</v>
      </c>
      <c r="G2548" t="s">
        <v>5072</v>
      </c>
      <c r="J2548" t="s">
        <v>5752</v>
      </c>
      <c r="K2548">
        <v>330</v>
      </c>
      <c r="L2548" t="str" cm="1">
        <f t="array" ref="L2548">_xlfn.IFS(
 K2548&lt;=50,"≤50",
 AND(K2548&gt;=51,K2548&lt;=100),"51–100",
 AND(K2548&gt;=101,K2548&lt;=250),"101–250",
 AND(K2548&gt;=251,K2548&lt;=500),"251–500",
 AND(K2548&gt;=501,K2548&lt;=1000),"501–1000",
 K2548&gt;=1001,"1001+"
)</f>
        <v>251–500</v>
      </c>
    </row>
    <row r="2549" spans="1:12" x14ac:dyDescent="0.3">
      <c r="A2549" t="s">
        <v>5073</v>
      </c>
      <c r="B2549" t="s">
        <v>11</v>
      </c>
      <c r="C2549" t="s">
        <v>5776</v>
      </c>
      <c r="F2549" t="s">
        <v>5770</v>
      </c>
      <c r="J2549" t="s">
        <v>5760</v>
      </c>
      <c r="K2549">
        <v>340</v>
      </c>
      <c r="L2549" t="str" cm="1">
        <f t="array" ref="L2549">_xlfn.IFS(
 K2549&lt;=50,"≤50",
 AND(K2549&gt;=51,K2549&lt;=100),"51–100",
 AND(K2549&gt;=101,K2549&lt;=250),"101–250",
 AND(K2549&gt;=251,K2549&lt;=500),"251–500",
 AND(K2549&gt;=501,K2549&lt;=1000),"501–1000",
 K2549&gt;=1001,"1001+"
)</f>
        <v>251–500</v>
      </c>
    </row>
    <row r="2550" spans="1:12" x14ac:dyDescent="0.3">
      <c r="A2550" t="s">
        <v>5074</v>
      </c>
      <c r="B2550" t="s">
        <v>11</v>
      </c>
      <c r="C2550" t="s">
        <v>5776</v>
      </c>
      <c r="F2550" t="s">
        <v>5770</v>
      </c>
      <c r="J2550" t="s">
        <v>5737</v>
      </c>
      <c r="K2550">
        <v>340</v>
      </c>
      <c r="L2550" t="str" cm="1">
        <f t="array" ref="L2550">_xlfn.IFS(
 K2550&lt;=50,"≤50",
 AND(K2550&gt;=51,K2550&lt;=100),"51–100",
 AND(K2550&gt;=101,K2550&lt;=250),"101–250",
 AND(K2550&gt;=251,K2550&lt;=500),"251–500",
 AND(K2550&gt;=501,K2550&lt;=1000),"501–1000",
 K2550&gt;=1001,"1001+"
)</f>
        <v>251–500</v>
      </c>
    </row>
    <row r="2551" spans="1:12" x14ac:dyDescent="0.3">
      <c r="A2551" t="s">
        <v>5075</v>
      </c>
      <c r="B2551" t="s">
        <v>9</v>
      </c>
      <c r="C2551" t="s">
        <v>5780</v>
      </c>
      <c r="D2551" t="s">
        <v>5076</v>
      </c>
      <c r="E2551" t="s">
        <v>15</v>
      </c>
      <c r="F2551" t="s">
        <v>20</v>
      </c>
      <c r="G2551" t="s">
        <v>42</v>
      </c>
      <c r="J2551" t="s">
        <v>5761</v>
      </c>
      <c r="K2551">
        <v>347</v>
      </c>
      <c r="L2551" t="str" cm="1">
        <f t="array" ref="L2551">_xlfn.IFS(
 K2551&lt;=50,"≤50",
 AND(K2551&gt;=51,K2551&lt;=100),"51–100",
 AND(K2551&gt;=101,K2551&lt;=250),"101–250",
 AND(K2551&gt;=251,K2551&lt;=500),"251–500",
 AND(K2551&gt;=501,K2551&lt;=1000),"501–1000",
 K2551&gt;=1001,"1001+"
)</f>
        <v>251–500</v>
      </c>
    </row>
    <row r="2552" spans="1:12" x14ac:dyDescent="0.3">
      <c r="A2552" t="s">
        <v>5077</v>
      </c>
      <c r="B2552" t="s">
        <v>13</v>
      </c>
      <c r="C2552" t="s">
        <v>5777</v>
      </c>
      <c r="D2552" t="s">
        <v>112</v>
      </c>
      <c r="F2552" t="s">
        <v>16</v>
      </c>
      <c r="G2552" t="s">
        <v>692</v>
      </c>
      <c r="J2552" t="s">
        <v>5737</v>
      </c>
      <c r="K2552">
        <v>350</v>
      </c>
      <c r="L2552" t="str" cm="1">
        <f t="array" ref="L2552">_xlfn.IFS(
 K2552&lt;=50,"≤50",
 AND(K2552&gt;=51,K2552&lt;=100),"51–100",
 AND(K2552&gt;=101,K2552&lt;=250),"101–250",
 AND(K2552&gt;=251,K2552&lt;=500),"251–500",
 AND(K2552&gt;=501,K2552&lt;=1000),"501–1000",
 K2552&gt;=1001,"1001+"
)</f>
        <v>251–500</v>
      </c>
    </row>
    <row r="2553" spans="1:12" x14ac:dyDescent="0.3">
      <c r="A2553" t="s">
        <v>5078</v>
      </c>
      <c r="B2553" t="s">
        <v>9</v>
      </c>
      <c r="C2553" t="s">
        <v>5780</v>
      </c>
      <c r="D2553" t="s">
        <v>5079</v>
      </c>
      <c r="F2553" t="s">
        <v>5770</v>
      </c>
      <c r="J2553" t="s">
        <v>5750</v>
      </c>
      <c r="K2553">
        <v>350</v>
      </c>
      <c r="L2553" t="str" cm="1">
        <f t="array" ref="L2553">_xlfn.IFS(
 K2553&lt;=50,"≤50",
 AND(K2553&gt;=51,K2553&lt;=100),"51–100",
 AND(K2553&gt;=101,K2553&lt;=250),"101–250",
 AND(K2553&gt;=251,K2553&lt;=500),"251–500",
 AND(K2553&gt;=501,K2553&lt;=1000),"501–1000",
 K2553&gt;=1001,"1001+"
)</f>
        <v>251–500</v>
      </c>
    </row>
    <row r="2554" spans="1:12" x14ac:dyDescent="0.3">
      <c r="A2554" t="s">
        <v>5080</v>
      </c>
      <c r="B2554" t="s">
        <v>9</v>
      </c>
      <c r="C2554" t="s">
        <v>5780</v>
      </c>
      <c r="D2554" t="s">
        <v>5081</v>
      </c>
      <c r="E2554" t="s">
        <v>15</v>
      </c>
      <c r="F2554" t="s">
        <v>54</v>
      </c>
      <c r="G2554" t="s">
        <v>588</v>
      </c>
      <c r="J2554" t="s">
        <v>5737</v>
      </c>
      <c r="K2554">
        <v>350</v>
      </c>
      <c r="L2554" t="str" cm="1">
        <f t="array" ref="L2554">_xlfn.IFS(
 K2554&lt;=50,"≤50",
 AND(K2554&gt;=51,K2554&lt;=100),"51–100",
 AND(K2554&gt;=101,K2554&lt;=250),"101–250",
 AND(K2554&gt;=251,K2554&lt;=500),"251–500",
 AND(K2554&gt;=501,K2554&lt;=1000),"501–1000",
 K2554&gt;=1001,"1001+"
)</f>
        <v>251–500</v>
      </c>
    </row>
    <row r="2555" spans="1:12" x14ac:dyDescent="0.3">
      <c r="A2555" t="s">
        <v>5082</v>
      </c>
      <c r="B2555" t="s">
        <v>11</v>
      </c>
      <c r="C2555" t="s">
        <v>5776</v>
      </c>
      <c r="F2555" t="s">
        <v>20</v>
      </c>
      <c r="G2555" t="s">
        <v>5083</v>
      </c>
      <c r="J2555" t="s">
        <v>5762</v>
      </c>
      <c r="K2555">
        <v>350</v>
      </c>
      <c r="L2555" t="str" cm="1">
        <f t="array" ref="L2555">_xlfn.IFS(
 K2555&lt;=50,"≤50",
 AND(K2555&gt;=51,K2555&lt;=100),"51–100",
 AND(K2555&gt;=101,K2555&lt;=250),"101–250",
 AND(K2555&gt;=251,K2555&lt;=500),"251–500",
 AND(K2555&gt;=501,K2555&lt;=1000),"501–1000",
 K2555&gt;=1001,"1001+"
)</f>
        <v>251–500</v>
      </c>
    </row>
    <row r="2556" spans="1:12" x14ac:dyDescent="0.3">
      <c r="A2556" t="s">
        <v>5084</v>
      </c>
      <c r="B2556" t="s">
        <v>9</v>
      </c>
      <c r="C2556" t="s">
        <v>5780</v>
      </c>
      <c r="D2556" t="s">
        <v>5085</v>
      </c>
      <c r="E2556" t="s">
        <v>15</v>
      </c>
      <c r="F2556" t="s">
        <v>20</v>
      </c>
      <c r="G2556" t="s">
        <v>21</v>
      </c>
      <c r="J2556" t="s">
        <v>5737</v>
      </c>
      <c r="K2556">
        <v>350</v>
      </c>
      <c r="L2556" t="str" cm="1">
        <f t="array" ref="L2556">_xlfn.IFS(
 K2556&lt;=50,"≤50",
 AND(K2556&gt;=51,K2556&lt;=100),"51–100",
 AND(K2556&gt;=101,K2556&lt;=250),"101–250",
 AND(K2556&gt;=251,K2556&lt;=500),"251–500",
 AND(K2556&gt;=501,K2556&lt;=1000),"501–1000",
 K2556&gt;=1001,"1001+"
)</f>
        <v>251–500</v>
      </c>
    </row>
    <row r="2557" spans="1:12" x14ac:dyDescent="0.3">
      <c r="A2557" t="s">
        <v>5086</v>
      </c>
      <c r="B2557" t="s">
        <v>13</v>
      </c>
      <c r="C2557" t="s">
        <v>5777</v>
      </c>
      <c r="D2557" t="s">
        <v>5087</v>
      </c>
      <c r="F2557" t="s">
        <v>54</v>
      </c>
      <c r="G2557" t="s">
        <v>302</v>
      </c>
      <c r="J2557" t="s">
        <v>5742</v>
      </c>
      <c r="K2557">
        <v>350</v>
      </c>
      <c r="L2557" t="str" cm="1">
        <f t="array" ref="L2557">_xlfn.IFS(
 K2557&lt;=50,"≤50",
 AND(K2557&gt;=51,K2557&lt;=100),"51–100",
 AND(K2557&gt;=101,K2557&lt;=250),"101–250",
 AND(K2557&gt;=251,K2557&lt;=500),"251–500",
 AND(K2557&gt;=501,K2557&lt;=1000),"501–1000",
 K2557&gt;=1001,"1001+"
)</f>
        <v>251–500</v>
      </c>
    </row>
    <row r="2558" spans="1:12" x14ac:dyDescent="0.3">
      <c r="A2558" t="s">
        <v>5088</v>
      </c>
      <c r="B2558" t="s">
        <v>13</v>
      </c>
      <c r="C2558" t="s">
        <v>5777</v>
      </c>
      <c r="D2558" t="s">
        <v>5089</v>
      </c>
      <c r="E2558" t="s">
        <v>15</v>
      </c>
      <c r="F2558" t="s">
        <v>20</v>
      </c>
      <c r="G2558" t="s">
        <v>21</v>
      </c>
      <c r="J2558" t="s">
        <v>5748</v>
      </c>
      <c r="K2558">
        <v>350</v>
      </c>
      <c r="L2558" t="str" cm="1">
        <f t="array" ref="L2558">_xlfn.IFS(
 K2558&lt;=50,"≤50",
 AND(K2558&gt;=51,K2558&lt;=100),"51–100",
 AND(K2558&gt;=101,K2558&lt;=250),"101–250",
 AND(K2558&gt;=251,K2558&lt;=500),"251–500",
 AND(K2558&gt;=501,K2558&lt;=1000),"501–1000",
 K2558&gt;=1001,"1001+"
)</f>
        <v>251–500</v>
      </c>
    </row>
    <row r="2559" spans="1:12" x14ac:dyDescent="0.3">
      <c r="A2559" t="s">
        <v>5090</v>
      </c>
      <c r="B2559" t="s">
        <v>13</v>
      </c>
      <c r="C2559" t="s">
        <v>5777</v>
      </c>
      <c r="D2559" t="s">
        <v>5091</v>
      </c>
      <c r="E2559" t="s">
        <v>15</v>
      </c>
      <c r="F2559" t="s">
        <v>54</v>
      </c>
      <c r="G2559" t="s">
        <v>5092</v>
      </c>
      <c r="J2559" t="s">
        <v>5737</v>
      </c>
      <c r="K2559">
        <v>350</v>
      </c>
      <c r="L2559" t="str" cm="1">
        <f t="array" ref="L2559">_xlfn.IFS(
 K2559&lt;=50,"≤50",
 AND(K2559&gt;=51,K2559&lt;=100),"51–100",
 AND(K2559&gt;=101,K2559&lt;=250),"101–250",
 AND(K2559&gt;=251,K2559&lt;=500),"251–500",
 AND(K2559&gt;=501,K2559&lt;=1000),"501–1000",
 K2559&gt;=1001,"1001+"
)</f>
        <v>251–500</v>
      </c>
    </row>
    <row r="2560" spans="1:12" x14ac:dyDescent="0.3">
      <c r="A2560" t="s">
        <v>5093</v>
      </c>
      <c r="B2560" t="s">
        <v>9</v>
      </c>
      <c r="C2560" t="s">
        <v>5780</v>
      </c>
      <c r="D2560" t="s">
        <v>51</v>
      </c>
      <c r="F2560" t="s">
        <v>54</v>
      </c>
      <c r="G2560" t="s">
        <v>5094</v>
      </c>
      <c r="J2560" t="s">
        <v>5737</v>
      </c>
      <c r="K2560">
        <v>350</v>
      </c>
      <c r="L2560" t="str" cm="1">
        <f t="array" ref="L2560">_xlfn.IFS(
 K2560&lt;=50,"≤50",
 AND(K2560&gt;=51,K2560&lt;=100),"51–100",
 AND(K2560&gt;=101,K2560&lt;=250),"101–250",
 AND(K2560&gt;=251,K2560&lt;=500),"251–500",
 AND(K2560&gt;=501,K2560&lt;=1000),"501–1000",
 K2560&gt;=1001,"1001+"
)</f>
        <v>251–500</v>
      </c>
    </row>
    <row r="2561" spans="1:12" x14ac:dyDescent="0.3">
      <c r="A2561" t="s">
        <v>5095</v>
      </c>
      <c r="B2561" t="s">
        <v>9</v>
      </c>
      <c r="C2561" t="s">
        <v>5780</v>
      </c>
      <c r="D2561" t="s">
        <v>5096</v>
      </c>
      <c r="E2561" t="s">
        <v>15</v>
      </c>
      <c r="F2561" t="s">
        <v>54</v>
      </c>
      <c r="G2561" t="s">
        <v>5097</v>
      </c>
      <c r="H2561" t="s">
        <v>15</v>
      </c>
      <c r="I2561" t="s">
        <v>5098</v>
      </c>
      <c r="J2561" t="s">
        <v>5737</v>
      </c>
      <c r="K2561">
        <v>350</v>
      </c>
      <c r="L2561" t="str" cm="1">
        <f t="array" ref="L2561">_xlfn.IFS(
 K2561&lt;=50,"≤50",
 AND(K2561&gt;=51,K2561&lt;=100),"51–100",
 AND(K2561&gt;=101,K2561&lt;=250),"101–250",
 AND(K2561&gt;=251,K2561&lt;=500),"251–500",
 AND(K2561&gt;=501,K2561&lt;=1000),"501–1000",
 K2561&gt;=1001,"1001+"
)</f>
        <v>251–500</v>
      </c>
    </row>
    <row r="2562" spans="1:12" x14ac:dyDescent="0.3">
      <c r="A2562" t="s">
        <v>5099</v>
      </c>
      <c r="B2562" t="s">
        <v>11</v>
      </c>
      <c r="C2562" t="s">
        <v>5776</v>
      </c>
      <c r="F2562" t="s">
        <v>54</v>
      </c>
      <c r="G2562" t="s">
        <v>5100</v>
      </c>
      <c r="J2562" t="s">
        <v>5740</v>
      </c>
      <c r="K2562">
        <v>350</v>
      </c>
      <c r="L2562" t="str" cm="1">
        <f t="array" ref="L2562">_xlfn.IFS(
 K2562&lt;=50,"≤50",
 AND(K2562&gt;=51,K2562&lt;=100),"51–100",
 AND(K2562&gt;=101,K2562&lt;=250),"101–250",
 AND(K2562&gt;=251,K2562&lt;=500),"251–500",
 AND(K2562&gt;=501,K2562&lt;=1000),"501–1000",
 K2562&gt;=1001,"1001+"
)</f>
        <v>251–500</v>
      </c>
    </row>
    <row r="2563" spans="1:12" x14ac:dyDescent="0.3">
      <c r="A2563" t="s">
        <v>5101</v>
      </c>
      <c r="B2563" t="s">
        <v>13</v>
      </c>
      <c r="C2563" t="s">
        <v>5777</v>
      </c>
      <c r="D2563" t="s">
        <v>5102</v>
      </c>
      <c r="E2563" t="s">
        <v>15</v>
      </c>
      <c r="F2563" t="s">
        <v>54</v>
      </c>
      <c r="G2563" t="s">
        <v>588</v>
      </c>
      <c r="J2563" t="s">
        <v>5737</v>
      </c>
      <c r="K2563">
        <v>350</v>
      </c>
      <c r="L2563" t="str" cm="1">
        <f t="array" ref="L2563">_xlfn.IFS(
 K2563&lt;=50,"≤50",
 AND(K2563&gt;=51,K2563&lt;=100),"51–100",
 AND(K2563&gt;=101,K2563&lt;=250),"101–250",
 AND(K2563&gt;=251,K2563&lt;=500),"251–500",
 AND(K2563&gt;=501,K2563&lt;=1000),"501–1000",
 K2563&gt;=1001,"1001+"
)</f>
        <v>251–500</v>
      </c>
    </row>
    <row r="2564" spans="1:12" x14ac:dyDescent="0.3">
      <c r="A2564" t="s">
        <v>5103</v>
      </c>
      <c r="B2564" t="s">
        <v>13</v>
      </c>
      <c r="C2564" t="s">
        <v>5777</v>
      </c>
      <c r="D2564" t="s">
        <v>2847</v>
      </c>
      <c r="E2564" t="s">
        <v>15</v>
      </c>
      <c r="F2564" t="s">
        <v>16</v>
      </c>
      <c r="G2564" t="s">
        <v>2848</v>
      </c>
      <c r="J2564" t="s">
        <v>5737</v>
      </c>
      <c r="K2564">
        <v>350</v>
      </c>
      <c r="L2564" t="str" cm="1">
        <f t="array" ref="L2564">_xlfn.IFS(
 K2564&lt;=50,"≤50",
 AND(K2564&gt;=51,K2564&lt;=100),"51–100",
 AND(K2564&gt;=101,K2564&lt;=250),"101–250",
 AND(K2564&gt;=251,K2564&lt;=500),"251–500",
 AND(K2564&gt;=501,K2564&lt;=1000),"501–1000",
 K2564&gt;=1001,"1001+"
)</f>
        <v>251–500</v>
      </c>
    </row>
    <row r="2565" spans="1:12" x14ac:dyDescent="0.3">
      <c r="A2565" t="s">
        <v>5104</v>
      </c>
      <c r="B2565" t="s">
        <v>9</v>
      </c>
      <c r="C2565" t="s">
        <v>5780</v>
      </c>
      <c r="D2565" t="s">
        <v>5105</v>
      </c>
      <c r="F2565" t="s">
        <v>54</v>
      </c>
      <c r="G2565" t="s">
        <v>5106</v>
      </c>
      <c r="J2565" t="s">
        <v>5738</v>
      </c>
      <c r="K2565">
        <v>350</v>
      </c>
      <c r="L2565" t="str" cm="1">
        <f t="array" ref="L2565">_xlfn.IFS(
 K2565&lt;=50,"≤50",
 AND(K2565&gt;=51,K2565&lt;=100),"51–100",
 AND(K2565&gt;=101,K2565&lt;=250),"101–250",
 AND(K2565&gt;=251,K2565&lt;=500),"251–500",
 AND(K2565&gt;=501,K2565&lt;=1000),"501–1000",
 K2565&gt;=1001,"1001+"
)</f>
        <v>251–500</v>
      </c>
    </row>
    <row r="2566" spans="1:12" x14ac:dyDescent="0.3">
      <c r="A2566" t="s">
        <v>5107</v>
      </c>
      <c r="B2566" t="s">
        <v>9</v>
      </c>
      <c r="C2566" t="s">
        <v>5780</v>
      </c>
      <c r="D2566" t="s">
        <v>5108</v>
      </c>
      <c r="F2566" t="s">
        <v>5770</v>
      </c>
      <c r="J2566" t="s">
        <v>5740</v>
      </c>
      <c r="K2566">
        <v>350</v>
      </c>
      <c r="L2566" t="str" cm="1">
        <f t="array" ref="L2566">_xlfn.IFS(
 K2566&lt;=50,"≤50",
 AND(K2566&gt;=51,K2566&lt;=100),"51–100",
 AND(K2566&gt;=101,K2566&lt;=250),"101–250",
 AND(K2566&gt;=251,K2566&lt;=500),"251–500",
 AND(K2566&gt;=501,K2566&lt;=1000),"501–1000",
 K2566&gt;=1001,"1001+"
)</f>
        <v>251–500</v>
      </c>
    </row>
    <row r="2567" spans="1:12" x14ac:dyDescent="0.3">
      <c r="A2567" t="s">
        <v>5109</v>
      </c>
      <c r="B2567" t="s">
        <v>11</v>
      </c>
      <c r="C2567" t="s">
        <v>5776</v>
      </c>
      <c r="F2567" t="s">
        <v>5770</v>
      </c>
      <c r="J2567" t="s">
        <v>5741</v>
      </c>
      <c r="K2567">
        <v>350</v>
      </c>
      <c r="L2567" t="str" cm="1">
        <f t="array" ref="L2567">_xlfn.IFS(
 K2567&lt;=50,"≤50",
 AND(K2567&gt;=51,K2567&lt;=100),"51–100",
 AND(K2567&gt;=101,K2567&lt;=250),"101–250",
 AND(K2567&gt;=251,K2567&lt;=500),"251–500",
 AND(K2567&gt;=501,K2567&lt;=1000),"501–1000",
 K2567&gt;=1001,"1001+"
)</f>
        <v>251–500</v>
      </c>
    </row>
    <row r="2568" spans="1:12" x14ac:dyDescent="0.3">
      <c r="A2568" t="s">
        <v>5110</v>
      </c>
      <c r="B2568" t="s">
        <v>11</v>
      </c>
      <c r="C2568" t="s">
        <v>5776</v>
      </c>
      <c r="F2568" t="s">
        <v>5770</v>
      </c>
      <c r="J2568" t="s">
        <v>5749</v>
      </c>
      <c r="K2568">
        <v>350</v>
      </c>
      <c r="L2568" t="str" cm="1">
        <f t="array" ref="L2568">_xlfn.IFS(
 K2568&lt;=50,"≤50",
 AND(K2568&gt;=51,K2568&lt;=100),"51–100",
 AND(K2568&gt;=101,K2568&lt;=250),"101–250",
 AND(K2568&gt;=251,K2568&lt;=500),"251–500",
 AND(K2568&gt;=501,K2568&lt;=1000),"501–1000",
 K2568&gt;=1001,"1001+"
)</f>
        <v>251–500</v>
      </c>
    </row>
    <row r="2569" spans="1:12" x14ac:dyDescent="0.3">
      <c r="A2569" t="s">
        <v>5111</v>
      </c>
      <c r="B2569" t="s">
        <v>13</v>
      </c>
      <c r="C2569" t="s">
        <v>5777</v>
      </c>
      <c r="D2569" t="s">
        <v>5112</v>
      </c>
      <c r="E2569" t="s">
        <v>15</v>
      </c>
      <c r="F2569" t="s">
        <v>20</v>
      </c>
      <c r="G2569" t="s">
        <v>21</v>
      </c>
      <c r="J2569" t="s">
        <v>5737</v>
      </c>
      <c r="K2569">
        <v>350</v>
      </c>
      <c r="L2569" t="str" cm="1">
        <f t="array" ref="L2569">_xlfn.IFS(
 K2569&lt;=50,"≤50",
 AND(K2569&gt;=51,K2569&lt;=100),"51–100",
 AND(K2569&gt;=101,K2569&lt;=250),"101–250",
 AND(K2569&gt;=251,K2569&lt;=500),"251–500",
 AND(K2569&gt;=501,K2569&lt;=1000),"501–1000",
 K2569&gt;=1001,"1001+"
)</f>
        <v>251–500</v>
      </c>
    </row>
    <row r="2570" spans="1:12" x14ac:dyDescent="0.3">
      <c r="A2570" t="s">
        <v>5113</v>
      </c>
      <c r="B2570" t="s">
        <v>9</v>
      </c>
      <c r="C2570" t="s">
        <v>5780</v>
      </c>
      <c r="D2570" t="s">
        <v>5114</v>
      </c>
      <c r="F2570" t="s">
        <v>20</v>
      </c>
      <c r="G2570" t="s">
        <v>5115</v>
      </c>
      <c r="J2570" t="s">
        <v>5747</v>
      </c>
      <c r="K2570">
        <v>350</v>
      </c>
      <c r="L2570" t="str" cm="1">
        <f t="array" ref="L2570">_xlfn.IFS(
 K2570&lt;=50,"≤50",
 AND(K2570&gt;=51,K2570&lt;=100),"51–100",
 AND(K2570&gt;=101,K2570&lt;=250),"101–250",
 AND(K2570&gt;=251,K2570&lt;=500),"251–500",
 AND(K2570&gt;=501,K2570&lt;=1000),"501–1000",
 K2570&gt;=1001,"1001+"
)</f>
        <v>251–500</v>
      </c>
    </row>
    <row r="2571" spans="1:12" x14ac:dyDescent="0.3">
      <c r="A2571" t="s">
        <v>5116</v>
      </c>
      <c r="B2571" t="s">
        <v>9</v>
      </c>
      <c r="C2571" t="s">
        <v>5780</v>
      </c>
      <c r="D2571" t="s">
        <v>5117</v>
      </c>
      <c r="E2571" t="s">
        <v>15</v>
      </c>
      <c r="F2571" t="s">
        <v>16</v>
      </c>
      <c r="G2571" t="s">
        <v>5118</v>
      </c>
      <c r="J2571" t="s">
        <v>5737</v>
      </c>
      <c r="K2571">
        <v>350</v>
      </c>
      <c r="L2571" t="str" cm="1">
        <f t="array" ref="L2571">_xlfn.IFS(
 K2571&lt;=50,"≤50",
 AND(K2571&gt;=51,K2571&lt;=100),"51–100",
 AND(K2571&gt;=101,K2571&lt;=250),"101–250",
 AND(K2571&gt;=251,K2571&lt;=500),"251–500",
 AND(K2571&gt;=501,K2571&lt;=1000),"501–1000",
 K2571&gt;=1001,"1001+"
)</f>
        <v>251–500</v>
      </c>
    </row>
    <row r="2572" spans="1:12" x14ac:dyDescent="0.3">
      <c r="A2572" t="s">
        <v>5119</v>
      </c>
      <c r="B2572" t="s">
        <v>9</v>
      </c>
      <c r="C2572" t="s">
        <v>5780</v>
      </c>
      <c r="D2572" t="s">
        <v>5120</v>
      </c>
      <c r="E2572" t="s">
        <v>15</v>
      </c>
      <c r="F2572" t="s">
        <v>54</v>
      </c>
      <c r="G2572" t="s">
        <v>5121</v>
      </c>
      <c r="J2572" t="s">
        <v>5742</v>
      </c>
      <c r="K2572">
        <v>350</v>
      </c>
      <c r="L2572" t="str" cm="1">
        <f t="array" ref="L2572">_xlfn.IFS(
 K2572&lt;=50,"≤50",
 AND(K2572&gt;=51,K2572&lt;=100),"51–100",
 AND(K2572&gt;=101,K2572&lt;=250),"101–250",
 AND(K2572&gt;=251,K2572&lt;=500),"251–500",
 AND(K2572&gt;=501,K2572&lt;=1000),"501–1000",
 K2572&gt;=1001,"1001+"
)</f>
        <v>251–500</v>
      </c>
    </row>
    <row r="2573" spans="1:12" x14ac:dyDescent="0.3">
      <c r="A2573" t="s">
        <v>5122</v>
      </c>
      <c r="B2573" t="s">
        <v>9</v>
      </c>
      <c r="C2573" t="s">
        <v>5780</v>
      </c>
      <c r="D2573" t="s">
        <v>5123</v>
      </c>
      <c r="E2573" t="s">
        <v>15</v>
      </c>
      <c r="F2573" t="s">
        <v>54</v>
      </c>
      <c r="G2573" t="s">
        <v>5124</v>
      </c>
      <c r="J2573" t="s">
        <v>5737</v>
      </c>
      <c r="K2573">
        <v>350</v>
      </c>
      <c r="L2573" t="str" cm="1">
        <f t="array" ref="L2573">_xlfn.IFS(
 K2573&lt;=50,"≤50",
 AND(K2573&gt;=51,K2573&lt;=100),"51–100",
 AND(K2573&gt;=101,K2573&lt;=250),"101–250",
 AND(K2573&gt;=251,K2573&lt;=500),"251–500",
 AND(K2573&gt;=501,K2573&lt;=1000),"501–1000",
 K2573&gt;=1001,"1001+"
)</f>
        <v>251–500</v>
      </c>
    </row>
    <row r="2574" spans="1:12" x14ac:dyDescent="0.3">
      <c r="A2574" t="s">
        <v>5125</v>
      </c>
      <c r="B2574" t="s">
        <v>9</v>
      </c>
      <c r="C2574" t="s">
        <v>5780</v>
      </c>
      <c r="D2574" t="s">
        <v>5126</v>
      </c>
      <c r="F2574" t="s">
        <v>20</v>
      </c>
      <c r="G2574" t="s">
        <v>5127</v>
      </c>
      <c r="J2574" t="s">
        <v>5750</v>
      </c>
      <c r="K2574">
        <v>350</v>
      </c>
      <c r="L2574" t="str" cm="1">
        <f t="array" ref="L2574">_xlfn.IFS(
 K2574&lt;=50,"≤50",
 AND(K2574&gt;=51,K2574&lt;=100),"51–100",
 AND(K2574&gt;=101,K2574&lt;=250),"101–250",
 AND(K2574&gt;=251,K2574&lt;=500),"251–500",
 AND(K2574&gt;=501,K2574&lt;=1000),"501–1000",
 K2574&gt;=1001,"1001+"
)</f>
        <v>251–500</v>
      </c>
    </row>
    <row r="2575" spans="1:12" x14ac:dyDescent="0.3">
      <c r="A2575" t="s">
        <v>5128</v>
      </c>
      <c r="B2575" t="s">
        <v>9</v>
      </c>
      <c r="C2575" t="s">
        <v>5780</v>
      </c>
      <c r="D2575" t="s">
        <v>5129</v>
      </c>
      <c r="E2575" t="s">
        <v>15</v>
      </c>
      <c r="F2575" t="s">
        <v>54</v>
      </c>
      <c r="G2575" t="s">
        <v>5130</v>
      </c>
      <c r="J2575" t="s">
        <v>5753</v>
      </c>
      <c r="K2575">
        <v>354</v>
      </c>
      <c r="L2575" t="str" cm="1">
        <f t="array" ref="L2575">_xlfn.IFS(
 K2575&lt;=50,"≤50",
 AND(K2575&gt;=51,K2575&lt;=100),"51–100",
 AND(K2575&gt;=101,K2575&lt;=250),"101–250",
 AND(K2575&gt;=251,K2575&lt;=500),"251–500",
 AND(K2575&gt;=501,K2575&lt;=1000),"501–1000",
 K2575&gt;=1001,"1001+"
)</f>
        <v>251–500</v>
      </c>
    </row>
    <row r="2576" spans="1:12" x14ac:dyDescent="0.3">
      <c r="A2576" t="s">
        <v>5131</v>
      </c>
      <c r="B2576" t="s">
        <v>9</v>
      </c>
      <c r="C2576" t="s">
        <v>5780</v>
      </c>
      <c r="D2576" t="s">
        <v>5132</v>
      </c>
      <c r="E2576" t="s">
        <v>15</v>
      </c>
      <c r="F2576" t="s">
        <v>16</v>
      </c>
      <c r="G2576" t="s">
        <v>5133</v>
      </c>
      <c r="J2576" t="s">
        <v>5737</v>
      </c>
      <c r="K2576">
        <v>360</v>
      </c>
      <c r="L2576" t="str" cm="1">
        <f t="array" ref="L2576">_xlfn.IFS(
 K2576&lt;=50,"≤50",
 AND(K2576&gt;=51,K2576&lt;=100),"51–100",
 AND(K2576&gt;=101,K2576&lt;=250),"101–250",
 AND(K2576&gt;=251,K2576&lt;=500),"251–500",
 AND(K2576&gt;=501,K2576&lt;=1000),"501–1000",
 K2576&gt;=1001,"1001+"
)</f>
        <v>251–500</v>
      </c>
    </row>
    <row r="2577" spans="1:12" x14ac:dyDescent="0.3">
      <c r="A2577" t="s">
        <v>5134</v>
      </c>
      <c r="B2577" t="s">
        <v>13</v>
      </c>
      <c r="C2577" t="s">
        <v>5777</v>
      </c>
      <c r="D2577" t="s">
        <v>576</v>
      </c>
      <c r="E2577" t="s">
        <v>15</v>
      </c>
      <c r="F2577" t="s">
        <v>54</v>
      </c>
      <c r="G2577" t="s">
        <v>5135</v>
      </c>
      <c r="J2577" t="s">
        <v>5737</v>
      </c>
      <c r="K2577">
        <v>360</v>
      </c>
      <c r="L2577" t="str" cm="1">
        <f t="array" ref="L2577">_xlfn.IFS(
 K2577&lt;=50,"≤50",
 AND(K2577&gt;=51,K2577&lt;=100),"51–100",
 AND(K2577&gt;=101,K2577&lt;=250),"101–250",
 AND(K2577&gt;=251,K2577&lt;=500),"251–500",
 AND(K2577&gt;=501,K2577&lt;=1000),"501–1000",
 K2577&gt;=1001,"1001+"
)</f>
        <v>251–500</v>
      </c>
    </row>
    <row r="2578" spans="1:12" x14ac:dyDescent="0.3">
      <c r="A2578" t="s">
        <v>5136</v>
      </c>
      <c r="B2578" t="s">
        <v>9</v>
      </c>
      <c r="C2578" t="s">
        <v>5780</v>
      </c>
      <c r="D2578" t="s">
        <v>5137</v>
      </c>
      <c r="E2578" t="s">
        <v>15</v>
      </c>
      <c r="F2578" t="s">
        <v>20</v>
      </c>
      <c r="G2578" t="s">
        <v>5138</v>
      </c>
      <c r="J2578" t="s">
        <v>5737</v>
      </c>
      <c r="K2578">
        <v>370</v>
      </c>
      <c r="L2578" t="str" cm="1">
        <f t="array" ref="L2578">_xlfn.IFS(
 K2578&lt;=50,"≤50",
 AND(K2578&gt;=51,K2578&lt;=100),"51–100",
 AND(K2578&gt;=101,K2578&lt;=250),"101–250",
 AND(K2578&gt;=251,K2578&lt;=500),"251–500",
 AND(K2578&gt;=501,K2578&lt;=1000),"501–1000",
 K2578&gt;=1001,"1001+"
)</f>
        <v>251–500</v>
      </c>
    </row>
    <row r="2579" spans="1:12" x14ac:dyDescent="0.3">
      <c r="A2579" t="s">
        <v>5139</v>
      </c>
      <c r="B2579" t="s">
        <v>9</v>
      </c>
      <c r="C2579" t="s">
        <v>5780</v>
      </c>
      <c r="D2579" t="s">
        <v>5140</v>
      </c>
      <c r="E2579" t="s">
        <v>15</v>
      </c>
      <c r="F2579" t="s">
        <v>16</v>
      </c>
      <c r="G2579" t="s">
        <v>5141</v>
      </c>
      <c r="J2579" t="s">
        <v>5751</v>
      </c>
      <c r="K2579">
        <v>380</v>
      </c>
      <c r="L2579" t="str" cm="1">
        <f t="array" ref="L2579">_xlfn.IFS(
 K2579&lt;=50,"≤50",
 AND(K2579&gt;=51,K2579&lt;=100),"51–100",
 AND(K2579&gt;=101,K2579&lt;=250),"101–250",
 AND(K2579&gt;=251,K2579&lt;=500),"251–500",
 AND(K2579&gt;=501,K2579&lt;=1000),"501–1000",
 K2579&gt;=1001,"1001+"
)</f>
        <v>251–500</v>
      </c>
    </row>
    <row r="2580" spans="1:12" x14ac:dyDescent="0.3">
      <c r="A2580" t="s">
        <v>5142</v>
      </c>
      <c r="B2580" t="s">
        <v>13</v>
      </c>
      <c r="C2580" t="s">
        <v>5777</v>
      </c>
      <c r="D2580" t="s">
        <v>5143</v>
      </c>
      <c r="E2580" t="s">
        <v>15</v>
      </c>
      <c r="F2580" t="s">
        <v>16</v>
      </c>
      <c r="G2580" t="s">
        <v>5144</v>
      </c>
      <c r="J2580" t="s">
        <v>5751</v>
      </c>
      <c r="K2580">
        <v>380</v>
      </c>
      <c r="L2580" t="str" cm="1">
        <f t="array" ref="L2580">_xlfn.IFS(
 K2580&lt;=50,"≤50",
 AND(K2580&gt;=51,K2580&lt;=100),"51–100",
 AND(K2580&gt;=101,K2580&lt;=250),"101–250",
 AND(K2580&gt;=251,K2580&lt;=500),"251–500",
 AND(K2580&gt;=501,K2580&lt;=1000),"501–1000",
 K2580&gt;=1001,"1001+"
)</f>
        <v>251–500</v>
      </c>
    </row>
    <row r="2581" spans="1:12" x14ac:dyDescent="0.3">
      <c r="A2581" t="s">
        <v>5145</v>
      </c>
      <c r="B2581" t="s">
        <v>9</v>
      </c>
      <c r="C2581" t="s">
        <v>5780</v>
      </c>
      <c r="D2581" t="s">
        <v>28</v>
      </c>
      <c r="E2581" t="s">
        <v>15</v>
      </c>
      <c r="F2581" t="s">
        <v>54</v>
      </c>
      <c r="G2581" t="s">
        <v>5146</v>
      </c>
      <c r="H2581" t="s">
        <v>15</v>
      </c>
      <c r="I2581" t="s">
        <v>5147</v>
      </c>
      <c r="J2581" t="s">
        <v>5737</v>
      </c>
      <c r="K2581">
        <v>385</v>
      </c>
      <c r="L2581" t="str" cm="1">
        <f t="array" ref="L2581">_xlfn.IFS(
 K2581&lt;=50,"≤50",
 AND(K2581&gt;=51,K2581&lt;=100),"51–100",
 AND(K2581&gt;=101,K2581&lt;=250),"101–250",
 AND(K2581&gt;=251,K2581&lt;=500),"251–500",
 AND(K2581&gt;=501,K2581&lt;=1000),"501–1000",
 K2581&gt;=1001,"1001+"
)</f>
        <v>251–500</v>
      </c>
    </row>
    <row r="2582" spans="1:12" x14ac:dyDescent="0.3">
      <c r="A2582" t="s">
        <v>5148</v>
      </c>
      <c r="B2582" t="s">
        <v>13</v>
      </c>
      <c r="C2582" t="s">
        <v>5777</v>
      </c>
      <c r="D2582" t="s">
        <v>5149</v>
      </c>
      <c r="E2582" t="s">
        <v>15</v>
      </c>
      <c r="F2582" t="s">
        <v>54</v>
      </c>
      <c r="G2582" t="s">
        <v>5150</v>
      </c>
      <c r="J2582" t="s">
        <v>5749</v>
      </c>
      <c r="K2582">
        <v>390</v>
      </c>
      <c r="L2582" t="str" cm="1">
        <f t="array" ref="L2582">_xlfn.IFS(
 K2582&lt;=50,"≤50",
 AND(K2582&gt;=51,K2582&lt;=100),"51–100",
 AND(K2582&gt;=101,K2582&lt;=250),"101–250",
 AND(K2582&gt;=251,K2582&lt;=500),"251–500",
 AND(K2582&gt;=501,K2582&lt;=1000),"501–1000",
 K2582&gt;=1001,"1001+"
)</f>
        <v>251–500</v>
      </c>
    </row>
    <row r="2583" spans="1:12" x14ac:dyDescent="0.3">
      <c r="A2583" t="s">
        <v>5151</v>
      </c>
      <c r="B2583" t="s">
        <v>9</v>
      </c>
      <c r="C2583" t="s">
        <v>5780</v>
      </c>
      <c r="D2583" t="s">
        <v>691</v>
      </c>
      <c r="E2583" t="s">
        <v>15</v>
      </c>
      <c r="F2583" t="s">
        <v>20</v>
      </c>
      <c r="G2583" t="s">
        <v>5152</v>
      </c>
      <c r="J2583" t="s">
        <v>5738</v>
      </c>
      <c r="K2583">
        <v>390</v>
      </c>
      <c r="L2583" t="str" cm="1">
        <f t="array" ref="L2583">_xlfn.IFS(
 K2583&lt;=50,"≤50",
 AND(K2583&gt;=51,K2583&lt;=100),"51–100",
 AND(K2583&gt;=101,K2583&lt;=250),"101–250",
 AND(K2583&gt;=251,K2583&lt;=500),"251–500",
 AND(K2583&gt;=501,K2583&lt;=1000),"501–1000",
 K2583&gt;=1001,"1001+"
)</f>
        <v>251–500</v>
      </c>
    </row>
    <row r="2584" spans="1:12" x14ac:dyDescent="0.3">
      <c r="A2584" t="s">
        <v>5153</v>
      </c>
      <c r="B2584" t="s">
        <v>13</v>
      </c>
      <c r="C2584" t="s">
        <v>5777</v>
      </c>
      <c r="D2584" t="s">
        <v>5154</v>
      </c>
      <c r="E2584" t="s">
        <v>15</v>
      </c>
      <c r="F2584" t="s">
        <v>16</v>
      </c>
      <c r="G2584" t="s">
        <v>5155</v>
      </c>
      <c r="J2584" t="s">
        <v>5738</v>
      </c>
      <c r="K2584">
        <v>393</v>
      </c>
      <c r="L2584" t="str" cm="1">
        <f t="array" ref="L2584">_xlfn.IFS(
 K2584&lt;=50,"≤50",
 AND(K2584&gt;=51,K2584&lt;=100),"51–100",
 AND(K2584&gt;=101,K2584&lt;=250),"101–250",
 AND(K2584&gt;=251,K2584&lt;=500),"251–500",
 AND(K2584&gt;=501,K2584&lt;=1000),"501–1000",
 K2584&gt;=1001,"1001+"
)</f>
        <v>251–500</v>
      </c>
    </row>
    <row r="2585" spans="1:12" x14ac:dyDescent="0.3">
      <c r="A2585" t="s">
        <v>5156</v>
      </c>
      <c r="B2585" t="s">
        <v>9</v>
      </c>
      <c r="C2585" t="s">
        <v>5780</v>
      </c>
      <c r="D2585" t="s">
        <v>28</v>
      </c>
      <c r="F2585" t="s">
        <v>5770</v>
      </c>
      <c r="J2585" t="s">
        <v>5747</v>
      </c>
      <c r="K2585">
        <v>400</v>
      </c>
      <c r="L2585" t="str" cm="1">
        <f t="array" ref="L2585">_xlfn.IFS(
 K2585&lt;=50,"≤50",
 AND(K2585&gt;=51,K2585&lt;=100),"51–100",
 AND(K2585&gt;=101,K2585&lt;=250),"101–250",
 AND(K2585&gt;=251,K2585&lt;=500),"251–500",
 AND(K2585&gt;=501,K2585&lt;=1000),"501–1000",
 K2585&gt;=1001,"1001+"
)</f>
        <v>251–500</v>
      </c>
    </row>
    <row r="2586" spans="1:12" x14ac:dyDescent="0.3">
      <c r="A2586" t="s">
        <v>5157</v>
      </c>
      <c r="B2586" t="s">
        <v>13</v>
      </c>
      <c r="C2586" t="s">
        <v>5777</v>
      </c>
      <c r="D2586" t="s">
        <v>5158</v>
      </c>
      <c r="E2586" t="s">
        <v>15</v>
      </c>
      <c r="F2586" t="s">
        <v>16</v>
      </c>
      <c r="G2586" t="s">
        <v>5159</v>
      </c>
      <c r="J2586" t="s">
        <v>5737</v>
      </c>
      <c r="K2586">
        <v>400</v>
      </c>
      <c r="L2586" t="str" cm="1">
        <f t="array" ref="L2586">_xlfn.IFS(
 K2586&lt;=50,"≤50",
 AND(K2586&gt;=51,K2586&lt;=100),"51–100",
 AND(K2586&gt;=101,K2586&lt;=250),"101–250",
 AND(K2586&gt;=251,K2586&lt;=500),"251–500",
 AND(K2586&gt;=501,K2586&lt;=1000),"501–1000",
 K2586&gt;=1001,"1001+"
)</f>
        <v>251–500</v>
      </c>
    </row>
    <row r="2587" spans="1:12" x14ac:dyDescent="0.3">
      <c r="A2587" t="s">
        <v>5160</v>
      </c>
      <c r="B2587" t="s">
        <v>13</v>
      </c>
      <c r="C2587" t="s">
        <v>5777</v>
      </c>
      <c r="D2587" t="s">
        <v>5161</v>
      </c>
      <c r="E2587" t="s">
        <v>15</v>
      </c>
      <c r="F2587" t="s">
        <v>54</v>
      </c>
      <c r="G2587" t="s">
        <v>5162</v>
      </c>
      <c r="J2587" t="s">
        <v>5737</v>
      </c>
      <c r="K2587">
        <v>400</v>
      </c>
      <c r="L2587" t="str" cm="1">
        <f t="array" ref="L2587">_xlfn.IFS(
 K2587&lt;=50,"≤50",
 AND(K2587&gt;=51,K2587&lt;=100),"51–100",
 AND(K2587&gt;=101,K2587&lt;=250),"101–250",
 AND(K2587&gt;=251,K2587&lt;=500),"251–500",
 AND(K2587&gt;=501,K2587&lt;=1000),"501–1000",
 K2587&gt;=1001,"1001+"
)</f>
        <v>251–500</v>
      </c>
    </row>
    <row r="2588" spans="1:12" x14ac:dyDescent="0.3">
      <c r="A2588" t="s">
        <v>5163</v>
      </c>
      <c r="B2588" t="s">
        <v>9</v>
      </c>
      <c r="C2588" t="s">
        <v>5780</v>
      </c>
      <c r="D2588" t="s">
        <v>28</v>
      </c>
      <c r="E2588" t="s">
        <v>15</v>
      </c>
      <c r="F2588" t="s">
        <v>16</v>
      </c>
      <c r="G2588" t="s">
        <v>5164</v>
      </c>
      <c r="J2588" t="s">
        <v>5737</v>
      </c>
      <c r="K2588">
        <v>400</v>
      </c>
      <c r="L2588" t="str" cm="1">
        <f t="array" ref="L2588">_xlfn.IFS(
 K2588&lt;=50,"≤50",
 AND(K2588&gt;=51,K2588&lt;=100),"51–100",
 AND(K2588&gt;=101,K2588&lt;=250),"101–250",
 AND(K2588&gt;=251,K2588&lt;=500),"251–500",
 AND(K2588&gt;=501,K2588&lt;=1000),"501–1000",
 K2588&gt;=1001,"1001+"
)</f>
        <v>251–500</v>
      </c>
    </row>
    <row r="2589" spans="1:12" x14ac:dyDescent="0.3">
      <c r="A2589" t="s">
        <v>5165</v>
      </c>
      <c r="B2589" t="s">
        <v>9</v>
      </c>
      <c r="C2589" t="s">
        <v>5780</v>
      </c>
      <c r="D2589" t="s">
        <v>28</v>
      </c>
      <c r="F2589" t="s">
        <v>5770</v>
      </c>
      <c r="J2589" t="s">
        <v>5737</v>
      </c>
      <c r="K2589">
        <v>400</v>
      </c>
      <c r="L2589" t="str" cm="1">
        <f t="array" ref="L2589">_xlfn.IFS(
 K2589&lt;=50,"≤50",
 AND(K2589&gt;=51,K2589&lt;=100),"51–100",
 AND(K2589&gt;=101,K2589&lt;=250),"101–250",
 AND(K2589&gt;=251,K2589&lt;=500),"251–500",
 AND(K2589&gt;=501,K2589&lt;=1000),"501–1000",
 K2589&gt;=1001,"1001+"
)</f>
        <v>251–500</v>
      </c>
    </row>
    <row r="2590" spans="1:12" x14ac:dyDescent="0.3">
      <c r="A2590" t="s">
        <v>5166</v>
      </c>
      <c r="B2590" t="s">
        <v>197</v>
      </c>
      <c r="C2590" t="s">
        <v>5774</v>
      </c>
      <c r="D2590" t="s">
        <v>5167</v>
      </c>
      <c r="E2590" t="s">
        <v>15</v>
      </c>
      <c r="F2590" t="s">
        <v>54</v>
      </c>
      <c r="G2590" t="s">
        <v>5168</v>
      </c>
      <c r="H2590" t="s">
        <v>15</v>
      </c>
      <c r="I2590" t="s">
        <v>5169</v>
      </c>
      <c r="J2590" t="s">
        <v>5742</v>
      </c>
      <c r="K2590">
        <v>400</v>
      </c>
      <c r="L2590" t="str" cm="1">
        <f t="array" ref="L2590">_xlfn.IFS(
 K2590&lt;=50,"≤50",
 AND(K2590&gt;=51,K2590&lt;=100),"51–100",
 AND(K2590&gt;=101,K2590&lt;=250),"101–250",
 AND(K2590&gt;=251,K2590&lt;=500),"251–500",
 AND(K2590&gt;=501,K2590&lt;=1000),"501–1000",
 K2590&gt;=1001,"1001+"
)</f>
        <v>251–500</v>
      </c>
    </row>
    <row r="2591" spans="1:12" x14ac:dyDescent="0.3">
      <c r="A2591" t="s">
        <v>5170</v>
      </c>
      <c r="B2591" t="s">
        <v>9</v>
      </c>
      <c r="C2591" t="s">
        <v>5780</v>
      </c>
      <c r="D2591" t="s">
        <v>5171</v>
      </c>
      <c r="F2591" t="s">
        <v>16</v>
      </c>
      <c r="G2591" t="s">
        <v>5172</v>
      </c>
      <c r="J2591" t="s">
        <v>5737</v>
      </c>
      <c r="K2591">
        <v>400</v>
      </c>
      <c r="L2591" t="str" cm="1">
        <f t="array" ref="L2591">_xlfn.IFS(
 K2591&lt;=50,"≤50",
 AND(K2591&gt;=51,K2591&lt;=100),"51–100",
 AND(K2591&gt;=101,K2591&lt;=250),"101–250",
 AND(K2591&gt;=251,K2591&lt;=500),"251–500",
 AND(K2591&gt;=501,K2591&lt;=1000),"501–1000",
 K2591&gt;=1001,"1001+"
)</f>
        <v>251–500</v>
      </c>
    </row>
    <row r="2592" spans="1:12" x14ac:dyDescent="0.3">
      <c r="A2592" t="s">
        <v>5173</v>
      </c>
      <c r="B2592" t="s">
        <v>13</v>
      </c>
      <c r="C2592" t="s">
        <v>5777</v>
      </c>
      <c r="D2592" t="s">
        <v>5174</v>
      </c>
      <c r="E2592" t="s">
        <v>15</v>
      </c>
      <c r="F2592" t="s">
        <v>54</v>
      </c>
      <c r="G2592" t="s">
        <v>5175</v>
      </c>
      <c r="J2592" t="s">
        <v>5737</v>
      </c>
      <c r="K2592">
        <v>400</v>
      </c>
      <c r="L2592" t="str" cm="1">
        <f t="array" ref="L2592">_xlfn.IFS(
 K2592&lt;=50,"≤50",
 AND(K2592&gt;=51,K2592&lt;=100),"51–100",
 AND(K2592&gt;=101,K2592&lt;=250),"101–250",
 AND(K2592&gt;=251,K2592&lt;=500),"251–500",
 AND(K2592&gt;=501,K2592&lt;=1000),"501–1000",
 K2592&gt;=1001,"1001+"
)</f>
        <v>251–500</v>
      </c>
    </row>
    <row r="2593" spans="1:12" x14ac:dyDescent="0.3">
      <c r="A2593" t="s">
        <v>5176</v>
      </c>
      <c r="B2593" t="s">
        <v>13</v>
      </c>
      <c r="C2593" t="s">
        <v>5777</v>
      </c>
      <c r="D2593" t="s">
        <v>5177</v>
      </c>
      <c r="F2593" t="s">
        <v>20</v>
      </c>
      <c r="G2593" t="s">
        <v>1414</v>
      </c>
      <c r="J2593" t="s">
        <v>5760</v>
      </c>
      <c r="K2593">
        <v>400</v>
      </c>
      <c r="L2593" t="str" cm="1">
        <f t="array" ref="L2593">_xlfn.IFS(
 K2593&lt;=50,"≤50",
 AND(K2593&gt;=51,K2593&lt;=100),"51–100",
 AND(K2593&gt;=101,K2593&lt;=250),"101–250",
 AND(K2593&gt;=251,K2593&lt;=500),"251–500",
 AND(K2593&gt;=501,K2593&lt;=1000),"501–1000",
 K2593&gt;=1001,"1001+"
)</f>
        <v>251–500</v>
      </c>
    </row>
    <row r="2594" spans="1:12" x14ac:dyDescent="0.3">
      <c r="A2594" t="s">
        <v>5178</v>
      </c>
      <c r="B2594" t="s">
        <v>9</v>
      </c>
      <c r="C2594" t="s">
        <v>5780</v>
      </c>
      <c r="D2594" t="s">
        <v>5179</v>
      </c>
      <c r="E2594" t="s">
        <v>15</v>
      </c>
      <c r="F2594" t="s">
        <v>16</v>
      </c>
      <c r="G2594" t="s">
        <v>5180</v>
      </c>
      <c r="J2594" t="s">
        <v>5738</v>
      </c>
      <c r="K2594">
        <v>400</v>
      </c>
      <c r="L2594" t="str" cm="1">
        <f t="array" ref="L2594">_xlfn.IFS(
 K2594&lt;=50,"≤50",
 AND(K2594&gt;=51,K2594&lt;=100),"51–100",
 AND(K2594&gt;=101,K2594&lt;=250),"101–250",
 AND(K2594&gt;=251,K2594&lt;=500),"251–500",
 AND(K2594&gt;=501,K2594&lt;=1000),"501–1000",
 K2594&gt;=1001,"1001+"
)</f>
        <v>251–500</v>
      </c>
    </row>
    <row r="2595" spans="1:12" x14ac:dyDescent="0.3">
      <c r="A2595" t="s">
        <v>5181</v>
      </c>
      <c r="B2595" t="s">
        <v>9</v>
      </c>
      <c r="C2595" t="s">
        <v>5780</v>
      </c>
      <c r="D2595" t="s">
        <v>5182</v>
      </c>
      <c r="E2595" t="s">
        <v>15</v>
      </c>
      <c r="F2595" t="s">
        <v>16</v>
      </c>
      <c r="G2595" t="s">
        <v>5183</v>
      </c>
      <c r="J2595" t="s">
        <v>5750</v>
      </c>
      <c r="K2595">
        <v>400</v>
      </c>
      <c r="L2595" t="str" cm="1">
        <f t="array" ref="L2595">_xlfn.IFS(
 K2595&lt;=50,"≤50",
 AND(K2595&gt;=51,K2595&lt;=100),"51–100",
 AND(K2595&gt;=101,K2595&lt;=250),"101–250",
 AND(K2595&gt;=251,K2595&lt;=500),"251–500",
 AND(K2595&gt;=501,K2595&lt;=1000),"501–1000",
 K2595&gt;=1001,"1001+"
)</f>
        <v>251–500</v>
      </c>
    </row>
    <row r="2596" spans="1:12" x14ac:dyDescent="0.3">
      <c r="A2596" t="s">
        <v>5184</v>
      </c>
      <c r="B2596" t="s">
        <v>197</v>
      </c>
      <c r="C2596" t="s">
        <v>5774</v>
      </c>
      <c r="D2596" t="s">
        <v>5185</v>
      </c>
      <c r="E2596" t="s">
        <v>15</v>
      </c>
      <c r="F2596" t="s">
        <v>54</v>
      </c>
      <c r="G2596" t="s">
        <v>5186</v>
      </c>
      <c r="J2596" t="s">
        <v>5738</v>
      </c>
      <c r="K2596">
        <v>400</v>
      </c>
      <c r="L2596" t="str" cm="1">
        <f t="array" ref="L2596">_xlfn.IFS(
 K2596&lt;=50,"≤50",
 AND(K2596&gt;=51,K2596&lt;=100),"51–100",
 AND(K2596&gt;=101,K2596&lt;=250),"101–250",
 AND(K2596&gt;=251,K2596&lt;=500),"251–500",
 AND(K2596&gt;=501,K2596&lt;=1000),"501–1000",
 K2596&gt;=1001,"1001+"
)</f>
        <v>251–500</v>
      </c>
    </row>
    <row r="2597" spans="1:12" x14ac:dyDescent="0.3">
      <c r="A2597" t="s">
        <v>5187</v>
      </c>
      <c r="B2597" t="s">
        <v>9</v>
      </c>
      <c r="C2597" t="s">
        <v>5780</v>
      </c>
      <c r="D2597" t="s">
        <v>5188</v>
      </c>
      <c r="E2597" t="s">
        <v>15</v>
      </c>
      <c r="F2597" t="s">
        <v>54</v>
      </c>
      <c r="G2597" t="s">
        <v>5189</v>
      </c>
      <c r="J2597" t="s">
        <v>5737</v>
      </c>
      <c r="K2597">
        <v>400</v>
      </c>
      <c r="L2597" t="str" cm="1">
        <f t="array" ref="L2597">_xlfn.IFS(
 K2597&lt;=50,"≤50",
 AND(K2597&gt;=51,K2597&lt;=100),"51–100",
 AND(K2597&gt;=101,K2597&lt;=250),"101–250",
 AND(K2597&gt;=251,K2597&lt;=500),"251–500",
 AND(K2597&gt;=501,K2597&lt;=1000),"501–1000",
 K2597&gt;=1001,"1001+"
)</f>
        <v>251–500</v>
      </c>
    </row>
    <row r="2598" spans="1:12" x14ac:dyDescent="0.3">
      <c r="A2598" t="s">
        <v>5190</v>
      </c>
      <c r="B2598" t="s">
        <v>9</v>
      </c>
      <c r="C2598" t="s">
        <v>5780</v>
      </c>
      <c r="D2598" t="s">
        <v>5191</v>
      </c>
      <c r="E2598" t="s">
        <v>15</v>
      </c>
      <c r="F2598" t="s">
        <v>54</v>
      </c>
      <c r="G2598" t="s">
        <v>1284</v>
      </c>
      <c r="J2598" t="s">
        <v>5741</v>
      </c>
      <c r="K2598">
        <v>400</v>
      </c>
      <c r="L2598" t="str" cm="1">
        <f t="array" ref="L2598">_xlfn.IFS(
 K2598&lt;=50,"≤50",
 AND(K2598&gt;=51,K2598&lt;=100),"51–100",
 AND(K2598&gt;=101,K2598&lt;=250),"101–250",
 AND(K2598&gt;=251,K2598&lt;=500),"251–500",
 AND(K2598&gt;=501,K2598&lt;=1000),"501–1000",
 K2598&gt;=1001,"1001+"
)</f>
        <v>251–500</v>
      </c>
    </row>
    <row r="2599" spans="1:12" x14ac:dyDescent="0.3">
      <c r="A2599" t="s">
        <v>5192</v>
      </c>
      <c r="B2599" t="s">
        <v>9</v>
      </c>
      <c r="C2599" t="s">
        <v>5780</v>
      </c>
      <c r="D2599" t="s">
        <v>5193</v>
      </c>
      <c r="E2599" t="s">
        <v>15</v>
      </c>
      <c r="F2599" t="s">
        <v>20</v>
      </c>
      <c r="G2599" t="s">
        <v>21</v>
      </c>
      <c r="J2599" t="s">
        <v>5741</v>
      </c>
      <c r="K2599">
        <v>400</v>
      </c>
      <c r="L2599" t="str" cm="1">
        <f t="array" ref="L2599">_xlfn.IFS(
 K2599&lt;=50,"≤50",
 AND(K2599&gt;=51,K2599&lt;=100),"51–100",
 AND(K2599&gt;=101,K2599&lt;=250),"101–250",
 AND(K2599&gt;=251,K2599&lt;=500),"251–500",
 AND(K2599&gt;=501,K2599&lt;=1000),"501–1000",
 K2599&gt;=1001,"1001+"
)</f>
        <v>251–500</v>
      </c>
    </row>
    <row r="2600" spans="1:12" x14ac:dyDescent="0.3">
      <c r="A2600" t="s">
        <v>5194</v>
      </c>
      <c r="B2600" t="s">
        <v>9</v>
      </c>
      <c r="C2600" t="s">
        <v>5780</v>
      </c>
      <c r="D2600" t="s">
        <v>5195</v>
      </c>
      <c r="F2600" t="s">
        <v>5770</v>
      </c>
      <c r="J2600" t="s">
        <v>5738</v>
      </c>
      <c r="K2600">
        <v>400</v>
      </c>
      <c r="L2600" t="str" cm="1">
        <f t="array" ref="L2600">_xlfn.IFS(
 K2600&lt;=50,"≤50",
 AND(K2600&gt;=51,K2600&lt;=100),"51–100",
 AND(K2600&gt;=101,K2600&lt;=250),"101–250",
 AND(K2600&gt;=251,K2600&lt;=500),"251–500",
 AND(K2600&gt;=501,K2600&lt;=1000),"501–1000",
 K2600&gt;=1001,"1001+"
)</f>
        <v>251–500</v>
      </c>
    </row>
    <row r="2601" spans="1:12" x14ac:dyDescent="0.3">
      <c r="A2601" t="s">
        <v>5196</v>
      </c>
      <c r="B2601" t="s">
        <v>9</v>
      </c>
      <c r="C2601" t="s">
        <v>5780</v>
      </c>
      <c r="D2601" t="s">
        <v>28</v>
      </c>
      <c r="E2601" t="s">
        <v>15</v>
      </c>
      <c r="F2601" t="s">
        <v>16</v>
      </c>
      <c r="G2601" t="s">
        <v>5197</v>
      </c>
      <c r="J2601" t="s">
        <v>5744</v>
      </c>
      <c r="K2601">
        <v>400</v>
      </c>
      <c r="L2601" t="str" cm="1">
        <f t="array" ref="L2601">_xlfn.IFS(
 K2601&lt;=50,"≤50",
 AND(K2601&gt;=51,K2601&lt;=100),"51–100",
 AND(K2601&gt;=101,K2601&lt;=250),"101–250",
 AND(K2601&gt;=251,K2601&lt;=500),"251–500",
 AND(K2601&gt;=501,K2601&lt;=1000),"501–1000",
 K2601&gt;=1001,"1001+"
)</f>
        <v>251–500</v>
      </c>
    </row>
    <row r="2602" spans="1:12" x14ac:dyDescent="0.3">
      <c r="A2602" t="s">
        <v>5198</v>
      </c>
      <c r="B2602" t="s">
        <v>9</v>
      </c>
      <c r="C2602" t="s">
        <v>5780</v>
      </c>
      <c r="D2602" t="s">
        <v>5199</v>
      </c>
      <c r="E2602" t="s">
        <v>15</v>
      </c>
      <c r="F2602" t="s">
        <v>20</v>
      </c>
      <c r="G2602" t="s">
        <v>21</v>
      </c>
      <c r="J2602" t="s">
        <v>5737</v>
      </c>
      <c r="K2602">
        <v>400</v>
      </c>
      <c r="L2602" t="str" cm="1">
        <f t="array" ref="L2602">_xlfn.IFS(
 K2602&lt;=50,"≤50",
 AND(K2602&gt;=51,K2602&lt;=100),"51–100",
 AND(K2602&gt;=101,K2602&lt;=250),"101–250",
 AND(K2602&gt;=251,K2602&lt;=500),"251–500",
 AND(K2602&gt;=501,K2602&lt;=1000),"501–1000",
 K2602&gt;=1001,"1001+"
)</f>
        <v>251–500</v>
      </c>
    </row>
    <row r="2603" spans="1:12" x14ac:dyDescent="0.3">
      <c r="A2603" t="s">
        <v>5200</v>
      </c>
      <c r="B2603" t="s">
        <v>9</v>
      </c>
      <c r="C2603" t="s">
        <v>5780</v>
      </c>
      <c r="D2603" t="s">
        <v>5201</v>
      </c>
      <c r="E2603" t="s">
        <v>15</v>
      </c>
      <c r="F2603" t="s">
        <v>16</v>
      </c>
      <c r="G2603" t="s">
        <v>5202</v>
      </c>
      <c r="J2603" t="s">
        <v>5737</v>
      </c>
      <c r="K2603">
        <v>400</v>
      </c>
      <c r="L2603" t="str" cm="1">
        <f t="array" ref="L2603">_xlfn.IFS(
 K2603&lt;=50,"≤50",
 AND(K2603&gt;=51,K2603&lt;=100),"51–100",
 AND(K2603&gt;=101,K2603&lt;=250),"101–250",
 AND(K2603&gt;=251,K2603&lt;=500),"251–500",
 AND(K2603&gt;=501,K2603&lt;=1000),"501–1000",
 K2603&gt;=1001,"1001+"
)</f>
        <v>251–500</v>
      </c>
    </row>
    <row r="2604" spans="1:12" x14ac:dyDescent="0.3">
      <c r="A2604" t="s">
        <v>5203</v>
      </c>
      <c r="B2604" t="s">
        <v>9</v>
      </c>
      <c r="C2604" t="s">
        <v>5780</v>
      </c>
      <c r="D2604" t="s">
        <v>5204</v>
      </c>
      <c r="E2604" t="s">
        <v>15</v>
      </c>
      <c r="F2604" t="s">
        <v>54</v>
      </c>
      <c r="G2604" t="s">
        <v>5092</v>
      </c>
      <c r="J2604" t="s">
        <v>5737</v>
      </c>
      <c r="K2604">
        <v>400</v>
      </c>
      <c r="L2604" t="str" cm="1">
        <f t="array" ref="L2604">_xlfn.IFS(
 K2604&lt;=50,"≤50",
 AND(K2604&gt;=51,K2604&lt;=100),"51–100",
 AND(K2604&gt;=101,K2604&lt;=250),"101–250",
 AND(K2604&gt;=251,K2604&lt;=500),"251–500",
 AND(K2604&gt;=501,K2604&lt;=1000),"501–1000",
 K2604&gt;=1001,"1001+"
)</f>
        <v>251–500</v>
      </c>
    </row>
    <row r="2605" spans="1:12" x14ac:dyDescent="0.3">
      <c r="A2605" t="s">
        <v>5205</v>
      </c>
      <c r="B2605" t="s">
        <v>13</v>
      </c>
      <c r="C2605" t="s">
        <v>5777</v>
      </c>
      <c r="D2605" t="s">
        <v>576</v>
      </c>
      <c r="F2605" t="s">
        <v>54</v>
      </c>
      <c r="G2605" t="s">
        <v>1036</v>
      </c>
      <c r="J2605" t="s">
        <v>5737</v>
      </c>
      <c r="K2605">
        <v>400</v>
      </c>
      <c r="L2605" t="str" cm="1">
        <f t="array" ref="L2605">_xlfn.IFS(
 K2605&lt;=50,"≤50",
 AND(K2605&gt;=51,K2605&lt;=100),"51–100",
 AND(K2605&gt;=101,K2605&lt;=250),"101–250",
 AND(K2605&gt;=251,K2605&lt;=500),"251–500",
 AND(K2605&gt;=501,K2605&lt;=1000),"501–1000",
 K2605&gt;=1001,"1001+"
)</f>
        <v>251–500</v>
      </c>
    </row>
    <row r="2606" spans="1:12" x14ac:dyDescent="0.3">
      <c r="A2606" t="s">
        <v>5206</v>
      </c>
      <c r="B2606" t="s">
        <v>11</v>
      </c>
      <c r="C2606" t="s">
        <v>5776</v>
      </c>
      <c r="F2606" t="s">
        <v>5770</v>
      </c>
      <c r="J2606" t="s">
        <v>5737</v>
      </c>
      <c r="K2606">
        <v>400</v>
      </c>
      <c r="L2606" t="str" cm="1">
        <f t="array" ref="L2606">_xlfn.IFS(
 K2606&lt;=50,"≤50",
 AND(K2606&gt;=51,K2606&lt;=100),"51–100",
 AND(K2606&gt;=101,K2606&lt;=250),"101–250",
 AND(K2606&gt;=251,K2606&lt;=500),"251–500",
 AND(K2606&gt;=501,K2606&lt;=1000),"501–1000",
 K2606&gt;=1001,"1001+"
)</f>
        <v>251–500</v>
      </c>
    </row>
    <row r="2607" spans="1:12" x14ac:dyDescent="0.3">
      <c r="A2607" t="s">
        <v>5207</v>
      </c>
      <c r="B2607" t="s">
        <v>13</v>
      </c>
      <c r="C2607" t="s">
        <v>5777</v>
      </c>
      <c r="D2607" t="s">
        <v>5208</v>
      </c>
      <c r="F2607" t="s">
        <v>5770</v>
      </c>
      <c r="J2607" t="s">
        <v>5753</v>
      </c>
      <c r="K2607">
        <v>400</v>
      </c>
      <c r="L2607" t="str" cm="1">
        <f t="array" ref="L2607">_xlfn.IFS(
 K2607&lt;=50,"≤50",
 AND(K2607&gt;=51,K2607&lt;=100),"51–100",
 AND(K2607&gt;=101,K2607&lt;=250),"101–250",
 AND(K2607&gt;=251,K2607&lt;=500),"251–500",
 AND(K2607&gt;=501,K2607&lt;=1000),"501–1000",
 K2607&gt;=1001,"1001+"
)</f>
        <v>251–500</v>
      </c>
    </row>
    <row r="2608" spans="1:12" x14ac:dyDescent="0.3">
      <c r="A2608" t="s">
        <v>5209</v>
      </c>
      <c r="B2608" t="s">
        <v>9</v>
      </c>
      <c r="C2608" t="s">
        <v>5780</v>
      </c>
      <c r="D2608" t="s">
        <v>5210</v>
      </c>
      <c r="F2608" t="s">
        <v>5770</v>
      </c>
      <c r="J2608" t="s">
        <v>5750</v>
      </c>
      <c r="K2608">
        <v>400</v>
      </c>
      <c r="L2608" t="str" cm="1">
        <f t="array" ref="L2608">_xlfn.IFS(
 K2608&lt;=50,"≤50",
 AND(K2608&gt;=51,K2608&lt;=100),"51–100",
 AND(K2608&gt;=101,K2608&lt;=250),"101–250",
 AND(K2608&gt;=251,K2608&lt;=500),"251–500",
 AND(K2608&gt;=501,K2608&lt;=1000),"501–1000",
 K2608&gt;=1001,"1001+"
)</f>
        <v>251–500</v>
      </c>
    </row>
    <row r="2609" spans="1:12" x14ac:dyDescent="0.3">
      <c r="A2609" t="s">
        <v>5211</v>
      </c>
      <c r="B2609" t="s">
        <v>9</v>
      </c>
      <c r="C2609" t="s">
        <v>5780</v>
      </c>
      <c r="D2609" t="s">
        <v>5212</v>
      </c>
      <c r="E2609" t="s">
        <v>15</v>
      </c>
      <c r="F2609" t="s">
        <v>20</v>
      </c>
      <c r="G2609" t="s">
        <v>21</v>
      </c>
      <c r="J2609" t="s">
        <v>5737</v>
      </c>
      <c r="K2609">
        <v>400</v>
      </c>
      <c r="L2609" t="str" cm="1">
        <f t="array" ref="L2609">_xlfn.IFS(
 K2609&lt;=50,"≤50",
 AND(K2609&gt;=51,K2609&lt;=100),"51–100",
 AND(K2609&gt;=101,K2609&lt;=250),"101–250",
 AND(K2609&gt;=251,K2609&lt;=500),"251–500",
 AND(K2609&gt;=501,K2609&lt;=1000),"501–1000",
 K2609&gt;=1001,"1001+"
)</f>
        <v>251–500</v>
      </c>
    </row>
    <row r="2610" spans="1:12" x14ac:dyDescent="0.3">
      <c r="A2610" t="s">
        <v>5213</v>
      </c>
      <c r="B2610" t="s">
        <v>9</v>
      </c>
      <c r="C2610" t="s">
        <v>5780</v>
      </c>
      <c r="D2610" t="s">
        <v>5214</v>
      </c>
      <c r="F2610" t="s">
        <v>5770</v>
      </c>
      <c r="J2610" t="s">
        <v>5740</v>
      </c>
      <c r="K2610">
        <v>400</v>
      </c>
      <c r="L2610" t="str" cm="1">
        <f t="array" ref="L2610">_xlfn.IFS(
 K2610&lt;=50,"≤50",
 AND(K2610&gt;=51,K2610&lt;=100),"51–100",
 AND(K2610&gt;=101,K2610&lt;=250),"101–250",
 AND(K2610&gt;=251,K2610&lt;=500),"251–500",
 AND(K2610&gt;=501,K2610&lt;=1000),"501–1000",
 K2610&gt;=1001,"1001+"
)</f>
        <v>251–500</v>
      </c>
    </row>
    <row r="2611" spans="1:12" x14ac:dyDescent="0.3">
      <c r="A2611" t="s">
        <v>5215</v>
      </c>
      <c r="B2611" t="s">
        <v>417</v>
      </c>
      <c r="C2611" t="s">
        <v>5778</v>
      </c>
      <c r="D2611" t="s">
        <v>5216</v>
      </c>
      <c r="E2611" t="s">
        <v>15</v>
      </c>
      <c r="F2611" t="s">
        <v>5770</v>
      </c>
      <c r="J2611" t="s">
        <v>5737</v>
      </c>
      <c r="K2611">
        <v>400</v>
      </c>
      <c r="L2611" t="str" cm="1">
        <f t="array" ref="L2611">_xlfn.IFS(
 K2611&lt;=50,"≤50",
 AND(K2611&gt;=51,K2611&lt;=100),"51–100",
 AND(K2611&gt;=101,K2611&lt;=250),"101–250",
 AND(K2611&gt;=251,K2611&lt;=500),"251–500",
 AND(K2611&gt;=501,K2611&lt;=1000),"501–1000",
 K2611&gt;=1001,"1001+"
)</f>
        <v>251–500</v>
      </c>
    </row>
    <row r="2612" spans="1:12" x14ac:dyDescent="0.3">
      <c r="A2612" t="s">
        <v>5217</v>
      </c>
      <c r="B2612" t="s">
        <v>11</v>
      </c>
      <c r="C2612" t="s">
        <v>5776</v>
      </c>
      <c r="F2612" t="s">
        <v>5770</v>
      </c>
      <c r="J2612" t="s">
        <v>5737</v>
      </c>
      <c r="K2612">
        <v>400</v>
      </c>
      <c r="L2612" t="str" cm="1">
        <f t="array" ref="L2612">_xlfn.IFS(
 K2612&lt;=50,"≤50",
 AND(K2612&gt;=51,K2612&lt;=100),"51–100",
 AND(K2612&gt;=101,K2612&lt;=250),"101–250",
 AND(K2612&gt;=251,K2612&lt;=500),"251–500",
 AND(K2612&gt;=501,K2612&lt;=1000),"501–1000",
 K2612&gt;=1001,"1001+"
)</f>
        <v>251–500</v>
      </c>
    </row>
    <row r="2613" spans="1:12" x14ac:dyDescent="0.3">
      <c r="A2613" t="s">
        <v>5218</v>
      </c>
      <c r="B2613" t="s">
        <v>11</v>
      </c>
      <c r="C2613" t="s">
        <v>5776</v>
      </c>
      <c r="F2613" t="s">
        <v>5770</v>
      </c>
      <c r="J2613" t="s">
        <v>5737</v>
      </c>
      <c r="K2613">
        <v>400</v>
      </c>
      <c r="L2613" t="str" cm="1">
        <f t="array" ref="L2613">_xlfn.IFS(
 K2613&lt;=50,"≤50",
 AND(K2613&gt;=51,K2613&lt;=100),"51–100",
 AND(K2613&gt;=101,K2613&lt;=250),"101–250",
 AND(K2613&gt;=251,K2613&lt;=500),"251–500",
 AND(K2613&gt;=501,K2613&lt;=1000),"501–1000",
 K2613&gt;=1001,"1001+"
)</f>
        <v>251–500</v>
      </c>
    </row>
    <row r="2614" spans="1:12" x14ac:dyDescent="0.3">
      <c r="A2614" t="s">
        <v>5219</v>
      </c>
      <c r="B2614" t="s">
        <v>9</v>
      </c>
      <c r="C2614" t="s">
        <v>5780</v>
      </c>
      <c r="D2614" t="s">
        <v>5220</v>
      </c>
      <c r="E2614" t="s">
        <v>15</v>
      </c>
      <c r="F2614" t="s">
        <v>20</v>
      </c>
      <c r="G2614" t="s">
        <v>5221</v>
      </c>
      <c r="J2614" t="s">
        <v>5737</v>
      </c>
      <c r="K2614">
        <v>400</v>
      </c>
      <c r="L2614" t="str" cm="1">
        <f t="array" ref="L2614">_xlfn.IFS(
 K2614&lt;=50,"≤50",
 AND(K2614&gt;=51,K2614&lt;=100),"51–100",
 AND(K2614&gt;=101,K2614&lt;=250),"101–250",
 AND(K2614&gt;=251,K2614&lt;=500),"251–500",
 AND(K2614&gt;=501,K2614&lt;=1000),"501–1000",
 K2614&gt;=1001,"1001+"
)</f>
        <v>251–500</v>
      </c>
    </row>
    <row r="2615" spans="1:12" x14ac:dyDescent="0.3">
      <c r="A2615" t="s">
        <v>5222</v>
      </c>
      <c r="B2615" t="s">
        <v>9</v>
      </c>
      <c r="C2615" t="s">
        <v>5780</v>
      </c>
      <c r="D2615" t="s">
        <v>5223</v>
      </c>
      <c r="E2615" t="s">
        <v>15</v>
      </c>
      <c r="F2615" t="s">
        <v>54</v>
      </c>
      <c r="G2615" t="s">
        <v>3606</v>
      </c>
      <c r="J2615" t="s">
        <v>5737</v>
      </c>
      <c r="K2615">
        <v>400</v>
      </c>
      <c r="L2615" t="str" cm="1">
        <f t="array" ref="L2615">_xlfn.IFS(
 K2615&lt;=50,"≤50",
 AND(K2615&gt;=51,K2615&lt;=100),"51–100",
 AND(K2615&gt;=101,K2615&lt;=250),"101–250",
 AND(K2615&gt;=251,K2615&lt;=500),"251–500",
 AND(K2615&gt;=501,K2615&lt;=1000),"501–1000",
 K2615&gt;=1001,"1001+"
)</f>
        <v>251–500</v>
      </c>
    </row>
    <row r="2616" spans="1:12" x14ac:dyDescent="0.3">
      <c r="A2616" t="s">
        <v>5224</v>
      </c>
      <c r="B2616" t="s">
        <v>9</v>
      </c>
      <c r="C2616" t="s">
        <v>5780</v>
      </c>
      <c r="D2616" t="s">
        <v>5225</v>
      </c>
      <c r="E2616" t="s">
        <v>15</v>
      </c>
      <c r="F2616" t="s">
        <v>20</v>
      </c>
      <c r="G2616" t="s">
        <v>185</v>
      </c>
      <c r="J2616" t="s">
        <v>5737</v>
      </c>
      <c r="K2616">
        <v>400</v>
      </c>
      <c r="L2616" t="str" cm="1">
        <f t="array" ref="L2616">_xlfn.IFS(
 K2616&lt;=50,"≤50",
 AND(K2616&gt;=51,K2616&lt;=100),"51–100",
 AND(K2616&gt;=101,K2616&lt;=250),"101–250",
 AND(K2616&gt;=251,K2616&lt;=500),"251–500",
 AND(K2616&gt;=501,K2616&lt;=1000),"501–1000",
 K2616&gt;=1001,"1001+"
)</f>
        <v>251–500</v>
      </c>
    </row>
    <row r="2617" spans="1:12" x14ac:dyDescent="0.3">
      <c r="A2617" t="s">
        <v>5226</v>
      </c>
      <c r="B2617" t="s">
        <v>9</v>
      </c>
      <c r="C2617" t="s">
        <v>5780</v>
      </c>
      <c r="D2617" t="s">
        <v>5227</v>
      </c>
      <c r="E2617" t="s">
        <v>15</v>
      </c>
      <c r="F2617" t="s">
        <v>5770</v>
      </c>
      <c r="J2617" t="s">
        <v>5760</v>
      </c>
      <c r="K2617">
        <v>400</v>
      </c>
      <c r="L2617" t="str" cm="1">
        <f t="array" ref="L2617">_xlfn.IFS(
 K2617&lt;=50,"≤50",
 AND(K2617&gt;=51,K2617&lt;=100),"51–100",
 AND(K2617&gt;=101,K2617&lt;=250),"101–250",
 AND(K2617&gt;=251,K2617&lt;=500),"251–500",
 AND(K2617&gt;=501,K2617&lt;=1000),"501–1000",
 K2617&gt;=1001,"1001+"
)</f>
        <v>251–500</v>
      </c>
    </row>
    <row r="2618" spans="1:12" x14ac:dyDescent="0.3">
      <c r="A2618" t="s">
        <v>5228</v>
      </c>
      <c r="B2618" t="s">
        <v>11</v>
      </c>
      <c r="C2618" t="s">
        <v>5776</v>
      </c>
      <c r="F2618" t="s">
        <v>5770</v>
      </c>
      <c r="J2618" t="s">
        <v>5737</v>
      </c>
      <c r="K2618">
        <v>400</v>
      </c>
      <c r="L2618" t="str" cm="1">
        <f t="array" ref="L2618">_xlfn.IFS(
 K2618&lt;=50,"≤50",
 AND(K2618&gt;=51,K2618&lt;=100),"51–100",
 AND(K2618&gt;=101,K2618&lt;=250),"101–250",
 AND(K2618&gt;=251,K2618&lt;=500),"251–500",
 AND(K2618&gt;=501,K2618&lt;=1000),"501–1000",
 K2618&gt;=1001,"1001+"
)</f>
        <v>251–500</v>
      </c>
    </row>
    <row r="2619" spans="1:12" x14ac:dyDescent="0.3">
      <c r="A2619" t="s">
        <v>5229</v>
      </c>
      <c r="B2619" t="s">
        <v>13</v>
      </c>
      <c r="C2619" t="s">
        <v>5777</v>
      </c>
      <c r="D2619" t="s">
        <v>5230</v>
      </c>
      <c r="F2619" t="s">
        <v>20</v>
      </c>
      <c r="G2619" t="s">
        <v>5231</v>
      </c>
      <c r="J2619" t="s">
        <v>5737</v>
      </c>
      <c r="K2619">
        <v>400</v>
      </c>
      <c r="L2619" t="str" cm="1">
        <f t="array" ref="L2619">_xlfn.IFS(
 K2619&lt;=50,"≤50",
 AND(K2619&gt;=51,K2619&lt;=100),"51–100",
 AND(K2619&gt;=101,K2619&lt;=250),"101–250",
 AND(K2619&gt;=251,K2619&lt;=500),"251–500",
 AND(K2619&gt;=501,K2619&lt;=1000),"501–1000",
 K2619&gt;=1001,"1001+"
)</f>
        <v>251–500</v>
      </c>
    </row>
    <row r="2620" spans="1:12" x14ac:dyDescent="0.3">
      <c r="A2620" t="s">
        <v>5232</v>
      </c>
      <c r="B2620" t="s">
        <v>11</v>
      </c>
      <c r="C2620" t="s">
        <v>5776</v>
      </c>
      <c r="F2620" t="s">
        <v>5770</v>
      </c>
      <c r="J2620" t="s">
        <v>5762</v>
      </c>
      <c r="K2620">
        <v>400</v>
      </c>
      <c r="L2620" t="str" cm="1">
        <f t="array" ref="L2620">_xlfn.IFS(
 K2620&lt;=50,"≤50",
 AND(K2620&gt;=51,K2620&lt;=100),"51–100",
 AND(K2620&gt;=101,K2620&lt;=250),"101–250",
 AND(K2620&gt;=251,K2620&lt;=500),"251–500",
 AND(K2620&gt;=501,K2620&lt;=1000),"501–1000",
 K2620&gt;=1001,"1001+"
)</f>
        <v>251–500</v>
      </c>
    </row>
    <row r="2621" spans="1:12" x14ac:dyDescent="0.3">
      <c r="A2621" t="s">
        <v>5233</v>
      </c>
      <c r="B2621" t="s">
        <v>9</v>
      </c>
      <c r="C2621" t="s">
        <v>5780</v>
      </c>
      <c r="D2621" t="s">
        <v>51</v>
      </c>
      <c r="E2621" t="s">
        <v>15</v>
      </c>
      <c r="F2621" t="s">
        <v>54</v>
      </c>
      <c r="G2621" t="s">
        <v>1284</v>
      </c>
      <c r="J2621" t="s">
        <v>5755</v>
      </c>
      <c r="K2621">
        <v>400</v>
      </c>
      <c r="L2621" t="str" cm="1">
        <f t="array" ref="L2621">_xlfn.IFS(
 K2621&lt;=50,"≤50",
 AND(K2621&gt;=51,K2621&lt;=100),"51–100",
 AND(K2621&gt;=101,K2621&lt;=250),"101–250",
 AND(K2621&gt;=251,K2621&lt;=500),"251–500",
 AND(K2621&gt;=501,K2621&lt;=1000),"501–1000",
 K2621&gt;=1001,"1001+"
)</f>
        <v>251–500</v>
      </c>
    </row>
    <row r="2622" spans="1:12" x14ac:dyDescent="0.3">
      <c r="A2622" t="s">
        <v>5234</v>
      </c>
      <c r="B2622" t="s">
        <v>9</v>
      </c>
      <c r="C2622" t="s">
        <v>5780</v>
      </c>
      <c r="D2622" t="s">
        <v>5235</v>
      </c>
      <c r="E2622" t="s">
        <v>15</v>
      </c>
      <c r="F2622" t="s">
        <v>5770</v>
      </c>
      <c r="J2622" t="s">
        <v>5737</v>
      </c>
      <c r="K2622">
        <v>410</v>
      </c>
      <c r="L2622" t="str" cm="1">
        <f t="array" ref="L2622">_xlfn.IFS(
 K2622&lt;=50,"≤50",
 AND(K2622&gt;=51,K2622&lt;=100),"51–100",
 AND(K2622&gt;=101,K2622&lt;=250),"101–250",
 AND(K2622&gt;=251,K2622&lt;=500),"251–500",
 AND(K2622&gt;=501,K2622&lt;=1000),"501–1000",
 K2622&gt;=1001,"1001+"
)</f>
        <v>251–500</v>
      </c>
    </row>
    <row r="2623" spans="1:12" x14ac:dyDescent="0.3">
      <c r="A2623" t="s">
        <v>5236</v>
      </c>
      <c r="B2623" t="s">
        <v>9</v>
      </c>
      <c r="C2623" t="s">
        <v>5780</v>
      </c>
      <c r="D2623" t="s">
        <v>5237</v>
      </c>
      <c r="E2623" t="s">
        <v>15</v>
      </c>
      <c r="F2623" t="s">
        <v>16</v>
      </c>
      <c r="G2623" t="s">
        <v>1701</v>
      </c>
      <c r="J2623" t="s">
        <v>5756</v>
      </c>
      <c r="K2623">
        <v>420</v>
      </c>
      <c r="L2623" t="str" cm="1">
        <f t="array" ref="L2623">_xlfn.IFS(
 K2623&lt;=50,"≤50",
 AND(K2623&gt;=51,K2623&lt;=100),"51–100",
 AND(K2623&gt;=101,K2623&lt;=250),"101–250",
 AND(K2623&gt;=251,K2623&lt;=500),"251–500",
 AND(K2623&gt;=501,K2623&lt;=1000),"501–1000",
 K2623&gt;=1001,"1001+"
)</f>
        <v>251–500</v>
      </c>
    </row>
    <row r="2624" spans="1:12" x14ac:dyDescent="0.3">
      <c r="A2624" t="s">
        <v>5238</v>
      </c>
      <c r="B2624" t="s">
        <v>9</v>
      </c>
      <c r="C2624" t="s">
        <v>5780</v>
      </c>
      <c r="D2624" t="s">
        <v>5239</v>
      </c>
      <c r="E2624" t="s">
        <v>15</v>
      </c>
      <c r="F2624" t="s">
        <v>54</v>
      </c>
      <c r="G2624" t="s">
        <v>2030</v>
      </c>
      <c r="J2624" t="s">
        <v>5737</v>
      </c>
      <c r="K2624">
        <v>420</v>
      </c>
      <c r="L2624" t="str" cm="1">
        <f t="array" ref="L2624">_xlfn.IFS(
 K2624&lt;=50,"≤50",
 AND(K2624&gt;=51,K2624&lt;=100),"51–100",
 AND(K2624&gt;=101,K2624&lt;=250),"101–250",
 AND(K2624&gt;=251,K2624&lt;=500),"251–500",
 AND(K2624&gt;=501,K2624&lt;=1000),"501–1000",
 K2624&gt;=1001,"1001+"
)</f>
        <v>251–500</v>
      </c>
    </row>
    <row r="2625" spans="1:12" x14ac:dyDescent="0.3">
      <c r="A2625" t="s">
        <v>5240</v>
      </c>
      <c r="B2625" t="s">
        <v>9</v>
      </c>
      <c r="C2625" t="s">
        <v>5780</v>
      </c>
      <c r="D2625" t="s">
        <v>5241</v>
      </c>
      <c r="E2625" t="s">
        <v>15</v>
      </c>
      <c r="F2625" t="s">
        <v>20</v>
      </c>
      <c r="G2625" t="s">
        <v>1423</v>
      </c>
      <c r="J2625" t="s">
        <v>5746</v>
      </c>
      <c r="K2625">
        <v>420</v>
      </c>
      <c r="L2625" t="str" cm="1">
        <f t="array" ref="L2625">_xlfn.IFS(
 K2625&lt;=50,"≤50",
 AND(K2625&gt;=51,K2625&lt;=100),"51–100",
 AND(K2625&gt;=101,K2625&lt;=250),"101–250",
 AND(K2625&gt;=251,K2625&lt;=500),"251–500",
 AND(K2625&gt;=501,K2625&lt;=1000),"501–1000",
 K2625&gt;=1001,"1001+"
)</f>
        <v>251–500</v>
      </c>
    </row>
    <row r="2626" spans="1:12" x14ac:dyDescent="0.3">
      <c r="A2626" t="s">
        <v>5242</v>
      </c>
      <c r="B2626" t="s">
        <v>13</v>
      </c>
      <c r="C2626" t="s">
        <v>5777</v>
      </c>
      <c r="D2626" t="s">
        <v>5243</v>
      </c>
      <c r="E2626" t="s">
        <v>15</v>
      </c>
      <c r="F2626" t="s">
        <v>20</v>
      </c>
      <c r="G2626" t="s">
        <v>5244</v>
      </c>
      <c r="J2626" t="s">
        <v>5748</v>
      </c>
      <c r="K2626">
        <v>434</v>
      </c>
      <c r="L2626" t="str" cm="1">
        <f t="array" ref="L2626">_xlfn.IFS(
 K2626&lt;=50,"≤50",
 AND(K2626&gt;=51,K2626&lt;=100),"51–100",
 AND(K2626&gt;=101,K2626&lt;=250),"101–250",
 AND(K2626&gt;=251,K2626&lt;=500),"251–500",
 AND(K2626&gt;=501,K2626&lt;=1000),"501–1000",
 K2626&gt;=1001,"1001+"
)</f>
        <v>251–500</v>
      </c>
    </row>
    <row r="2627" spans="1:12" x14ac:dyDescent="0.3">
      <c r="A2627" t="s">
        <v>5245</v>
      </c>
      <c r="B2627" t="s">
        <v>13</v>
      </c>
      <c r="C2627" t="s">
        <v>5777</v>
      </c>
      <c r="D2627" t="s">
        <v>5246</v>
      </c>
      <c r="F2627" t="s">
        <v>16</v>
      </c>
      <c r="G2627" t="s">
        <v>5247</v>
      </c>
      <c r="J2627" t="s">
        <v>5746</v>
      </c>
      <c r="K2627">
        <v>450</v>
      </c>
      <c r="L2627" t="str" cm="1">
        <f t="array" ref="L2627">_xlfn.IFS(
 K2627&lt;=50,"≤50",
 AND(K2627&gt;=51,K2627&lt;=100),"51–100",
 AND(K2627&gt;=101,K2627&lt;=250),"101–250",
 AND(K2627&gt;=251,K2627&lt;=500),"251–500",
 AND(K2627&gt;=501,K2627&lt;=1000),"501–1000",
 K2627&gt;=1001,"1001+"
)</f>
        <v>251–500</v>
      </c>
    </row>
    <row r="2628" spans="1:12" x14ac:dyDescent="0.3">
      <c r="A2628" t="s">
        <v>5248</v>
      </c>
      <c r="B2628" t="s">
        <v>13</v>
      </c>
      <c r="C2628" t="s">
        <v>5777</v>
      </c>
      <c r="D2628" t="s">
        <v>5249</v>
      </c>
      <c r="E2628" t="s">
        <v>15</v>
      </c>
      <c r="F2628" t="s">
        <v>20</v>
      </c>
      <c r="G2628" t="s">
        <v>5250</v>
      </c>
      <c r="J2628" t="s">
        <v>5737</v>
      </c>
      <c r="K2628">
        <v>450</v>
      </c>
      <c r="L2628" t="str" cm="1">
        <f t="array" ref="L2628">_xlfn.IFS(
 K2628&lt;=50,"≤50",
 AND(K2628&gt;=51,K2628&lt;=100),"51–100",
 AND(K2628&gt;=101,K2628&lt;=250),"101–250",
 AND(K2628&gt;=251,K2628&lt;=500),"251–500",
 AND(K2628&gt;=501,K2628&lt;=1000),"501–1000",
 K2628&gt;=1001,"1001+"
)</f>
        <v>251–500</v>
      </c>
    </row>
    <row r="2629" spans="1:12" x14ac:dyDescent="0.3">
      <c r="A2629" t="s">
        <v>5251</v>
      </c>
      <c r="B2629" t="s">
        <v>13</v>
      </c>
      <c r="C2629" t="s">
        <v>5777</v>
      </c>
      <c r="D2629" t="s">
        <v>5091</v>
      </c>
      <c r="E2629" t="s">
        <v>15</v>
      </c>
      <c r="F2629" t="s">
        <v>54</v>
      </c>
      <c r="G2629" t="s">
        <v>5092</v>
      </c>
      <c r="J2629" t="s">
        <v>5738</v>
      </c>
      <c r="K2629">
        <v>450</v>
      </c>
      <c r="L2629" t="str" cm="1">
        <f t="array" ref="L2629">_xlfn.IFS(
 K2629&lt;=50,"≤50",
 AND(K2629&gt;=51,K2629&lt;=100),"51–100",
 AND(K2629&gt;=101,K2629&lt;=250),"101–250",
 AND(K2629&gt;=251,K2629&lt;=500),"251–500",
 AND(K2629&gt;=501,K2629&lt;=1000),"501–1000",
 K2629&gt;=1001,"1001+"
)</f>
        <v>251–500</v>
      </c>
    </row>
    <row r="2630" spans="1:12" x14ac:dyDescent="0.3">
      <c r="A2630" t="s">
        <v>5252</v>
      </c>
      <c r="B2630" t="s">
        <v>9</v>
      </c>
      <c r="C2630" t="s">
        <v>5780</v>
      </c>
      <c r="D2630" t="s">
        <v>5253</v>
      </c>
      <c r="E2630" t="s">
        <v>15</v>
      </c>
      <c r="F2630" t="s">
        <v>16</v>
      </c>
      <c r="G2630" t="s">
        <v>5254</v>
      </c>
      <c r="J2630" t="s">
        <v>5737</v>
      </c>
      <c r="K2630">
        <v>450</v>
      </c>
      <c r="L2630" t="str" cm="1">
        <f t="array" ref="L2630">_xlfn.IFS(
 K2630&lt;=50,"≤50",
 AND(K2630&gt;=51,K2630&lt;=100),"51–100",
 AND(K2630&gt;=101,K2630&lt;=250),"101–250",
 AND(K2630&gt;=251,K2630&lt;=500),"251–500",
 AND(K2630&gt;=501,K2630&lt;=1000),"501–1000",
 K2630&gt;=1001,"1001+"
)</f>
        <v>251–500</v>
      </c>
    </row>
    <row r="2631" spans="1:12" x14ac:dyDescent="0.3">
      <c r="A2631" t="s">
        <v>5255</v>
      </c>
      <c r="B2631" t="s">
        <v>13</v>
      </c>
      <c r="C2631" t="s">
        <v>5777</v>
      </c>
      <c r="D2631" t="s">
        <v>5256</v>
      </c>
      <c r="F2631" t="s">
        <v>20</v>
      </c>
      <c r="G2631" t="s">
        <v>5257</v>
      </c>
      <c r="J2631" t="s">
        <v>5740</v>
      </c>
      <c r="K2631">
        <v>450</v>
      </c>
      <c r="L2631" t="str" cm="1">
        <f t="array" ref="L2631">_xlfn.IFS(
 K2631&lt;=50,"≤50",
 AND(K2631&gt;=51,K2631&lt;=100),"51–100",
 AND(K2631&gt;=101,K2631&lt;=250),"101–250",
 AND(K2631&gt;=251,K2631&lt;=500),"251–500",
 AND(K2631&gt;=501,K2631&lt;=1000),"501–1000",
 K2631&gt;=1001,"1001+"
)</f>
        <v>251–500</v>
      </c>
    </row>
    <row r="2632" spans="1:12" x14ac:dyDescent="0.3">
      <c r="A2632" t="s">
        <v>5258</v>
      </c>
      <c r="B2632" t="s">
        <v>13</v>
      </c>
      <c r="C2632" t="s">
        <v>5777</v>
      </c>
      <c r="D2632" t="s">
        <v>5259</v>
      </c>
      <c r="F2632" t="s">
        <v>20</v>
      </c>
      <c r="G2632" t="s">
        <v>21</v>
      </c>
      <c r="J2632" t="s">
        <v>5737</v>
      </c>
      <c r="K2632">
        <v>450</v>
      </c>
      <c r="L2632" t="str" cm="1">
        <f t="array" ref="L2632">_xlfn.IFS(
 K2632&lt;=50,"≤50",
 AND(K2632&gt;=51,K2632&lt;=100),"51–100",
 AND(K2632&gt;=101,K2632&lt;=250),"101–250",
 AND(K2632&gt;=251,K2632&lt;=500),"251–500",
 AND(K2632&gt;=501,K2632&lt;=1000),"501–1000",
 K2632&gt;=1001,"1001+"
)</f>
        <v>251–500</v>
      </c>
    </row>
    <row r="2633" spans="1:12" x14ac:dyDescent="0.3">
      <c r="A2633" t="s">
        <v>5260</v>
      </c>
      <c r="B2633" t="s">
        <v>11</v>
      </c>
      <c r="C2633" t="s">
        <v>5776</v>
      </c>
      <c r="F2633" t="s">
        <v>5770</v>
      </c>
      <c r="J2633" t="s">
        <v>5758</v>
      </c>
      <c r="K2633">
        <v>450</v>
      </c>
      <c r="L2633" t="str" cm="1">
        <f t="array" ref="L2633">_xlfn.IFS(
 K2633&lt;=50,"≤50",
 AND(K2633&gt;=51,K2633&lt;=100),"51–100",
 AND(K2633&gt;=101,K2633&lt;=250),"101–250",
 AND(K2633&gt;=251,K2633&lt;=500),"251–500",
 AND(K2633&gt;=501,K2633&lt;=1000),"501–1000",
 K2633&gt;=1001,"1001+"
)</f>
        <v>251–500</v>
      </c>
    </row>
    <row r="2634" spans="1:12" x14ac:dyDescent="0.3">
      <c r="A2634" t="s">
        <v>5261</v>
      </c>
      <c r="B2634" t="s">
        <v>13</v>
      </c>
      <c r="C2634" t="s">
        <v>5777</v>
      </c>
      <c r="D2634" t="s">
        <v>5262</v>
      </c>
      <c r="E2634" t="s">
        <v>15</v>
      </c>
      <c r="F2634" t="s">
        <v>54</v>
      </c>
      <c r="G2634" t="s">
        <v>5263</v>
      </c>
      <c r="H2634" t="s">
        <v>15</v>
      </c>
      <c r="I2634" t="s">
        <v>5264</v>
      </c>
      <c r="J2634" t="s">
        <v>5737</v>
      </c>
      <c r="K2634">
        <v>450</v>
      </c>
      <c r="L2634" t="str" cm="1">
        <f t="array" ref="L2634">_xlfn.IFS(
 K2634&lt;=50,"≤50",
 AND(K2634&gt;=51,K2634&lt;=100),"51–100",
 AND(K2634&gt;=101,K2634&lt;=250),"101–250",
 AND(K2634&gt;=251,K2634&lt;=500),"251–500",
 AND(K2634&gt;=501,K2634&lt;=1000),"501–1000",
 K2634&gt;=1001,"1001+"
)</f>
        <v>251–500</v>
      </c>
    </row>
    <row r="2635" spans="1:12" x14ac:dyDescent="0.3">
      <c r="A2635" t="s">
        <v>5265</v>
      </c>
      <c r="B2635" t="s">
        <v>13</v>
      </c>
      <c r="C2635" t="s">
        <v>5777</v>
      </c>
      <c r="D2635" t="s">
        <v>5266</v>
      </c>
      <c r="E2635" t="s">
        <v>15</v>
      </c>
      <c r="F2635" t="s">
        <v>20</v>
      </c>
      <c r="G2635" t="s">
        <v>21</v>
      </c>
      <c r="J2635" t="s">
        <v>5738</v>
      </c>
      <c r="K2635">
        <v>450</v>
      </c>
      <c r="L2635" t="str" cm="1">
        <f t="array" ref="L2635">_xlfn.IFS(
 K2635&lt;=50,"≤50",
 AND(K2635&gt;=51,K2635&lt;=100),"51–100",
 AND(K2635&gt;=101,K2635&lt;=250),"101–250",
 AND(K2635&gt;=251,K2635&lt;=500),"251–500",
 AND(K2635&gt;=501,K2635&lt;=1000),"501–1000",
 K2635&gt;=1001,"1001+"
)</f>
        <v>251–500</v>
      </c>
    </row>
    <row r="2636" spans="1:12" x14ac:dyDescent="0.3">
      <c r="A2636" t="s">
        <v>5267</v>
      </c>
      <c r="B2636" t="s">
        <v>11</v>
      </c>
      <c r="C2636" t="s">
        <v>5776</v>
      </c>
      <c r="F2636" t="s">
        <v>5770</v>
      </c>
      <c r="J2636" t="s">
        <v>5737</v>
      </c>
      <c r="K2636">
        <v>450</v>
      </c>
      <c r="L2636" t="str" cm="1">
        <f t="array" ref="L2636">_xlfn.IFS(
 K2636&lt;=50,"≤50",
 AND(K2636&gt;=51,K2636&lt;=100),"51–100",
 AND(K2636&gt;=101,K2636&lt;=250),"101–250",
 AND(K2636&gt;=251,K2636&lt;=500),"251–500",
 AND(K2636&gt;=501,K2636&lt;=1000),"501–1000",
 K2636&gt;=1001,"1001+"
)</f>
        <v>251–500</v>
      </c>
    </row>
    <row r="2637" spans="1:12" x14ac:dyDescent="0.3">
      <c r="A2637" t="s">
        <v>5268</v>
      </c>
      <c r="B2637" t="s">
        <v>13</v>
      </c>
      <c r="C2637" t="s">
        <v>5777</v>
      </c>
      <c r="D2637" t="s">
        <v>5269</v>
      </c>
      <c r="F2637" t="s">
        <v>20</v>
      </c>
      <c r="G2637" t="s">
        <v>1423</v>
      </c>
      <c r="J2637" t="s">
        <v>5760</v>
      </c>
      <c r="K2637">
        <v>450</v>
      </c>
      <c r="L2637" t="str" cm="1">
        <f t="array" ref="L2637">_xlfn.IFS(
 K2637&lt;=50,"≤50",
 AND(K2637&gt;=51,K2637&lt;=100),"51–100",
 AND(K2637&gt;=101,K2637&lt;=250),"101–250",
 AND(K2637&gt;=251,K2637&lt;=500),"251–500",
 AND(K2637&gt;=501,K2637&lt;=1000),"501–1000",
 K2637&gt;=1001,"1001+"
)</f>
        <v>251–500</v>
      </c>
    </row>
    <row r="2638" spans="1:12" x14ac:dyDescent="0.3">
      <c r="A2638" t="s">
        <v>5270</v>
      </c>
      <c r="B2638" t="s">
        <v>13</v>
      </c>
      <c r="C2638" t="s">
        <v>5777</v>
      </c>
      <c r="D2638" t="s">
        <v>5271</v>
      </c>
      <c r="E2638" t="s">
        <v>15</v>
      </c>
      <c r="F2638" t="s">
        <v>54</v>
      </c>
      <c r="G2638" t="s">
        <v>5272</v>
      </c>
      <c r="H2638" t="s">
        <v>15</v>
      </c>
      <c r="I2638" t="s">
        <v>5273</v>
      </c>
      <c r="J2638" t="s">
        <v>5758</v>
      </c>
      <c r="K2638">
        <v>450</v>
      </c>
      <c r="L2638" t="str" cm="1">
        <f t="array" ref="L2638">_xlfn.IFS(
 K2638&lt;=50,"≤50",
 AND(K2638&gt;=51,K2638&lt;=100),"51–100",
 AND(K2638&gt;=101,K2638&lt;=250),"101–250",
 AND(K2638&gt;=251,K2638&lt;=500),"251–500",
 AND(K2638&gt;=501,K2638&lt;=1000),"501–1000",
 K2638&gt;=1001,"1001+"
)</f>
        <v>251–500</v>
      </c>
    </row>
    <row r="2639" spans="1:12" x14ac:dyDescent="0.3">
      <c r="A2639" t="s">
        <v>5274</v>
      </c>
      <c r="B2639" t="s">
        <v>9</v>
      </c>
      <c r="C2639" t="s">
        <v>5780</v>
      </c>
      <c r="D2639" t="s">
        <v>5275</v>
      </c>
      <c r="E2639" t="s">
        <v>15</v>
      </c>
      <c r="F2639" t="s">
        <v>20</v>
      </c>
      <c r="G2639" t="s">
        <v>21</v>
      </c>
      <c r="J2639" t="s">
        <v>5737</v>
      </c>
      <c r="K2639">
        <v>450</v>
      </c>
      <c r="L2639" t="str" cm="1">
        <f t="array" ref="L2639">_xlfn.IFS(
 K2639&lt;=50,"≤50",
 AND(K2639&gt;=51,K2639&lt;=100),"51–100",
 AND(K2639&gt;=101,K2639&lt;=250),"101–250",
 AND(K2639&gt;=251,K2639&lt;=500),"251–500",
 AND(K2639&gt;=501,K2639&lt;=1000),"501–1000",
 K2639&gt;=1001,"1001+"
)</f>
        <v>251–500</v>
      </c>
    </row>
    <row r="2640" spans="1:12" x14ac:dyDescent="0.3">
      <c r="A2640" t="s">
        <v>5276</v>
      </c>
      <c r="B2640" t="s">
        <v>11</v>
      </c>
      <c r="C2640" t="s">
        <v>5776</v>
      </c>
      <c r="F2640" t="s">
        <v>5770</v>
      </c>
      <c r="J2640" t="s">
        <v>5738</v>
      </c>
      <c r="K2640">
        <v>450</v>
      </c>
      <c r="L2640" t="str" cm="1">
        <f t="array" ref="L2640">_xlfn.IFS(
 K2640&lt;=50,"≤50",
 AND(K2640&gt;=51,K2640&lt;=100),"51–100",
 AND(K2640&gt;=101,K2640&lt;=250),"101–250",
 AND(K2640&gt;=251,K2640&lt;=500),"251–500",
 AND(K2640&gt;=501,K2640&lt;=1000),"501–1000",
 K2640&gt;=1001,"1001+"
)</f>
        <v>251–500</v>
      </c>
    </row>
    <row r="2641" spans="1:12" x14ac:dyDescent="0.3">
      <c r="A2641" t="s">
        <v>5277</v>
      </c>
      <c r="B2641" t="s">
        <v>9</v>
      </c>
      <c r="C2641" t="s">
        <v>5780</v>
      </c>
      <c r="D2641" t="s">
        <v>5278</v>
      </c>
      <c r="F2641" t="s">
        <v>20</v>
      </c>
      <c r="G2641" t="s">
        <v>21</v>
      </c>
      <c r="J2641" t="s">
        <v>5737</v>
      </c>
      <c r="K2641">
        <v>451</v>
      </c>
      <c r="L2641" t="str" cm="1">
        <f t="array" ref="L2641">_xlfn.IFS(
 K2641&lt;=50,"≤50",
 AND(K2641&gt;=51,K2641&lt;=100),"51–100",
 AND(K2641&gt;=101,K2641&lt;=250),"101–250",
 AND(K2641&gt;=251,K2641&lt;=500),"251–500",
 AND(K2641&gt;=501,K2641&lt;=1000),"501–1000",
 K2641&gt;=1001,"1001+"
)</f>
        <v>251–500</v>
      </c>
    </row>
    <row r="2642" spans="1:12" x14ac:dyDescent="0.3">
      <c r="A2642" t="s">
        <v>5279</v>
      </c>
      <c r="B2642" t="s">
        <v>9</v>
      </c>
      <c r="C2642" t="s">
        <v>5780</v>
      </c>
      <c r="D2642" t="s">
        <v>5280</v>
      </c>
      <c r="E2642" t="s">
        <v>15</v>
      </c>
      <c r="F2642" t="s">
        <v>16</v>
      </c>
      <c r="G2642" t="s">
        <v>2936</v>
      </c>
      <c r="J2642" t="s">
        <v>5737</v>
      </c>
      <c r="K2642">
        <v>459</v>
      </c>
      <c r="L2642" t="str" cm="1">
        <f t="array" ref="L2642">_xlfn.IFS(
 K2642&lt;=50,"≤50",
 AND(K2642&gt;=51,K2642&lt;=100),"51–100",
 AND(K2642&gt;=101,K2642&lt;=250),"101–250",
 AND(K2642&gt;=251,K2642&lt;=500),"251–500",
 AND(K2642&gt;=501,K2642&lt;=1000),"501–1000",
 K2642&gt;=1001,"1001+"
)</f>
        <v>251–500</v>
      </c>
    </row>
    <row r="2643" spans="1:12" x14ac:dyDescent="0.3">
      <c r="A2643" t="s">
        <v>5281</v>
      </c>
      <c r="B2643" t="s">
        <v>11</v>
      </c>
      <c r="C2643" t="s">
        <v>5776</v>
      </c>
      <c r="F2643" t="s">
        <v>5770</v>
      </c>
      <c r="J2643" t="s">
        <v>5737</v>
      </c>
      <c r="K2643">
        <v>460</v>
      </c>
      <c r="L2643" t="str" cm="1">
        <f t="array" ref="L2643">_xlfn.IFS(
 K2643&lt;=50,"≤50",
 AND(K2643&gt;=51,K2643&lt;=100),"51–100",
 AND(K2643&gt;=101,K2643&lt;=250),"101–250",
 AND(K2643&gt;=251,K2643&lt;=500),"251–500",
 AND(K2643&gt;=501,K2643&lt;=1000),"501–1000",
 K2643&gt;=1001,"1001+"
)</f>
        <v>251–500</v>
      </c>
    </row>
    <row r="2644" spans="1:12" x14ac:dyDescent="0.3">
      <c r="A2644" t="s">
        <v>5282</v>
      </c>
      <c r="B2644" t="s">
        <v>13</v>
      </c>
      <c r="C2644" t="s">
        <v>5777</v>
      </c>
      <c r="D2644" t="s">
        <v>5283</v>
      </c>
      <c r="E2644" t="s">
        <v>15</v>
      </c>
      <c r="F2644" t="s">
        <v>54</v>
      </c>
      <c r="G2644" t="s">
        <v>5284</v>
      </c>
      <c r="J2644" t="s">
        <v>5737</v>
      </c>
      <c r="K2644">
        <v>470</v>
      </c>
      <c r="L2644" t="str" cm="1">
        <f t="array" ref="L2644">_xlfn.IFS(
 K2644&lt;=50,"≤50",
 AND(K2644&gt;=51,K2644&lt;=100),"51–100",
 AND(K2644&gt;=101,K2644&lt;=250),"101–250",
 AND(K2644&gt;=251,K2644&lt;=500),"251–500",
 AND(K2644&gt;=501,K2644&lt;=1000),"501–1000",
 K2644&gt;=1001,"1001+"
)</f>
        <v>251–500</v>
      </c>
    </row>
    <row r="2645" spans="1:12" x14ac:dyDescent="0.3">
      <c r="A2645" t="s">
        <v>5285</v>
      </c>
      <c r="B2645" t="s">
        <v>13</v>
      </c>
      <c r="C2645" t="s">
        <v>5777</v>
      </c>
      <c r="D2645" t="s">
        <v>5286</v>
      </c>
      <c r="F2645" t="s">
        <v>16</v>
      </c>
      <c r="G2645" t="s">
        <v>5287</v>
      </c>
      <c r="J2645" t="s">
        <v>5747</v>
      </c>
      <c r="K2645">
        <v>480</v>
      </c>
      <c r="L2645" t="str" cm="1">
        <f t="array" ref="L2645">_xlfn.IFS(
 K2645&lt;=50,"≤50",
 AND(K2645&gt;=51,K2645&lt;=100),"51–100",
 AND(K2645&gt;=101,K2645&lt;=250),"101–250",
 AND(K2645&gt;=251,K2645&lt;=500),"251–500",
 AND(K2645&gt;=501,K2645&lt;=1000),"501–1000",
 K2645&gt;=1001,"1001+"
)</f>
        <v>251–500</v>
      </c>
    </row>
    <row r="2646" spans="1:12" x14ac:dyDescent="0.3">
      <c r="A2646" t="s">
        <v>5288</v>
      </c>
      <c r="B2646" t="s">
        <v>9</v>
      </c>
      <c r="C2646" t="s">
        <v>5780</v>
      </c>
      <c r="D2646" t="s">
        <v>5289</v>
      </c>
      <c r="E2646" t="s">
        <v>15</v>
      </c>
      <c r="F2646" t="s">
        <v>54</v>
      </c>
      <c r="G2646" t="s">
        <v>5290</v>
      </c>
      <c r="H2646" t="s">
        <v>15</v>
      </c>
      <c r="I2646" t="s">
        <v>5291</v>
      </c>
      <c r="J2646" t="s">
        <v>5737</v>
      </c>
      <c r="K2646">
        <v>500</v>
      </c>
      <c r="L2646" t="str" cm="1">
        <f t="array" ref="L2646">_xlfn.IFS(
 K2646&lt;=50,"≤50",
 AND(K2646&gt;=51,K2646&lt;=100),"51–100",
 AND(K2646&gt;=101,K2646&lt;=250),"101–250",
 AND(K2646&gt;=251,K2646&lt;=500),"251–500",
 AND(K2646&gt;=501,K2646&lt;=1000),"501–1000",
 K2646&gt;=1001,"1001+"
)</f>
        <v>251–500</v>
      </c>
    </row>
    <row r="2647" spans="1:12" x14ac:dyDescent="0.3">
      <c r="A2647" t="s">
        <v>5292</v>
      </c>
      <c r="B2647" t="s">
        <v>9</v>
      </c>
      <c r="C2647" t="s">
        <v>5780</v>
      </c>
      <c r="D2647" t="s">
        <v>5293</v>
      </c>
      <c r="E2647" t="s">
        <v>15</v>
      </c>
      <c r="F2647" t="s">
        <v>16</v>
      </c>
      <c r="G2647" t="s">
        <v>5294</v>
      </c>
      <c r="J2647" t="s">
        <v>5744</v>
      </c>
      <c r="K2647">
        <v>500</v>
      </c>
      <c r="L2647" t="str" cm="1">
        <f t="array" ref="L2647">_xlfn.IFS(
 K2647&lt;=50,"≤50",
 AND(K2647&gt;=51,K2647&lt;=100),"51–100",
 AND(K2647&gt;=101,K2647&lt;=250),"101–250",
 AND(K2647&gt;=251,K2647&lt;=500),"251–500",
 AND(K2647&gt;=501,K2647&lt;=1000),"501–1000",
 K2647&gt;=1001,"1001+"
)</f>
        <v>251–500</v>
      </c>
    </row>
    <row r="2648" spans="1:12" x14ac:dyDescent="0.3">
      <c r="A2648" t="s">
        <v>5295</v>
      </c>
      <c r="B2648" t="s">
        <v>13</v>
      </c>
      <c r="C2648" t="s">
        <v>5777</v>
      </c>
      <c r="D2648" t="s">
        <v>5296</v>
      </c>
      <c r="E2648" t="s">
        <v>15</v>
      </c>
      <c r="F2648" t="s">
        <v>54</v>
      </c>
      <c r="G2648" t="s">
        <v>5297</v>
      </c>
      <c r="J2648" t="s">
        <v>5742</v>
      </c>
      <c r="K2648">
        <v>500</v>
      </c>
      <c r="L2648" t="str" cm="1">
        <f t="array" ref="L2648">_xlfn.IFS(
 K2648&lt;=50,"≤50",
 AND(K2648&gt;=51,K2648&lt;=100),"51–100",
 AND(K2648&gt;=101,K2648&lt;=250),"101–250",
 AND(K2648&gt;=251,K2648&lt;=500),"251–500",
 AND(K2648&gt;=501,K2648&lt;=1000),"501–1000",
 K2648&gt;=1001,"1001+"
)</f>
        <v>251–500</v>
      </c>
    </row>
    <row r="2649" spans="1:12" x14ac:dyDescent="0.3">
      <c r="A2649" t="s">
        <v>5298</v>
      </c>
      <c r="B2649" t="s">
        <v>9</v>
      </c>
      <c r="C2649" t="s">
        <v>5780</v>
      </c>
      <c r="D2649" t="s">
        <v>5299</v>
      </c>
      <c r="E2649" t="s">
        <v>15</v>
      </c>
      <c r="F2649" t="s">
        <v>20</v>
      </c>
      <c r="G2649" t="s">
        <v>5300</v>
      </c>
      <c r="J2649" t="s">
        <v>5737</v>
      </c>
      <c r="K2649">
        <v>500</v>
      </c>
      <c r="L2649" t="str" cm="1">
        <f t="array" ref="L2649">_xlfn.IFS(
 K2649&lt;=50,"≤50",
 AND(K2649&gt;=51,K2649&lt;=100),"51–100",
 AND(K2649&gt;=101,K2649&lt;=250),"101–250",
 AND(K2649&gt;=251,K2649&lt;=500),"251–500",
 AND(K2649&gt;=501,K2649&lt;=1000),"501–1000",
 K2649&gt;=1001,"1001+"
)</f>
        <v>251–500</v>
      </c>
    </row>
    <row r="2650" spans="1:12" x14ac:dyDescent="0.3">
      <c r="A2650" t="s">
        <v>5301</v>
      </c>
      <c r="B2650" t="s">
        <v>11</v>
      </c>
      <c r="C2650" t="s">
        <v>5776</v>
      </c>
      <c r="F2650" t="s">
        <v>5770</v>
      </c>
      <c r="J2650" t="s">
        <v>5737</v>
      </c>
      <c r="K2650">
        <v>500</v>
      </c>
      <c r="L2650" t="str" cm="1">
        <f t="array" ref="L2650">_xlfn.IFS(
 K2650&lt;=50,"≤50",
 AND(K2650&gt;=51,K2650&lt;=100),"51–100",
 AND(K2650&gt;=101,K2650&lt;=250),"101–250",
 AND(K2650&gt;=251,K2650&lt;=500),"251–500",
 AND(K2650&gt;=501,K2650&lt;=1000),"501–1000",
 K2650&gt;=1001,"1001+"
)</f>
        <v>251–500</v>
      </c>
    </row>
    <row r="2651" spans="1:12" x14ac:dyDescent="0.3">
      <c r="A2651" t="s">
        <v>5302</v>
      </c>
      <c r="B2651" t="s">
        <v>13</v>
      </c>
      <c r="C2651" t="s">
        <v>5777</v>
      </c>
      <c r="D2651" t="s">
        <v>5303</v>
      </c>
      <c r="E2651" t="s">
        <v>15</v>
      </c>
      <c r="F2651" t="s">
        <v>20</v>
      </c>
      <c r="G2651" t="s">
        <v>2494</v>
      </c>
      <c r="J2651" t="s">
        <v>5737</v>
      </c>
      <c r="K2651">
        <v>500</v>
      </c>
      <c r="L2651" t="str" cm="1">
        <f t="array" ref="L2651">_xlfn.IFS(
 K2651&lt;=50,"≤50",
 AND(K2651&gt;=51,K2651&lt;=100),"51–100",
 AND(K2651&gt;=101,K2651&lt;=250),"101–250",
 AND(K2651&gt;=251,K2651&lt;=500),"251–500",
 AND(K2651&gt;=501,K2651&lt;=1000),"501–1000",
 K2651&gt;=1001,"1001+"
)</f>
        <v>251–500</v>
      </c>
    </row>
    <row r="2652" spans="1:12" x14ac:dyDescent="0.3">
      <c r="A2652" t="s">
        <v>5304</v>
      </c>
      <c r="B2652" t="s">
        <v>9</v>
      </c>
      <c r="C2652" t="s">
        <v>5780</v>
      </c>
      <c r="D2652" t="s">
        <v>51</v>
      </c>
      <c r="F2652" t="s">
        <v>54</v>
      </c>
      <c r="G2652" t="s">
        <v>724</v>
      </c>
      <c r="J2652" t="s">
        <v>5737</v>
      </c>
      <c r="K2652">
        <v>500</v>
      </c>
      <c r="L2652" t="str" cm="1">
        <f t="array" ref="L2652">_xlfn.IFS(
 K2652&lt;=50,"≤50",
 AND(K2652&gt;=51,K2652&lt;=100),"51–100",
 AND(K2652&gt;=101,K2652&lt;=250),"101–250",
 AND(K2652&gt;=251,K2652&lt;=500),"251–500",
 AND(K2652&gt;=501,K2652&lt;=1000),"501–1000",
 K2652&gt;=1001,"1001+"
)</f>
        <v>251–500</v>
      </c>
    </row>
    <row r="2653" spans="1:12" x14ac:dyDescent="0.3">
      <c r="A2653" t="s">
        <v>5305</v>
      </c>
      <c r="B2653" t="s">
        <v>9</v>
      </c>
      <c r="C2653" t="s">
        <v>5780</v>
      </c>
      <c r="D2653" t="s">
        <v>5306</v>
      </c>
      <c r="E2653" t="s">
        <v>15</v>
      </c>
      <c r="F2653" t="s">
        <v>54</v>
      </c>
      <c r="G2653" t="s">
        <v>5307</v>
      </c>
      <c r="J2653" t="s">
        <v>5748</v>
      </c>
      <c r="K2653">
        <v>500</v>
      </c>
      <c r="L2653" t="str" cm="1">
        <f t="array" ref="L2653">_xlfn.IFS(
 K2653&lt;=50,"≤50",
 AND(K2653&gt;=51,K2653&lt;=100),"51–100",
 AND(K2653&gt;=101,K2653&lt;=250),"101–250",
 AND(K2653&gt;=251,K2653&lt;=500),"251–500",
 AND(K2653&gt;=501,K2653&lt;=1000),"501–1000",
 K2653&gt;=1001,"1001+"
)</f>
        <v>251–500</v>
      </c>
    </row>
    <row r="2654" spans="1:12" x14ac:dyDescent="0.3">
      <c r="A2654" t="s">
        <v>5308</v>
      </c>
      <c r="B2654" t="s">
        <v>13</v>
      </c>
      <c r="C2654" t="s">
        <v>5777</v>
      </c>
      <c r="D2654" t="s">
        <v>5309</v>
      </c>
      <c r="E2654" t="s">
        <v>15</v>
      </c>
      <c r="F2654" t="s">
        <v>16</v>
      </c>
      <c r="G2654" t="s">
        <v>5310</v>
      </c>
      <c r="J2654" t="s">
        <v>5737</v>
      </c>
      <c r="K2654">
        <v>500</v>
      </c>
      <c r="L2654" t="str" cm="1">
        <f t="array" ref="L2654">_xlfn.IFS(
 K2654&lt;=50,"≤50",
 AND(K2654&gt;=51,K2654&lt;=100),"51–100",
 AND(K2654&gt;=101,K2654&lt;=250),"101–250",
 AND(K2654&gt;=251,K2654&lt;=500),"251–500",
 AND(K2654&gt;=501,K2654&lt;=1000),"501–1000",
 K2654&gt;=1001,"1001+"
)</f>
        <v>251–500</v>
      </c>
    </row>
    <row r="2655" spans="1:12" x14ac:dyDescent="0.3">
      <c r="A2655" t="s">
        <v>5311</v>
      </c>
      <c r="B2655" t="s">
        <v>13</v>
      </c>
      <c r="C2655" t="s">
        <v>5777</v>
      </c>
      <c r="D2655" t="s">
        <v>5312</v>
      </c>
      <c r="F2655" t="s">
        <v>54</v>
      </c>
      <c r="G2655" t="s">
        <v>5313</v>
      </c>
      <c r="J2655" t="s">
        <v>5737</v>
      </c>
      <c r="K2655">
        <v>500</v>
      </c>
      <c r="L2655" t="str" cm="1">
        <f t="array" ref="L2655">_xlfn.IFS(
 K2655&lt;=50,"≤50",
 AND(K2655&gt;=51,K2655&lt;=100),"51–100",
 AND(K2655&gt;=101,K2655&lt;=250),"101–250",
 AND(K2655&gt;=251,K2655&lt;=500),"251–500",
 AND(K2655&gt;=501,K2655&lt;=1000),"501–1000",
 K2655&gt;=1001,"1001+"
)</f>
        <v>251–500</v>
      </c>
    </row>
    <row r="2656" spans="1:12" x14ac:dyDescent="0.3">
      <c r="A2656" t="s">
        <v>5314</v>
      </c>
      <c r="B2656" t="s">
        <v>11</v>
      </c>
      <c r="C2656" t="s">
        <v>5776</v>
      </c>
      <c r="F2656" t="s">
        <v>5770</v>
      </c>
      <c r="J2656" t="s">
        <v>5737</v>
      </c>
      <c r="K2656">
        <v>500</v>
      </c>
      <c r="L2656" t="str" cm="1">
        <f t="array" ref="L2656">_xlfn.IFS(
 K2656&lt;=50,"≤50",
 AND(K2656&gt;=51,K2656&lt;=100),"51–100",
 AND(K2656&gt;=101,K2656&lt;=250),"101–250",
 AND(K2656&gt;=251,K2656&lt;=500),"251–500",
 AND(K2656&gt;=501,K2656&lt;=1000),"501–1000",
 K2656&gt;=1001,"1001+"
)</f>
        <v>251–500</v>
      </c>
    </row>
    <row r="2657" spans="1:12" x14ac:dyDescent="0.3">
      <c r="A2657" t="s">
        <v>5315</v>
      </c>
      <c r="B2657" t="s">
        <v>13</v>
      </c>
      <c r="C2657" t="s">
        <v>5777</v>
      </c>
      <c r="D2657" t="s">
        <v>5316</v>
      </c>
      <c r="F2657" t="s">
        <v>16</v>
      </c>
      <c r="G2657" t="s">
        <v>5317</v>
      </c>
      <c r="J2657" t="s">
        <v>5738</v>
      </c>
      <c r="K2657">
        <v>500</v>
      </c>
      <c r="L2657" t="str" cm="1">
        <f t="array" ref="L2657">_xlfn.IFS(
 K2657&lt;=50,"≤50",
 AND(K2657&gt;=51,K2657&lt;=100),"51–100",
 AND(K2657&gt;=101,K2657&lt;=250),"101–250",
 AND(K2657&gt;=251,K2657&lt;=500),"251–500",
 AND(K2657&gt;=501,K2657&lt;=1000),"501–1000",
 K2657&gt;=1001,"1001+"
)</f>
        <v>251–500</v>
      </c>
    </row>
    <row r="2658" spans="1:12" x14ac:dyDescent="0.3">
      <c r="A2658" t="s">
        <v>5318</v>
      </c>
      <c r="B2658" t="s">
        <v>9</v>
      </c>
      <c r="C2658" t="s">
        <v>5780</v>
      </c>
      <c r="D2658" t="s">
        <v>5319</v>
      </c>
      <c r="E2658" t="s">
        <v>15</v>
      </c>
      <c r="F2658" t="s">
        <v>54</v>
      </c>
      <c r="G2658" t="s">
        <v>588</v>
      </c>
      <c r="J2658" t="s">
        <v>5746</v>
      </c>
      <c r="K2658">
        <v>500</v>
      </c>
      <c r="L2658" t="str" cm="1">
        <f t="array" ref="L2658">_xlfn.IFS(
 K2658&lt;=50,"≤50",
 AND(K2658&gt;=51,K2658&lt;=100),"51–100",
 AND(K2658&gt;=101,K2658&lt;=250),"101–250",
 AND(K2658&gt;=251,K2658&lt;=500),"251–500",
 AND(K2658&gt;=501,K2658&lt;=1000),"501–1000",
 K2658&gt;=1001,"1001+"
)</f>
        <v>251–500</v>
      </c>
    </row>
    <row r="2659" spans="1:12" x14ac:dyDescent="0.3">
      <c r="A2659" t="s">
        <v>5320</v>
      </c>
      <c r="B2659" t="s">
        <v>9</v>
      </c>
      <c r="C2659" t="s">
        <v>5780</v>
      </c>
      <c r="D2659" t="s">
        <v>5321</v>
      </c>
      <c r="F2659" t="s">
        <v>54</v>
      </c>
      <c r="G2659" t="s">
        <v>5322</v>
      </c>
      <c r="J2659" t="s">
        <v>5737</v>
      </c>
      <c r="K2659">
        <v>500</v>
      </c>
      <c r="L2659" t="str" cm="1">
        <f t="array" ref="L2659">_xlfn.IFS(
 K2659&lt;=50,"≤50",
 AND(K2659&gt;=51,K2659&lt;=100),"51–100",
 AND(K2659&gt;=101,K2659&lt;=250),"101–250",
 AND(K2659&gt;=251,K2659&lt;=500),"251–500",
 AND(K2659&gt;=501,K2659&lt;=1000),"501–1000",
 K2659&gt;=1001,"1001+"
)</f>
        <v>251–500</v>
      </c>
    </row>
    <row r="2660" spans="1:12" x14ac:dyDescent="0.3">
      <c r="A2660" t="s">
        <v>5323</v>
      </c>
      <c r="B2660" t="s">
        <v>9</v>
      </c>
      <c r="C2660" t="s">
        <v>5780</v>
      </c>
      <c r="D2660" t="s">
        <v>51</v>
      </c>
      <c r="E2660" t="s">
        <v>15</v>
      </c>
      <c r="F2660" t="s">
        <v>54</v>
      </c>
      <c r="G2660" t="s">
        <v>1638</v>
      </c>
      <c r="J2660" t="s">
        <v>5737</v>
      </c>
      <c r="K2660">
        <v>500</v>
      </c>
      <c r="L2660" t="str" cm="1">
        <f t="array" ref="L2660">_xlfn.IFS(
 K2660&lt;=50,"≤50",
 AND(K2660&gt;=51,K2660&lt;=100),"51–100",
 AND(K2660&gt;=101,K2660&lt;=250),"101–250",
 AND(K2660&gt;=251,K2660&lt;=500),"251–500",
 AND(K2660&gt;=501,K2660&lt;=1000),"501–1000",
 K2660&gt;=1001,"1001+"
)</f>
        <v>251–500</v>
      </c>
    </row>
    <row r="2661" spans="1:12" x14ac:dyDescent="0.3">
      <c r="A2661" t="s">
        <v>5324</v>
      </c>
      <c r="B2661" t="s">
        <v>13</v>
      </c>
      <c r="C2661" t="s">
        <v>5777</v>
      </c>
      <c r="D2661" t="s">
        <v>5325</v>
      </c>
      <c r="E2661" t="s">
        <v>15</v>
      </c>
      <c r="F2661" t="s">
        <v>16</v>
      </c>
      <c r="G2661" t="s">
        <v>5326</v>
      </c>
      <c r="J2661" t="s">
        <v>5737</v>
      </c>
      <c r="K2661">
        <v>500</v>
      </c>
      <c r="L2661" t="str" cm="1">
        <f t="array" ref="L2661">_xlfn.IFS(
 K2661&lt;=50,"≤50",
 AND(K2661&gt;=51,K2661&lt;=100),"51–100",
 AND(K2661&gt;=101,K2661&lt;=250),"101–250",
 AND(K2661&gt;=251,K2661&lt;=500),"251–500",
 AND(K2661&gt;=501,K2661&lt;=1000),"501–1000",
 K2661&gt;=1001,"1001+"
)</f>
        <v>251–500</v>
      </c>
    </row>
    <row r="2662" spans="1:12" x14ac:dyDescent="0.3">
      <c r="A2662" t="s">
        <v>5327</v>
      </c>
      <c r="B2662" t="s">
        <v>9</v>
      </c>
      <c r="C2662" t="s">
        <v>5780</v>
      </c>
      <c r="D2662" t="s">
        <v>5328</v>
      </c>
      <c r="E2662" t="s">
        <v>15</v>
      </c>
      <c r="F2662" t="s">
        <v>16</v>
      </c>
      <c r="G2662" t="s">
        <v>5329</v>
      </c>
      <c r="J2662" t="s">
        <v>5744</v>
      </c>
      <c r="K2662">
        <v>500</v>
      </c>
      <c r="L2662" t="str" cm="1">
        <f t="array" ref="L2662">_xlfn.IFS(
 K2662&lt;=50,"≤50",
 AND(K2662&gt;=51,K2662&lt;=100),"51–100",
 AND(K2662&gt;=101,K2662&lt;=250),"101–250",
 AND(K2662&gt;=251,K2662&lt;=500),"251–500",
 AND(K2662&gt;=501,K2662&lt;=1000),"501–1000",
 K2662&gt;=1001,"1001+"
)</f>
        <v>251–500</v>
      </c>
    </row>
    <row r="2663" spans="1:12" x14ac:dyDescent="0.3">
      <c r="A2663" t="s">
        <v>5330</v>
      </c>
      <c r="B2663" t="s">
        <v>197</v>
      </c>
      <c r="C2663" t="s">
        <v>5774</v>
      </c>
      <c r="D2663" t="s">
        <v>5331</v>
      </c>
      <c r="E2663" t="s">
        <v>15</v>
      </c>
      <c r="F2663" t="s">
        <v>54</v>
      </c>
      <c r="G2663" t="s">
        <v>5332</v>
      </c>
      <c r="J2663" t="s">
        <v>5751</v>
      </c>
      <c r="K2663">
        <v>500</v>
      </c>
      <c r="L2663" t="str" cm="1">
        <f t="array" ref="L2663">_xlfn.IFS(
 K2663&lt;=50,"≤50",
 AND(K2663&gt;=51,K2663&lt;=100),"51–100",
 AND(K2663&gt;=101,K2663&lt;=250),"101–250",
 AND(K2663&gt;=251,K2663&lt;=500),"251–500",
 AND(K2663&gt;=501,K2663&lt;=1000),"501–1000",
 K2663&gt;=1001,"1001+"
)</f>
        <v>251–500</v>
      </c>
    </row>
    <row r="2664" spans="1:12" x14ac:dyDescent="0.3">
      <c r="A2664" t="s">
        <v>5333</v>
      </c>
      <c r="B2664" t="s">
        <v>9</v>
      </c>
      <c r="C2664" t="s">
        <v>5780</v>
      </c>
      <c r="D2664" t="s">
        <v>5334</v>
      </c>
      <c r="E2664" t="s">
        <v>15</v>
      </c>
      <c r="F2664" t="s">
        <v>54</v>
      </c>
      <c r="G2664" t="s">
        <v>5335</v>
      </c>
      <c r="J2664" t="s">
        <v>5737</v>
      </c>
      <c r="K2664">
        <v>500</v>
      </c>
      <c r="L2664" t="str" cm="1">
        <f t="array" ref="L2664">_xlfn.IFS(
 K2664&lt;=50,"≤50",
 AND(K2664&gt;=51,K2664&lt;=100),"51–100",
 AND(K2664&gt;=101,K2664&lt;=250),"101–250",
 AND(K2664&gt;=251,K2664&lt;=500),"251–500",
 AND(K2664&gt;=501,K2664&lt;=1000),"501–1000",
 K2664&gt;=1001,"1001+"
)</f>
        <v>251–500</v>
      </c>
    </row>
    <row r="2665" spans="1:12" x14ac:dyDescent="0.3">
      <c r="A2665" t="s">
        <v>5336</v>
      </c>
      <c r="B2665" t="s">
        <v>11</v>
      </c>
      <c r="C2665" t="s">
        <v>5776</v>
      </c>
      <c r="F2665" t="s">
        <v>20</v>
      </c>
      <c r="G2665" t="s">
        <v>21</v>
      </c>
      <c r="J2665" t="s">
        <v>5737</v>
      </c>
      <c r="K2665">
        <v>500</v>
      </c>
      <c r="L2665" t="str" cm="1">
        <f t="array" ref="L2665">_xlfn.IFS(
 K2665&lt;=50,"≤50",
 AND(K2665&gt;=51,K2665&lt;=100),"51–100",
 AND(K2665&gt;=101,K2665&lt;=250),"101–250",
 AND(K2665&gt;=251,K2665&lt;=500),"251–500",
 AND(K2665&gt;=501,K2665&lt;=1000),"501–1000",
 K2665&gt;=1001,"1001+"
)</f>
        <v>251–500</v>
      </c>
    </row>
    <row r="2666" spans="1:12" x14ac:dyDescent="0.3">
      <c r="A2666" t="s">
        <v>5337</v>
      </c>
      <c r="B2666" t="s">
        <v>13</v>
      </c>
      <c r="C2666" t="s">
        <v>5777</v>
      </c>
      <c r="D2666" t="s">
        <v>5338</v>
      </c>
      <c r="E2666" t="s">
        <v>15</v>
      </c>
      <c r="F2666" t="s">
        <v>54</v>
      </c>
      <c r="G2666" t="s">
        <v>5339</v>
      </c>
      <c r="H2666" t="s">
        <v>15</v>
      </c>
      <c r="I2666" t="s">
        <v>5340</v>
      </c>
      <c r="J2666" t="s">
        <v>5737</v>
      </c>
      <c r="K2666">
        <v>500</v>
      </c>
      <c r="L2666" t="str" cm="1">
        <f t="array" ref="L2666">_xlfn.IFS(
 K2666&lt;=50,"≤50",
 AND(K2666&gt;=51,K2666&lt;=100),"51–100",
 AND(K2666&gt;=101,K2666&lt;=250),"101–250",
 AND(K2666&gt;=251,K2666&lt;=500),"251–500",
 AND(K2666&gt;=501,K2666&lt;=1000),"501–1000",
 K2666&gt;=1001,"1001+"
)</f>
        <v>251–500</v>
      </c>
    </row>
    <row r="2667" spans="1:12" x14ac:dyDescent="0.3">
      <c r="A2667" t="s">
        <v>5341</v>
      </c>
      <c r="B2667" t="s">
        <v>9</v>
      </c>
      <c r="C2667" t="s">
        <v>5780</v>
      </c>
      <c r="D2667" t="s">
        <v>5342</v>
      </c>
      <c r="E2667" t="s">
        <v>15</v>
      </c>
      <c r="F2667" t="s">
        <v>54</v>
      </c>
      <c r="G2667" t="s">
        <v>1065</v>
      </c>
      <c r="H2667" t="s">
        <v>15</v>
      </c>
      <c r="I2667" t="s">
        <v>5343</v>
      </c>
      <c r="J2667" t="s">
        <v>5737</v>
      </c>
      <c r="K2667">
        <v>500</v>
      </c>
      <c r="L2667" t="str" cm="1">
        <f t="array" ref="L2667">_xlfn.IFS(
 K2667&lt;=50,"≤50",
 AND(K2667&gt;=51,K2667&lt;=100),"51–100",
 AND(K2667&gt;=101,K2667&lt;=250),"101–250",
 AND(K2667&gt;=251,K2667&lt;=500),"251–500",
 AND(K2667&gt;=501,K2667&lt;=1000),"501–1000",
 K2667&gt;=1001,"1001+"
)</f>
        <v>251–500</v>
      </c>
    </row>
    <row r="2668" spans="1:12" x14ac:dyDescent="0.3">
      <c r="A2668" t="s">
        <v>5344</v>
      </c>
      <c r="B2668" t="s">
        <v>9</v>
      </c>
      <c r="C2668" t="s">
        <v>5780</v>
      </c>
      <c r="D2668" t="s">
        <v>5345</v>
      </c>
      <c r="F2668" t="s">
        <v>54</v>
      </c>
      <c r="G2668" t="s">
        <v>5346</v>
      </c>
      <c r="J2668" t="s">
        <v>5746</v>
      </c>
      <c r="K2668">
        <v>500</v>
      </c>
      <c r="L2668" t="str" cm="1">
        <f t="array" ref="L2668">_xlfn.IFS(
 K2668&lt;=50,"≤50",
 AND(K2668&gt;=51,K2668&lt;=100),"51–100",
 AND(K2668&gt;=101,K2668&lt;=250),"101–250",
 AND(K2668&gt;=251,K2668&lt;=500),"251–500",
 AND(K2668&gt;=501,K2668&lt;=1000),"501–1000",
 K2668&gt;=1001,"1001+"
)</f>
        <v>251–500</v>
      </c>
    </row>
    <row r="2669" spans="1:12" x14ac:dyDescent="0.3">
      <c r="A2669" t="s">
        <v>5347</v>
      </c>
      <c r="B2669" t="s">
        <v>9</v>
      </c>
      <c r="C2669" t="s">
        <v>5780</v>
      </c>
      <c r="D2669" t="s">
        <v>5348</v>
      </c>
      <c r="F2669" t="s">
        <v>5770</v>
      </c>
      <c r="J2669" t="s">
        <v>5738</v>
      </c>
      <c r="K2669">
        <v>500</v>
      </c>
      <c r="L2669" t="str" cm="1">
        <f t="array" ref="L2669">_xlfn.IFS(
 K2669&lt;=50,"≤50",
 AND(K2669&gt;=51,K2669&lt;=100),"51–100",
 AND(K2669&gt;=101,K2669&lt;=250),"101–250",
 AND(K2669&gt;=251,K2669&lt;=500),"251–500",
 AND(K2669&gt;=501,K2669&lt;=1000),"501–1000",
 K2669&gt;=1001,"1001+"
)</f>
        <v>251–500</v>
      </c>
    </row>
    <row r="2670" spans="1:12" x14ac:dyDescent="0.3">
      <c r="A2670" t="s">
        <v>5349</v>
      </c>
      <c r="B2670" t="s">
        <v>9</v>
      </c>
      <c r="C2670" t="s">
        <v>5780</v>
      </c>
      <c r="D2670" t="s">
        <v>5350</v>
      </c>
      <c r="F2670" t="s">
        <v>20</v>
      </c>
      <c r="G2670" t="s">
        <v>5351</v>
      </c>
      <c r="J2670" t="s">
        <v>5741</v>
      </c>
      <c r="K2670">
        <v>500</v>
      </c>
      <c r="L2670" t="str" cm="1">
        <f t="array" ref="L2670">_xlfn.IFS(
 K2670&lt;=50,"≤50",
 AND(K2670&gt;=51,K2670&lt;=100),"51–100",
 AND(K2670&gt;=101,K2670&lt;=250),"101–250",
 AND(K2670&gt;=251,K2670&lt;=500),"251–500",
 AND(K2670&gt;=501,K2670&lt;=1000),"501–1000",
 K2670&gt;=1001,"1001+"
)</f>
        <v>251–500</v>
      </c>
    </row>
    <row r="2671" spans="1:12" x14ac:dyDescent="0.3">
      <c r="A2671" t="s">
        <v>5352</v>
      </c>
      <c r="B2671" t="s">
        <v>9</v>
      </c>
      <c r="C2671" t="s">
        <v>5780</v>
      </c>
      <c r="D2671" t="s">
        <v>5353</v>
      </c>
      <c r="E2671" t="s">
        <v>15</v>
      </c>
      <c r="F2671" t="s">
        <v>20</v>
      </c>
      <c r="G2671" t="s">
        <v>5354</v>
      </c>
      <c r="J2671" t="s">
        <v>5745</v>
      </c>
      <c r="K2671">
        <v>500</v>
      </c>
      <c r="L2671" t="str" cm="1">
        <f t="array" ref="L2671">_xlfn.IFS(
 K2671&lt;=50,"≤50",
 AND(K2671&gt;=51,K2671&lt;=100),"51–100",
 AND(K2671&gt;=101,K2671&lt;=250),"101–250",
 AND(K2671&gt;=251,K2671&lt;=500),"251–500",
 AND(K2671&gt;=501,K2671&lt;=1000),"501–1000",
 K2671&gt;=1001,"1001+"
)</f>
        <v>251–500</v>
      </c>
    </row>
    <row r="2672" spans="1:12" x14ac:dyDescent="0.3">
      <c r="A2672" t="s">
        <v>5355</v>
      </c>
      <c r="B2672" t="s">
        <v>13</v>
      </c>
      <c r="C2672" t="s">
        <v>5777</v>
      </c>
      <c r="D2672" t="s">
        <v>2871</v>
      </c>
      <c r="F2672" t="s">
        <v>5770</v>
      </c>
      <c r="J2672" t="s">
        <v>5746</v>
      </c>
      <c r="K2672">
        <v>500</v>
      </c>
      <c r="L2672" t="str" cm="1">
        <f t="array" ref="L2672">_xlfn.IFS(
 K2672&lt;=50,"≤50",
 AND(K2672&gt;=51,K2672&lt;=100),"51–100",
 AND(K2672&gt;=101,K2672&lt;=250),"101–250",
 AND(K2672&gt;=251,K2672&lt;=500),"251–500",
 AND(K2672&gt;=501,K2672&lt;=1000),"501–1000",
 K2672&gt;=1001,"1001+"
)</f>
        <v>251–500</v>
      </c>
    </row>
    <row r="2673" spans="1:12" x14ac:dyDescent="0.3">
      <c r="A2673" t="s">
        <v>5356</v>
      </c>
      <c r="B2673" t="s">
        <v>9</v>
      </c>
      <c r="C2673" t="s">
        <v>5780</v>
      </c>
      <c r="D2673" t="s">
        <v>5357</v>
      </c>
      <c r="E2673" t="s">
        <v>15</v>
      </c>
      <c r="F2673" t="s">
        <v>20</v>
      </c>
      <c r="G2673" t="s">
        <v>5300</v>
      </c>
      <c r="J2673" t="s">
        <v>5737</v>
      </c>
      <c r="K2673">
        <v>500</v>
      </c>
      <c r="L2673" t="str" cm="1">
        <f t="array" ref="L2673">_xlfn.IFS(
 K2673&lt;=50,"≤50",
 AND(K2673&gt;=51,K2673&lt;=100),"51–100",
 AND(K2673&gt;=101,K2673&lt;=250),"101–250",
 AND(K2673&gt;=251,K2673&lt;=500),"251–500",
 AND(K2673&gt;=501,K2673&lt;=1000),"501–1000",
 K2673&gt;=1001,"1001+"
)</f>
        <v>251–500</v>
      </c>
    </row>
    <row r="2674" spans="1:12" x14ac:dyDescent="0.3">
      <c r="A2674" t="s">
        <v>5358</v>
      </c>
      <c r="B2674" t="s">
        <v>9</v>
      </c>
      <c r="C2674" t="s">
        <v>5780</v>
      </c>
      <c r="D2674" t="s">
        <v>691</v>
      </c>
      <c r="E2674" t="s">
        <v>15</v>
      </c>
      <c r="F2674" t="s">
        <v>54</v>
      </c>
      <c r="G2674" t="s">
        <v>4738</v>
      </c>
      <c r="J2674" t="s">
        <v>5738</v>
      </c>
      <c r="K2674">
        <v>515</v>
      </c>
      <c r="L2674" t="str" cm="1">
        <f t="array" ref="L2674">_xlfn.IFS(
 K2674&lt;=50,"≤50",
 AND(K2674&gt;=51,K2674&lt;=100),"51–100",
 AND(K2674&gt;=101,K2674&lt;=250),"101–250",
 AND(K2674&gt;=251,K2674&lt;=500),"251–500",
 AND(K2674&gt;=501,K2674&lt;=1000),"501–1000",
 K2674&gt;=1001,"1001+"
)</f>
        <v>501–1000</v>
      </c>
    </row>
    <row r="2675" spans="1:12" x14ac:dyDescent="0.3">
      <c r="A2675" t="s">
        <v>5359</v>
      </c>
      <c r="B2675" t="s">
        <v>11</v>
      </c>
      <c r="C2675" t="s">
        <v>5776</v>
      </c>
      <c r="F2675" t="s">
        <v>5770</v>
      </c>
      <c r="J2675" t="s">
        <v>5738</v>
      </c>
      <c r="K2675">
        <v>520</v>
      </c>
      <c r="L2675" t="str" cm="1">
        <f t="array" ref="L2675">_xlfn.IFS(
 K2675&lt;=50,"≤50",
 AND(K2675&gt;=51,K2675&lt;=100),"51–100",
 AND(K2675&gt;=101,K2675&lt;=250),"101–250",
 AND(K2675&gt;=251,K2675&lt;=500),"251–500",
 AND(K2675&gt;=501,K2675&lt;=1000),"501–1000",
 K2675&gt;=1001,"1001+"
)</f>
        <v>501–1000</v>
      </c>
    </row>
    <row r="2676" spans="1:12" x14ac:dyDescent="0.3">
      <c r="A2676" t="s">
        <v>5360</v>
      </c>
      <c r="B2676" t="s">
        <v>9</v>
      </c>
      <c r="C2676" t="s">
        <v>5780</v>
      </c>
      <c r="D2676" t="s">
        <v>5361</v>
      </c>
      <c r="F2676" t="s">
        <v>5770</v>
      </c>
      <c r="J2676" t="s">
        <v>5737</v>
      </c>
      <c r="K2676">
        <v>540</v>
      </c>
      <c r="L2676" t="str" cm="1">
        <f t="array" ref="L2676">_xlfn.IFS(
 K2676&lt;=50,"≤50",
 AND(K2676&gt;=51,K2676&lt;=100),"51–100",
 AND(K2676&gt;=101,K2676&lt;=250),"101–250",
 AND(K2676&gt;=251,K2676&lt;=500),"251–500",
 AND(K2676&gt;=501,K2676&lt;=1000),"501–1000",
 K2676&gt;=1001,"1001+"
)</f>
        <v>501–1000</v>
      </c>
    </row>
    <row r="2677" spans="1:12" x14ac:dyDescent="0.3">
      <c r="A2677" t="s">
        <v>5362</v>
      </c>
      <c r="B2677" t="s">
        <v>13</v>
      </c>
      <c r="C2677" t="s">
        <v>5777</v>
      </c>
      <c r="D2677" t="s">
        <v>5363</v>
      </c>
      <c r="E2677" t="s">
        <v>15</v>
      </c>
      <c r="F2677" t="s">
        <v>54</v>
      </c>
      <c r="G2677" t="s">
        <v>3863</v>
      </c>
      <c r="J2677" t="s">
        <v>5737</v>
      </c>
      <c r="K2677">
        <v>550</v>
      </c>
      <c r="L2677" t="str" cm="1">
        <f t="array" ref="L2677">_xlfn.IFS(
 K2677&lt;=50,"≤50",
 AND(K2677&gt;=51,K2677&lt;=100),"51–100",
 AND(K2677&gt;=101,K2677&lt;=250),"101–250",
 AND(K2677&gt;=251,K2677&lt;=500),"251–500",
 AND(K2677&gt;=501,K2677&lt;=1000),"501–1000",
 K2677&gt;=1001,"1001+"
)</f>
        <v>501–1000</v>
      </c>
    </row>
    <row r="2678" spans="1:12" x14ac:dyDescent="0.3">
      <c r="A2678" t="s">
        <v>5364</v>
      </c>
      <c r="B2678" t="s">
        <v>13</v>
      </c>
      <c r="C2678" t="s">
        <v>5777</v>
      </c>
      <c r="D2678" t="s">
        <v>5365</v>
      </c>
      <c r="E2678" t="s">
        <v>15</v>
      </c>
      <c r="F2678" t="s">
        <v>20</v>
      </c>
      <c r="G2678" t="s">
        <v>21</v>
      </c>
      <c r="J2678" t="s">
        <v>5738</v>
      </c>
      <c r="K2678">
        <v>550</v>
      </c>
      <c r="L2678" t="str" cm="1">
        <f t="array" ref="L2678">_xlfn.IFS(
 K2678&lt;=50,"≤50",
 AND(K2678&gt;=51,K2678&lt;=100),"51–100",
 AND(K2678&gt;=101,K2678&lt;=250),"101–250",
 AND(K2678&gt;=251,K2678&lt;=500),"251–500",
 AND(K2678&gt;=501,K2678&lt;=1000),"501–1000",
 K2678&gt;=1001,"1001+"
)</f>
        <v>501–1000</v>
      </c>
    </row>
    <row r="2679" spans="1:12" x14ac:dyDescent="0.3">
      <c r="A2679" t="s">
        <v>5366</v>
      </c>
      <c r="B2679" t="s">
        <v>9</v>
      </c>
      <c r="C2679" t="s">
        <v>5780</v>
      </c>
      <c r="D2679" t="s">
        <v>5367</v>
      </c>
      <c r="E2679" t="s">
        <v>15</v>
      </c>
      <c r="F2679" t="s">
        <v>54</v>
      </c>
      <c r="G2679" t="s">
        <v>5368</v>
      </c>
      <c r="J2679" t="s">
        <v>5745</v>
      </c>
      <c r="K2679">
        <v>550</v>
      </c>
      <c r="L2679" t="str" cm="1">
        <f t="array" ref="L2679">_xlfn.IFS(
 K2679&lt;=50,"≤50",
 AND(K2679&gt;=51,K2679&lt;=100),"51–100",
 AND(K2679&gt;=101,K2679&lt;=250),"101–250",
 AND(K2679&gt;=251,K2679&lt;=500),"251–500",
 AND(K2679&gt;=501,K2679&lt;=1000),"501–1000",
 K2679&gt;=1001,"1001+"
)</f>
        <v>501–1000</v>
      </c>
    </row>
    <row r="2680" spans="1:12" x14ac:dyDescent="0.3">
      <c r="A2680" t="s">
        <v>5369</v>
      </c>
      <c r="B2680" t="s">
        <v>9</v>
      </c>
      <c r="C2680" t="s">
        <v>5780</v>
      </c>
      <c r="D2680" t="s">
        <v>5370</v>
      </c>
      <c r="F2680" t="s">
        <v>54</v>
      </c>
      <c r="G2680" t="s">
        <v>302</v>
      </c>
      <c r="J2680" t="s">
        <v>5737</v>
      </c>
      <c r="K2680">
        <v>550</v>
      </c>
      <c r="L2680" t="str" cm="1">
        <f t="array" ref="L2680">_xlfn.IFS(
 K2680&lt;=50,"≤50",
 AND(K2680&gt;=51,K2680&lt;=100),"51–100",
 AND(K2680&gt;=101,K2680&lt;=250),"101–250",
 AND(K2680&gt;=251,K2680&lt;=500),"251–500",
 AND(K2680&gt;=501,K2680&lt;=1000),"501–1000",
 K2680&gt;=1001,"1001+"
)</f>
        <v>501–1000</v>
      </c>
    </row>
    <row r="2681" spans="1:12" x14ac:dyDescent="0.3">
      <c r="A2681" t="s">
        <v>5371</v>
      </c>
      <c r="B2681" t="s">
        <v>9</v>
      </c>
      <c r="C2681" t="s">
        <v>5780</v>
      </c>
      <c r="D2681" t="s">
        <v>5372</v>
      </c>
      <c r="E2681" t="s">
        <v>15</v>
      </c>
      <c r="F2681" t="s">
        <v>54</v>
      </c>
      <c r="G2681" t="s">
        <v>5368</v>
      </c>
      <c r="J2681" t="s">
        <v>5737</v>
      </c>
      <c r="K2681">
        <v>550</v>
      </c>
      <c r="L2681" t="str" cm="1">
        <f t="array" ref="L2681">_xlfn.IFS(
 K2681&lt;=50,"≤50",
 AND(K2681&gt;=51,K2681&lt;=100),"51–100",
 AND(K2681&gt;=101,K2681&lt;=250),"101–250",
 AND(K2681&gt;=251,K2681&lt;=500),"251–500",
 AND(K2681&gt;=501,K2681&lt;=1000),"501–1000",
 K2681&gt;=1001,"1001+"
)</f>
        <v>501–1000</v>
      </c>
    </row>
    <row r="2682" spans="1:12" x14ac:dyDescent="0.3">
      <c r="A2682" t="s">
        <v>5373</v>
      </c>
      <c r="B2682" t="s">
        <v>9</v>
      </c>
      <c r="C2682" t="s">
        <v>5780</v>
      </c>
      <c r="D2682" t="s">
        <v>5374</v>
      </c>
      <c r="E2682" t="s">
        <v>15</v>
      </c>
      <c r="F2682" t="s">
        <v>54</v>
      </c>
      <c r="G2682" t="s">
        <v>5375</v>
      </c>
      <c r="J2682" t="s">
        <v>5738</v>
      </c>
      <c r="K2682">
        <v>550</v>
      </c>
      <c r="L2682" t="str" cm="1">
        <f t="array" ref="L2682">_xlfn.IFS(
 K2682&lt;=50,"≤50",
 AND(K2682&gt;=51,K2682&lt;=100),"51–100",
 AND(K2682&gt;=101,K2682&lt;=250),"101–250",
 AND(K2682&gt;=251,K2682&lt;=500),"251–500",
 AND(K2682&gt;=501,K2682&lt;=1000),"501–1000",
 K2682&gt;=1001,"1001+"
)</f>
        <v>501–1000</v>
      </c>
    </row>
    <row r="2683" spans="1:12" x14ac:dyDescent="0.3">
      <c r="A2683" t="s">
        <v>5376</v>
      </c>
      <c r="B2683" t="s">
        <v>13</v>
      </c>
      <c r="C2683" t="s">
        <v>5777</v>
      </c>
      <c r="D2683" t="s">
        <v>5377</v>
      </c>
      <c r="E2683" t="s">
        <v>15</v>
      </c>
      <c r="F2683" t="s">
        <v>54</v>
      </c>
      <c r="G2683" t="s">
        <v>2963</v>
      </c>
      <c r="J2683" t="s">
        <v>5744</v>
      </c>
      <c r="K2683">
        <v>550</v>
      </c>
      <c r="L2683" t="str" cm="1">
        <f t="array" ref="L2683">_xlfn.IFS(
 K2683&lt;=50,"≤50",
 AND(K2683&gt;=51,K2683&lt;=100),"51–100",
 AND(K2683&gt;=101,K2683&lt;=250),"101–250",
 AND(K2683&gt;=251,K2683&lt;=500),"251–500",
 AND(K2683&gt;=501,K2683&lt;=1000),"501–1000",
 K2683&gt;=1001,"1001+"
)</f>
        <v>501–1000</v>
      </c>
    </row>
    <row r="2684" spans="1:12" x14ac:dyDescent="0.3">
      <c r="A2684" t="s">
        <v>5378</v>
      </c>
      <c r="B2684" t="s">
        <v>13</v>
      </c>
      <c r="C2684" t="s">
        <v>5777</v>
      </c>
      <c r="D2684" t="s">
        <v>5379</v>
      </c>
      <c r="E2684" t="s">
        <v>15</v>
      </c>
      <c r="F2684" t="s">
        <v>16</v>
      </c>
      <c r="G2684" t="s">
        <v>5380</v>
      </c>
      <c r="J2684" t="s">
        <v>5739</v>
      </c>
      <c r="K2684">
        <v>550</v>
      </c>
      <c r="L2684" t="str" cm="1">
        <f t="array" ref="L2684">_xlfn.IFS(
 K2684&lt;=50,"≤50",
 AND(K2684&gt;=51,K2684&lt;=100),"51–100",
 AND(K2684&gt;=101,K2684&lt;=250),"101–250",
 AND(K2684&gt;=251,K2684&lt;=500),"251–500",
 AND(K2684&gt;=501,K2684&lt;=1000),"501–1000",
 K2684&gt;=1001,"1001+"
)</f>
        <v>501–1000</v>
      </c>
    </row>
    <row r="2685" spans="1:12" x14ac:dyDescent="0.3">
      <c r="A2685" t="s">
        <v>5381</v>
      </c>
      <c r="B2685" t="s">
        <v>11</v>
      </c>
      <c r="C2685" t="s">
        <v>5776</v>
      </c>
      <c r="F2685" t="s">
        <v>5770</v>
      </c>
      <c r="J2685" t="s">
        <v>5737</v>
      </c>
      <c r="K2685">
        <v>550</v>
      </c>
      <c r="L2685" t="str" cm="1">
        <f t="array" ref="L2685">_xlfn.IFS(
 K2685&lt;=50,"≤50",
 AND(K2685&gt;=51,K2685&lt;=100),"51–100",
 AND(K2685&gt;=101,K2685&lt;=250),"101–250",
 AND(K2685&gt;=251,K2685&lt;=500),"251–500",
 AND(K2685&gt;=501,K2685&lt;=1000),"501–1000",
 K2685&gt;=1001,"1001+"
)</f>
        <v>501–1000</v>
      </c>
    </row>
    <row r="2686" spans="1:12" x14ac:dyDescent="0.3">
      <c r="A2686" t="s">
        <v>5382</v>
      </c>
      <c r="B2686" t="s">
        <v>13</v>
      </c>
      <c r="C2686" t="s">
        <v>5777</v>
      </c>
      <c r="D2686" t="s">
        <v>5383</v>
      </c>
      <c r="E2686" t="s">
        <v>15</v>
      </c>
      <c r="F2686" t="s">
        <v>5770</v>
      </c>
      <c r="J2686" t="s">
        <v>5740</v>
      </c>
      <c r="K2686">
        <v>560</v>
      </c>
      <c r="L2686" t="str" cm="1">
        <f t="array" ref="L2686">_xlfn.IFS(
 K2686&lt;=50,"≤50",
 AND(K2686&gt;=51,K2686&lt;=100),"51–100",
 AND(K2686&gt;=101,K2686&lt;=250),"101–250",
 AND(K2686&gt;=251,K2686&lt;=500),"251–500",
 AND(K2686&gt;=501,K2686&lt;=1000),"501–1000",
 K2686&gt;=1001,"1001+"
)</f>
        <v>501–1000</v>
      </c>
    </row>
    <row r="2687" spans="1:12" x14ac:dyDescent="0.3">
      <c r="A2687" t="s">
        <v>5384</v>
      </c>
      <c r="B2687" t="s">
        <v>9</v>
      </c>
      <c r="C2687" t="s">
        <v>5780</v>
      </c>
      <c r="D2687" t="s">
        <v>5385</v>
      </c>
      <c r="E2687" t="s">
        <v>15</v>
      </c>
      <c r="F2687" t="s">
        <v>54</v>
      </c>
      <c r="G2687" t="s">
        <v>5386</v>
      </c>
      <c r="J2687" t="s">
        <v>5744</v>
      </c>
      <c r="K2687">
        <v>570</v>
      </c>
      <c r="L2687" t="str" cm="1">
        <f t="array" ref="L2687">_xlfn.IFS(
 K2687&lt;=50,"≤50",
 AND(K2687&gt;=51,K2687&lt;=100),"51–100",
 AND(K2687&gt;=101,K2687&lt;=250),"101–250",
 AND(K2687&gt;=251,K2687&lt;=500),"251–500",
 AND(K2687&gt;=501,K2687&lt;=1000),"501–1000",
 K2687&gt;=1001,"1001+"
)</f>
        <v>501–1000</v>
      </c>
    </row>
    <row r="2688" spans="1:12" x14ac:dyDescent="0.3">
      <c r="A2688" t="s">
        <v>5387</v>
      </c>
      <c r="B2688" t="s">
        <v>9</v>
      </c>
      <c r="C2688" t="s">
        <v>5780</v>
      </c>
      <c r="D2688" t="s">
        <v>5388</v>
      </c>
      <c r="E2688" t="s">
        <v>15</v>
      </c>
      <c r="F2688" t="s">
        <v>54</v>
      </c>
      <c r="G2688" t="s">
        <v>5389</v>
      </c>
      <c r="J2688" t="s">
        <v>5737</v>
      </c>
      <c r="K2688">
        <v>600</v>
      </c>
      <c r="L2688" t="str" cm="1">
        <f t="array" ref="L2688">_xlfn.IFS(
 K2688&lt;=50,"≤50",
 AND(K2688&gt;=51,K2688&lt;=100),"51–100",
 AND(K2688&gt;=101,K2688&lt;=250),"101–250",
 AND(K2688&gt;=251,K2688&lt;=500),"251–500",
 AND(K2688&gt;=501,K2688&lt;=1000),"501–1000",
 K2688&gt;=1001,"1001+"
)</f>
        <v>501–1000</v>
      </c>
    </row>
    <row r="2689" spans="1:12" x14ac:dyDescent="0.3">
      <c r="A2689" t="s">
        <v>5390</v>
      </c>
      <c r="B2689" t="s">
        <v>9</v>
      </c>
      <c r="C2689" t="s">
        <v>5780</v>
      </c>
      <c r="D2689" t="s">
        <v>51</v>
      </c>
      <c r="E2689" t="s">
        <v>15</v>
      </c>
      <c r="F2689" t="s">
        <v>54</v>
      </c>
      <c r="G2689" t="s">
        <v>5135</v>
      </c>
      <c r="J2689" t="s">
        <v>5737</v>
      </c>
      <c r="K2689">
        <v>600</v>
      </c>
      <c r="L2689" t="str" cm="1">
        <f t="array" ref="L2689">_xlfn.IFS(
 K2689&lt;=50,"≤50",
 AND(K2689&gt;=51,K2689&lt;=100),"51–100",
 AND(K2689&gt;=101,K2689&lt;=250),"101–250",
 AND(K2689&gt;=251,K2689&lt;=500),"251–500",
 AND(K2689&gt;=501,K2689&lt;=1000),"501–1000",
 K2689&gt;=1001,"1001+"
)</f>
        <v>501–1000</v>
      </c>
    </row>
    <row r="2690" spans="1:12" x14ac:dyDescent="0.3">
      <c r="A2690" t="s">
        <v>5391</v>
      </c>
      <c r="B2690" t="s">
        <v>13</v>
      </c>
      <c r="C2690" t="s">
        <v>5777</v>
      </c>
      <c r="D2690" t="s">
        <v>573</v>
      </c>
      <c r="E2690" t="s">
        <v>15</v>
      </c>
      <c r="F2690" t="s">
        <v>20</v>
      </c>
      <c r="G2690" t="s">
        <v>5392</v>
      </c>
      <c r="J2690" t="s">
        <v>5737</v>
      </c>
      <c r="K2690">
        <v>600</v>
      </c>
      <c r="L2690" t="str" cm="1">
        <f t="array" ref="L2690">_xlfn.IFS(
 K2690&lt;=50,"≤50",
 AND(K2690&gt;=51,K2690&lt;=100),"51–100",
 AND(K2690&gt;=101,K2690&lt;=250),"101–250",
 AND(K2690&gt;=251,K2690&lt;=500),"251–500",
 AND(K2690&gt;=501,K2690&lt;=1000),"501–1000",
 K2690&gt;=1001,"1001+"
)</f>
        <v>501–1000</v>
      </c>
    </row>
    <row r="2691" spans="1:12" x14ac:dyDescent="0.3">
      <c r="A2691" t="s">
        <v>5393</v>
      </c>
      <c r="B2691" t="s">
        <v>9</v>
      </c>
      <c r="C2691" t="s">
        <v>5780</v>
      </c>
      <c r="D2691" t="s">
        <v>5394</v>
      </c>
      <c r="F2691" t="s">
        <v>54</v>
      </c>
      <c r="G2691" t="s">
        <v>302</v>
      </c>
      <c r="J2691" t="s">
        <v>5748</v>
      </c>
      <c r="K2691">
        <v>600</v>
      </c>
      <c r="L2691" t="str" cm="1">
        <f t="array" ref="L2691">_xlfn.IFS(
 K2691&lt;=50,"≤50",
 AND(K2691&gt;=51,K2691&lt;=100),"51–100",
 AND(K2691&gt;=101,K2691&lt;=250),"101–250",
 AND(K2691&gt;=251,K2691&lt;=500),"251–500",
 AND(K2691&gt;=501,K2691&lt;=1000),"501–1000",
 K2691&gt;=1001,"1001+"
)</f>
        <v>501–1000</v>
      </c>
    </row>
    <row r="2692" spans="1:12" x14ac:dyDescent="0.3">
      <c r="A2692" t="s">
        <v>5395</v>
      </c>
      <c r="B2692" t="s">
        <v>9</v>
      </c>
      <c r="C2692" t="s">
        <v>5780</v>
      </c>
      <c r="D2692" t="s">
        <v>691</v>
      </c>
      <c r="E2692" t="s">
        <v>15</v>
      </c>
      <c r="F2692" t="s">
        <v>54</v>
      </c>
      <c r="G2692" t="s">
        <v>588</v>
      </c>
      <c r="J2692" t="s">
        <v>5737</v>
      </c>
      <c r="K2692">
        <v>600</v>
      </c>
      <c r="L2692" t="str" cm="1">
        <f t="array" ref="L2692">_xlfn.IFS(
 K2692&lt;=50,"≤50",
 AND(K2692&gt;=51,K2692&lt;=100),"51–100",
 AND(K2692&gt;=101,K2692&lt;=250),"101–250",
 AND(K2692&gt;=251,K2692&lt;=500),"251–500",
 AND(K2692&gt;=501,K2692&lt;=1000),"501–1000",
 K2692&gt;=1001,"1001+"
)</f>
        <v>501–1000</v>
      </c>
    </row>
    <row r="2693" spans="1:12" x14ac:dyDescent="0.3">
      <c r="A2693" t="s">
        <v>5396</v>
      </c>
      <c r="B2693" t="s">
        <v>13</v>
      </c>
      <c r="C2693" t="s">
        <v>5777</v>
      </c>
      <c r="D2693" t="s">
        <v>5397</v>
      </c>
      <c r="E2693" t="s">
        <v>15</v>
      </c>
      <c r="F2693" t="s">
        <v>20</v>
      </c>
      <c r="G2693" t="s">
        <v>5398</v>
      </c>
      <c r="J2693" t="s">
        <v>5737</v>
      </c>
      <c r="K2693">
        <v>600</v>
      </c>
      <c r="L2693" t="str" cm="1">
        <f t="array" ref="L2693">_xlfn.IFS(
 K2693&lt;=50,"≤50",
 AND(K2693&gt;=51,K2693&lt;=100),"51–100",
 AND(K2693&gt;=101,K2693&lt;=250),"101–250",
 AND(K2693&gt;=251,K2693&lt;=500),"251–500",
 AND(K2693&gt;=501,K2693&lt;=1000),"501–1000",
 K2693&gt;=1001,"1001+"
)</f>
        <v>501–1000</v>
      </c>
    </row>
    <row r="2694" spans="1:12" x14ac:dyDescent="0.3">
      <c r="A2694" t="s">
        <v>5399</v>
      </c>
      <c r="B2694" t="s">
        <v>13</v>
      </c>
      <c r="C2694" t="s">
        <v>5777</v>
      </c>
      <c r="D2694" t="s">
        <v>112</v>
      </c>
      <c r="E2694" t="s">
        <v>15</v>
      </c>
      <c r="F2694" t="s">
        <v>54</v>
      </c>
      <c r="G2694" t="s">
        <v>5400</v>
      </c>
      <c r="J2694" t="s">
        <v>5742</v>
      </c>
      <c r="K2694">
        <v>600</v>
      </c>
      <c r="L2694" t="str" cm="1">
        <f t="array" ref="L2694">_xlfn.IFS(
 K2694&lt;=50,"≤50",
 AND(K2694&gt;=51,K2694&lt;=100),"51–100",
 AND(K2694&gt;=101,K2694&lt;=250),"101–250",
 AND(K2694&gt;=251,K2694&lt;=500),"251–500",
 AND(K2694&gt;=501,K2694&lt;=1000),"501–1000",
 K2694&gt;=1001,"1001+"
)</f>
        <v>501–1000</v>
      </c>
    </row>
    <row r="2695" spans="1:12" x14ac:dyDescent="0.3">
      <c r="A2695" t="s">
        <v>5401</v>
      </c>
      <c r="B2695" t="s">
        <v>9</v>
      </c>
      <c r="C2695" t="s">
        <v>5780</v>
      </c>
      <c r="D2695" t="s">
        <v>5402</v>
      </c>
      <c r="F2695" t="s">
        <v>5770</v>
      </c>
      <c r="J2695" t="s">
        <v>5737</v>
      </c>
      <c r="K2695">
        <v>600</v>
      </c>
      <c r="L2695" t="str" cm="1">
        <f t="array" ref="L2695">_xlfn.IFS(
 K2695&lt;=50,"≤50",
 AND(K2695&gt;=51,K2695&lt;=100),"51–100",
 AND(K2695&gt;=101,K2695&lt;=250),"101–250",
 AND(K2695&gt;=251,K2695&lt;=500),"251–500",
 AND(K2695&gt;=501,K2695&lt;=1000),"501–1000",
 K2695&gt;=1001,"1001+"
)</f>
        <v>501–1000</v>
      </c>
    </row>
    <row r="2696" spans="1:12" x14ac:dyDescent="0.3">
      <c r="A2696" t="s">
        <v>5403</v>
      </c>
      <c r="B2696" t="s">
        <v>9</v>
      </c>
      <c r="C2696" t="s">
        <v>5780</v>
      </c>
      <c r="D2696" t="s">
        <v>5404</v>
      </c>
      <c r="E2696" t="s">
        <v>15</v>
      </c>
      <c r="F2696" t="s">
        <v>54</v>
      </c>
      <c r="G2696" t="s">
        <v>2369</v>
      </c>
      <c r="J2696" t="s">
        <v>5737</v>
      </c>
      <c r="K2696">
        <v>600</v>
      </c>
      <c r="L2696" t="str" cm="1">
        <f t="array" ref="L2696">_xlfn.IFS(
 K2696&lt;=50,"≤50",
 AND(K2696&gt;=51,K2696&lt;=100),"51–100",
 AND(K2696&gt;=101,K2696&lt;=250),"101–250",
 AND(K2696&gt;=251,K2696&lt;=500),"251–500",
 AND(K2696&gt;=501,K2696&lt;=1000),"501–1000",
 K2696&gt;=1001,"1001+"
)</f>
        <v>501–1000</v>
      </c>
    </row>
    <row r="2697" spans="1:12" x14ac:dyDescent="0.3">
      <c r="A2697" t="s">
        <v>5405</v>
      </c>
      <c r="B2697" t="s">
        <v>9</v>
      </c>
      <c r="C2697" t="s">
        <v>5780</v>
      </c>
      <c r="D2697" t="s">
        <v>51</v>
      </c>
      <c r="F2697" t="s">
        <v>54</v>
      </c>
      <c r="G2697" t="s">
        <v>5406</v>
      </c>
      <c r="J2697" t="s">
        <v>5737</v>
      </c>
      <c r="K2697">
        <v>600</v>
      </c>
      <c r="L2697" t="str" cm="1">
        <f t="array" ref="L2697">_xlfn.IFS(
 K2697&lt;=50,"≤50",
 AND(K2697&gt;=51,K2697&lt;=100),"51–100",
 AND(K2697&gt;=101,K2697&lt;=250),"101–250",
 AND(K2697&gt;=251,K2697&lt;=500),"251–500",
 AND(K2697&gt;=501,K2697&lt;=1000),"501–1000",
 K2697&gt;=1001,"1001+"
)</f>
        <v>501–1000</v>
      </c>
    </row>
    <row r="2698" spans="1:12" x14ac:dyDescent="0.3">
      <c r="A2698" t="s">
        <v>5407</v>
      </c>
      <c r="B2698" t="s">
        <v>13</v>
      </c>
      <c r="C2698" t="s">
        <v>5777</v>
      </c>
      <c r="D2698" t="s">
        <v>5408</v>
      </c>
      <c r="E2698" t="s">
        <v>15</v>
      </c>
      <c r="F2698" t="s">
        <v>54</v>
      </c>
      <c r="G2698" t="s">
        <v>5409</v>
      </c>
      <c r="J2698" t="s">
        <v>5747</v>
      </c>
      <c r="K2698">
        <v>600</v>
      </c>
      <c r="L2698" t="str" cm="1">
        <f t="array" ref="L2698">_xlfn.IFS(
 K2698&lt;=50,"≤50",
 AND(K2698&gt;=51,K2698&lt;=100),"51–100",
 AND(K2698&gt;=101,K2698&lt;=250),"101–250",
 AND(K2698&gt;=251,K2698&lt;=500),"251–500",
 AND(K2698&gt;=501,K2698&lt;=1000),"501–1000",
 K2698&gt;=1001,"1001+"
)</f>
        <v>501–1000</v>
      </c>
    </row>
    <row r="2699" spans="1:12" x14ac:dyDescent="0.3">
      <c r="A2699" t="s">
        <v>5410</v>
      </c>
      <c r="B2699" t="s">
        <v>13</v>
      </c>
      <c r="C2699" t="s">
        <v>5777</v>
      </c>
      <c r="D2699" t="s">
        <v>5411</v>
      </c>
      <c r="F2699" t="s">
        <v>5770</v>
      </c>
      <c r="J2699" t="s">
        <v>5737</v>
      </c>
      <c r="K2699">
        <v>600</v>
      </c>
      <c r="L2699" t="str" cm="1">
        <f t="array" ref="L2699">_xlfn.IFS(
 K2699&lt;=50,"≤50",
 AND(K2699&gt;=51,K2699&lt;=100),"51–100",
 AND(K2699&gt;=101,K2699&lt;=250),"101–250",
 AND(K2699&gt;=251,K2699&lt;=500),"251–500",
 AND(K2699&gt;=501,K2699&lt;=1000),"501–1000",
 K2699&gt;=1001,"1001+"
)</f>
        <v>501–1000</v>
      </c>
    </row>
    <row r="2700" spans="1:12" x14ac:dyDescent="0.3">
      <c r="A2700" t="s">
        <v>5412</v>
      </c>
      <c r="B2700" t="s">
        <v>13</v>
      </c>
      <c r="C2700" t="s">
        <v>5777</v>
      </c>
      <c r="D2700" t="s">
        <v>4966</v>
      </c>
      <c r="E2700" t="s">
        <v>15</v>
      </c>
      <c r="F2700" t="s">
        <v>20</v>
      </c>
      <c r="G2700" t="s">
        <v>4967</v>
      </c>
      <c r="J2700" t="s">
        <v>5737</v>
      </c>
      <c r="K2700">
        <v>600</v>
      </c>
      <c r="L2700" t="str" cm="1">
        <f t="array" ref="L2700">_xlfn.IFS(
 K2700&lt;=50,"≤50",
 AND(K2700&gt;=51,K2700&lt;=100),"51–100",
 AND(K2700&gt;=101,K2700&lt;=250),"101–250",
 AND(K2700&gt;=251,K2700&lt;=500),"251–500",
 AND(K2700&gt;=501,K2700&lt;=1000),"501–1000",
 K2700&gt;=1001,"1001+"
)</f>
        <v>501–1000</v>
      </c>
    </row>
    <row r="2701" spans="1:12" x14ac:dyDescent="0.3">
      <c r="A2701" t="s">
        <v>5413</v>
      </c>
      <c r="B2701" t="s">
        <v>13</v>
      </c>
      <c r="C2701" t="s">
        <v>5777</v>
      </c>
      <c r="D2701" t="s">
        <v>5414</v>
      </c>
      <c r="F2701" t="s">
        <v>54</v>
      </c>
      <c r="G2701" t="s">
        <v>1036</v>
      </c>
      <c r="J2701" t="s">
        <v>5753</v>
      </c>
      <c r="K2701">
        <v>600</v>
      </c>
      <c r="L2701" t="str" cm="1">
        <f t="array" ref="L2701">_xlfn.IFS(
 K2701&lt;=50,"≤50",
 AND(K2701&gt;=51,K2701&lt;=100),"51–100",
 AND(K2701&gt;=101,K2701&lt;=250),"101–250",
 AND(K2701&gt;=251,K2701&lt;=500),"251–500",
 AND(K2701&gt;=501,K2701&lt;=1000),"501–1000",
 K2701&gt;=1001,"1001+"
)</f>
        <v>501–1000</v>
      </c>
    </row>
    <row r="2702" spans="1:12" x14ac:dyDescent="0.3">
      <c r="A2702" t="s">
        <v>5415</v>
      </c>
      <c r="B2702" t="s">
        <v>9</v>
      </c>
      <c r="C2702" t="s">
        <v>5780</v>
      </c>
      <c r="D2702" t="s">
        <v>28</v>
      </c>
      <c r="E2702" t="s">
        <v>15</v>
      </c>
      <c r="F2702" t="s">
        <v>5770</v>
      </c>
      <c r="J2702" t="s">
        <v>5737</v>
      </c>
      <c r="K2702">
        <v>600</v>
      </c>
      <c r="L2702" t="str" cm="1">
        <f t="array" ref="L2702">_xlfn.IFS(
 K2702&lt;=50,"≤50",
 AND(K2702&gt;=51,K2702&lt;=100),"51–100",
 AND(K2702&gt;=101,K2702&lt;=250),"101–250",
 AND(K2702&gt;=251,K2702&lt;=500),"251–500",
 AND(K2702&gt;=501,K2702&lt;=1000),"501–1000",
 K2702&gt;=1001,"1001+"
)</f>
        <v>501–1000</v>
      </c>
    </row>
    <row r="2703" spans="1:12" x14ac:dyDescent="0.3">
      <c r="A2703" t="s">
        <v>5416</v>
      </c>
      <c r="B2703" t="s">
        <v>13</v>
      </c>
      <c r="C2703" t="s">
        <v>5777</v>
      </c>
      <c r="D2703" t="s">
        <v>5417</v>
      </c>
      <c r="F2703" t="s">
        <v>16</v>
      </c>
      <c r="G2703" t="s">
        <v>5418</v>
      </c>
      <c r="J2703" t="s">
        <v>5737</v>
      </c>
      <c r="K2703">
        <v>600</v>
      </c>
      <c r="L2703" t="str" cm="1">
        <f t="array" ref="L2703">_xlfn.IFS(
 K2703&lt;=50,"≤50",
 AND(K2703&gt;=51,K2703&lt;=100),"51–100",
 AND(K2703&gt;=101,K2703&lt;=250),"101–250",
 AND(K2703&gt;=251,K2703&lt;=500),"251–500",
 AND(K2703&gt;=501,K2703&lt;=1000),"501–1000",
 K2703&gt;=1001,"1001+"
)</f>
        <v>501–1000</v>
      </c>
    </row>
    <row r="2704" spans="1:12" x14ac:dyDescent="0.3">
      <c r="A2704" t="s">
        <v>5419</v>
      </c>
      <c r="B2704" t="s">
        <v>9</v>
      </c>
      <c r="C2704" t="s">
        <v>5780</v>
      </c>
      <c r="D2704" t="s">
        <v>5420</v>
      </c>
      <c r="E2704" t="s">
        <v>15</v>
      </c>
      <c r="F2704" t="s">
        <v>16</v>
      </c>
      <c r="G2704" t="s">
        <v>5421</v>
      </c>
      <c r="J2704" t="s">
        <v>5752</v>
      </c>
      <c r="K2704">
        <v>614</v>
      </c>
      <c r="L2704" t="str" cm="1">
        <f t="array" ref="L2704">_xlfn.IFS(
 K2704&lt;=50,"≤50",
 AND(K2704&gt;=51,K2704&lt;=100),"51–100",
 AND(K2704&gt;=101,K2704&lt;=250),"101–250",
 AND(K2704&gt;=251,K2704&lt;=500),"251–500",
 AND(K2704&gt;=501,K2704&lt;=1000),"501–1000",
 K2704&gt;=1001,"1001+"
)</f>
        <v>501–1000</v>
      </c>
    </row>
    <row r="2705" spans="1:12" x14ac:dyDescent="0.3">
      <c r="A2705" t="s">
        <v>5422</v>
      </c>
      <c r="B2705" t="s">
        <v>9</v>
      </c>
      <c r="C2705" t="s">
        <v>5780</v>
      </c>
      <c r="D2705" t="s">
        <v>28</v>
      </c>
      <c r="E2705" t="s">
        <v>15</v>
      </c>
      <c r="F2705" t="s">
        <v>20</v>
      </c>
      <c r="G2705" t="s">
        <v>5423</v>
      </c>
      <c r="J2705" t="s">
        <v>5737</v>
      </c>
      <c r="K2705">
        <v>623</v>
      </c>
      <c r="L2705" t="str" cm="1">
        <f t="array" ref="L2705">_xlfn.IFS(
 K2705&lt;=50,"≤50",
 AND(K2705&gt;=51,K2705&lt;=100),"51–100",
 AND(K2705&gt;=101,K2705&lt;=250),"101–250",
 AND(K2705&gt;=251,K2705&lt;=500),"251–500",
 AND(K2705&gt;=501,K2705&lt;=1000),"501–1000",
 K2705&gt;=1001,"1001+"
)</f>
        <v>501–1000</v>
      </c>
    </row>
    <row r="2706" spans="1:12" x14ac:dyDescent="0.3">
      <c r="A2706" t="s">
        <v>5424</v>
      </c>
      <c r="B2706" t="s">
        <v>9</v>
      </c>
      <c r="C2706" t="s">
        <v>5780</v>
      </c>
      <c r="D2706" t="s">
        <v>5425</v>
      </c>
      <c r="E2706" t="s">
        <v>15</v>
      </c>
      <c r="F2706" t="s">
        <v>20</v>
      </c>
      <c r="G2706" t="s">
        <v>5426</v>
      </c>
      <c r="J2706" t="s">
        <v>5737</v>
      </c>
      <c r="K2706">
        <v>625</v>
      </c>
      <c r="L2706" t="str" cm="1">
        <f t="array" ref="L2706">_xlfn.IFS(
 K2706&lt;=50,"≤50",
 AND(K2706&gt;=51,K2706&lt;=100),"51–100",
 AND(K2706&gt;=101,K2706&lt;=250),"101–250",
 AND(K2706&gt;=251,K2706&lt;=500),"251–500",
 AND(K2706&gt;=501,K2706&lt;=1000),"501–1000",
 K2706&gt;=1001,"1001+"
)</f>
        <v>501–1000</v>
      </c>
    </row>
    <row r="2707" spans="1:12" x14ac:dyDescent="0.3">
      <c r="A2707" t="s">
        <v>5427</v>
      </c>
      <c r="B2707" t="s">
        <v>9</v>
      </c>
      <c r="C2707" t="s">
        <v>5780</v>
      </c>
      <c r="D2707" t="s">
        <v>5214</v>
      </c>
      <c r="E2707" t="s">
        <v>15</v>
      </c>
      <c r="F2707" t="s">
        <v>5770</v>
      </c>
      <c r="J2707" t="s">
        <v>5737</v>
      </c>
      <c r="K2707">
        <v>650</v>
      </c>
      <c r="L2707" t="str" cm="1">
        <f t="array" ref="L2707">_xlfn.IFS(
 K2707&lt;=50,"≤50",
 AND(K2707&gt;=51,K2707&lt;=100),"51–100",
 AND(K2707&gt;=101,K2707&lt;=250),"101–250",
 AND(K2707&gt;=251,K2707&lt;=500),"251–500",
 AND(K2707&gt;=501,K2707&lt;=1000),"501–1000",
 K2707&gt;=1001,"1001+"
)</f>
        <v>501–1000</v>
      </c>
    </row>
    <row r="2708" spans="1:12" x14ac:dyDescent="0.3">
      <c r="A2708" t="s">
        <v>5428</v>
      </c>
      <c r="B2708" t="s">
        <v>13</v>
      </c>
      <c r="C2708" t="s">
        <v>5777</v>
      </c>
      <c r="D2708" t="s">
        <v>5429</v>
      </c>
      <c r="F2708" t="s">
        <v>20</v>
      </c>
      <c r="G2708" t="s">
        <v>5430</v>
      </c>
      <c r="J2708" t="s">
        <v>5737</v>
      </c>
      <c r="K2708">
        <v>650</v>
      </c>
      <c r="L2708" t="str" cm="1">
        <f t="array" ref="L2708">_xlfn.IFS(
 K2708&lt;=50,"≤50",
 AND(K2708&gt;=51,K2708&lt;=100),"51–100",
 AND(K2708&gt;=101,K2708&lt;=250),"101–250",
 AND(K2708&gt;=251,K2708&lt;=500),"251–500",
 AND(K2708&gt;=501,K2708&lt;=1000),"501–1000",
 K2708&gt;=1001,"1001+"
)</f>
        <v>501–1000</v>
      </c>
    </row>
    <row r="2709" spans="1:12" x14ac:dyDescent="0.3">
      <c r="A2709" t="s">
        <v>5431</v>
      </c>
      <c r="B2709" t="s">
        <v>13</v>
      </c>
      <c r="C2709" t="s">
        <v>5777</v>
      </c>
      <c r="D2709" t="s">
        <v>5432</v>
      </c>
      <c r="F2709" t="s">
        <v>54</v>
      </c>
      <c r="G2709" t="s">
        <v>5433</v>
      </c>
      <c r="J2709" t="s">
        <v>5737</v>
      </c>
      <c r="K2709">
        <v>650</v>
      </c>
      <c r="L2709" t="str" cm="1">
        <f t="array" ref="L2709">_xlfn.IFS(
 K2709&lt;=50,"≤50",
 AND(K2709&gt;=51,K2709&lt;=100),"51–100",
 AND(K2709&gt;=101,K2709&lt;=250),"101–250",
 AND(K2709&gt;=251,K2709&lt;=500),"251–500",
 AND(K2709&gt;=501,K2709&lt;=1000),"501–1000",
 K2709&gt;=1001,"1001+"
)</f>
        <v>501–1000</v>
      </c>
    </row>
    <row r="2710" spans="1:12" x14ac:dyDescent="0.3">
      <c r="A2710" t="s">
        <v>5434</v>
      </c>
      <c r="B2710" t="s">
        <v>9</v>
      </c>
      <c r="C2710" t="s">
        <v>5780</v>
      </c>
      <c r="D2710" t="s">
        <v>5435</v>
      </c>
      <c r="E2710" t="s">
        <v>15</v>
      </c>
      <c r="F2710" t="s">
        <v>54</v>
      </c>
      <c r="G2710" t="s">
        <v>588</v>
      </c>
      <c r="J2710" t="s">
        <v>5737</v>
      </c>
      <c r="K2710">
        <v>650</v>
      </c>
      <c r="L2710" t="str" cm="1">
        <f t="array" ref="L2710">_xlfn.IFS(
 K2710&lt;=50,"≤50",
 AND(K2710&gt;=51,K2710&lt;=100),"51–100",
 AND(K2710&gt;=101,K2710&lt;=250),"101–250",
 AND(K2710&gt;=251,K2710&lt;=500),"251–500",
 AND(K2710&gt;=501,K2710&lt;=1000),"501–1000",
 K2710&gt;=1001,"1001+"
)</f>
        <v>501–1000</v>
      </c>
    </row>
    <row r="2711" spans="1:12" x14ac:dyDescent="0.3">
      <c r="A2711" t="s">
        <v>5436</v>
      </c>
      <c r="B2711" t="s">
        <v>13</v>
      </c>
      <c r="C2711" t="s">
        <v>5777</v>
      </c>
      <c r="D2711" t="s">
        <v>5437</v>
      </c>
      <c r="E2711" t="s">
        <v>15</v>
      </c>
      <c r="F2711" t="s">
        <v>54</v>
      </c>
      <c r="G2711" t="s">
        <v>5438</v>
      </c>
      <c r="H2711" t="s">
        <v>15</v>
      </c>
      <c r="I2711" t="s">
        <v>5439</v>
      </c>
      <c r="J2711" t="s">
        <v>5737</v>
      </c>
      <c r="K2711">
        <v>650</v>
      </c>
      <c r="L2711" t="str" cm="1">
        <f t="array" ref="L2711">_xlfn.IFS(
 K2711&lt;=50,"≤50",
 AND(K2711&gt;=51,K2711&lt;=100),"51–100",
 AND(K2711&gt;=101,K2711&lt;=250),"101–250",
 AND(K2711&gt;=251,K2711&lt;=500),"251–500",
 AND(K2711&gt;=501,K2711&lt;=1000),"501–1000",
 K2711&gt;=1001,"1001+"
)</f>
        <v>501–1000</v>
      </c>
    </row>
    <row r="2712" spans="1:12" x14ac:dyDescent="0.3">
      <c r="A2712" t="s">
        <v>5440</v>
      </c>
      <c r="B2712" t="s">
        <v>9</v>
      </c>
      <c r="C2712" t="s">
        <v>5780</v>
      </c>
      <c r="D2712" t="s">
        <v>5441</v>
      </c>
      <c r="E2712" t="s">
        <v>15</v>
      </c>
      <c r="F2712" t="s">
        <v>20</v>
      </c>
      <c r="G2712" t="s">
        <v>5442</v>
      </c>
      <c r="J2712" t="s">
        <v>5744</v>
      </c>
      <c r="K2712">
        <v>650</v>
      </c>
      <c r="L2712" t="str" cm="1">
        <f t="array" ref="L2712">_xlfn.IFS(
 K2712&lt;=50,"≤50",
 AND(K2712&gt;=51,K2712&lt;=100),"51–100",
 AND(K2712&gt;=101,K2712&lt;=250),"101–250",
 AND(K2712&gt;=251,K2712&lt;=500),"251–500",
 AND(K2712&gt;=501,K2712&lt;=1000),"501–1000",
 K2712&gt;=1001,"1001+"
)</f>
        <v>501–1000</v>
      </c>
    </row>
    <row r="2713" spans="1:12" x14ac:dyDescent="0.3">
      <c r="A2713" t="s">
        <v>5443</v>
      </c>
      <c r="B2713" t="s">
        <v>13</v>
      </c>
      <c r="C2713" t="s">
        <v>5777</v>
      </c>
      <c r="D2713" t="s">
        <v>5444</v>
      </c>
      <c r="E2713" t="s">
        <v>15</v>
      </c>
      <c r="F2713" t="s">
        <v>16</v>
      </c>
      <c r="G2713" t="s">
        <v>5445</v>
      </c>
      <c r="J2713" t="s">
        <v>5737</v>
      </c>
      <c r="K2713">
        <v>680</v>
      </c>
      <c r="L2713" t="str" cm="1">
        <f t="array" ref="L2713">_xlfn.IFS(
 K2713&lt;=50,"≤50",
 AND(K2713&gt;=51,K2713&lt;=100),"51–100",
 AND(K2713&gt;=101,K2713&lt;=250),"101–250",
 AND(K2713&gt;=251,K2713&lt;=500),"251–500",
 AND(K2713&gt;=501,K2713&lt;=1000),"501–1000",
 K2713&gt;=1001,"1001+"
)</f>
        <v>501–1000</v>
      </c>
    </row>
    <row r="2714" spans="1:12" x14ac:dyDescent="0.3">
      <c r="A2714" t="s">
        <v>5446</v>
      </c>
      <c r="B2714" t="s">
        <v>9</v>
      </c>
      <c r="C2714" t="s">
        <v>5780</v>
      </c>
      <c r="D2714" t="s">
        <v>5447</v>
      </c>
      <c r="F2714" t="s">
        <v>20</v>
      </c>
      <c r="G2714" t="s">
        <v>1414</v>
      </c>
      <c r="J2714" t="s">
        <v>5738</v>
      </c>
      <c r="K2714">
        <v>680</v>
      </c>
      <c r="L2714" t="str" cm="1">
        <f t="array" ref="L2714">_xlfn.IFS(
 K2714&lt;=50,"≤50",
 AND(K2714&gt;=51,K2714&lt;=100),"51–100",
 AND(K2714&gt;=101,K2714&lt;=250),"101–250",
 AND(K2714&gt;=251,K2714&lt;=500),"251–500",
 AND(K2714&gt;=501,K2714&lt;=1000),"501–1000",
 K2714&gt;=1001,"1001+"
)</f>
        <v>501–1000</v>
      </c>
    </row>
    <row r="2715" spans="1:12" x14ac:dyDescent="0.3">
      <c r="A2715" t="s">
        <v>5448</v>
      </c>
      <c r="B2715" t="s">
        <v>9</v>
      </c>
      <c r="C2715" t="s">
        <v>5780</v>
      </c>
      <c r="D2715" t="s">
        <v>5449</v>
      </c>
      <c r="E2715" t="s">
        <v>15</v>
      </c>
      <c r="F2715" t="s">
        <v>20</v>
      </c>
      <c r="G2715" t="s">
        <v>5450</v>
      </c>
      <c r="J2715" t="s">
        <v>5742</v>
      </c>
      <c r="K2715">
        <v>700</v>
      </c>
      <c r="L2715" t="str" cm="1">
        <f t="array" ref="L2715">_xlfn.IFS(
 K2715&lt;=50,"≤50",
 AND(K2715&gt;=51,K2715&lt;=100),"51–100",
 AND(K2715&gt;=101,K2715&lt;=250),"101–250",
 AND(K2715&gt;=251,K2715&lt;=500),"251–500",
 AND(K2715&gt;=501,K2715&lt;=1000),"501–1000",
 K2715&gt;=1001,"1001+"
)</f>
        <v>501–1000</v>
      </c>
    </row>
    <row r="2716" spans="1:12" x14ac:dyDescent="0.3">
      <c r="A2716" t="s">
        <v>5451</v>
      </c>
      <c r="B2716" t="s">
        <v>9</v>
      </c>
      <c r="C2716" t="s">
        <v>5780</v>
      </c>
      <c r="D2716" t="s">
        <v>5452</v>
      </c>
      <c r="E2716" t="s">
        <v>15</v>
      </c>
      <c r="F2716" t="s">
        <v>20</v>
      </c>
      <c r="G2716" t="s">
        <v>5453</v>
      </c>
      <c r="J2716" t="s">
        <v>5754</v>
      </c>
      <c r="K2716">
        <v>700</v>
      </c>
      <c r="L2716" t="str" cm="1">
        <f t="array" ref="L2716">_xlfn.IFS(
 K2716&lt;=50,"≤50",
 AND(K2716&gt;=51,K2716&lt;=100),"51–100",
 AND(K2716&gt;=101,K2716&lt;=250),"101–250",
 AND(K2716&gt;=251,K2716&lt;=500),"251–500",
 AND(K2716&gt;=501,K2716&lt;=1000),"501–1000",
 K2716&gt;=1001,"1001+"
)</f>
        <v>501–1000</v>
      </c>
    </row>
    <row r="2717" spans="1:12" x14ac:dyDescent="0.3">
      <c r="A2717" t="s">
        <v>5454</v>
      </c>
      <c r="B2717" t="s">
        <v>13</v>
      </c>
      <c r="C2717" t="s">
        <v>5777</v>
      </c>
      <c r="D2717" t="s">
        <v>5455</v>
      </c>
      <c r="F2717" t="s">
        <v>20</v>
      </c>
      <c r="G2717" t="s">
        <v>5430</v>
      </c>
      <c r="J2717" t="s">
        <v>5737</v>
      </c>
      <c r="K2717">
        <v>700</v>
      </c>
      <c r="L2717" t="str" cm="1">
        <f t="array" ref="L2717">_xlfn.IFS(
 K2717&lt;=50,"≤50",
 AND(K2717&gt;=51,K2717&lt;=100),"51–100",
 AND(K2717&gt;=101,K2717&lt;=250),"101–250",
 AND(K2717&gt;=251,K2717&lt;=500),"251–500",
 AND(K2717&gt;=501,K2717&lt;=1000),"501–1000",
 K2717&gt;=1001,"1001+"
)</f>
        <v>501–1000</v>
      </c>
    </row>
    <row r="2718" spans="1:12" x14ac:dyDescent="0.3">
      <c r="A2718" t="s">
        <v>5456</v>
      </c>
      <c r="B2718" t="s">
        <v>13</v>
      </c>
      <c r="C2718" t="s">
        <v>5777</v>
      </c>
      <c r="D2718" t="s">
        <v>5457</v>
      </c>
      <c r="F2718" t="s">
        <v>5770</v>
      </c>
      <c r="J2718" t="s">
        <v>5737</v>
      </c>
      <c r="K2718">
        <v>700</v>
      </c>
      <c r="L2718" t="str" cm="1">
        <f t="array" ref="L2718">_xlfn.IFS(
 K2718&lt;=50,"≤50",
 AND(K2718&gt;=51,K2718&lt;=100),"51–100",
 AND(K2718&gt;=101,K2718&lt;=250),"101–250",
 AND(K2718&gt;=251,K2718&lt;=500),"251–500",
 AND(K2718&gt;=501,K2718&lt;=1000),"501–1000",
 K2718&gt;=1001,"1001+"
)</f>
        <v>501–1000</v>
      </c>
    </row>
    <row r="2719" spans="1:12" x14ac:dyDescent="0.3">
      <c r="A2719" t="s">
        <v>5458</v>
      </c>
      <c r="B2719" t="s">
        <v>9</v>
      </c>
      <c r="C2719" t="s">
        <v>5780</v>
      </c>
      <c r="D2719" t="s">
        <v>51</v>
      </c>
      <c r="F2719" t="s">
        <v>54</v>
      </c>
      <c r="G2719" t="s">
        <v>588</v>
      </c>
      <c r="J2719" t="s">
        <v>5737</v>
      </c>
      <c r="K2719">
        <v>700</v>
      </c>
      <c r="L2719" t="str" cm="1">
        <f t="array" ref="L2719">_xlfn.IFS(
 K2719&lt;=50,"≤50",
 AND(K2719&gt;=51,K2719&lt;=100),"51–100",
 AND(K2719&gt;=101,K2719&lt;=250),"101–250",
 AND(K2719&gt;=251,K2719&lt;=500),"251–500",
 AND(K2719&gt;=501,K2719&lt;=1000),"501–1000",
 K2719&gt;=1001,"1001+"
)</f>
        <v>501–1000</v>
      </c>
    </row>
    <row r="2720" spans="1:12" x14ac:dyDescent="0.3">
      <c r="A2720" t="s">
        <v>5459</v>
      </c>
      <c r="B2720" t="s">
        <v>13</v>
      </c>
      <c r="C2720" t="s">
        <v>5777</v>
      </c>
      <c r="D2720" t="s">
        <v>5460</v>
      </c>
      <c r="E2720" t="s">
        <v>15</v>
      </c>
      <c r="F2720" t="s">
        <v>20</v>
      </c>
      <c r="G2720" t="s">
        <v>5461</v>
      </c>
      <c r="J2720" t="s">
        <v>5737</v>
      </c>
      <c r="K2720">
        <v>700</v>
      </c>
      <c r="L2720" t="str" cm="1">
        <f t="array" ref="L2720">_xlfn.IFS(
 K2720&lt;=50,"≤50",
 AND(K2720&gt;=51,K2720&lt;=100),"51–100",
 AND(K2720&gt;=101,K2720&lt;=250),"101–250",
 AND(K2720&gt;=251,K2720&lt;=500),"251–500",
 AND(K2720&gt;=501,K2720&lt;=1000),"501–1000",
 K2720&gt;=1001,"1001+"
)</f>
        <v>501–1000</v>
      </c>
    </row>
    <row r="2721" spans="1:12" x14ac:dyDescent="0.3">
      <c r="A2721" t="s">
        <v>5462</v>
      </c>
      <c r="B2721" t="s">
        <v>13</v>
      </c>
      <c r="C2721" t="s">
        <v>5777</v>
      </c>
      <c r="D2721" t="s">
        <v>5463</v>
      </c>
      <c r="F2721" t="s">
        <v>20</v>
      </c>
      <c r="G2721" t="s">
        <v>5464</v>
      </c>
      <c r="J2721" t="s">
        <v>5738</v>
      </c>
      <c r="K2721">
        <v>715</v>
      </c>
      <c r="L2721" t="str" cm="1">
        <f t="array" ref="L2721">_xlfn.IFS(
 K2721&lt;=50,"≤50",
 AND(K2721&gt;=51,K2721&lt;=100),"51–100",
 AND(K2721&gt;=101,K2721&lt;=250),"101–250",
 AND(K2721&gt;=251,K2721&lt;=500),"251–500",
 AND(K2721&gt;=501,K2721&lt;=1000),"501–1000",
 K2721&gt;=1001,"1001+"
)</f>
        <v>501–1000</v>
      </c>
    </row>
    <row r="2722" spans="1:12" x14ac:dyDescent="0.3">
      <c r="A2722" t="s">
        <v>5465</v>
      </c>
      <c r="B2722" t="s">
        <v>9</v>
      </c>
      <c r="C2722" t="s">
        <v>5780</v>
      </c>
      <c r="D2722" t="s">
        <v>5466</v>
      </c>
      <c r="F2722" t="s">
        <v>5770</v>
      </c>
      <c r="J2722" t="s">
        <v>5738</v>
      </c>
      <c r="K2722">
        <v>720</v>
      </c>
      <c r="L2722" t="str" cm="1">
        <f t="array" ref="L2722">_xlfn.IFS(
 K2722&lt;=50,"≤50",
 AND(K2722&gt;=51,K2722&lt;=100),"51–100",
 AND(K2722&gt;=101,K2722&lt;=250),"101–250",
 AND(K2722&gt;=251,K2722&lt;=500),"251–500",
 AND(K2722&gt;=501,K2722&lt;=1000),"501–1000",
 K2722&gt;=1001,"1001+"
)</f>
        <v>501–1000</v>
      </c>
    </row>
    <row r="2723" spans="1:12" x14ac:dyDescent="0.3">
      <c r="A2723" t="s">
        <v>5467</v>
      </c>
      <c r="B2723" t="s">
        <v>9</v>
      </c>
      <c r="C2723" t="s">
        <v>5780</v>
      </c>
      <c r="D2723" t="s">
        <v>5468</v>
      </c>
      <c r="E2723" t="s">
        <v>15</v>
      </c>
      <c r="F2723" t="s">
        <v>16</v>
      </c>
      <c r="G2723" t="s">
        <v>5469</v>
      </c>
      <c r="J2723" t="s">
        <v>5739</v>
      </c>
      <c r="K2723">
        <v>720</v>
      </c>
      <c r="L2723" t="str" cm="1">
        <f t="array" ref="L2723">_xlfn.IFS(
 K2723&lt;=50,"≤50",
 AND(K2723&gt;=51,K2723&lt;=100),"51–100",
 AND(K2723&gt;=101,K2723&lt;=250),"101–250",
 AND(K2723&gt;=251,K2723&lt;=500),"251–500",
 AND(K2723&gt;=501,K2723&lt;=1000),"501–1000",
 K2723&gt;=1001,"1001+"
)</f>
        <v>501–1000</v>
      </c>
    </row>
    <row r="2724" spans="1:12" x14ac:dyDescent="0.3">
      <c r="A2724" t="s">
        <v>5470</v>
      </c>
      <c r="B2724" t="s">
        <v>13</v>
      </c>
      <c r="C2724" t="s">
        <v>5777</v>
      </c>
      <c r="D2724" t="s">
        <v>5471</v>
      </c>
      <c r="F2724" t="s">
        <v>54</v>
      </c>
      <c r="G2724" t="s">
        <v>3780</v>
      </c>
      <c r="H2724" t="s">
        <v>15</v>
      </c>
      <c r="I2724" t="s">
        <v>5472</v>
      </c>
      <c r="J2724" t="s">
        <v>5737</v>
      </c>
      <c r="K2724">
        <v>750</v>
      </c>
      <c r="L2724" t="str" cm="1">
        <f t="array" ref="L2724">_xlfn.IFS(
 K2724&lt;=50,"≤50",
 AND(K2724&gt;=51,K2724&lt;=100),"51–100",
 AND(K2724&gt;=101,K2724&lt;=250),"101–250",
 AND(K2724&gt;=251,K2724&lt;=500),"251–500",
 AND(K2724&gt;=501,K2724&lt;=1000),"501–1000",
 K2724&gt;=1001,"1001+"
)</f>
        <v>501–1000</v>
      </c>
    </row>
    <row r="2725" spans="1:12" x14ac:dyDescent="0.3">
      <c r="A2725" t="s">
        <v>5473</v>
      </c>
      <c r="B2725" t="s">
        <v>9</v>
      </c>
      <c r="C2725" t="s">
        <v>5780</v>
      </c>
      <c r="D2725" t="s">
        <v>5474</v>
      </c>
      <c r="F2725" t="s">
        <v>20</v>
      </c>
      <c r="G2725" t="s">
        <v>5475</v>
      </c>
      <c r="J2725" t="s">
        <v>5737</v>
      </c>
      <c r="K2725">
        <v>750</v>
      </c>
      <c r="L2725" t="str" cm="1">
        <f t="array" ref="L2725">_xlfn.IFS(
 K2725&lt;=50,"≤50",
 AND(K2725&gt;=51,K2725&lt;=100),"51–100",
 AND(K2725&gt;=101,K2725&lt;=250),"101–250",
 AND(K2725&gt;=251,K2725&lt;=500),"251–500",
 AND(K2725&gt;=501,K2725&lt;=1000),"501–1000",
 K2725&gt;=1001,"1001+"
)</f>
        <v>501–1000</v>
      </c>
    </row>
    <row r="2726" spans="1:12" x14ac:dyDescent="0.3">
      <c r="A2726" t="s">
        <v>5476</v>
      </c>
      <c r="B2726" t="s">
        <v>13</v>
      </c>
      <c r="C2726" t="s">
        <v>5777</v>
      </c>
      <c r="D2726" t="s">
        <v>5477</v>
      </c>
      <c r="E2726" t="s">
        <v>15</v>
      </c>
      <c r="F2726" t="s">
        <v>20</v>
      </c>
      <c r="G2726" t="s">
        <v>5478</v>
      </c>
      <c r="J2726" t="s">
        <v>5748</v>
      </c>
      <c r="K2726">
        <v>750</v>
      </c>
      <c r="L2726" t="str" cm="1">
        <f t="array" ref="L2726">_xlfn.IFS(
 K2726&lt;=50,"≤50",
 AND(K2726&gt;=51,K2726&lt;=100),"51–100",
 AND(K2726&gt;=101,K2726&lt;=250),"101–250",
 AND(K2726&gt;=251,K2726&lt;=500),"251–500",
 AND(K2726&gt;=501,K2726&lt;=1000),"501–1000",
 K2726&gt;=1001,"1001+"
)</f>
        <v>501–1000</v>
      </c>
    </row>
    <row r="2727" spans="1:12" x14ac:dyDescent="0.3">
      <c r="A2727" t="s">
        <v>5479</v>
      </c>
      <c r="B2727" t="s">
        <v>9</v>
      </c>
      <c r="C2727" t="s">
        <v>5780</v>
      </c>
      <c r="D2727" t="s">
        <v>5480</v>
      </c>
      <c r="E2727" t="s">
        <v>15</v>
      </c>
      <c r="F2727" t="s">
        <v>54</v>
      </c>
      <c r="G2727" t="s">
        <v>1284</v>
      </c>
      <c r="J2727" t="s">
        <v>5746</v>
      </c>
      <c r="K2727">
        <v>750</v>
      </c>
      <c r="L2727" t="str" cm="1">
        <f t="array" ref="L2727">_xlfn.IFS(
 K2727&lt;=50,"≤50",
 AND(K2727&gt;=51,K2727&lt;=100),"51–100",
 AND(K2727&gt;=101,K2727&lt;=250),"101–250",
 AND(K2727&gt;=251,K2727&lt;=500),"251–500",
 AND(K2727&gt;=501,K2727&lt;=1000),"501–1000",
 K2727&gt;=1001,"1001+"
)</f>
        <v>501–1000</v>
      </c>
    </row>
    <row r="2728" spans="1:12" x14ac:dyDescent="0.3">
      <c r="A2728" t="s">
        <v>5481</v>
      </c>
      <c r="B2728" t="s">
        <v>9</v>
      </c>
      <c r="C2728" t="s">
        <v>5780</v>
      </c>
      <c r="D2728" t="s">
        <v>5482</v>
      </c>
      <c r="E2728" t="s">
        <v>15</v>
      </c>
      <c r="F2728" t="s">
        <v>54</v>
      </c>
      <c r="G2728" t="s">
        <v>2218</v>
      </c>
      <c r="J2728" t="s">
        <v>5746</v>
      </c>
      <c r="K2728">
        <v>750</v>
      </c>
      <c r="L2728" t="str" cm="1">
        <f t="array" ref="L2728">_xlfn.IFS(
 K2728&lt;=50,"≤50",
 AND(K2728&gt;=51,K2728&lt;=100),"51–100",
 AND(K2728&gt;=101,K2728&lt;=250),"101–250",
 AND(K2728&gt;=251,K2728&lt;=500),"251–500",
 AND(K2728&gt;=501,K2728&lt;=1000),"501–1000",
 K2728&gt;=1001,"1001+"
)</f>
        <v>501–1000</v>
      </c>
    </row>
    <row r="2729" spans="1:12" x14ac:dyDescent="0.3">
      <c r="A2729" t="s">
        <v>5483</v>
      </c>
      <c r="B2729" t="s">
        <v>9</v>
      </c>
      <c r="C2729" t="s">
        <v>5780</v>
      </c>
      <c r="D2729" t="s">
        <v>5484</v>
      </c>
      <c r="E2729" t="s">
        <v>15</v>
      </c>
      <c r="F2729" t="s">
        <v>20</v>
      </c>
      <c r="G2729" t="s">
        <v>5485</v>
      </c>
      <c r="J2729" t="s">
        <v>5738</v>
      </c>
      <c r="K2729">
        <v>750</v>
      </c>
      <c r="L2729" t="str" cm="1">
        <f t="array" ref="L2729">_xlfn.IFS(
 K2729&lt;=50,"≤50",
 AND(K2729&gt;=51,K2729&lt;=100),"51–100",
 AND(K2729&gt;=101,K2729&lt;=250),"101–250",
 AND(K2729&gt;=251,K2729&lt;=500),"251–500",
 AND(K2729&gt;=501,K2729&lt;=1000),"501–1000",
 K2729&gt;=1001,"1001+"
)</f>
        <v>501–1000</v>
      </c>
    </row>
    <row r="2730" spans="1:12" x14ac:dyDescent="0.3">
      <c r="A2730" t="s">
        <v>5486</v>
      </c>
      <c r="B2730" t="s">
        <v>197</v>
      </c>
      <c r="C2730" t="s">
        <v>5774</v>
      </c>
      <c r="D2730" t="s">
        <v>5487</v>
      </c>
      <c r="E2730" t="s">
        <v>15</v>
      </c>
      <c r="F2730" t="s">
        <v>54</v>
      </c>
      <c r="G2730" t="s">
        <v>5488</v>
      </c>
      <c r="J2730" t="s">
        <v>5737</v>
      </c>
      <c r="K2730">
        <v>750</v>
      </c>
      <c r="L2730" t="str" cm="1">
        <f t="array" ref="L2730">_xlfn.IFS(
 K2730&lt;=50,"≤50",
 AND(K2730&gt;=51,K2730&lt;=100),"51–100",
 AND(K2730&gt;=101,K2730&lt;=250),"101–250",
 AND(K2730&gt;=251,K2730&lt;=500),"251–500",
 AND(K2730&gt;=501,K2730&lt;=1000),"501–1000",
 K2730&gt;=1001,"1001+"
)</f>
        <v>501–1000</v>
      </c>
    </row>
    <row r="2731" spans="1:12" x14ac:dyDescent="0.3">
      <c r="A2731" t="s">
        <v>5489</v>
      </c>
      <c r="B2731" t="s">
        <v>13</v>
      </c>
      <c r="C2731" t="s">
        <v>5777</v>
      </c>
      <c r="D2731" t="s">
        <v>5490</v>
      </c>
      <c r="F2731" t="s">
        <v>16</v>
      </c>
      <c r="G2731" t="s">
        <v>5491</v>
      </c>
      <c r="J2731" t="s">
        <v>5737</v>
      </c>
      <c r="K2731">
        <v>750</v>
      </c>
      <c r="L2731" t="str" cm="1">
        <f t="array" ref="L2731">_xlfn.IFS(
 K2731&lt;=50,"≤50",
 AND(K2731&gt;=51,K2731&lt;=100),"51–100",
 AND(K2731&gt;=101,K2731&lt;=250),"101–250",
 AND(K2731&gt;=251,K2731&lt;=500),"251–500",
 AND(K2731&gt;=501,K2731&lt;=1000),"501–1000",
 K2731&gt;=1001,"1001+"
)</f>
        <v>501–1000</v>
      </c>
    </row>
    <row r="2732" spans="1:12" x14ac:dyDescent="0.3">
      <c r="A2732" t="s">
        <v>5492</v>
      </c>
      <c r="B2732" t="s">
        <v>9</v>
      </c>
      <c r="C2732" t="s">
        <v>5780</v>
      </c>
      <c r="D2732" t="s">
        <v>5493</v>
      </c>
      <c r="E2732" t="s">
        <v>15</v>
      </c>
      <c r="F2732" t="s">
        <v>16</v>
      </c>
      <c r="G2732" t="s">
        <v>286</v>
      </c>
      <c r="J2732" t="s">
        <v>5755</v>
      </c>
      <c r="K2732">
        <v>800</v>
      </c>
      <c r="L2732" t="str" cm="1">
        <f t="array" ref="L2732">_xlfn.IFS(
 K2732&lt;=50,"≤50",
 AND(K2732&gt;=51,K2732&lt;=100),"51–100",
 AND(K2732&gt;=101,K2732&lt;=250),"101–250",
 AND(K2732&gt;=251,K2732&lt;=500),"251–500",
 AND(K2732&gt;=501,K2732&lt;=1000),"501–1000",
 K2732&gt;=1001,"1001+"
)</f>
        <v>501–1000</v>
      </c>
    </row>
    <row r="2733" spans="1:12" x14ac:dyDescent="0.3">
      <c r="A2733" t="s">
        <v>5494</v>
      </c>
      <c r="B2733" t="s">
        <v>9</v>
      </c>
      <c r="C2733" t="s">
        <v>5780</v>
      </c>
      <c r="D2733" t="s">
        <v>5495</v>
      </c>
      <c r="E2733" t="s">
        <v>15</v>
      </c>
      <c r="F2733" t="s">
        <v>20</v>
      </c>
      <c r="G2733" t="s">
        <v>5496</v>
      </c>
      <c r="J2733" t="s">
        <v>5737</v>
      </c>
      <c r="K2733">
        <v>800</v>
      </c>
      <c r="L2733" t="str" cm="1">
        <f t="array" ref="L2733">_xlfn.IFS(
 K2733&lt;=50,"≤50",
 AND(K2733&gt;=51,K2733&lt;=100),"51–100",
 AND(K2733&gt;=101,K2733&lt;=250),"101–250",
 AND(K2733&gt;=251,K2733&lt;=500),"251–500",
 AND(K2733&gt;=501,K2733&lt;=1000),"501–1000",
 K2733&gt;=1001,"1001+"
)</f>
        <v>501–1000</v>
      </c>
    </row>
    <row r="2734" spans="1:12" x14ac:dyDescent="0.3">
      <c r="A2734" t="s">
        <v>5497</v>
      </c>
      <c r="B2734" t="s">
        <v>9</v>
      </c>
      <c r="C2734" t="s">
        <v>5780</v>
      </c>
      <c r="D2734" t="s">
        <v>5498</v>
      </c>
      <c r="E2734" t="s">
        <v>15</v>
      </c>
      <c r="F2734" t="s">
        <v>16</v>
      </c>
      <c r="G2734" t="s">
        <v>5499</v>
      </c>
      <c r="J2734" t="s">
        <v>5737</v>
      </c>
      <c r="K2734">
        <v>800</v>
      </c>
      <c r="L2734" t="str" cm="1">
        <f t="array" ref="L2734">_xlfn.IFS(
 K2734&lt;=50,"≤50",
 AND(K2734&gt;=51,K2734&lt;=100),"51–100",
 AND(K2734&gt;=101,K2734&lt;=250),"101–250",
 AND(K2734&gt;=251,K2734&lt;=500),"251–500",
 AND(K2734&gt;=501,K2734&lt;=1000),"501–1000",
 K2734&gt;=1001,"1001+"
)</f>
        <v>501–1000</v>
      </c>
    </row>
    <row r="2735" spans="1:12" x14ac:dyDescent="0.3">
      <c r="A2735" t="s">
        <v>5500</v>
      </c>
      <c r="B2735" t="s">
        <v>9</v>
      </c>
      <c r="C2735" t="s">
        <v>5780</v>
      </c>
      <c r="D2735" t="s">
        <v>5501</v>
      </c>
      <c r="F2735" t="s">
        <v>5770</v>
      </c>
      <c r="J2735" t="s">
        <v>5737</v>
      </c>
      <c r="K2735">
        <v>800</v>
      </c>
      <c r="L2735" t="str" cm="1">
        <f t="array" ref="L2735">_xlfn.IFS(
 K2735&lt;=50,"≤50",
 AND(K2735&gt;=51,K2735&lt;=100),"51–100",
 AND(K2735&gt;=101,K2735&lt;=250),"101–250",
 AND(K2735&gt;=251,K2735&lt;=500),"251–500",
 AND(K2735&gt;=501,K2735&lt;=1000),"501–1000",
 K2735&gt;=1001,"1001+"
)</f>
        <v>501–1000</v>
      </c>
    </row>
    <row r="2736" spans="1:12" x14ac:dyDescent="0.3">
      <c r="A2736" t="s">
        <v>5502</v>
      </c>
      <c r="B2736" t="s">
        <v>13</v>
      </c>
      <c r="C2736" t="s">
        <v>5777</v>
      </c>
      <c r="D2736" t="s">
        <v>5503</v>
      </c>
      <c r="E2736" t="s">
        <v>15</v>
      </c>
      <c r="F2736" t="s">
        <v>54</v>
      </c>
      <c r="G2736" t="s">
        <v>5504</v>
      </c>
      <c r="J2736" t="s">
        <v>5738</v>
      </c>
      <c r="K2736">
        <v>800</v>
      </c>
      <c r="L2736" t="str" cm="1">
        <f t="array" ref="L2736">_xlfn.IFS(
 K2736&lt;=50,"≤50",
 AND(K2736&gt;=51,K2736&lt;=100),"51–100",
 AND(K2736&gt;=101,K2736&lt;=250),"101–250",
 AND(K2736&gt;=251,K2736&lt;=500),"251–500",
 AND(K2736&gt;=501,K2736&lt;=1000),"501–1000",
 K2736&gt;=1001,"1001+"
)</f>
        <v>501–1000</v>
      </c>
    </row>
    <row r="2737" spans="1:12" x14ac:dyDescent="0.3">
      <c r="A2737" t="s">
        <v>5505</v>
      </c>
      <c r="B2737" t="s">
        <v>13</v>
      </c>
      <c r="C2737" t="s">
        <v>5777</v>
      </c>
      <c r="D2737" t="s">
        <v>5506</v>
      </c>
      <c r="F2737" t="s">
        <v>20</v>
      </c>
      <c r="G2737" t="s">
        <v>5507</v>
      </c>
      <c r="J2737" t="s">
        <v>5737</v>
      </c>
      <c r="K2737">
        <v>800</v>
      </c>
      <c r="L2737" t="str" cm="1">
        <f t="array" ref="L2737">_xlfn.IFS(
 K2737&lt;=50,"≤50",
 AND(K2737&gt;=51,K2737&lt;=100),"51–100",
 AND(K2737&gt;=101,K2737&lt;=250),"101–250",
 AND(K2737&gt;=251,K2737&lt;=500),"251–500",
 AND(K2737&gt;=501,K2737&lt;=1000),"501–1000",
 K2737&gt;=1001,"1001+"
)</f>
        <v>501–1000</v>
      </c>
    </row>
    <row r="2738" spans="1:12" x14ac:dyDescent="0.3">
      <c r="A2738" t="s">
        <v>5508</v>
      </c>
      <c r="B2738" t="s">
        <v>13</v>
      </c>
      <c r="C2738" t="s">
        <v>5777</v>
      </c>
      <c r="D2738" t="s">
        <v>5509</v>
      </c>
      <c r="E2738" t="s">
        <v>15</v>
      </c>
      <c r="F2738" t="s">
        <v>54</v>
      </c>
      <c r="G2738" t="s">
        <v>4237</v>
      </c>
      <c r="J2738" t="s">
        <v>5738</v>
      </c>
      <c r="K2738">
        <v>800</v>
      </c>
      <c r="L2738" t="str" cm="1">
        <f t="array" ref="L2738">_xlfn.IFS(
 K2738&lt;=50,"≤50",
 AND(K2738&gt;=51,K2738&lt;=100),"51–100",
 AND(K2738&gt;=101,K2738&lt;=250),"101–250",
 AND(K2738&gt;=251,K2738&lt;=500),"251–500",
 AND(K2738&gt;=501,K2738&lt;=1000),"501–1000",
 K2738&gt;=1001,"1001+"
)</f>
        <v>501–1000</v>
      </c>
    </row>
    <row r="2739" spans="1:12" x14ac:dyDescent="0.3">
      <c r="A2739" t="s">
        <v>5510</v>
      </c>
      <c r="B2739" t="s">
        <v>13</v>
      </c>
      <c r="C2739" t="s">
        <v>5777</v>
      </c>
      <c r="D2739" t="s">
        <v>5511</v>
      </c>
      <c r="E2739" t="s">
        <v>15</v>
      </c>
      <c r="F2739" t="s">
        <v>54</v>
      </c>
      <c r="G2739" t="s">
        <v>588</v>
      </c>
      <c r="J2739" t="s">
        <v>5744</v>
      </c>
      <c r="K2739">
        <v>800</v>
      </c>
      <c r="L2739" t="str" cm="1">
        <f t="array" ref="L2739">_xlfn.IFS(
 K2739&lt;=50,"≤50",
 AND(K2739&gt;=51,K2739&lt;=100),"51–100",
 AND(K2739&gt;=101,K2739&lt;=250),"101–250",
 AND(K2739&gt;=251,K2739&lt;=500),"251–500",
 AND(K2739&gt;=501,K2739&lt;=1000),"501–1000",
 K2739&gt;=1001,"1001+"
)</f>
        <v>501–1000</v>
      </c>
    </row>
    <row r="2740" spans="1:12" x14ac:dyDescent="0.3">
      <c r="A2740" t="s">
        <v>5512</v>
      </c>
      <c r="B2740" t="s">
        <v>11</v>
      </c>
      <c r="C2740" t="s">
        <v>5776</v>
      </c>
      <c r="F2740" t="s">
        <v>5770</v>
      </c>
      <c r="J2740" t="s">
        <v>5737</v>
      </c>
      <c r="K2740">
        <v>800</v>
      </c>
      <c r="L2740" t="str" cm="1">
        <f t="array" ref="L2740">_xlfn.IFS(
 K2740&lt;=50,"≤50",
 AND(K2740&gt;=51,K2740&lt;=100),"51–100",
 AND(K2740&gt;=101,K2740&lt;=250),"101–250",
 AND(K2740&gt;=251,K2740&lt;=500),"251–500",
 AND(K2740&gt;=501,K2740&lt;=1000),"501–1000",
 K2740&gt;=1001,"1001+"
)</f>
        <v>501–1000</v>
      </c>
    </row>
    <row r="2741" spans="1:12" x14ac:dyDescent="0.3">
      <c r="A2741" t="s">
        <v>5513</v>
      </c>
      <c r="B2741" t="s">
        <v>9</v>
      </c>
      <c r="C2741" t="s">
        <v>5780</v>
      </c>
      <c r="D2741" t="s">
        <v>5514</v>
      </c>
      <c r="F2741" t="s">
        <v>5770</v>
      </c>
      <c r="J2741" t="s">
        <v>5753</v>
      </c>
      <c r="K2741">
        <v>800</v>
      </c>
      <c r="L2741" t="str" cm="1">
        <f t="array" ref="L2741">_xlfn.IFS(
 K2741&lt;=50,"≤50",
 AND(K2741&gt;=51,K2741&lt;=100),"51–100",
 AND(K2741&gt;=101,K2741&lt;=250),"101–250",
 AND(K2741&gt;=251,K2741&lt;=500),"251–500",
 AND(K2741&gt;=501,K2741&lt;=1000),"501–1000",
 K2741&gt;=1001,"1001+"
)</f>
        <v>501–1000</v>
      </c>
    </row>
    <row r="2742" spans="1:12" x14ac:dyDescent="0.3">
      <c r="A2742" t="s">
        <v>5515</v>
      </c>
      <c r="B2742" t="s">
        <v>9</v>
      </c>
      <c r="C2742" t="s">
        <v>5780</v>
      </c>
      <c r="D2742" t="s">
        <v>5516</v>
      </c>
      <c r="E2742" t="s">
        <v>15</v>
      </c>
      <c r="F2742" t="s">
        <v>54</v>
      </c>
      <c r="G2742" t="s">
        <v>5332</v>
      </c>
      <c r="J2742" t="s">
        <v>5761</v>
      </c>
      <c r="K2742">
        <v>800</v>
      </c>
      <c r="L2742" t="str" cm="1">
        <f t="array" ref="L2742">_xlfn.IFS(
 K2742&lt;=50,"≤50",
 AND(K2742&gt;=51,K2742&lt;=100),"51–100",
 AND(K2742&gt;=101,K2742&lt;=250),"101–250",
 AND(K2742&gt;=251,K2742&lt;=500),"251–500",
 AND(K2742&gt;=501,K2742&lt;=1000),"501–1000",
 K2742&gt;=1001,"1001+"
)</f>
        <v>501–1000</v>
      </c>
    </row>
    <row r="2743" spans="1:12" x14ac:dyDescent="0.3">
      <c r="A2743" t="s">
        <v>5517</v>
      </c>
      <c r="B2743" t="s">
        <v>13</v>
      </c>
      <c r="C2743" t="s">
        <v>5777</v>
      </c>
      <c r="D2743" t="s">
        <v>5518</v>
      </c>
      <c r="E2743" t="s">
        <v>15</v>
      </c>
      <c r="F2743" t="s">
        <v>54</v>
      </c>
      <c r="G2743" t="s">
        <v>5519</v>
      </c>
      <c r="J2743" t="s">
        <v>5737</v>
      </c>
      <c r="K2743">
        <v>800</v>
      </c>
      <c r="L2743" t="str" cm="1">
        <f t="array" ref="L2743">_xlfn.IFS(
 K2743&lt;=50,"≤50",
 AND(K2743&gt;=51,K2743&lt;=100),"51–100",
 AND(K2743&gt;=101,K2743&lt;=250),"101–250",
 AND(K2743&gt;=251,K2743&lt;=500),"251–500",
 AND(K2743&gt;=501,K2743&lt;=1000),"501–1000",
 K2743&gt;=1001,"1001+"
)</f>
        <v>501–1000</v>
      </c>
    </row>
    <row r="2744" spans="1:12" x14ac:dyDescent="0.3">
      <c r="A2744" t="s">
        <v>5520</v>
      </c>
      <c r="B2744" t="s">
        <v>13</v>
      </c>
      <c r="C2744" t="s">
        <v>5777</v>
      </c>
      <c r="D2744" t="s">
        <v>112</v>
      </c>
      <c r="E2744" t="s">
        <v>15</v>
      </c>
      <c r="F2744" t="s">
        <v>16</v>
      </c>
      <c r="G2744" t="s">
        <v>5521</v>
      </c>
      <c r="J2744" t="s">
        <v>5737</v>
      </c>
      <c r="K2744">
        <v>800</v>
      </c>
      <c r="L2744" t="str" cm="1">
        <f t="array" ref="L2744">_xlfn.IFS(
 K2744&lt;=50,"≤50",
 AND(K2744&gt;=51,K2744&lt;=100),"51–100",
 AND(K2744&gt;=101,K2744&lt;=250),"101–250",
 AND(K2744&gt;=251,K2744&lt;=500),"251–500",
 AND(K2744&gt;=501,K2744&lt;=1000),"501–1000",
 K2744&gt;=1001,"1001+"
)</f>
        <v>501–1000</v>
      </c>
    </row>
    <row r="2745" spans="1:12" x14ac:dyDescent="0.3">
      <c r="A2745" t="s">
        <v>5522</v>
      </c>
      <c r="B2745" t="s">
        <v>9</v>
      </c>
      <c r="C2745" t="s">
        <v>5780</v>
      </c>
      <c r="D2745" t="s">
        <v>5523</v>
      </c>
      <c r="E2745" t="s">
        <v>15</v>
      </c>
      <c r="F2745" t="s">
        <v>20</v>
      </c>
      <c r="G2745" t="s">
        <v>5524</v>
      </c>
      <c r="J2745" t="s">
        <v>5738</v>
      </c>
      <c r="K2745">
        <v>800</v>
      </c>
      <c r="L2745" t="str" cm="1">
        <f t="array" ref="L2745">_xlfn.IFS(
 K2745&lt;=50,"≤50",
 AND(K2745&gt;=51,K2745&lt;=100),"51–100",
 AND(K2745&gt;=101,K2745&lt;=250),"101–250",
 AND(K2745&gt;=251,K2745&lt;=500),"251–500",
 AND(K2745&gt;=501,K2745&lt;=1000),"501–1000",
 K2745&gt;=1001,"1001+"
)</f>
        <v>501–1000</v>
      </c>
    </row>
    <row r="2746" spans="1:12" x14ac:dyDescent="0.3">
      <c r="A2746" t="s">
        <v>5525</v>
      </c>
      <c r="B2746" t="s">
        <v>9</v>
      </c>
      <c r="C2746" t="s">
        <v>5780</v>
      </c>
      <c r="D2746" t="s">
        <v>5526</v>
      </c>
      <c r="E2746" t="s">
        <v>15</v>
      </c>
      <c r="F2746" t="s">
        <v>16</v>
      </c>
      <c r="G2746" t="s">
        <v>5527</v>
      </c>
      <c r="J2746" t="s">
        <v>5761</v>
      </c>
      <c r="K2746">
        <v>800</v>
      </c>
      <c r="L2746" t="str" cm="1">
        <f t="array" ref="L2746">_xlfn.IFS(
 K2746&lt;=50,"≤50",
 AND(K2746&gt;=51,K2746&lt;=100),"51–100",
 AND(K2746&gt;=101,K2746&lt;=250),"101–250",
 AND(K2746&gt;=251,K2746&lt;=500),"251–500",
 AND(K2746&gt;=501,K2746&lt;=1000),"501–1000",
 K2746&gt;=1001,"1001+"
)</f>
        <v>501–1000</v>
      </c>
    </row>
    <row r="2747" spans="1:12" x14ac:dyDescent="0.3">
      <c r="A2747" t="s">
        <v>5528</v>
      </c>
      <c r="B2747" t="s">
        <v>9</v>
      </c>
      <c r="C2747" t="s">
        <v>5780</v>
      </c>
      <c r="D2747" t="s">
        <v>4099</v>
      </c>
      <c r="E2747" t="s">
        <v>15</v>
      </c>
      <c r="F2747" t="s">
        <v>54</v>
      </c>
      <c r="G2747" t="s">
        <v>4100</v>
      </c>
      <c r="J2747" t="s">
        <v>5737</v>
      </c>
      <c r="K2747">
        <v>800</v>
      </c>
      <c r="L2747" t="str" cm="1">
        <f t="array" ref="L2747">_xlfn.IFS(
 K2747&lt;=50,"≤50",
 AND(K2747&gt;=51,K2747&lt;=100),"51–100",
 AND(K2747&gt;=101,K2747&lt;=250),"101–250",
 AND(K2747&gt;=251,K2747&lt;=500),"251–500",
 AND(K2747&gt;=501,K2747&lt;=1000),"501–1000",
 K2747&gt;=1001,"1001+"
)</f>
        <v>501–1000</v>
      </c>
    </row>
    <row r="2748" spans="1:12" x14ac:dyDescent="0.3">
      <c r="A2748" t="s">
        <v>5529</v>
      </c>
      <c r="B2748" t="s">
        <v>9</v>
      </c>
      <c r="C2748" t="s">
        <v>5780</v>
      </c>
      <c r="D2748" t="s">
        <v>5530</v>
      </c>
      <c r="E2748" t="s">
        <v>15</v>
      </c>
      <c r="F2748" t="s">
        <v>20</v>
      </c>
      <c r="G2748" t="s">
        <v>5531</v>
      </c>
      <c r="J2748" t="s">
        <v>5747</v>
      </c>
      <c r="K2748">
        <v>800</v>
      </c>
      <c r="L2748" t="str" cm="1">
        <f t="array" ref="L2748">_xlfn.IFS(
 K2748&lt;=50,"≤50",
 AND(K2748&gt;=51,K2748&lt;=100),"51–100",
 AND(K2748&gt;=101,K2748&lt;=250),"101–250",
 AND(K2748&gt;=251,K2748&lt;=500),"251–500",
 AND(K2748&gt;=501,K2748&lt;=1000),"501–1000",
 K2748&gt;=1001,"1001+"
)</f>
        <v>501–1000</v>
      </c>
    </row>
    <row r="2749" spans="1:12" x14ac:dyDescent="0.3">
      <c r="A2749" t="s">
        <v>5532</v>
      </c>
      <c r="B2749" t="s">
        <v>13</v>
      </c>
      <c r="C2749" t="s">
        <v>5777</v>
      </c>
      <c r="D2749" t="s">
        <v>5533</v>
      </c>
      <c r="E2749" t="s">
        <v>15</v>
      </c>
      <c r="F2749" t="s">
        <v>54</v>
      </c>
      <c r="G2749" t="s">
        <v>302</v>
      </c>
      <c r="J2749" t="s">
        <v>5752</v>
      </c>
      <c r="K2749">
        <v>850</v>
      </c>
      <c r="L2749" t="str" cm="1">
        <f t="array" ref="L2749">_xlfn.IFS(
 K2749&lt;=50,"≤50",
 AND(K2749&gt;=51,K2749&lt;=100),"51–100",
 AND(K2749&gt;=101,K2749&lt;=250),"101–250",
 AND(K2749&gt;=251,K2749&lt;=500),"251–500",
 AND(K2749&gt;=501,K2749&lt;=1000),"501–1000",
 K2749&gt;=1001,"1001+"
)</f>
        <v>501–1000</v>
      </c>
    </row>
    <row r="2750" spans="1:12" x14ac:dyDescent="0.3">
      <c r="A2750" t="s">
        <v>5534</v>
      </c>
      <c r="B2750" t="s">
        <v>11</v>
      </c>
      <c r="C2750" t="s">
        <v>5776</v>
      </c>
      <c r="F2750" t="s">
        <v>54</v>
      </c>
      <c r="G2750" t="s">
        <v>5535</v>
      </c>
      <c r="J2750" t="s">
        <v>5738</v>
      </c>
      <c r="K2750">
        <v>850</v>
      </c>
      <c r="L2750" t="str" cm="1">
        <f t="array" ref="L2750">_xlfn.IFS(
 K2750&lt;=50,"≤50",
 AND(K2750&gt;=51,K2750&lt;=100),"51–100",
 AND(K2750&gt;=101,K2750&lt;=250),"101–250",
 AND(K2750&gt;=251,K2750&lt;=500),"251–500",
 AND(K2750&gt;=501,K2750&lt;=1000),"501–1000",
 K2750&gt;=1001,"1001+"
)</f>
        <v>501–1000</v>
      </c>
    </row>
    <row r="2751" spans="1:12" x14ac:dyDescent="0.3">
      <c r="A2751" t="s">
        <v>5536</v>
      </c>
      <c r="B2751" t="s">
        <v>13</v>
      </c>
      <c r="C2751" t="s">
        <v>5777</v>
      </c>
      <c r="D2751" t="s">
        <v>5537</v>
      </c>
      <c r="F2751" t="s">
        <v>20</v>
      </c>
      <c r="G2751" t="s">
        <v>5538</v>
      </c>
      <c r="J2751" t="s">
        <v>5747</v>
      </c>
      <c r="K2751">
        <v>900</v>
      </c>
      <c r="L2751" t="str" cm="1">
        <f t="array" ref="L2751">_xlfn.IFS(
 K2751&lt;=50,"≤50",
 AND(K2751&gt;=51,K2751&lt;=100),"51–100",
 AND(K2751&gt;=101,K2751&lt;=250),"101–250",
 AND(K2751&gt;=251,K2751&lt;=500),"251–500",
 AND(K2751&gt;=501,K2751&lt;=1000),"501–1000",
 K2751&gt;=1001,"1001+"
)</f>
        <v>501–1000</v>
      </c>
    </row>
    <row r="2752" spans="1:12" x14ac:dyDescent="0.3">
      <c r="A2752" t="s">
        <v>5539</v>
      </c>
      <c r="B2752" t="s">
        <v>9</v>
      </c>
      <c r="C2752" t="s">
        <v>5780</v>
      </c>
      <c r="D2752" t="s">
        <v>1873</v>
      </c>
      <c r="F2752" t="s">
        <v>54</v>
      </c>
      <c r="G2752" t="s">
        <v>5540</v>
      </c>
      <c r="J2752" t="s">
        <v>5742</v>
      </c>
      <c r="K2752">
        <v>900</v>
      </c>
      <c r="L2752" t="str" cm="1">
        <f t="array" ref="L2752">_xlfn.IFS(
 K2752&lt;=50,"≤50",
 AND(K2752&gt;=51,K2752&lt;=100),"51–100",
 AND(K2752&gt;=101,K2752&lt;=250),"101–250",
 AND(K2752&gt;=251,K2752&lt;=500),"251–500",
 AND(K2752&gt;=501,K2752&lt;=1000),"501–1000",
 K2752&gt;=1001,"1001+"
)</f>
        <v>501–1000</v>
      </c>
    </row>
    <row r="2753" spans="1:12" x14ac:dyDescent="0.3">
      <c r="A2753" t="s">
        <v>5541</v>
      </c>
      <c r="B2753" t="s">
        <v>11</v>
      </c>
      <c r="C2753" t="s">
        <v>5776</v>
      </c>
      <c r="F2753" t="s">
        <v>5770</v>
      </c>
      <c r="J2753" t="s">
        <v>5737</v>
      </c>
      <c r="K2753">
        <v>900</v>
      </c>
      <c r="L2753" t="str" cm="1">
        <f t="array" ref="L2753">_xlfn.IFS(
 K2753&lt;=50,"≤50",
 AND(K2753&gt;=51,K2753&lt;=100),"51–100",
 AND(K2753&gt;=101,K2753&lt;=250),"101–250",
 AND(K2753&gt;=251,K2753&lt;=500),"251–500",
 AND(K2753&gt;=501,K2753&lt;=1000),"501–1000",
 K2753&gt;=1001,"1001+"
)</f>
        <v>501–1000</v>
      </c>
    </row>
    <row r="2754" spans="1:12" x14ac:dyDescent="0.3">
      <c r="A2754" t="s">
        <v>5542</v>
      </c>
      <c r="B2754" t="s">
        <v>13</v>
      </c>
      <c r="C2754" t="s">
        <v>5777</v>
      </c>
      <c r="D2754" t="s">
        <v>5543</v>
      </c>
      <c r="E2754" t="s">
        <v>15</v>
      </c>
      <c r="F2754" t="s">
        <v>16</v>
      </c>
      <c r="G2754" t="s">
        <v>1955</v>
      </c>
      <c r="J2754" t="s">
        <v>5744</v>
      </c>
      <c r="K2754">
        <v>900</v>
      </c>
      <c r="L2754" t="str" cm="1">
        <f t="array" ref="L2754">_xlfn.IFS(
 K2754&lt;=50,"≤50",
 AND(K2754&gt;=51,K2754&lt;=100),"51–100",
 AND(K2754&gt;=101,K2754&lt;=250),"101–250",
 AND(K2754&gt;=251,K2754&lt;=500),"251–500",
 AND(K2754&gt;=501,K2754&lt;=1000),"501–1000",
 K2754&gt;=1001,"1001+"
)</f>
        <v>501–1000</v>
      </c>
    </row>
    <row r="2755" spans="1:12" x14ac:dyDescent="0.3">
      <c r="A2755" t="s">
        <v>5544</v>
      </c>
      <c r="B2755" t="s">
        <v>13</v>
      </c>
      <c r="C2755" t="s">
        <v>5777</v>
      </c>
      <c r="D2755" t="s">
        <v>112</v>
      </c>
      <c r="F2755" t="s">
        <v>54</v>
      </c>
      <c r="G2755" t="s">
        <v>588</v>
      </c>
      <c r="J2755" t="s">
        <v>5742</v>
      </c>
      <c r="K2755">
        <v>900</v>
      </c>
      <c r="L2755" t="str" cm="1">
        <f t="array" ref="L2755">_xlfn.IFS(
 K2755&lt;=50,"≤50",
 AND(K2755&gt;=51,K2755&lt;=100),"51–100",
 AND(K2755&gt;=101,K2755&lt;=250),"101–250",
 AND(K2755&gt;=251,K2755&lt;=500),"251–500",
 AND(K2755&gt;=501,K2755&lt;=1000),"501–1000",
 K2755&gt;=1001,"1001+"
)</f>
        <v>501–1000</v>
      </c>
    </row>
    <row r="2756" spans="1:12" x14ac:dyDescent="0.3">
      <c r="A2756" t="s">
        <v>5545</v>
      </c>
      <c r="B2756" t="s">
        <v>9</v>
      </c>
      <c r="C2756" t="s">
        <v>5780</v>
      </c>
      <c r="D2756" t="s">
        <v>691</v>
      </c>
      <c r="E2756" t="s">
        <v>15</v>
      </c>
      <c r="F2756" t="s">
        <v>54</v>
      </c>
      <c r="G2756" t="s">
        <v>5546</v>
      </c>
      <c r="J2756" t="s">
        <v>5751</v>
      </c>
      <c r="K2756">
        <v>900</v>
      </c>
      <c r="L2756" t="str" cm="1">
        <f t="array" ref="L2756">_xlfn.IFS(
 K2756&lt;=50,"≤50",
 AND(K2756&gt;=51,K2756&lt;=100),"51–100",
 AND(K2756&gt;=101,K2756&lt;=250),"101–250",
 AND(K2756&gt;=251,K2756&lt;=500),"251–500",
 AND(K2756&gt;=501,K2756&lt;=1000),"501–1000",
 K2756&gt;=1001,"1001+"
)</f>
        <v>501–1000</v>
      </c>
    </row>
    <row r="2757" spans="1:12" x14ac:dyDescent="0.3">
      <c r="A2757" t="s">
        <v>5547</v>
      </c>
      <c r="B2757" t="s">
        <v>11</v>
      </c>
      <c r="C2757" t="s">
        <v>5776</v>
      </c>
      <c r="F2757" t="s">
        <v>5770</v>
      </c>
      <c r="J2757" t="s">
        <v>5737</v>
      </c>
      <c r="K2757">
        <v>970</v>
      </c>
      <c r="L2757" t="str" cm="1">
        <f t="array" ref="L2757">_xlfn.IFS(
 K2757&lt;=50,"≤50",
 AND(K2757&gt;=51,K2757&lt;=100),"51–100",
 AND(K2757&gt;=101,K2757&lt;=250),"101–250",
 AND(K2757&gt;=251,K2757&lt;=500),"251–500",
 AND(K2757&gt;=501,K2757&lt;=1000),"501–1000",
 K2757&gt;=1001,"1001+"
)</f>
        <v>501–1000</v>
      </c>
    </row>
    <row r="2758" spans="1:12" x14ac:dyDescent="0.3">
      <c r="A2758" t="s">
        <v>5548</v>
      </c>
      <c r="B2758" t="s">
        <v>13</v>
      </c>
      <c r="C2758" t="s">
        <v>5777</v>
      </c>
      <c r="D2758" t="s">
        <v>65</v>
      </c>
      <c r="F2758" t="s">
        <v>5770</v>
      </c>
      <c r="J2758" t="s">
        <v>5737</v>
      </c>
      <c r="K2758">
        <v>1000</v>
      </c>
      <c r="L2758" t="str" cm="1">
        <f t="array" ref="L2758">_xlfn.IFS(
 K2758&lt;=50,"≤50",
 AND(K2758&gt;=51,K2758&lt;=100),"51–100",
 AND(K2758&gt;=101,K2758&lt;=250),"101–250",
 AND(K2758&gt;=251,K2758&lt;=500),"251–500",
 AND(K2758&gt;=501,K2758&lt;=1000),"501–1000",
 K2758&gt;=1001,"1001+"
)</f>
        <v>501–1000</v>
      </c>
    </row>
    <row r="2759" spans="1:12" x14ac:dyDescent="0.3">
      <c r="A2759" t="s">
        <v>5549</v>
      </c>
      <c r="B2759" t="s">
        <v>13</v>
      </c>
      <c r="C2759" t="s">
        <v>5777</v>
      </c>
      <c r="D2759" t="s">
        <v>5550</v>
      </c>
      <c r="E2759" t="s">
        <v>15</v>
      </c>
      <c r="F2759" t="s">
        <v>54</v>
      </c>
      <c r="G2759" t="s">
        <v>5551</v>
      </c>
      <c r="J2759" t="s">
        <v>5737</v>
      </c>
      <c r="K2759">
        <v>1000</v>
      </c>
      <c r="L2759" t="str" cm="1">
        <f t="array" ref="L2759">_xlfn.IFS(
 K2759&lt;=50,"≤50",
 AND(K2759&gt;=51,K2759&lt;=100),"51–100",
 AND(K2759&gt;=101,K2759&lt;=250),"101–250",
 AND(K2759&gt;=251,K2759&lt;=500),"251–500",
 AND(K2759&gt;=501,K2759&lt;=1000),"501–1000",
 K2759&gt;=1001,"1001+"
)</f>
        <v>501–1000</v>
      </c>
    </row>
    <row r="2760" spans="1:12" x14ac:dyDescent="0.3">
      <c r="A2760" t="s">
        <v>5552</v>
      </c>
      <c r="B2760" t="s">
        <v>9</v>
      </c>
      <c r="C2760" t="s">
        <v>5780</v>
      </c>
      <c r="D2760" t="s">
        <v>5553</v>
      </c>
      <c r="E2760" t="s">
        <v>15</v>
      </c>
      <c r="F2760" t="s">
        <v>16</v>
      </c>
      <c r="G2760" t="s">
        <v>5554</v>
      </c>
      <c r="J2760" t="s">
        <v>5742</v>
      </c>
      <c r="K2760">
        <v>1000</v>
      </c>
      <c r="L2760" t="str" cm="1">
        <f t="array" ref="L2760">_xlfn.IFS(
 K2760&lt;=50,"≤50",
 AND(K2760&gt;=51,K2760&lt;=100),"51–100",
 AND(K2760&gt;=101,K2760&lt;=250),"101–250",
 AND(K2760&gt;=251,K2760&lt;=500),"251–500",
 AND(K2760&gt;=501,K2760&lt;=1000),"501–1000",
 K2760&gt;=1001,"1001+"
)</f>
        <v>501–1000</v>
      </c>
    </row>
    <row r="2761" spans="1:12" x14ac:dyDescent="0.3">
      <c r="A2761" t="s">
        <v>5555</v>
      </c>
      <c r="B2761" t="s">
        <v>197</v>
      </c>
      <c r="C2761" t="s">
        <v>5774</v>
      </c>
      <c r="D2761" t="s">
        <v>5556</v>
      </c>
      <c r="E2761" t="s">
        <v>15</v>
      </c>
      <c r="F2761" t="s">
        <v>20</v>
      </c>
      <c r="G2761" t="s">
        <v>5557</v>
      </c>
      <c r="J2761" t="s">
        <v>5737</v>
      </c>
      <c r="K2761">
        <v>1000</v>
      </c>
      <c r="L2761" t="str" cm="1">
        <f t="array" ref="L2761">_xlfn.IFS(
 K2761&lt;=50,"≤50",
 AND(K2761&gt;=51,K2761&lt;=100),"51–100",
 AND(K2761&gt;=101,K2761&lt;=250),"101–250",
 AND(K2761&gt;=251,K2761&lt;=500),"251–500",
 AND(K2761&gt;=501,K2761&lt;=1000),"501–1000",
 K2761&gt;=1001,"1001+"
)</f>
        <v>501–1000</v>
      </c>
    </row>
    <row r="2762" spans="1:12" x14ac:dyDescent="0.3">
      <c r="A2762" t="s">
        <v>5558</v>
      </c>
      <c r="B2762" t="s">
        <v>9</v>
      </c>
      <c r="C2762" t="s">
        <v>5780</v>
      </c>
      <c r="D2762" t="s">
        <v>5559</v>
      </c>
      <c r="F2762" t="s">
        <v>20</v>
      </c>
      <c r="G2762" t="s">
        <v>5560</v>
      </c>
      <c r="J2762" t="s">
        <v>5737</v>
      </c>
      <c r="K2762">
        <v>1000</v>
      </c>
      <c r="L2762" t="str" cm="1">
        <f t="array" ref="L2762">_xlfn.IFS(
 K2762&lt;=50,"≤50",
 AND(K2762&gt;=51,K2762&lt;=100),"51–100",
 AND(K2762&gt;=101,K2762&lt;=250),"101–250",
 AND(K2762&gt;=251,K2762&lt;=500),"251–500",
 AND(K2762&gt;=501,K2762&lt;=1000),"501–1000",
 K2762&gt;=1001,"1001+"
)</f>
        <v>501–1000</v>
      </c>
    </row>
    <row r="2763" spans="1:12" x14ac:dyDescent="0.3">
      <c r="A2763" t="s">
        <v>5561</v>
      </c>
      <c r="B2763" t="s">
        <v>9</v>
      </c>
      <c r="C2763" t="s">
        <v>5780</v>
      </c>
      <c r="D2763" t="s">
        <v>5562</v>
      </c>
      <c r="F2763" t="s">
        <v>5770</v>
      </c>
      <c r="J2763" t="s">
        <v>5737</v>
      </c>
      <c r="K2763">
        <v>1000</v>
      </c>
      <c r="L2763" t="str" cm="1">
        <f t="array" ref="L2763">_xlfn.IFS(
 K2763&lt;=50,"≤50",
 AND(K2763&gt;=51,K2763&lt;=100),"51–100",
 AND(K2763&gt;=101,K2763&lt;=250),"101–250",
 AND(K2763&gt;=251,K2763&lt;=500),"251–500",
 AND(K2763&gt;=501,K2763&lt;=1000),"501–1000",
 K2763&gt;=1001,"1001+"
)</f>
        <v>501–1000</v>
      </c>
    </row>
    <row r="2764" spans="1:12" x14ac:dyDescent="0.3">
      <c r="A2764" t="s">
        <v>5563</v>
      </c>
      <c r="B2764" t="s">
        <v>13</v>
      </c>
      <c r="C2764" t="s">
        <v>5777</v>
      </c>
      <c r="D2764" t="s">
        <v>5564</v>
      </c>
      <c r="E2764" t="s">
        <v>15</v>
      </c>
      <c r="F2764" t="s">
        <v>54</v>
      </c>
      <c r="G2764" t="s">
        <v>5565</v>
      </c>
      <c r="J2764" t="s">
        <v>5737</v>
      </c>
      <c r="K2764">
        <v>1000</v>
      </c>
      <c r="L2764" t="str" cm="1">
        <f t="array" ref="L2764">_xlfn.IFS(
 K2764&lt;=50,"≤50",
 AND(K2764&gt;=51,K2764&lt;=100),"51–100",
 AND(K2764&gt;=101,K2764&lt;=250),"101–250",
 AND(K2764&gt;=251,K2764&lt;=500),"251–500",
 AND(K2764&gt;=501,K2764&lt;=1000),"501–1000",
 K2764&gt;=1001,"1001+"
)</f>
        <v>501–1000</v>
      </c>
    </row>
    <row r="2765" spans="1:12" x14ac:dyDescent="0.3">
      <c r="A2765" t="s">
        <v>5566</v>
      </c>
      <c r="B2765" t="s">
        <v>13</v>
      </c>
      <c r="C2765" t="s">
        <v>5777</v>
      </c>
      <c r="D2765" t="s">
        <v>5567</v>
      </c>
      <c r="E2765" t="s">
        <v>15</v>
      </c>
      <c r="F2765" t="s">
        <v>16</v>
      </c>
      <c r="G2765" t="s">
        <v>528</v>
      </c>
      <c r="H2765" t="s">
        <v>15</v>
      </c>
      <c r="I2765" t="s">
        <v>5568</v>
      </c>
      <c r="J2765" t="s">
        <v>5737</v>
      </c>
      <c r="K2765">
        <v>1000</v>
      </c>
      <c r="L2765" t="str" cm="1">
        <f t="array" ref="L2765">_xlfn.IFS(
 K2765&lt;=50,"≤50",
 AND(K2765&gt;=51,K2765&lt;=100),"51–100",
 AND(K2765&gt;=101,K2765&lt;=250),"101–250",
 AND(K2765&gt;=251,K2765&lt;=500),"251–500",
 AND(K2765&gt;=501,K2765&lt;=1000),"501–1000",
 K2765&gt;=1001,"1001+"
)</f>
        <v>501–1000</v>
      </c>
    </row>
    <row r="2766" spans="1:12" x14ac:dyDescent="0.3">
      <c r="A2766" t="s">
        <v>5569</v>
      </c>
      <c r="B2766" t="s">
        <v>13</v>
      </c>
      <c r="C2766" t="s">
        <v>5777</v>
      </c>
      <c r="D2766" t="s">
        <v>5570</v>
      </c>
      <c r="E2766" t="s">
        <v>15</v>
      </c>
      <c r="F2766" t="s">
        <v>5770</v>
      </c>
      <c r="J2766" t="s">
        <v>5738</v>
      </c>
      <c r="K2766">
        <v>1000</v>
      </c>
      <c r="L2766" t="str" cm="1">
        <f t="array" ref="L2766">_xlfn.IFS(
 K2766&lt;=50,"≤50",
 AND(K2766&gt;=51,K2766&lt;=100),"51–100",
 AND(K2766&gt;=101,K2766&lt;=250),"101–250",
 AND(K2766&gt;=251,K2766&lt;=500),"251–500",
 AND(K2766&gt;=501,K2766&lt;=1000),"501–1000",
 K2766&gt;=1001,"1001+"
)</f>
        <v>501–1000</v>
      </c>
    </row>
    <row r="2767" spans="1:12" x14ac:dyDescent="0.3">
      <c r="A2767" t="s">
        <v>5571</v>
      </c>
      <c r="B2767" t="s">
        <v>11</v>
      </c>
      <c r="C2767" t="s">
        <v>5776</v>
      </c>
      <c r="F2767" t="s">
        <v>5770</v>
      </c>
      <c r="J2767" t="s">
        <v>5737</v>
      </c>
      <c r="K2767">
        <v>1000</v>
      </c>
      <c r="L2767" t="str" cm="1">
        <f t="array" ref="L2767">_xlfn.IFS(
 K2767&lt;=50,"≤50",
 AND(K2767&gt;=51,K2767&lt;=100),"51–100",
 AND(K2767&gt;=101,K2767&lt;=250),"101–250",
 AND(K2767&gt;=251,K2767&lt;=500),"251–500",
 AND(K2767&gt;=501,K2767&lt;=1000),"501–1000",
 K2767&gt;=1001,"1001+"
)</f>
        <v>501–1000</v>
      </c>
    </row>
    <row r="2768" spans="1:12" x14ac:dyDescent="0.3">
      <c r="A2768" t="s">
        <v>5572</v>
      </c>
      <c r="B2768" t="s">
        <v>9</v>
      </c>
      <c r="C2768" t="s">
        <v>5780</v>
      </c>
      <c r="D2768" t="s">
        <v>5573</v>
      </c>
      <c r="E2768" t="s">
        <v>15</v>
      </c>
      <c r="F2768" t="s">
        <v>54</v>
      </c>
      <c r="G2768" t="s">
        <v>5574</v>
      </c>
      <c r="J2768" t="s">
        <v>5737</v>
      </c>
      <c r="K2768">
        <v>1100</v>
      </c>
      <c r="L2768" t="str" cm="1">
        <f t="array" ref="L2768">_xlfn.IFS(
 K2768&lt;=50,"≤50",
 AND(K2768&gt;=51,K2768&lt;=100),"51–100",
 AND(K2768&gt;=101,K2768&lt;=250),"101–250",
 AND(K2768&gt;=251,K2768&lt;=500),"251–500",
 AND(K2768&gt;=501,K2768&lt;=1000),"501–1000",
 K2768&gt;=1001,"1001+"
)</f>
        <v>1001+</v>
      </c>
    </row>
    <row r="2769" spans="1:12" x14ac:dyDescent="0.3">
      <c r="A2769" t="s">
        <v>5575</v>
      </c>
      <c r="B2769" t="s">
        <v>9</v>
      </c>
      <c r="C2769" t="s">
        <v>5780</v>
      </c>
      <c r="D2769" t="s">
        <v>5576</v>
      </c>
      <c r="E2769" t="s">
        <v>15</v>
      </c>
      <c r="F2769" t="s">
        <v>20</v>
      </c>
      <c r="G2769" t="s">
        <v>5577</v>
      </c>
      <c r="J2769" t="s">
        <v>5737</v>
      </c>
      <c r="K2769">
        <v>1150</v>
      </c>
      <c r="L2769" t="str" cm="1">
        <f t="array" ref="L2769">_xlfn.IFS(
 K2769&lt;=50,"≤50",
 AND(K2769&gt;=51,K2769&lt;=100),"51–100",
 AND(K2769&gt;=101,K2769&lt;=250),"101–250",
 AND(K2769&gt;=251,K2769&lt;=500),"251–500",
 AND(K2769&gt;=501,K2769&lt;=1000),"501–1000",
 K2769&gt;=1001,"1001+"
)</f>
        <v>1001+</v>
      </c>
    </row>
    <row r="2770" spans="1:12" x14ac:dyDescent="0.3">
      <c r="A2770" t="s">
        <v>5578</v>
      </c>
      <c r="B2770" t="s">
        <v>9</v>
      </c>
      <c r="C2770" t="s">
        <v>5780</v>
      </c>
      <c r="D2770" t="s">
        <v>28</v>
      </c>
      <c r="F2770" t="s">
        <v>5770</v>
      </c>
      <c r="J2770" t="s">
        <v>5737</v>
      </c>
      <c r="K2770">
        <v>1200</v>
      </c>
      <c r="L2770" t="str" cm="1">
        <f t="array" ref="L2770">_xlfn.IFS(
 K2770&lt;=50,"≤50",
 AND(K2770&gt;=51,K2770&lt;=100),"51–100",
 AND(K2770&gt;=101,K2770&lt;=250),"101–250",
 AND(K2770&gt;=251,K2770&lt;=500),"251–500",
 AND(K2770&gt;=501,K2770&lt;=1000),"501–1000",
 K2770&gt;=1001,"1001+"
)</f>
        <v>1001+</v>
      </c>
    </row>
    <row r="2771" spans="1:12" x14ac:dyDescent="0.3">
      <c r="A2771" t="s">
        <v>5579</v>
      </c>
      <c r="B2771" t="s">
        <v>13</v>
      </c>
      <c r="C2771" t="s">
        <v>5777</v>
      </c>
      <c r="D2771" t="s">
        <v>5580</v>
      </c>
      <c r="E2771" t="s">
        <v>15</v>
      </c>
      <c r="F2771" t="s">
        <v>20</v>
      </c>
      <c r="G2771" t="s">
        <v>1414</v>
      </c>
      <c r="J2771" t="s">
        <v>5738</v>
      </c>
      <c r="K2771">
        <v>1200</v>
      </c>
      <c r="L2771" t="str" cm="1">
        <f t="array" ref="L2771">_xlfn.IFS(
 K2771&lt;=50,"≤50",
 AND(K2771&gt;=51,K2771&lt;=100),"51–100",
 AND(K2771&gt;=101,K2771&lt;=250),"101–250",
 AND(K2771&gt;=251,K2771&lt;=500),"251–500",
 AND(K2771&gt;=501,K2771&lt;=1000),"501–1000",
 K2771&gt;=1001,"1001+"
)</f>
        <v>1001+</v>
      </c>
    </row>
    <row r="2772" spans="1:12" x14ac:dyDescent="0.3">
      <c r="A2772" t="s">
        <v>5581</v>
      </c>
      <c r="B2772" t="s">
        <v>9</v>
      </c>
      <c r="C2772" t="s">
        <v>5780</v>
      </c>
      <c r="D2772" t="s">
        <v>5582</v>
      </c>
      <c r="E2772" t="s">
        <v>15</v>
      </c>
      <c r="F2772" t="s">
        <v>54</v>
      </c>
      <c r="G2772" t="s">
        <v>5583</v>
      </c>
      <c r="J2772" t="s">
        <v>5737</v>
      </c>
      <c r="K2772">
        <v>1200</v>
      </c>
      <c r="L2772" t="str" cm="1">
        <f t="array" ref="L2772">_xlfn.IFS(
 K2772&lt;=50,"≤50",
 AND(K2772&gt;=51,K2772&lt;=100),"51–100",
 AND(K2772&gt;=101,K2772&lt;=250),"101–250",
 AND(K2772&gt;=251,K2772&lt;=500),"251–500",
 AND(K2772&gt;=501,K2772&lt;=1000),"501–1000",
 K2772&gt;=1001,"1001+"
)</f>
        <v>1001+</v>
      </c>
    </row>
    <row r="2773" spans="1:12" x14ac:dyDescent="0.3">
      <c r="A2773" t="s">
        <v>5584</v>
      </c>
      <c r="B2773" t="s">
        <v>13</v>
      </c>
      <c r="C2773" t="s">
        <v>5777</v>
      </c>
      <c r="D2773" t="s">
        <v>5585</v>
      </c>
      <c r="F2773" t="s">
        <v>20</v>
      </c>
      <c r="G2773" t="s">
        <v>5586</v>
      </c>
      <c r="J2773" t="s">
        <v>5738</v>
      </c>
      <c r="K2773">
        <v>1200</v>
      </c>
      <c r="L2773" t="str" cm="1">
        <f t="array" ref="L2773">_xlfn.IFS(
 K2773&lt;=50,"≤50",
 AND(K2773&gt;=51,K2773&lt;=100),"51–100",
 AND(K2773&gt;=101,K2773&lt;=250),"101–250",
 AND(K2773&gt;=251,K2773&lt;=500),"251–500",
 AND(K2773&gt;=501,K2773&lt;=1000),"501–1000",
 K2773&gt;=1001,"1001+"
)</f>
        <v>1001+</v>
      </c>
    </row>
    <row r="2774" spans="1:12" x14ac:dyDescent="0.3">
      <c r="A2774" t="s">
        <v>5587</v>
      </c>
      <c r="B2774" t="s">
        <v>13</v>
      </c>
      <c r="C2774" t="s">
        <v>5777</v>
      </c>
      <c r="D2774" t="s">
        <v>5588</v>
      </c>
      <c r="F2774" t="s">
        <v>5770</v>
      </c>
      <c r="J2774" t="s">
        <v>5737</v>
      </c>
      <c r="K2774">
        <v>1200</v>
      </c>
      <c r="L2774" t="str" cm="1">
        <f t="array" ref="L2774">_xlfn.IFS(
 K2774&lt;=50,"≤50",
 AND(K2774&gt;=51,K2774&lt;=100),"51–100",
 AND(K2774&gt;=101,K2774&lt;=250),"101–250",
 AND(K2774&gt;=251,K2774&lt;=500),"251–500",
 AND(K2774&gt;=501,K2774&lt;=1000),"501–1000",
 K2774&gt;=1001,"1001+"
)</f>
        <v>1001+</v>
      </c>
    </row>
    <row r="2775" spans="1:12" x14ac:dyDescent="0.3">
      <c r="A2775" t="s">
        <v>5589</v>
      </c>
      <c r="B2775" t="s">
        <v>11</v>
      </c>
      <c r="C2775" t="s">
        <v>5776</v>
      </c>
      <c r="F2775" t="s">
        <v>5770</v>
      </c>
      <c r="J2775" t="s">
        <v>5737</v>
      </c>
      <c r="K2775">
        <v>1200</v>
      </c>
      <c r="L2775" t="str" cm="1">
        <f t="array" ref="L2775">_xlfn.IFS(
 K2775&lt;=50,"≤50",
 AND(K2775&gt;=51,K2775&lt;=100),"51–100",
 AND(K2775&gt;=101,K2775&lt;=250),"101–250",
 AND(K2775&gt;=251,K2775&lt;=500),"251–500",
 AND(K2775&gt;=501,K2775&lt;=1000),"501–1000",
 K2775&gt;=1001,"1001+"
)</f>
        <v>1001+</v>
      </c>
    </row>
    <row r="2776" spans="1:12" x14ac:dyDescent="0.3">
      <c r="A2776" t="s">
        <v>5590</v>
      </c>
      <c r="B2776" t="s">
        <v>13</v>
      </c>
      <c r="C2776" t="s">
        <v>5777</v>
      </c>
      <c r="D2776" t="s">
        <v>5591</v>
      </c>
      <c r="E2776" t="s">
        <v>15</v>
      </c>
      <c r="F2776" t="s">
        <v>54</v>
      </c>
      <c r="G2776" t="s">
        <v>499</v>
      </c>
      <c r="J2776" t="s">
        <v>5744</v>
      </c>
      <c r="K2776">
        <v>1200</v>
      </c>
      <c r="L2776" t="str" cm="1">
        <f t="array" ref="L2776">_xlfn.IFS(
 K2776&lt;=50,"≤50",
 AND(K2776&gt;=51,K2776&lt;=100),"51–100",
 AND(K2776&gt;=101,K2776&lt;=250),"101–250",
 AND(K2776&gt;=251,K2776&lt;=500),"251–500",
 AND(K2776&gt;=501,K2776&lt;=1000),"501–1000",
 K2776&gt;=1001,"1001+"
)</f>
        <v>1001+</v>
      </c>
    </row>
    <row r="2777" spans="1:12" x14ac:dyDescent="0.3">
      <c r="A2777" t="s">
        <v>5592</v>
      </c>
      <c r="B2777" t="s">
        <v>13</v>
      </c>
      <c r="C2777" t="s">
        <v>5777</v>
      </c>
      <c r="D2777" t="s">
        <v>5593</v>
      </c>
      <c r="E2777" t="s">
        <v>15</v>
      </c>
      <c r="F2777" t="s">
        <v>16</v>
      </c>
      <c r="G2777" t="s">
        <v>5594</v>
      </c>
      <c r="J2777" t="s">
        <v>5737</v>
      </c>
      <c r="K2777">
        <v>1200</v>
      </c>
      <c r="L2777" t="str" cm="1">
        <f t="array" ref="L2777">_xlfn.IFS(
 K2777&lt;=50,"≤50",
 AND(K2777&gt;=51,K2777&lt;=100),"51–100",
 AND(K2777&gt;=101,K2777&lt;=250),"101–250",
 AND(K2777&gt;=251,K2777&lt;=500),"251–500",
 AND(K2777&gt;=501,K2777&lt;=1000),"501–1000",
 K2777&gt;=1001,"1001+"
)</f>
        <v>1001+</v>
      </c>
    </row>
    <row r="2778" spans="1:12" x14ac:dyDescent="0.3">
      <c r="A2778" t="s">
        <v>5595</v>
      </c>
      <c r="B2778" t="s">
        <v>13</v>
      </c>
      <c r="C2778" t="s">
        <v>5777</v>
      </c>
      <c r="D2778" t="s">
        <v>5596</v>
      </c>
      <c r="E2778" t="s">
        <v>15</v>
      </c>
      <c r="F2778" t="s">
        <v>16</v>
      </c>
      <c r="G2778" t="s">
        <v>5597</v>
      </c>
      <c r="J2778" t="s">
        <v>5743</v>
      </c>
      <c r="K2778">
        <v>1200</v>
      </c>
      <c r="L2778" t="str" cm="1">
        <f t="array" ref="L2778">_xlfn.IFS(
 K2778&lt;=50,"≤50",
 AND(K2778&gt;=51,K2778&lt;=100),"51–100",
 AND(K2778&gt;=101,K2778&lt;=250),"101–250",
 AND(K2778&gt;=251,K2778&lt;=500),"251–500",
 AND(K2778&gt;=501,K2778&lt;=1000),"501–1000",
 K2778&gt;=1001,"1001+"
)</f>
        <v>1001+</v>
      </c>
    </row>
    <row r="2779" spans="1:12" x14ac:dyDescent="0.3">
      <c r="A2779" t="s">
        <v>5598</v>
      </c>
      <c r="B2779" t="s">
        <v>197</v>
      </c>
      <c r="C2779" t="s">
        <v>5774</v>
      </c>
      <c r="D2779" t="s">
        <v>5599</v>
      </c>
      <c r="E2779" t="s">
        <v>15</v>
      </c>
      <c r="F2779" t="s">
        <v>54</v>
      </c>
      <c r="G2779" t="s">
        <v>5600</v>
      </c>
      <c r="J2779" t="s">
        <v>5737</v>
      </c>
      <c r="K2779">
        <v>1200</v>
      </c>
      <c r="L2779" t="str" cm="1">
        <f t="array" ref="L2779">_xlfn.IFS(
 K2779&lt;=50,"≤50",
 AND(K2779&gt;=51,K2779&lt;=100),"51–100",
 AND(K2779&gt;=101,K2779&lt;=250),"101–250",
 AND(K2779&gt;=251,K2779&lt;=500),"251–500",
 AND(K2779&gt;=501,K2779&lt;=1000),"501–1000",
 K2779&gt;=1001,"1001+"
)</f>
        <v>1001+</v>
      </c>
    </row>
    <row r="2780" spans="1:12" x14ac:dyDescent="0.3">
      <c r="A2780" t="s">
        <v>5601</v>
      </c>
      <c r="B2780" t="s">
        <v>11</v>
      </c>
      <c r="C2780" t="s">
        <v>5776</v>
      </c>
      <c r="F2780" t="s">
        <v>5770</v>
      </c>
      <c r="J2780" t="s">
        <v>5737</v>
      </c>
      <c r="K2780">
        <v>1200</v>
      </c>
      <c r="L2780" t="str" cm="1">
        <f t="array" ref="L2780">_xlfn.IFS(
 K2780&lt;=50,"≤50",
 AND(K2780&gt;=51,K2780&lt;=100),"51–100",
 AND(K2780&gt;=101,K2780&lt;=250),"101–250",
 AND(K2780&gt;=251,K2780&lt;=500),"251–500",
 AND(K2780&gt;=501,K2780&lt;=1000),"501–1000",
 K2780&gt;=1001,"1001+"
)</f>
        <v>1001+</v>
      </c>
    </row>
    <row r="2781" spans="1:12" x14ac:dyDescent="0.3">
      <c r="A2781" t="s">
        <v>5602</v>
      </c>
      <c r="B2781" t="s">
        <v>13</v>
      </c>
      <c r="C2781" t="s">
        <v>5777</v>
      </c>
      <c r="D2781" t="s">
        <v>5603</v>
      </c>
      <c r="F2781" t="s">
        <v>5770</v>
      </c>
      <c r="J2781" t="s">
        <v>5737</v>
      </c>
      <c r="K2781">
        <v>1200</v>
      </c>
      <c r="L2781" t="str" cm="1">
        <f t="array" ref="L2781">_xlfn.IFS(
 K2781&lt;=50,"≤50",
 AND(K2781&gt;=51,K2781&lt;=100),"51–100",
 AND(K2781&gt;=101,K2781&lt;=250),"101–250",
 AND(K2781&gt;=251,K2781&lt;=500),"251–500",
 AND(K2781&gt;=501,K2781&lt;=1000),"501–1000",
 K2781&gt;=1001,"1001+"
)</f>
        <v>1001+</v>
      </c>
    </row>
    <row r="2782" spans="1:12" x14ac:dyDescent="0.3">
      <c r="A2782" t="s">
        <v>5604</v>
      </c>
      <c r="B2782" t="s">
        <v>9</v>
      </c>
      <c r="C2782" t="s">
        <v>5780</v>
      </c>
      <c r="D2782" t="s">
        <v>5605</v>
      </c>
      <c r="F2782" t="s">
        <v>5770</v>
      </c>
      <c r="J2782" t="s">
        <v>5744</v>
      </c>
      <c r="K2782">
        <v>1300</v>
      </c>
      <c r="L2782" t="str" cm="1">
        <f t="array" ref="L2782">_xlfn.IFS(
 K2782&lt;=50,"≤50",
 AND(K2782&gt;=51,K2782&lt;=100),"51–100",
 AND(K2782&gt;=101,K2782&lt;=250),"101–250",
 AND(K2782&gt;=251,K2782&lt;=500),"251–500",
 AND(K2782&gt;=501,K2782&lt;=1000),"501–1000",
 K2782&gt;=1001,"1001+"
)</f>
        <v>1001+</v>
      </c>
    </row>
    <row r="2783" spans="1:12" x14ac:dyDescent="0.3">
      <c r="A2783" t="s">
        <v>5606</v>
      </c>
      <c r="B2783" t="s">
        <v>13</v>
      </c>
      <c r="C2783" t="s">
        <v>5777</v>
      </c>
      <c r="D2783" t="s">
        <v>5607</v>
      </c>
      <c r="E2783" t="s">
        <v>15</v>
      </c>
      <c r="F2783" t="s">
        <v>20</v>
      </c>
      <c r="G2783" t="s">
        <v>5608</v>
      </c>
      <c r="J2783" t="s">
        <v>5747</v>
      </c>
      <c r="K2783">
        <v>1300</v>
      </c>
      <c r="L2783" t="str" cm="1">
        <f t="array" ref="L2783">_xlfn.IFS(
 K2783&lt;=50,"≤50",
 AND(K2783&gt;=51,K2783&lt;=100),"51–100",
 AND(K2783&gt;=101,K2783&lt;=250),"101–250",
 AND(K2783&gt;=251,K2783&lt;=500),"251–500",
 AND(K2783&gt;=501,K2783&lt;=1000),"501–1000",
 K2783&gt;=1001,"1001+"
)</f>
        <v>1001+</v>
      </c>
    </row>
    <row r="2784" spans="1:12" x14ac:dyDescent="0.3">
      <c r="A2784" t="s">
        <v>5609</v>
      </c>
      <c r="B2784" t="s">
        <v>9</v>
      </c>
      <c r="C2784" t="s">
        <v>5780</v>
      </c>
      <c r="D2784" t="s">
        <v>5610</v>
      </c>
      <c r="F2784" t="s">
        <v>54</v>
      </c>
      <c r="G2784" t="s">
        <v>5368</v>
      </c>
      <c r="J2784" t="s">
        <v>5741</v>
      </c>
      <c r="K2784">
        <v>1400</v>
      </c>
      <c r="L2784" t="str" cm="1">
        <f t="array" ref="L2784">_xlfn.IFS(
 K2784&lt;=50,"≤50",
 AND(K2784&gt;=51,K2784&lt;=100),"51–100",
 AND(K2784&gt;=101,K2784&lt;=250),"101–250",
 AND(K2784&gt;=251,K2784&lt;=500),"251–500",
 AND(K2784&gt;=501,K2784&lt;=1000),"501–1000",
 K2784&gt;=1001,"1001+"
)</f>
        <v>1001+</v>
      </c>
    </row>
    <row r="2785" spans="1:12" x14ac:dyDescent="0.3">
      <c r="A2785" t="s">
        <v>5611</v>
      </c>
      <c r="B2785" t="s">
        <v>9</v>
      </c>
      <c r="C2785" t="s">
        <v>5780</v>
      </c>
      <c r="D2785" t="s">
        <v>5612</v>
      </c>
      <c r="E2785" t="s">
        <v>15</v>
      </c>
      <c r="F2785" t="s">
        <v>20</v>
      </c>
      <c r="G2785" t="s">
        <v>5613</v>
      </c>
      <c r="J2785" t="s">
        <v>5738</v>
      </c>
      <c r="K2785">
        <v>1400</v>
      </c>
      <c r="L2785" t="str" cm="1">
        <f t="array" ref="L2785">_xlfn.IFS(
 K2785&lt;=50,"≤50",
 AND(K2785&gt;=51,K2785&lt;=100),"51–100",
 AND(K2785&gt;=101,K2785&lt;=250),"101–250",
 AND(K2785&gt;=251,K2785&lt;=500),"251–500",
 AND(K2785&gt;=501,K2785&lt;=1000),"501–1000",
 K2785&gt;=1001,"1001+"
)</f>
        <v>1001+</v>
      </c>
    </row>
    <row r="2786" spans="1:12" x14ac:dyDescent="0.3">
      <c r="A2786" t="s">
        <v>5614</v>
      </c>
      <c r="B2786" t="s">
        <v>9</v>
      </c>
      <c r="C2786" t="s">
        <v>5780</v>
      </c>
      <c r="D2786" t="s">
        <v>5615</v>
      </c>
      <c r="E2786" t="s">
        <v>15</v>
      </c>
      <c r="F2786" t="s">
        <v>54</v>
      </c>
      <c r="G2786" t="s">
        <v>5616</v>
      </c>
      <c r="J2786" t="s">
        <v>5737</v>
      </c>
      <c r="K2786">
        <v>1500</v>
      </c>
      <c r="L2786" t="str" cm="1">
        <f t="array" ref="L2786">_xlfn.IFS(
 K2786&lt;=50,"≤50",
 AND(K2786&gt;=51,K2786&lt;=100),"51–100",
 AND(K2786&gt;=101,K2786&lt;=250),"101–250",
 AND(K2786&gt;=251,K2786&lt;=500),"251–500",
 AND(K2786&gt;=501,K2786&lt;=1000),"501–1000",
 K2786&gt;=1001,"1001+"
)</f>
        <v>1001+</v>
      </c>
    </row>
    <row r="2787" spans="1:12" x14ac:dyDescent="0.3">
      <c r="A2787" t="s">
        <v>5617</v>
      </c>
      <c r="B2787" t="s">
        <v>9</v>
      </c>
      <c r="C2787" t="s">
        <v>5780</v>
      </c>
      <c r="D2787" t="s">
        <v>5618</v>
      </c>
      <c r="E2787" t="s">
        <v>15</v>
      </c>
      <c r="F2787" t="s">
        <v>54</v>
      </c>
      <c r="G2787" t="s">
        <v>5619</v>
      </c>
      <c r="J2787" t="s">
        <v>5737</v>
      </c>
      <c r="K2787">
        <v>1500</v>
      </c>
      <c r="L2787" t="str" cm="1">
        <f t="array" ref="L2787">_xlfn.IFS(
 K2787&lt;=50,"≤50",
 AND(K2787&gt;=51,K2787&lt;=100),"51–100",
 AND(K2787&gt;=101,K2787&lt;=250),"101–250",
 AND(K2787&gt;=251,K2787&lt;=500),"251–500",
 AND(K2787&gt;=501,K2787&lt;=1000),"501–1000",
 K2787&gt;=1001,"1001+"
)</f>
        <v>1001+</v>
      </c>
    </row>
    <row r="2788" spans="1:12" x14ac:dyDescent="0.3">
      <c r="A2788" t="s">
        <v>5620</v>
      </c>
      <c r="B2788" t="s">
        <v>9</v>
      </c>
      <c r="C2788" t="s">
        <v>5780</v>
      </c>
      <c r="D2788" t="s">
        <v>5621</v>
      </c>
      <c r="F2788" t="s">
        <v>20</v>
      </c>
      <c r="G2788" t="s">
        <v>5622</v>
      </c>
      <c r="J2788" t="s">
        <v>5737</v>
      </c>
      <c r="K2788">
        <v>1500</v>
      </c>
      <c r="L2788" t="str" cm="1">
        <f t="array" ref="L2788">_xlfn.IFS(
 K2788&lt;=50,"≤50",
 AND(K2788&gt;=51,K2788&lt;=100),"51–100",
 AND(K2788&gt;=101,K2788&lt;=250),"101–250",
 AND(K2788&gt;=251,K2788&lt;=500),"251–500",
 AND(K2788&gt;=501,K2788&lt;=1000),"501–1000",
 K2788&gt;=1001,"1001+"
)</f>
        <v>1001+</v>
      </c>
    </row>
    <row r="2789" spans="1:12" x14ac:dyDescent="0.3">
      <c r="A2789" t="s">
        <v>5623</v>
      </c>
      <c r="B2789" t="s">
        <v>9</v>
      </c>
      <c r="C2789" t="s">
        <v>5780</v>
      </c>
      <c r="D2789" t="s">
        <v>5624</v>
      </c>
      <c r="E2789" t="s">
        <v>15</v>
      </c>
      <c r="F2789" t="s">
        <v>54</v>
      </c>
      <c r="G2789" t="s">
        <v>5625</v>
      </c>
      <c r="J2789" t="s">
        <v>5737</v>
      </c>
      <c r="K2789">
        <v>1500</v>
      </c>
      <c r="L2789" t="str" cm="1">
        <f t="array" ref="L2789">_xlfn.IFS(
 K2789&lt;=50,"≤50",
 AND(K2789&gt;=51,K2789&lt;=100),"51–100",
 AND(K2789&gt;=101,K2789&lt;=250),"101–250",
 AND(K2789&gt;=251,K2789&lt;=500),"251–500",
 AND(K2789&gt;=501,K2789&lt;=1000),"501–1000",
 K2789&gt;=1001,"1001+"
)</f>
        <v>1001+</v>
      </c>
    </row>
    <row r="2790" spans="1:12" x14ac:dyDescent="0.3">
      <c r="A2790" t="s">
        <v>5626</v>
      </c>
      <c r="B2790" t="s">
        <v>13</v>
      </c>
      <c r="C2790" t="s">
        <v>5777</v>
      </c>
      <c r="D2790" t="s">
        <v>5627</v>
      </c>
      <c r="E2790" t="s">
        <v>15</v>
      </c>
      <c r="F2790" t="s">
        <v>20</v>
      </c>
      <c r="G2790" t="s">
        <v>21</v>
      </c>
      <c r="J2790" t="s">
        <v>5753</v>
      </c>
      <c r="K2790">
        <v>1500</v>
      </c>
      <c r="L2790" t="str" cm="1">
        <f t="array" ref="L2790">_xlfn.IFS(
 K2790&lt;=50,"≤50",
 AND(K2790&gt;=51,K2790&lt;=100),"51–100",
 AND(K2790&gt;=101,K2790&lt;=250),"101–250",
 AND(K2790&gt;=251,K2790&lt;=500),"251–500",
 AND(K2790&gt;=501,K2790&lt;=1000),"501–1000",
 K2790&gt;=1001,"1001+"
)</f>
        <v>1001+</v>
      </c>
    </row>
    <row r="2791" spans="1:12" x14ac:dyDescent="0.3">
      <c r="A2791" t="s">
        <v>5628</v>
      </c>
      <c r="B2791" t="s">
        <v>13</v>
      </c>
      <c r="C2791" t="s">
        <v>5777</v>
      </c>
      <c r="D2791" t="s">
        <v>5629</v>
      </c>
      <c r="E2791" t="s">
        <v>15</v>
      </c>
      <c r="F2791" t="s">
        <v>16</v>
      </c>
      <c r="G2791" t="s">
        <v>5630</v>
      </c>
      <c r="H2791" t="s">
        <v>15</v>
      </c>
      <c r="I2791" t="s">
        <v>5631</v>
      </c>
      <c r="J2791" t="s">
        <v>5737</v>
      </c>
      <c r="K2791">
        <v>1500</v>
      </c>
      <c r="L2791" t="str" cm="1">
        <f t="array" ref="L2791">_xlfn.IFS(
 K2791&lt;=50,"≤50",
 AND(K2791&gt;=51,K2791&lt;=100),"51–100",
 AND(K2791&gt;=101,K2791&lt;=250),"101–250",
 AND(K2791&gt;=251,K2791&lt;=500),"251–500",
 AND(K2791&gt;=501,K2791&lt;=1000),"501–1000",
 K2791&gt;=1001,"1001+"
)</f>
        <v>1001+</v>
      </c>
    </row>
    <row r="2792" spans="1:12" x14ac:dyDescent="0.3">
      <c r="A2792" t="s">
        <v>5632</v>
      </c>
      <c r="B2792" t="s">
        <v>9</v>
      </c>
      <c r="C2792" t="s">
        <v>5780</v>
      </c>
      <c r="D2792" t="s">
        <v>5633</v>
      </c>
      <c r="F2792" t="s">
        <v>5770</v>
      </c>
      <c r="J2792" t="s">
        <v>5742</v>
      </c>
      <c r="K2792">
        <v>1500</v>
      </c>
      <c r="L2792" t="str" cm="1">
        <f t="array" ref="L2792">_xlfn.IFS(
 K2792&lt;=50,"≤50",
 AND(K2792&gt;=51,K2792&lt;=100),"51–100",
 AND(K2792&gt;=101,K2792&lt;=250),"101–250",
 AND(K2792&gt;=251,K2792&lt;=500),"251–500",
 AND(K2792&gt;=501,K2792&lt;=1000),"501–1000",
 K2792&gt;=1001,"1001+"
)</f>
        <v>1001+</v>
      </c>
    </row>
    <row r="2793" spans="1:12" x14ac:dyDescent="0.3">
      <c r="A2793" t="s">
        <v>5634</v>
      </c>
      <c r="B2793" t="s">
        <v>9</v>
      </c>
      <c r="C2793" t="s">
        <v>5780</v>
      </c>
      <c r="D2793" t="s">
        <v>5635</v>
      </c>
      <c r="E2793" t="s">
        <v>15</v>
      </c>
      <c r="F2793" t="s">
        <v>16</v>
      </c>
      <c r="G2793" t="s">
        <v>5636</v>
      </c>
      <c r="J2793" t="s">
        <v>5742</v>
      </c>
      <c r="K2793">
        <v>1500</v>
      </c>
      <c r="L2793" t="str" cm="1">
        <f t="array" ref="L2793">_xlfn.IFS(
 K2793&lt;=50,"≤50",
 AND(K2793&gt;=51,K2793&lt;=100),"51–100",
 AND(K2793&gt;=101,K2793&lt;=250),"101–250",
 AND(K2793&gt;=251,K2793&lt;=500),"251–500",
 AND(K2793&gt;=501,K2793&lt;=1000),"501–1000",
 K2793&gt;=1001,"1001+"
)</f>
        <v>1001+</v>
      </c>
    </row>
    <row r="2794" spans="1:12" x14ac:dyDescent="0.3">
      <c r="A2794" t="s">
        <v>5637</v>
      </c>
      <c r="B2794" t="s">
        <v>9</v>
      </c>
      <c r="C2794" t="s">
        <v>5780</v>
      </c>
      <c r="D2794" t="s">
        <v>5638</v>
      </c>
      <c r="E2794" t="s">
        <v>15</v>
      </c>
      <c r="F2794" t="s">
        <v>54</v>
      </c>
      <c r="G2794" t="s">
        <v>5639</v>
      </c>
      <c r="J2794" t="s">
        <v>5737</v>
      </c>
      <c r="K2794">
        <v>1500</v>
      </c>
      <c r="L2794" t="str" cm="1">
        <f t="array" ref="L2794">_xlfn.IFS(
 K2794&lt;=50,"≤50",
 AND(K2794&gt;=51,K2794&lt;=100),"51–100",
 AND(K2794&gt;=101,K2794&lt;=250),"101–250",
 AND(K2794&gt;=251,K2794&lt;=500),"251–500",
 AND(K2794&gt;=501,K2794&lt;=1000),"501–1000",
 K2794&gt;=1001,"1001+"
)</f>
        <v>1001+</v>
      </c>
    </row>
    <row r="2795" spans="1:12" x14ac:dyDescent="0.3">
      <c r="A2795" t="s">
        <v>5640</v>
      </c>
      <c r="B2795" t="s">
        <v>9</v>
      </c>
      <c r="C2795" t="s">
        <v>5780</v>
      </c>
      <c r="D2795" t="s">
        <v>5641</v>
      </c>
      <c r="E2795" t="s">
        <v>15</v>
      </c>
      <c r="F2795" t="s">
        <v>54</v>
      </c>
      <c r="G2795" t="s">
        <v>5642</v>
      </c>
      <c r="J2795" t="s">
        <v>5737</v>
      </c>
      <c r="K2795">
        <v>1600</v>
      </c>
      <c r="L2795" t="str" cm="1">
        <f t="array" ref="L2795">_xlfn.IFS(
 K2795&lt;=50,"≤50",
 AND(K2795&gt;=51,K2795&lt;=100),"51–100",
 AND(K2795&gt;=101,K2795&lt;=250),"101–250",
 AND(K2795&gt;=251,K2795&lt;=500),"251–500",
 AND(K2795&gt;=501,K2795&lt;=1000),"501–1000",
 K2795&gt;=1001,"1001+"
)</f>
        <v>1001+</v>
      </c>
    </row>
    <row r="2796" spans="1:12" x14ac:dyDescent="0.3">
      <c r="A2796" t="s">
        <v>5643</v>
      </c>
      <c r="B2796" t="s">
        <v>9</v>
      </c>
      <c r="C2796" t="s">
        <v>5780</v>
      </c>
      <c r="D2796" t="s">
        <v>5644</v>
      </c>
      <c r="E2796" t="s">
        <v>15</v>
      </c>
      <c r="F2796" t="s">
        <v>54</v>
      </c>
      <c r="G2796" t="s">
        <v>5645</v>
      </c>
      <c r="J2796" t="s">
        <v>5737</v>
      </c>
      <c r="K2796">
        <v>1600</v>
      </c>
      <c r="L2796" t="str" cm="1">
        <f t="array" ref="L2796">_xlfn.IFS(
 K2796&lt;=50,"≤50",
 AND(K2796&gt;=51,K2796&lt;=100),"51–100",
 AND(K2796&gt;=101,K2796&lt;=250),"101–250",
 AND(K2796&gt;=251,K2796&lt;=500),"251–500",
 AND(K2796&gt;=501,K2796&lt;=1000),"501–1000",
 K2796&gt;=1001,"1001+"
)</f>
        <v>1001+</v>
      </c>
    </row>
    <row r="2797" spans="1:12" x14ac:dyDescent="0.3">
      <c r="A2797" t="s">
        <v>5646</v>
      </c>
      <c r="B2797" t="s">
        <v>9</v>
      </c>
      <c r="C2797" t="s">
        <v>5780</v>
      </c>
      <c r="D2797" t="s">
        <v>5647</v>
      </c>
      <c r="F2797" t="s">
        <v>20</v>
      </c>
      <c r="G2797" t="s">
        <v>5648</v>
      </c>
      <c r="J2797" t="s">
        <v>5737</v>
      </c>
      <c r="K2797">
        <v>1600</v>
      </c>
      <c r="L2797" t="str" cm="1">
        <f t="array" ref="L2797">_xlfn.IFS(
 K2797&lt;=50,"≤50",
 AND(K2797&gt;=51,K2797&lt;=100),"51–100",
 AND(K2797&gt;=101,K2797&lt;=250),"101–250",
 AND(K2797&gt;=251,K2797&lt;=500),"251–500",
 AND(K2797&gt;=501,K2797&lt;=1000),"501–1000",
 K2797&gt;=1001,"1001+"
)</f>
        <v>1001+</v>
      </c>
    </row>
    <row r="2798" spans="1:12" x14ac:dyDescent="0.3">
      <c r="A2798" t="s">
        <v>5649</v>
      </c>
      <c r="B2798" t="s">
        <v>13</v>
      </c>
      <c r="C2798" t="s">
        <v>5777</v>
      </c>
      <c r="D2798" t="s">
        <v>5650</v>
      </c>
      <c r="E2798" t="s">
        <v>15</v>
      </c>
      <c r="F2798" t="s">
        <v>54</v>
      </c>
      <c r="G2798" t="s">
        <v>5651</v>
      </c>
      <c r="H2798" t="s">
        <v>15</v>
      </c>
      <c r="I2798" t="s">
        <v>5652</v>
      </c>
      <c r="J2798" t="s">
        <v>5737</v>
      </c>
      <c r="K2798">
        <v>1600</v>
      </c>
      <c r="L2798" t="str" cm="1">
        <f t="array" ref="L2798">_xlfn.IFS(
 K2798&lt;=50,"≤50",
 AND(K2798&gt;=51,K2798&lt;=100),"51–100",
 AND(K2798&gt;=101,K2798&lt;=250),"101–250",
 AND(K2798&gt;=251,K2798&lt;=500),"251–500",
 AND(K2798&gt;=501,K2798&lt;=1000),"501–1000",
 K2798&gt;=1001,"1001+"
)</f>
        <v>1001+</v>
      </c>
    </row>
    <row r="2799" spans="1:12" x14ac:dyDescent="0.3">
      <c r="A2799" t="s">
        <v>5653</v>
      </c>
      <c r="B2799" t="s">
        <v>9</v>
      </c>
      <c r="C2799" t="s">
        <v>5780</v>
      </c>
      <c r="D2799" t="s">
        <v>5654</v>
      </c>
      <c r="F2799" t="s">
        <v>54</v>
      </c>
      <c r="G2799" t="s">
        <v>588</v>
      </c>
      <c r="J2799" t="s">
        <v>5737</v>
      </c>
      <c r="K2799">
        <v>1610</v>
      </c>
      <c r="L2799" t="str" cm="1">
        <f t="array" ref="L2799">_xlfn.IFS(
 K2799&lt;=50,"≤50",
 AND(K2799&gt;=51,K2799&lt;=100),"51–100",
 AND(K2799&gt;=101,K2799&lt;=250),"101–250",
 AND(K2799&gt;=251,K2799&lt;=500),"251–500",
 AND(K2799&gt;=501,K2799&lt;=1000),"501–1000",
 K2799&gt;=1001,"1001+"
)</f>
        <v>1001+</v>
      </c>
    </row>
    <row r="2800" spans="1:12" x14ac:dyDescent="0.3">
      <c r="A2800" t="s">
        <v>5655</v>
      </c>
      <c r="B2800" t="s">
        <v>9</v>
      </c>
      <c r="C2800" t="s">
        <v>5780</v>
      </c>
      <c r="D2800" t="s">
        <v>5656</v>
      </c>
      <c r="E2800" t="s">
        <v>15</v>
      </c>
      <c r="F2800" t="s">
        <v>54</v>
      </c>
      <c r="G2800" t="s">
        <v>588</v>
      </c>
      <c r="J2800" t="s">
        <v>5737</v>
      </c>
      <c r="K2800">
        <v>1800</v>
      </c>
      <c r="L2800" t="str" cm="1">
        <f t="array" ref="L2800">_xlfn.IFS(
 K2800&lt;=50,"≤50",
 AND(K2800&gt;=51,K2800&lt;=100),"51–100",
 AND(K2800&gt;=101,K2800&lt;=250),"101–250",
 AND(K2800&gt;=251,K2800&lt;=500),"251–500",
 AND(K2800&gt;=501,K2800&lt;=1000),"501–1000",
 K2800&gt;=1001,"1001+"
)</f>
        <v>1001+</v>
      </c>
    </row>
    <row r="2801" spans="1:12" x14ac:dyDescent="0.3">
      <c r="A2801" t="s">
        <v>5657</v>
      </c>
      <c r="B2801" t="s">
        <v>9</v>
      </c>
      <c r="C2801" t="s">
        <v>5780</v>
      </c>
      <c r="D2801" t="s">
        <v>5658</v>
      </c>
      <c r="F2801" t="s">
        <v>54</v>
      </c>
      <c r="G2801" t="s">
        <v>302</v>
      </c>
      <c r="J2801" t="s">
        <v>5737</v>
      </c>
      <c r="K2801">
        <v>1800</v>
      </c>
      <c r="L2801" t="str" cm="1">
        <f t="array" ref="L2801">_xlfn.IFS(
 K2801&lt;=50,"≤50",
 AND(K2801&gt;=51,K2801&lt;=100),"51–100",
 AND(K2801&gt;=101,K2801&lt;=250),"101–250",
 AND(K2801&gt;=251,K2801&lt;=500),"251–500",
 AND(K2801&gt;=501,K2801&lt;=1000),"501–1000",
 K2801&gt;=1001,"1001+"
)</f>
        <v>1001+</v>
      </c>
    </row>
    <row r="2802" spans="1:12" x14ac:dyDescent="0.3">
      <c r="A2802" t="s">
        <v>5659</v>
      </c>
      <c r="B2802" t="s">
        <v>9</v>
      </c>
      <c r="C2802" t="s">
        <v>5780</v>
      </c>
      <c r="D2802" t="s">
        <v>5660</v>
      </c>
      <c r="F2802" t="s">
        <v>20</v>
      </c>
      <c r="G2802" t="s">
        <v>5661</v>
      </c>
      <c r="J2802" t="s">
        <v>5737</v>
      </c>
      <c r="K2802">
        <v>1800</v>
      </c>
      <c r="L2802" t="str" cm="1">
        <f t="array" ref="L2802">_xlfn.IFS(
 K2802&lt;=50,"≤50",
 AND(K2802&gt;=51,K2802&lt;=100),"51–100",
 AND(K2802&gt;=101,K2802&lt;=250),"101–250",
 AND(K2802&gt;=251,K2802&lt;=500),"251–500",
 AND(K2802&gt;=501,K2802&lt;=1000),"501–1000",
 K2802&gt;=1001,"1001+"
)</f>
        <v>1001+</v>
      </c>
    </row>
    <row r="2803" spans="1:12" x14ac:dyDescent="0.3">
      <c r="A2803" t="s">
        <v>5662</v>
      </c>
      <c r="B2803" t="s">
        <v>9</v>
      </c>
      <c r="C2803" t="s">
        <v>5780</v>
      </c>
      <c r="D2803" t="s">
        <v>5253</v>
      </c>
      <c r="E2803" t="s">
        <v>15</v>
      </c>
      <c r="F2803" t="s">
        <v>16</v>
      </c>
      <c r="G2803" t="s">
        <v>5254</v>
      </c>
      <c r="J2803" t="s">
        <v>5737</v>
      </c>
      <c r="K2803">
        <v>1931</v>
      </c>
      <c r="L2803" t="str" cm="1">
        <f t="array" ref="L2803">_xlfn.IFS(
 K2803&lt;=50,"≤50",
 AND(K2803&gt;=51,K2803&lt;=100),"51–100",
 AND(K2803&gt;=101,K2803&lt;=250),"101–250",
 AND(K2803&gt;=251,K2803&lt;=500),"251–500",
 AND(K2803&gt;=501,K2803&lt;=1000),"501–1000",
 K2803&gt;=1001,"1001+"
)</f>
        <v>1001+</v>
      </c>
    </row>
    <row r="2804" spans="1:12" x14ac:dyDescent="0.3">
      <c r="A2804" t="s">
        <v>5663</v>
      </c>
      <c r="B2804" t="s">
        <v>197</v>
      </c>
      <c r="C2804" t="s">
        <v>5774</v>
      </c>
      <c r="D2804" t="s">
        <v>5664</v>
      </c>
      <c r="E2804" t="s">
        <v>15</v>
      </c>
      <c r="F2804" t="s">
        <v>54</v>
      </c>
      <c r="G2804" t="s">
        <v>5665</v>
      </c>
      <c r="J2804" t="s">
        <v>5737</v>
      </c>
      <c r="K2804">
        <v>2000</v>
      </c>
      <c r="L2804" t="str" cm="1">
        <f t="array" ref="L2804">_xlfn.IFS(
 K2804&lt;=50,"≤50",
 AND(K2804&gt;=51,K2804&lt;=100),"51–100",
 AND(K2804&gt;=101,K2804&lt;=250),"101–250",
 AND(K2804&gt;=251,K2804&lt;=500),"251–500",
 AND(K2804&gt;=501,K2804&lt;=1000),"501–1000",
 K2804&gt;=1001,"1001+"
)</f>
        <v>1001+</v>
      </c>
    </row>
    <row r="2805" spans="1:12" x14ac:dyDescent="0.3">
      <c r="A2805" t="s">
        <v>5666</v>
      </c>
      <c r="B2805" t="s">
        <v>9</v>
      </c>
      <c r="C2805" t="s">
        <v>5780</v>
      </c>
      <c r="D2805" t="s">
        <v>5667</v>
      </c>
      <c r="E2805" t="s">
        <v>15</v>
      </c>
      <c r="F2805" t="s">
        <v>16</v>
      </c>
      <c r="G2805" t="s">
        <v>5668</v>
      </c>
      <c r="J2805" t="s">
        <v>5738</v>
      </c>
      <c r="K2805">
        <v>2000</v>
      </c>
      <c r="L2805" t="str" cm="1">
        <f t="array" ref="L2805">_xlfn.IFS(
 K2805&lt;=50,"≤50",
 AND(K2805&gt;=51,K2805&lt;=100),"51–100",
 AND(K2805&gt;=101,K2805&lt;=250),"101–250",
 AND(K2805&gt;=251,K2805&lt;=500),"251–500",
 AND(K2805&gt;=501,K2805&lt;=1000),"501–1000",
 K2805&gt;=1001,"1001+"
)</f>
        <v>1001+</v>
      </c>
    </row>
    <row r="2806" spans="1:12" x14ac:dyDescent="0.3">
      <c r="A2806" t="s">
        <v>5669</v>
      </c>
      <c r="B2806" t="s">
        <v>9</v>
      </c>
      <c r="C2806" t="s">
        <v>5780</v>
      </c>
      <c r="D2806" t="s">
        <v>5670</v>
      </c>
      <c r="E2806" t="s">
        <v>15</v>
      </c>
      <c r="F2806" t="s">
        <v>54</v>
      </c>
      <c r="G2806" t="s">
        <v>5671</v>
      </c>
      <c r="J2806" t="s">
        <v>5737</v>
      </c>
      <c r="K2806">
        <v>2000</v>
      </c>
      <c r="L2806" t="str" cm="1">
        <f t="array" ref="L2806">_xlfn.IFS(
 K2806&lt;=50,"≤50",
 AND(K2806&gt;=51,K2806&lt;=100),"51–100",
 AND(K2806&gt;=101,K2806&lt;=250),"101–250",
 AND(K2806&gt;=251,K2806&lt;=500),"251–500",
 AND(K2806&gt;=501,K2806&lt;=1000),"501–1000",
 K2806&gt;=1001,"1001+"
)</f>
        <v>1001+</v>
      </c>
    </row>
    <row r="2807" spans="1:12" x14ac:dyDescent="0.3">
      <c r="A2807" t="s">
        <v>5672</v>
      </c>
      <c r="B2807" t="s">
        <v>13</v>
      </c>
      <c r="C2807" t="s">
        <v>5777</v>
      </c>
      <c r="D2807" t="s">
        <v>5673</v>
      </c>
      <c r="E2807" t="s">
        <v>15</v>
      </c>
      <c r="F2807" t="s">
        <v>16</v>
      </c>
      <c r="G2807" t="s">
        <v>5674</v>
      </c>
      <c r="J2807" t="s">
        <v>5737</v>
      </c>
      <c r="K2807">
        <v>2000</v>
      </c>
      <c r="L2807" t="str" cm="1">
        <f t="array" ref="L2807">_xlfn.IFS(
 K2807&lt;=50,"≤50",
 AND(K2807&gt;=51,K2807&lt;=100),"51–100",
 AND(K2807&gt;=101,K2807&lt;=250),"101–250",
 AND(K2807&gt;=251,K2807&lt;=500),"251–500",
 AND(K2807&gt;=501,K2807&lt;=1000),"501–1000",
 K2807&gt;=1001,"1001+"
)</f>
        <v>1001+</v>
      </c>
    </row>
    <row r="2808" spans="1:12" x14ac:dyDescent="0.3">
      <c r="A2808" t="s">
        <v>5675</v>
      </c>
      <c r="B2808" t="s">
        <v>13</v>
      </c>
      <c r="C2808" t="s">
        <v>5777</v>
      </c>
      <c r="D2808" t="s">
        <v>5676</v>
      </c>
      <c r="E2808" t="s">
        <v>15</v>
      </c>
      <c r="F2808" t="s">
        <v>54</v>
      </c>
      <c r="G2808" t="s">
        <v>1036</v>
      </c>
      <c r="J2808" t="s">
        <v>5737</v>
      </c>
      <c r="K2808">
        <v>2000</v>
      </c>
      <c r="L2808" t="str" cm="1">
        <f t="array" ref="L2808">_xlfn.IFS(
 K2808&lt;=50,"≤50",
 AND(K2808&gt;=51,K2808&lt;=100),"51–100",
 AND(K2808&gt;=101,K2808&lt;=250),"101–250",
 AND(K2808&gt;=251,K2808&lt;=500),"251–500",
 AND(K2808&gt;=501,K2808&lt;=1000),"501–1000",
 K2808&gt;=1001,"1001+"
)</f>
        <v>1001+</v>
      </c>
    </row>
    <row r="2809" spans="1:12" x14ac:dyDescent="0.3">
      <c r="A2809" t="s">
        <v>5677</v>
      </c>
      <c r="B2809" t="s">
        <v>13</v>
      </c>
      <c r="C2809" t="s">
        <v>5777</v>
      </c>
      <c r="D2809" t="s">
        <v>5678</v>
      </c>
      <c r="E2809" t="s">
        <v>15</v>
      </c>
      <c r="F2809" t="s">
        <v>54</v>
      </c>
      <c r="G2809" t="s">
        <v>5679</v>
      </c>
      <c r="J2809" t="s">
        <v>5737</v>
      </c>
      <c r="K2809">
        <v>2000</v>
      </c>
      <c r="L2809" t="str" cm="1">
        <f t="array" ref="L2809">_xlfn.IFS(
 K2809&lt;=50,"≤50",
 AND(K2809&gt;=51,K2809&lt;=100),"51–100",
 AND(K2809&gt;=101,K2809&lt;=250),"101–250",
 AND(K2809&gt;=251,K2809&lt;=500),"251–500",
 AND(K2809&gt;=501,K2809&lt;=1000),"501–1000",
 K2809&gt;=1001,"1001+"
)</f>
        <v>1001+</v>
      </c>
    </row>
    <row r="2810" spans="1:12" x14ac:dyDescent="0.3">
      <c r="A2810" t="s">
        <v>5680</v>
      </c>
      <c r="B2810" t="s">
        <v>11</v>
      </c>
      <c r="C2810" t="s">
        <v>5776</v>
      </c>
      <c r="F2810" t="s">
        <v>5770</v>
      </c>
      <c r="J2810" t="s">
        <v>5737</v>
      </c>
      <c r="K2810">
        <v>2000</v>
      </c>
      <c r="L2810" t="str" cm="1">
        <f t="array" ref="L2810">_xlfn.IFS(
 K2810&lt;=50,"≤50",
 AND(K2810&gt;=51,K2810&lt;=100),"51–100",
 AND(K2810&gt;=101,K2810&lt;=250),"101–250",
 AND(K2810&gt;=251,K2810&lt;=500),"251–500",
 AND(K2810&gt;=501,K2810&lt;=1000),"501–1000",
 K2810&gt;=1001,"1001+"
)</f>
        <v>1001+</v>
      </c>
    </row>
    <row r="2811" spans="1:12" x14ac:dyDescent="0.3">
      <c r="A2811" t="s">
        <v>5681</v>
      </c>
      <c r="B2811" t="s">
        <v>13</v>
      </c>
      <c r="C2811" t="s">
        <v>5777</v>
      </c>
      <c r="D2811" t="s">
        <v>112</v>
      </c>
      <c r="F2811" t="s">
        <v>54</v>
      </c>
      <c r="G2811" t="s">
        <v>450</v>
      </c>
      <c r="J2811" t="s">
        <v>5737</v>
      </c>
      <c r="K2811">
        <v>2000</v>
      </c>
      <c r="L2811" t="str" cm="1">
        <f t="array" ref="L2811">_xlfn.IFS(
 K2811&lt;=50,"≤50",
 AND(K2811&gt;=51,K2811&lt;=100),"51–100",
 AND(K2811&gt;=101,K2811&lt;=250),"101–250",
 AND(K2811&gt;=251,K2811&lt;=500),"251–500",
 AND(K2811&gt;=501,K2811&lt;=1000),"501–1000",
 K2811&gt;=1001,"1001+"
)</f>
        <v>1001+</v>
      </c>
    </row>
    <row r="2812" spans="1:12" x14ac:dyDescent="0.3">
      <c r="A2812" t="s">
        <v>5682</v>
      </c>
      <c r="B2812" t="s">
        <v>13</v>
      </c>
      <c r="C2812" t="s">
        <v>5777</v>
      </c>
      <c r="D2812" t="s">
        <v>576</v>
      </c>
      <c r="F2812" t="s">
        <v>16</v>
      </c>
      <c r="G2812" t="s">
        <v>1955</v>
      </c>
      <c r="J2812" t="s">
        <v>5751</v>
      </c>
      <c r="K2812">
        <v>2300</v>
      </c>
      <c r="L2812" t="str" cm="1">
        <f t="array" ref="L2812">_xlfn.IFS(
 K2812&lt;=50,"≤50",
 AND(K2812&gt;=51,K2812&lt;=100),"51–100",
 AND(K2812&gt;=101,K2812&lt;=250),"101–250",
 AND(K2812&gt;=251,K2812&lt;=500),"251–500",
 AND(K2812&gt;=501,K2812&lt;=1000),"501–1000",
 K2812&gt;=1001,"1001+"
)</f>
        <v>1001+</v>
      </c>
    </row>
    <row r="2813" spans="1:12" x14ac:dyDescent="0.3">
      <c r="A2813" t="s">
        <v>5683</v>
      </c>
      <c r="B2813" t="s">
        <v>9</v>
      </c>
      <c r="C2813" t="s">
        <v>5780</v>
      </c>
      <c r="D2813" t="s">
        <v>5684</v>
      </c>
      <c r="E2813" t="s">
        <v>15</v>
      </c>
      <c r="F2813" t="s">
        <v>54</v>
      </c>
      <c r="G2813" t="s">
        <v>3606</v>
      </c>
      <c r="J2813" t="s">
        <v>5737</v>
      </c>
      <c r="K2813">
        <v>2300</v>
      </c>
      <c r="L2813" t="str" cm="1">
        <f t="array" ref="L2813">_xlfn.IFS(
 K2813&lt;=50,"≤50",
 AND(K2813&gt;=51,K2813&lt;=100),"51–100",
 AND(K2813&gt;=101,K2813&lt;=250),"101–250",
 AND(K2813&gt;=251,K2813&lt;=500),"251–500",
 AND(K2813&gt;=501,K2813&lt;=1000),"501–1000",
 K2813&gt;=1001,"1001+"
)</f>
        <v>1001+</v>
      </c>
    </row>
    <row r="2814" spans="1:12" x14ac:dyDescent="0.3">
      <c r="A2814" t="s">
        <v>5685</v>
      </c>
      <c r="B2814" t="s">
        <v>9</v>
      </c>
      <c r="C2814" t="s">
        <v>5780</v>
      </c>
      <c r="D2814" t="s">
        <v>5686</v>
      </c>
      <c r="E2814" t="s">
        <v>15</v>
      </c>
      <c r="F2814" t="s">
        <v>16</v>
      </c>
      <c r="G2814" t="s">
        <v>5687</v>
      </c>
      <c r="J2814" t="s">
        <v>5744</v>
      </c>
      <c r="K2814">
        <v>2400</v>
      </c>
      <c r="L2814" t="str" cm="1">
        <f t="array" ref="L2814">_xlfn.IFS(
 K2814&lt;=50,"≤50",
 AND(K2814&gt;=51,K2814&lt;=100),"51–100",
 AND(K2814&gt;=101,K2814&lt;=250),"101–250",
 AND(K2814&gt;=251,K2814&lt;=500),"251–500",
 AND(K2814&gt;=501,K2814&lt;=1000),"501–1000",
 K2814&gt;=1001,"1001+"
)</f>
        <v>1001+</v>
      </c>
    </row>
    <row r="2815" spans="1:12" x14ac:dyDescent="0.3">
      <c r="A2815" t="s">
        <v>5688</v>
      </c>
      <c r="B2815" t="s">
        <v>197</v>
      </c>
      <c r="C2815" t="s">
        <v>5774</v>
      </c>
      <c r="D2815" t="s">
        <v>5689</v>
      </c>
      <c r="E2815" t="s">
        <v>15</v>
      </c>
      <c r="F2815" t="s">
        <v>20</v>
      </c>
      <c r="G2815" t="s">
        <v>5690</v>
      </c>
      <c r="J2815" t="s">
        <v>5738</v>
      </c>
      <c r="K2815">
        <v>2500</v>
      </c>
      <c r="L2815" t="str" cm="1">
        <f t="array" ref="L2815">_xlfn.IFS(
 K2815&lt;=50,"≤50",
 AND(K2815&gt;=51,K2815&lt;=100),"51–100",
 AND(K2815&gt;=101,K2815&lt;=250),"101–250",
 AND(K2815&gt;=251,K2815&lt;=500),"251–500",
 AND(K2815&gt;=501,K2815&lt;=1000),"501–1000",
 K2815&gt;=1001,"1001+"
)</f>
        <v>1001+</v>
      </c>
    </row>
    <row r="2816" spans="1:12" x14ac:dyDescent="0.3">
      <c r="A2816" t="s">
        <v>5691</v>
      </c>
      <c r="B2816" t="s">
        <v>13</v>
      </c>
      <c r="C2816" t="s">
        <v>5777</v>
      </c>
      <c r="D2816" t="s">
        <v>112</v>
      </c>
      <c r="F2816" t="s">
        <v>54</v>
      </c>
      <c r="G2816" t="s">
        <v>5400</v>
      </c>
      <c r="J2816" t="s">
        <v>5738</v>
      </c>
      <c r="K2816">
        <v>2500</v>
      </c>
      <c r="L2816" t="str" cm="1">
        <f t="array" ref="L2816">_xlfn.IFS(
 K2816&lt;=50,"≤50",
 AND(K2816&gt;=51,K2816&lt;=100),"51–100",
 AND(K2816&gt;=101,K2816&lt;=250),"101–250",
 AND(K2816&gt;=251,K2816&lt;=500),"251–500",
 AND(K2816&gt;=501,K2816&lt;=1000),"501–1000",
 K2816&gt;=1001,"1001+"
)</f>
        <v>1001+</v>
      </c>
    </row>
    <row r="2817" spans="1:12" x14ac:dyDescent="0.3">
      <c r="A2817" t="s">
        <v>5692</v>
      </c>
      <c r="B2817" t="s">
        <v>11</v>
      </c>
      <c r="C2817" t="s">
        <v>5776</v>
      </c>
      <c r="F2817" t="s">
        <v>5770</v>
      </c>
      <c r="J2817" t="s">
        <v>5738</v>
      </c>
      <c r="K2817">
        <v>2500</v>
      </c>
      <c r="L2817" t="str" cm="1">
        <f t="array" ref="L2817">_xlfn.IFS(
 K2817&lt;=50,"≤50",
 AND(K2817&gt;=51,K2817&lt;=100),"51–100",
 AND(K2817&gt;=101,K2817&lt;=250),"101–250",
 AND(K2817&gt;=251,K2817&lt;=500),"251–500",
 AND(K2817&gt;=501,K2817&lt;=1000),"501–1000",
 K2817&gt;=1001,"1001+"
)</f>
        <v>1001+</v>
      </c>
    </row>
    <row r="2818" spans="1:12" x14ac:dyDescent="0.3">
      <c r="A2818" t="s">
        <v>5693</v>
      </c>
      <c r="B2818" t="s">
        <v>9</v>
      </c>
      <c r="C2818" t="s">
        <v>5780</v>
      </c>
      <c r="D2818" t="s">
        <v>5694</v>
      </c>
      <c r="E2818" t="s">
        <v>15</v>
      </c>
      <c r="F2818" t="s">
        <v>54</v>
      </c>
      <c r="G2818" t="s">
        <v>5695</v>
      </c>
      <c r="H2818" t="s">
        <v>15</v>
      </c>
      <c r="I2818" t="s">
        <v>5696</v>
      </c>
      <c r="J2818" t="s">
        <v>5737</v>
      </c>
      <c r="K2818">
        <v>2660</v>
      </c>
      <c r="L2818" t="str" cm="1">
        <f t="array" ref="L2818">_xlfn.IFS(
 K2818&lt;=50,"≤50",
 AND(K2818&gt;=51,K2818&lt;=100),"51–100",
 AND(K2818&gt;=101,K2818&lt;=250),"101–250",
 AND(K2818&gt;=251,K2818&lt;=500),"251–500",
 AND(K2818&gt;=501,K2818&lt;=1000),"501–1000",
 K2818&gt;=1001,"1001+"
)</f>
        <v>1001+</v>
      </c>
    </row>
    <row r="2819" spans="1:12" x14ac:dyDescent="0.3">
      <c r="A2819" t="s">
        <v>5697</v>
      </c>
      <c r="B2819" t="s">
        <v>9</v>
      </c>
      <c r="C2819" t="s">
        <v>5780</v>
      </c>
      <c r="D2819" t="s">
        <v>5698</v>
      </c>
      <c r="F2819" t="s">
        <v>5770</v>
      </c>
      <c r="J2819" t="s">
        <v>5737</v>
      </c>
      <c r="K2819">
        <v>2800</v>
      </c>
      <c r="L2819" t="str" cm="1">
        <f t="array" ref="L2819">_xlfn.IFS(
 K2819&lt;=50,"≤50",
 AND(K2819&gt;=51,K2819&lt;=100),"51–100",
 AND(K2819&gt;=101,K2819&lt;=250),"101–250",
 AND(K2819&gt;=251,K2819&lt;=500),"251–500",
 AND(K2819&gt;=501,K2819&lt;=1000),"501–1000",
 K2819&gt;=1001,"1001+"
)</f>
        <v>1001+</v>
      </c>
    </row>
    <row r="2820" spans="1:12" x14ac:dyDescent="0.3">
      <c r="A2820" t="s">
        <v>5699</v>
      </c>
      <c r="B2820" t="s">
        <v>11</v>
      </c>
      <c r="C2820" t="s">
        <v>5776</v>
      </c>
      <c r="F2820" t="s">
        <v>54</v>
      </c>
      <c r="G2820" t="s">
        <v>588</v>
      </c>
      <c r="J2820" t="s">
        <v>5738</v>
      </c>
      <c r="K2820">
        <v>3000</v>
      </c>
      <c r="L2820" t="str" cm="1">
        <f t="array" ref="L2820">_xlfn.IFS(
 K2820&lt;=50,"≤50",
 AND(K2820&gt;=51,K2820&lt;=100),"51–100",
 AND(K2820&gt;=101,K2820&lt;=250),"101–250",
 AND(K2820&gt;=251,K2820&lt;=500),"251–500",
 AND(K2820&gt;=501,K2820&lt;=1000),"501–1000",
 K2820&gt;=1001,"1001+"
)</f>
        <v>1001+</v>
      </c>
    </row>
    <row r="2821" spans="1:12" x14ac:dyDescent="0.3">
      <c r="A2821" t="s">
        <v>5700</v>
      </c>
      <c r="B2821" t="s">
        <v>9</v>
      </c>
      <c r="C2821" t="s">
        <v>5780</v>
      </c>
      <c r="D2821" t="s">
        <v>5701</v>
      </c>
      <c r="E2821" t="s">
        <v>15</v>
      </c>
      <c r="F2821" t="s">
        <v>54</v>
      </c>
      <c r="G2821" t="s">
        <v>5702</v>
      </c>
      <c r="J2821" t="s">
        <v>5737</v>
      </c>
      <c r="K2821">
        <v>3000</v>
      </c>
      <c r="L2821" t="str" cm="1">
        <f t="array" ref="L2821">_xlfn.IFS(
 K2821&lt;=50,"≤50",
 AND(K2821&gt;=51,K2821&lt;=100),"51–100",
 AND(K2821&gt;=101,K2821&lt;=250),"101–250",
 AND(K2821&gt;=251,K2821&lt;=500),"251–500",
 AND(K2821&gt;=501,K2821&lt;=1000),"501–1000",
 K2821&gt;=1001,"1001+"
)</f>
        <v>1001+</v>
      </c>
    </row>
    <row r="2822" spans="1:12" x14ac:dyDescent="0.3">
      <c r="A2822" t="s">
        <v>5703</v>
      </c>
      <c r="B2822" t="s">
        <v>9</v>
      </c>
      <c r="C2822" t="s">
        <v>5780</v>
      </c>
      <c r="D2822" t="s">
        <v>5704</v>
      </c>
      <c r="F2822" t="s">
        <v>20</v>
      </c>
      <c r="G2822" t="s">
        <v>5705</v>
      </c>
      <c r="J2822" t="s">
        <v>5737</v>
      </c>
      <c r="K2822">
        <v>3000</v>
      </c>
      <c r="L2822" t="str" cm="1">
        <f t="array" ref="L2822">_xlfn.IFS(
 K2822&lt;=50,"≤50",
 AND(K2822&gt;=51,K2822&lt;=100),"51–100",
 AND(K2822&gt;=101,K2822&lt;=250),"101–250",
 AND(K2822&gt;=251,K2822&lt;=500),"251–500",
 AND(K2822&gt;=501,K2822&lt;=1000),"501–1000",
 K2822&gt;=1001,"1001+"
)</f>
        <v>1001+</v>
      </c>
    </row>
    <row r="2823" spans="1:12" x14ac:dyDescent="0.3">
      <c r="A2823" t="s">
        <v>5706</v>
      </c>
      <c r="B2823" t="s">
        <v>11</v>
      </c>
      <c r="C2823" t="s">
        <v>5776</v>
      </c>
      <c r="F2823" t="s">
        <v>54</v>
      </c>
      <c r="G2823" t="s">
        <v>5707</v>
      </c>
      <c r="J2823" t="s">
        <v>5737</v>
      </c>
      <c r="K2823">
        <v>3000</v>
      </c>
      <c r="L2823" t="str" cm="1">
        <f t="array" ref="L2823">_xlfn.IFS(
 K2823&lt;=50,"≤50",
 AND(K2823&gt;=51,K2823&lt;=100),"51–100",
 AND(K2823&gt;=101,K2823&lt;=250),"101–250",
 AND(K2823&gt;=251,K2823&lt;=500),"251–500",
 AND(K2823&gt;=501,K2823&lt;=1000),"501–1000",
 K2823&gt;=1001,"1001+"
)</f>
        <v>1001+</v>
      </c>
    </row>
    <row r="2824" spans="1:12" x14ac:dyDescent="0.3">
      <c r="A2824" t="s">
        <v>5708</v>
      </c>
      <c r="B2824" t="s">
        <v>9</v>
      </c>
      <c r="C2824" t="s">
        <v>5780</v>
      </c>
      <c r="D2824" t="s">
        <v>2148</v>
      </c>
      <c r="F2824" t="s">
        <v>20</v>
      </c>
      <c r="G2824" t="s">
        <v>5709</v>
      </c>
      <c r="J2824" t="s">
        <v>5737</v>
      </c>
      <c r="K2824">
        <v>3000</v>
      </c>
      <c r="L2824" t="str" cm="1">
        <f t="array" ref="L2824">_xlfn.IFS(
 K2824&lt;=50,"≤50",
 AND(K2824&gt;=51,K2824&lt;=100),"51–100",
 AND(K2824&gt;=101,K2824&lt;=250),"101–250",
 AND(K2824&gt;=251,K2824&lt;=500),"251–500",
 AND(K2824&gt;=501,K2824&lt;=1000),"501–1000",
 K2824&gt;=1001,"1001+"
)</f>
        <v>1001+</v>
      </c>
    </row>
    <row r="2825" spans="1:12" x14ac:dyDescent="0.3">
      <c r="A2825" t="s">
        <v>5710</v>
      </c>
      <c r="B2825" t="s">
        <v>9</v>
      </c>
      <c r="C2825" t="s">
        <v>5780</v>
      </c>
      <c r="D2825" t="s">
        <v>5711</v>
      </c>
      <c r="F2825" t="s">
        <v>16</v>
      </c>
      <c r="G2825" t="s">
        <v>5712</v>
      </c>
      <c r="J2825" t="s">
        <v>5737</v>
      </c>
      <c r="K2825">
        <v>3000</v>
      </c>
      <c r="L2825" t="str" cm="1">
        <f t="array" ref="L2825">_xlfn.IFS(
 K2825&lt;=50,"≤50",
 AND(K2825&gt;=51,K2825&lt;=100),"51–100",
 AND(K2825&gt;=101,K2825&lt;=250),"101–250",
 AND(K2825&gt;=251,K2825&lt;=500),"251–500",
 AND(K2825&gt;=501,K2825&lt;=1000),"501–1000",
 K2825&gt;=1001,"1001+"
)</f>
        <v>1001+</v>
      </c>
    </row>
    <row r="2826" spans="1:12" x14ac:dyDescent="0.3">
      <c r="A2826" t="s">
        <v>5713</v>
      </c>
      <c r="B2826" t="s">
        <v>9</v>
      </c>
      <c r="C2826" t="s">
        <v>5780</v>
      </c>
      <c r="D2826" t="s">
        <v>5714</v>
      </c>
      <c r="E2826" t="s">
        <v>15</v>
      </c>
      <c r="F2826" t="s">
        <v>54</v>
      </c>
      <c r="G2826" t="s">
        <v>5715</v>
      </c>
      <c r="J2826" t="s">
        <v>5737</v>
      </c>
      <c r="K2826">
        <v>3500</v>
      </c>
      <c r="L2826" t="str" cm="1">
        <f t="array" ref="L2826">_xlfn.IFS(
 K2826&lt;=50,"≤50",
 AND(K2826&gt;=51,K2826&lt;=100),"51–100",
 AND(K2826&gt;=101,K2826&lt;=250),"101–250",
 AND(K2826&gt;=251,K2826&lt;=500),"251–500",
 AND(K2826&gt;=501,K2826&lt;=1000),"501–1000",
 K2826&gt;=1001,"1001+"
)</f>
        <v>1001+</v>
      </c>
    </row>
    <row r="2827" spans="1:12" x14ac:dyDescent="0.3">
      <c r="A2827" t="s">
        <v>5716</v>
      </c>
      <c r="B2827" t="s">
        <v>13</v>
      </c>
      <c r="C2827" t="s">
        <v>5777</v>
      </c>
      <c r="D2827" t="s">
        <v>5717</v>
      </c>
      <c r="F2827" t="s">
        <v>5770</v>
      </c>
      <c r="J2827" t="s">
        <v>5737</v>
      </c>
      <c r="K2827">
        <v>4000</v>
      </c>
      <c r="L2827" t="str" cm="1">
        <f t="array" ref="L2827">_xlfn.IFS(
 K2827&lt;=50,"≤50",
 AND(K2827&gt;=51,K2827&lt;=100),"51–100",
 AND(K2827&gt;=101,K2827&lt;=250),"101–250",
 AND(K2827&gt;=251,K2827&lt;=500),"251–500",
 AND(K2827&gt;=501,K2827&lt;=1000),"501–1000",
 K2827&gt;=1001,"1001+"
)</f>
        <v>1001+</v>
      </c>
    </row>
    <row r="2828" spans="1:12" x14ac:dyDescent="0.3">
      <c r="A2828" t="s">
        <v>5718</v>
      </c>
      <c r="B2828" t="s">
        <v>11</v>
      </c>
      <c r="C2828" t="s">
        <v>5776</v>
      </c>
      <c r="F2828" t="s">
        <v>5770</v>
      </c>
      <c r="J2828" t="s">
        <v>5738</v>
      </c>
      <c r="K2828">
        <v>4500</v>
      </c>
      <c r="L2828" t="str" cm="1">
        <f t="array" ref="L2828">_xlfn.IFS(
 K2828&lt;=50,"≤50",
 AND(K2828&gt;=51,K2828&lt;=100),"51–100",
 AND(K2828&gt;=101,K2828&lt;=250),"101–250",
 AND(K2828&gt;=251,K2828&lt;=500),"251–500",
 AND(K2828&gt;=501,K2828&lt;=1000),"501–1000",
 K2828&gt;=1001,"1001+"
)</f>
        <v>1001+</v>
      </c>
    </row>
    <row r="2829" spans="1:12" x14ac:dyDescent="0.3">
      <c r="A2829" t="s">
        <v>5719</v>
      </c>
      <c r="B2829" t="s">
        <v>13</v>
      </c>
      <c r="C2829" t="s">
        <v>5777</v>
      </c>
      <c r="D2829" t="s">
        <v>5720</v>
      </c>
      <c r="E2829" t="s">
        <v>15</v>
      </c>
      <c r="F2829" t="s">
        <v>16</v>
      </c>
      <c r="G2829" t="s">
        <v>5721</v>
      </c>
      <c r="H2829" t="s">
        <v>15</v>
      </c>
      <c r="I2829" t="s">
        <v>5722</v>
      </c>
      <c r="J2829" t="s">
        <v>5738</v>
      </c>
      <c r="K2829">
        <v>4500</v>
      </c>
      <c r="L2829" t="str" cm="1">
        <f t="array" ref="L2829">_xlfn.IFS(
 K2829&lt;=50,"≤50",
 AND(K2829&gt;=51,K2829&lt;=100),"51–100",
 AND(K2829&gt;=101,K2829&lt;=250),"101–250",
 AND(K2829&gt;=251,K2829&lt;=500),"251–500",
 AND(K2829&gt;=501,K2829&lt;=1000),"501–1000",
 K2829&gt;=1001,"1001+"
)</f>
        <v>1001+</v>
      </c>
    </row>
    <row r="2830" spans="1:12" x14ac:dyDescent="0.3">
      <c r="A2830" t="s">
        <v>5723</v>
      </c>
      <c r="B2830" t="s">
        <v>13</v>
      </c>
      <c r="C2830" t="s">
        <v>5777</v>
      </c>
      <c r="D2830" t="s">
        <v>5724</v>
      </c>
      <c r="E2830" t="s">
        <v>15</v>
      </c>
      <c r="F2830" t="s">
        <v>16</v>
      </c>
      <c r="G2830" t="s">
        <v>5725</v>
      </c>
      <c r="J2830" t="s">
        <v>5737</v>
      </c>
      <c r="K2830">
        <v>5500</v>
      </c>
      <c r="L2830" t="str" cm="1">
        <f t="array" ref="L2830">_xlfn.IFS(
 K2830&lt;=50,"≤50",
 AND(K2830&gt;=51,K2830&lt;=100),"51–100",
 AND(K2830&gt;=101,K2830&lt;=250),"101–250",
 AND(K2830&gt;=251,K2830&lt;=500),"251–500",
 AND(K2830&gt;=501,K2830&lt;=1000),"501–1000",
 K2830&gt;=1001,"1001+"
)</f>
        <v>1001+</v>
      </c>
    </row>
    <row r="2831" spans="1:12" x14ac:dyDescent="0.3">
      <c r="A2831" t="s">
        <v>5726</v>
      </c>
      <c r="B2831" t="s">
        <v>13</v>
      </c>
      <c r="C2831" t="s">
        <v>5777</v>
      </c>
      <c r="D2831" t="s">
        <v>5727</v>
      </c>
      <c r="F2831" t="s">
        <v>54</v>
      </c>
      <c r="G2831" t="s">
        <v>1036</v>
      </c>
      <c r="H2831" t="s">
        <v>15</v>
      </c>
      <c r="I2831" t="s">
        <v>5728</v>
      </c>
      <c r="J2831" t="s">
        <v>5737</v>
      </c>
      <c r="K2831">
        <v>11000</v>
      </c>
      <c r="L2831" t="str" cm="1">
        <f t="array" ref="L2831">_xlfn.IFS(
 K2831&lt;=50,"≤50",
 AND(K2831&gt;=51,K2831&lt;=100),"51–100",
 AND(K2831&gt;=101,K2831&lt;=250),"101–250",
 AND(K2831&gt;=251,K2831&lt;=500),"251–500",
 AND(K2831&gt;=501,K2831&lt;=1000),"501–1000",
 K2831&gt;=1001,"1001+"
)</f>
        <v>1001+</v>
      </c>
    </row>
    <row r="2832" spans="1:12" x14ac:dyDescent="0.3">
      <c r="A2832" t="s">
        <v>5729</v>
      </c>
      <c r="B2832" t="s">
        <v>9</v>
      </c>
      <c r="C2832" t="s">
        <v>5780</v>
      </c>
      <c r="D2832" t="s">
        <v>5730</v>
      </c>
      <c r="F2832" t="s">
        <v>5770</v>
      </c>
      <c r="J2832" t="s">
        <v>5737</v>
      </c>
      <c r="K2832">
        <v>12850</v>
      </c>
      <c r="L2832" t="str" cm="1">
        <f t="array" ref="L2832">_xlfn.IFS(
 K2832&lt;=50,"≤50",
 AND(K2832&gt;=51,K2832&lt;=100),"51–100",
 AND(K2832&gt;=101,K2832&lt;=250),"101–250",
 AND(K2832&gt;=251,K2832&lt;=500),"251–500",
 AND(K2832&gt;=501,K2832&lt;=1000),"501–1000",
 K2832&gt;=1001,"1001+"
)</f>
        <v>1001+</v>
      </c>
    </row>
    <row r="2833" spans="1:12" x14ac:dyDescent="0.3">
      <c r="A2833" t="s">
        <v>5731</v>
      </c>
      <c r="B2833" t="s">
        <v>13</v>
      </c>
      <c r="C2833" t="s">
        <v>5777</v>
      </c>
      <c r="D2833" t="s">
        <v>576</v>
      </c>
      <c r="F2833" t="s">
        <v>54</v>
      </c>
      <c r="G2833" t="s">
        <v>1036</v>
      </c>
      <c r="J2833" t="s">
        <v>5737</v>
      </c>
      <c r="K2833">
        <v>14779</v>
      </c>
      <c r="L2833" t="str" cm="1">
        <f t="array" ref="L2833">_xlfn.IFS(
 K2833&lt;=50,"≤50",
 AND(K2833&gt;=51,K2833&lt;=100),"51–100",
 AND(K2833&gt;=101,K2833&lt;=250),"101–250",
 AND(K2833&gt;=251,K2833&lt;=500),"251–500",
 AND(K2833&gt;=501,K2833&lt;=1000),"501–1000",
 K2833&gt;=1001,"1001+"
)</f>
        <v>1001+</v>
      </c>
    </row>
    <row r="2834" spans="1:12" x14ac:dyDescent="0.3">
      <c r="A2834" t="s">
        <v>5732</v>
      </c>
      <c r="B2834" t="s">
        <v>9</v>
      </c>
      <c r="C2834" t="s">
        <v>5780</v>
      </c>
      <c r="D2834" t="s">
        <v>691</v>
      </c>
      <c r="E2834" t="s">
        <v>15</v>
      </c>
      <c r="F2834" t="s">
        <v>54</v>
      </c>
      <c r="G2834" t="s">
        <v>588</v>
      </c>
      <c r="J2834" t="s">
        <v>5737</v>
      </c>
      <c r="K2834">
        <v>16000</v>
      </c>
      <c r="L2834" t="str" cm="1">
        <f t="array" ref="L2834">_xlfn.IFS(
 K2834&lt;=50,"≤50",
 AND(K2834&gt;=51,K2834&lt;=100),"51–100",
 AND(K2834&gt;=101,K2834&lt;=250),"101–250",
 AND(K2834&gt;=251,K2834&lt;=500),"251–500",
 AND(K2834&gt;=501,K2834&lt;=1000),"501–1000",
 K2834&gt;=1001,"1001+"
)</f>
        <v>1001+</v>
      </c>
    </row>
    <row r="2835" spans="1:12" x14ac:dyDescent="0.3">
      <c r="A2835" t="s">
        <v>5733</v>
      </c>
      <c r="B2835" t="s">
        <v>9</v>
      </c>
      <c r="C2835" t="s">
        <v>5780</v>
      </c>
      <c r="D2835" t="s">
        <v>5734</v>
      </c>
      <c r="E2835" t="s">
        <v>15</v>
      </c>
      <c r="F2835" t="s">
        <v>20</v>
      </c>
      <c r="G2835" t="s">
        <v>5735</v>
      </c>
      <c r="J2835" t="s">
        <v>5750</v>
      </c>
      <c r="K2835">
        <v>50000</v>
      </c>
      <c r="L2835" t="str" cm="1">
        <f t="array" ref="L2835">_xlfn.IFS(
 K2835&lt;=50,"≤50",
 AND(K2835&gt;=51,K2835&lt;=100),"51–100",
 AND(K2835&gt;=101,K2835&lt;=250),"101–250",
 AND(K2835&gt;=251,K2835&lt;=500),"251–500",
 AND(K2835&gt;=501,K2835&lt;=1000),"501–1000",
 K2835&gt;=1001,"1001+"
)</f>
        <v>1001+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C017-5C62-490D-84DE-CB12DCA3F40A}">
  <sheetPr filterMode="1"/>
  <dimension ref="A1:H2835"/>
  <sheetViews>
    <sheetView topLeftCell="A2651" workbookViewId="0">
      <selection activeCell="C2678" sqref="C2678"/>
    </sheetView>
  </sheetViews>
  <sheetFormatPr defaultRowHeight="14.4" x14ac:dyDescent="0.3"/>
  <cols>
    <col min="1" max="1" width="30.109375" bestFit="1" customWidth="1"/>
    <col min="2" max="2" width="11.109375" bestFit="1" customWidth="1"/>
    <col min="3" max="3" width="255.77734375" bestFit="1" customWidth="1"/>
    <col min="4" max="4" width="10.21875" bestFit="1" customWidth="1"/>
    <col min="5" max="5" width="11.6640625" bestFit="1" customWidth="1"/>
    <col min="6" max="6" width="255.77734375" bestFit="1" customWidth="1"/>
    <col min="7" max="7" width="4.44140625" bestFit="1" customWidth="1"/>
    <col min="8" max="8" width="10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 t="s">
        <v>9</v>
      </c>
      <c r="C2" t="s">
        <v>10</v>
      </c>
      <c r="E2" t="s">
        <v>11</v>
      </c>
    </row>
    <row r="3" spans="1:8" hidden="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8" x14ac:dyDescent="0.3">
      <c r="A4" t="s">
        <v>18</v>
      </c>
      <c r="B4" t="s">
        <v>13</v>
      </c>
      <c r="C4" t="s">
        <v>19</v>
      </c>
      <c r="E4" t="s">
        <v>20</v>
      </c>
      <c r="F4" t="s">
        <v>21</v>
      </c>
    </row>
    <row r="5" spans="1:8" hidden="1" x14ac:dyDescent="0.3">
      <c r="A5" t="s">
        <v>22</v>
      </c>
      <c r="B5" t="s">
        <v>9</v>
      </c>
      <c r="C5" t="s">
        <v>23</v>
      </c>
      <c r="D5" t="s">
        <v>15</v>
      </c>
      <c r="E5" t="s">
        <v>16</v>
      </c>
      <c r="F5" t="s">
        <v>24</v>
      </c>
    </row>
    <row r="6" spans="1:8" x14ac:dyDescent="0.3">
      <c r="A6" t="s">
        <v>25</v>
      </c>
      <c r="B6" t="s">
        <v>13</v>
      </c>
      <c r="C6" t="s">
        <v>26</v>
      </c>
      <c r="D6" t="s">
        <v>15</v>
      </c>
      <c r="E6" t="s">
        <v>20</v>
      </c>
      <c r="F6" t="s">
        <v>21</v>
      </c>
    </row>
    <row r="7" spans="1:8" hidden="1" x14ac:dyDescent="0.3">
      <c r="A7" t="s">
        <v>27</v>
      </c>
      <c r="B7" t="s">
        <v>9</v>
      </c>
      <c r="C7" t="s">
        <v>28</v>
      </c>
      <c r="E7" t="s">
        <v>11</v>
      </c>
    </row>
    <row r="8" spans="1:8" x14ac:dyDescent="0.3">
      <c r="A8" t="s">
        <v>29</v>
      </c>
      <c r="B8" t="s">
        <v>9</v>
      </c>
      <c r="C8" t="s">
        <v>30</v>
      </c>
      <c r="E8" t="s">
        <v>20</v>
      </c>
      <c r="F8" t="s">
        <v>31</v>
      </c>
    </row>
    <row r="9" spans="1:8" hidden="1" x14ac:dyDescent="0.3">
      <c r="A9" t="s">
        <v>32</v>
      </c>
      <c r="B9" t="s">
        <v>9</v>
      </c>
      <c r="C9" t="s">
        <v>33</v>
      </c>
      <c r="E9" t="s">
        <v>11</v>
      </c>
    </row>
    <row r="10" spans="1:8" x14ac:dyDescent="0.3">
      <c r="A10" t="s">
        <v>34</v>
      </c>
      <c r="B10" t="s">
        <v>13</v>
      </c>
      <c r="C10" t="s">
        <v>35</v>
      </c>
      <c r="D10" t="s">
        <v>15</v>
      </c>
      <c r="E10" t="s">
        <v>20</v>
      </c>
      <c r="F10" t="s">
        <v>36</v>
      </c>
    </row>
    <row r="11" spans="1:8" x14ac:dyDescent="0.3">
      <c r="A11" t="s">
        <v>37</v>
      </c>
      <c r="B11" t="s">
        <v>9</v>
      </c>
      <c r="C11" t="s">
        <v>38</v>
      </c>
      <c r="D11" t="s">
        <v>15</v>
      </c>
      <c r="E11" t="s">
        <v>20</v>
      </c>
      <c r="F11" t="s">
        <v>39</v>
      </c>
    </row>
    <row r="12" spans="1:8" x14ac:dyDescent="0.3">
      <c r="A12" t="s">
        <v>40</v>
      </c>
      <c r="B12" t="s">
        <v>9</v>
      </c>
      <c r="C12" t="s">
        <v>41</v>
      </c>
      <c r="D12" t="s">
        <v>15</v>
      </c>
      <c r="E12" t="s">
        <v>20</v>
      </c>
      <c r="F12" t="s">
        <v>42</v>
      </c>
    </row>
    <row r="13" spans="1:8" hidden="1" x14ac:dyDescent="0.3">
      <c r="A13" t="s">
        <v>43</v>
      </c>
      <c r="B13" t="s">
        <v>13</v>
      </c>
      <c r="C13" t="s">
        <v>44</v>
      </c>
      <c r="D13" t="s">
        <v>15</v>
      </c>
      <c r="E13" t="s">
        <v>16</v>
      </c>
      <c r="F13" t="s">
        <v>45</v>
      </c>
    </row>
    <row r="14" spans="1:8" x14ac:dyDescent="0.3">
      <c r="A14" t="s">
        <v>46</v>
      </c>
      <c r="B14" t="s">
        <v>9</v>
      </c>
      <c r="C14" t="s">
        <v>47</v>
      </c>
      <c r="D14" t="s">
        <v>15</v>
      </c>
      <c r="E14" t="s">
        <v>20</v>
      </c>
      <c r="F14" t="s">
        <v>48</v>
      </c>
    </row>
    <row r="15" spans="1:8" hidden="1" x14ac:dyDescent="0.3">
      <c r="A15" t="s">
        <v>49</v>
      </c>
      <c r="B15" t="s">
        <v>11</v>
      </c>
      <c r="E15" t="s">
        <v>11</v>
      </c>
    </row>
    <row r="16" spans="1:8" hidden="1" x14ac:dyDescent="0.3">
      <c r="A16" t="s">
        <v>50</v>
      </c>
      <c r="B16" t="s">
        <v>9</v>
      </c>
      <c r="C16" t="s">
        <v>51</v>
      </c>
      <c r="E16" t="s">
        <v>11</v>
      </c>
    </row>
    <row r="17" spans="1:6" hidden="1" x14ac:dyDescent="0.3">
      <c r="A17" t="s">
        <v>52</v>
      </c>
      <c r="B17" t="s">
        <v>9</v>
      </c>
      <c r="C17" t="s">
        <v>53</v>
      </c>
      <c r="D17" t="s">
        <v>15</v>
      </c>
      <c r="E17" t="s">
        <v>54</v>
      </c>
      <c r="F17" t="s">
        <v>55</v>
      </c>
    </row>
    <row r="18" spans="1:6" hidden="1" x14ac:dyDescent="0.3">
      <c r="A18" t="s">
        <v>56</v>
      </c>
      <c r="B18" t="s">
        <v>13</v>
      </c>
      <c r="C18" t="s">
        <v>57</v>
      </c>
      <c r="D18" t="s">
        <v>15</v>
      </c>
      <c r="E18" t="s">
        <v>54</v>
      </c>
      <c r="F18" t="s">
        <v>58</v>
      </c>
    </row>
    <row r="19" spans="1:6" hidden="1" x14ac:dyDescent="0.3">
      <c r="A19" t="s">
        <v>59</v>
      </c>
      <c r="B19" t="s">
        <v>9</v>
      </c>
      <c r="C19" t="s">
        <v>60</v>
      </c>
      <c r="E19" t="s">
        <v>11</v>
      </c>
    </row>
    <row r="20" spans="1:6" hidden="1" x14ac:dyDescent="0.3">
      <c r="A20" t="s">
        <v>61</v>
      </c>
      <c r="B20" t="s">
        <v>9</v>
      </c>
      <c r="C20" t="s">
        <v>28</v>
      </c>
      <c r="E20" t="s">
        <v>11</v>
      </c>
    </row>
    <row r="21" spans="1:6" hidden="1" x14ac:dyDescent="0.3">
      <c r="A21" t="s">
        <v>62</v>
      </c>
      <c r="B21" t="s">
        <v>9</v>
      </c>
      <c r="C21" t="s">
        <v>28</v>
      </c>
      <c r="D21" t="s">
        <v>15</v>
      </c>
      <c r="E21" t="s">
        <v>11</v>
      </c>
    </row>
    <row r="22" spans="1:6" hidden="1" x14ac:dyDescent="0.3">
      <c r="A22" t="s">
        <v>63</v>
      </c>
      <c r="B22" t="s">
        <v>9</v>
      </c>
      <c r="C22" t="s">
        <v>28</v>
      </c>
      <c r="E22" t="s">
        <v>11</v>
      </c>
    </row>
    <row r="23" spans="1:6" hidden="1" x14ac:dyDescent="0.3">
      <c r="A23" t="s">
        <v>64</v>
      </c>
      <c r="B23" t="s">
        <v>13</v>
      </c>
      <c r="C23" t="s">
        <v>65</v>
      </c>
      <c r="E23" t="s">
        <v>11</v>
      </c>
    </row>
    <row r="24" spans="1:6" hidden="1" x14ac:dyDescent="0.3">
      <c r="A24" t="s">
        <v>66</v>
      </c>
      <c r="B24" t="s">
        <v>9</v>
      </c>
      <c r="C24" t="s">
        <v>67</v>
      </c>
      <c r="E24" t="s">
        <v>11</v>
      </c>
    </row>
    <row r="25" spans="1:6" hidden="1" x14ac:dyDescent="0.3">
      <c r="A25" t="s">
        <v>68</v>
      </c>
      <c r="B25" t="s">
        <v>11</v>
      </c>
      <c r="E25" t="s">
        <v>11</v>
      </c>
    </row>
    <row r="26" spans="1:6" hidden="1" x14ac:dyDescent="0.3">
      <c r="A26" t="s">
        <v>69</v>
      </c>
      <c r="B26" t="s">
        <v>11</v>
      </c>
      <c r="E26" t="s">
        <v>11</v>
      </c>
    </row>
    <row r="27" spans="1:6" hidden="1" x14ac:dyDescent="0.3">
      <c r="A27" t="s">
        <v>70</v>
      </c>
      <c r="B27" t="s">
        <v>9</v>
      </c>
      <c r="C27" t="s">
        <v>71</v>
      </c>
      <c r="E27" t="s">
        <v>54</v>
      </c>
      <c r="F27" t="s">
        <v>72</v>
      </c>
    </row>
    <row r="28" spans="1:6" hidden="1" x14ac:dyDescent="0.3">
      <c r="A28" t="s">
        <v>73</v>
      </c>
      <c r="B28" t="s">
        <v>9</v>
      </c>
      <c r="C28" t="s">
        <v>74</v>
      </c>
      <c r="D28" t="s">
        <v>15</v>
      </c>
      <c r="E28" t="s">
        <v>54</v>
      </c>
      <c r="F28" t="s">
        <v>75</v>
      </c>
    </row>
    <row r="29" spans="1:6" hidden="1" x14ac:dyDescent="0.3">
      <c r="A29" t="s">
        <v>76</v>
      </c>
      <c r="B29" t="s">
        <v>9</v>
      </c>
      <c r="C29" t="s">
        <v>77</v>
      </c>
      <c r="D29" t="s">
        <v>15</v>
      </c>
      <c r="E29" t="s">
        <v>54</v>
      </c>
      <c r="F29" t="s">
        <v>78</v>
      </c>
    </row>
    <row r="30" spans="1:6" hidden="1" x14ac:dyDescent="0.3">
      <c r="A30" t="s">
        <v>79</v>
      </c>
      <c r="B30" t="s">
        <v>13</v>
      </c>
      <c r="C30" t="s">
        <v>80</v>
      </c>
      <c r="D30" t="s">
        <v>15</v>
      </c>
      <c r="E30" t="s">
        <v>54</v>
      </c>
      <c r="F30" t="s">
        <v>81</v>
      </c>
    </row>
    <row r="31" spans="1:6" hidden="1" x14ac:dyDescent="0.3">
      <c r="A31" t="s">
        <v>82</v>
      </c>
      <c r="B31" t="s">
        <v>11</v>
      </c>
      <c r="E31" t="s">
        <v>11</v>
      </c>
    </row>
    <row r="32" spans="1:6" hidden="1" x14ac:dyDescent="0.3">
      <c r="A32" t="s">
        <v>83</v>
      </c>
      <c r="B32" t="s">
        <v>9</v>
      </c>
      <c r="C32" t="s">
        <v>28</v>
      </c>
      <c r="E32" t="s">
        <v>11</v>
      </c>
    </row>
    <row r="33" spans="1:6" hidden="1" x14ac:dyDescent="0.3">
      <c r="A33" t="s">
        <v>84</v>
      </c>
      <c r="B33" t="s">
        <v>9</v>
      </c>
      <c r="C33" t="s">
        <v>85</v>
      </c>
      <c r="E33" t="s">
        <v>11</v>
      </c>
    </row>
    <row r="34" spans="1:6" hidden="1" x14ac:dyDescent="0.3">
      <c r="A34" t="s">
        <v>86</v>
      </c>
      <c r="B34" t="s">
        <v>9</v>
      </c>
      <c r="C34" t="s">
        <v>87</v>
      </c>
      <c r="D34" t="s">
        <v>15</v>
      </c>
      <c r="E34" t="s">
        <v>16</v>
      </c>
      <c r="F34" t="s">
        <v>88</v>
      </c>
    </row>
    <row r="35" spans="1:6" hidden="1" x14ac:dyDescent="0.3">
      <c r="A35" t="s">
        <v>89</v>
      </c>
      <c r="B35" t="s">
        <v>11</v>
      </c>
      <c r="E35" t="s">
        <v>11</v>
      </c>
    </row>
    <row r="36" spans="1:6" hidden="1" x14ac:dyDescent="0.3">
      <c r="A36" t="s">
        <v>90</v>
      </c>
      <c r="B36" t="s">
        <v>9</v>
      </c>
      <c r="C36" t="s">
        <v>91</v>
      </c>
      <c r="D36" t="s">
        <v>15</v>
      </c>
      <c r="E36" t="s">
        <v>11</v>
      </c>
    </row>
    <row r="37" spans="1:6" x14ac:dyDescent="0.3">
      <c r="A37" t="s">
        <v>92</v>
      </c>
      <c r="B37" t="s">
        <v>13</v>
      </c>
      <c r="C37" t="s">
        <v>93</v>
      </c>
      <c r="D37" t="s">
        <v>15</v>
      </c>
      <c r="E37" t="s">
        <v>20</v>
      </c>
      <c r="F37" t="s">
        <v>94</v>
      </c>
    </row>
    <row r="38" spans="1:6" x14ac:dyDescent="0.3">
      <c r="A38" t="s">
        <v>95</v>
      </c>
      <c r="B38" t="s">
        <v>13</v>
      </c>
      <c r="C38" t="s">
        <v>96</v>
      </c>
      <c r="D38" t="s">
        <v>15</v>
      </c>
      <c r="E38" t="s">
        <v>20</v>
      </c>
      <c r="F38" t="s">
        <v>97</v>
      </c>
    </row>
    <row r="39" spans="1:6" x14ac:dyDescent="0.3">
      <c r="A39" t="s">
        <v>98</v>
      </c>
      <c r="B39" t="s">
        <v>9</v>
      </c>
      <c r="C39" t="s">
        <v>99</v>
      </c>
      <c r="E39" t="s">
        <v>20</v>
      </c>
      <c r="F39" t="s">
        <v>100</v>
      </c>
    </row>
    <row r="40" spans="1:6" hidden="1" x14ac:dyDescent="0.3">
      <c r="A40" t="s">
        <v>101</v>
      </c>
      <c r="B40" t="s">
        <v>9</v>
      </c>
      <c r="C40" t="s">
        <v>102</v>
      </c>
      <c r="E40" t="s">
        <v>11</v>
      </c>
    </row>
    <row r="41" spans="1:6" x14ac:dyDescent="0.3">
      <c r="A41" t="s">
        <v>103</v>
      </c>
      <c r="B41" t="s">
        <v>13</v>
      </c>
      <c r="C41" t="s">
        <v>104</v>
      </c>
      <c r="D41" t="s">
        <v>15</v>
      </c>
      <c r="E41" t="s">
        <v>20</v>
      </c>
      <c r="F41" t="s">
        <v>105</v>
      </c>
    </row>
    <row r="42" spans="1:6" hidden="1" x14ac:dyDescent="0.3">
      <c r="A42" t="s">
        <v>106</v>
      </c>
      <c r="B42" t="s">
        <v>13</v>
      </c>
      <c r="C42" t="s">
        <v>107</v>
      </c>
      <c r="D42" t="s">
        <v>15</v>
      </c>
      <c r="E42" t="s">
        <v>11</v>
      </c>
    </row>
    <row r="43" spans="1:6" x14ac:dyDescent="0.3">
      <c r="A43" t="s">
        <v>108</v>
      </c>
      <c r="B43" t="s">
        <v>13</v>
      </c>
      <c r="C43" t="s">
        <v>109</v>
      </c>
      <c r="E43" t="s">
        <v>20</v>
      </c>
      <c r="F43" t="s">
        <v>110</v>
      </c>
    </row>
    <row r="44" spans="1:6" hidden="1" x14ac:dyDescent="0.3">
      <c r="A44" t="s">
        <v>111</v>
      </c>
      <c r="B44" t="s">
        <v>13</v>
      </c>
      <c r="C44" t="s">
        <v>112</v>
      </c>
      <c r="D44" t="s">
        <v>15</v>
      </c>
      <c r="E44" t="s">
        <v>54</v>
      </c>
      <c r="F44" t="s">
        <v>113</v>
      </c>
    </row>
    <row r="45" spans="1:6" hidden="1" x14ac:dyDescent="0.3">
      <c r="A45" t="s">
        <v>114</v>
      </c>
      <c r="B45" t="s">
        <v>9</v>
      </c>
      <c r="C45" t="s">
        <v>28</v>
      </c>
      <c r="E45" t="s">
        <v>11</v>
      </c>
    </row>
    <row r="46" spans="1:6" x14ac:dyDescent="0.3">
      <c r="A46" t="s">
        <v>115</v>
      </c>
      <c r="B46" t="s">
        <v>13</v>
      </c>
      <c r="C46" t="s">
        <v>116</v>
      </c>
      <c r="D46" t="s">
        <v>15</v>
      </c>
      <c r="E46" t="s">
        <v>20</v>
      </c>
      <c r="F46" t="s">
        <v>117</v>
      </c>
    </row>
    <row r="47" spans="1:6" x14ac:dyDescent="0.3">
      <c r="A47" t="s">
        <v>118</v>
      </c>
      <c r="B47" t="s">
        <v>13</v>
      </c>
      <c r="C47" t="s">
        <v>119</v>
      </c>
      <c r="D47" t="s">
        <v>15</v>
      </c>
      <c r="E47" t="s">
        <v>20</v>
      </c>
      <c r="F47" t="s">
        <v>120</v>
      </c>
    </row>
    <row r="48" spans="1:6" hidden="1" x14ac:dyDescent="0.3">
      <c r="A48" t="s">
        <v>121</v>
      </c>
      <c r="B48" t="s">
        <v>13</v>
      </c>
      <c r="C48" t="s">
        <v>122</v>
      </c>
      <c r="E48" t="s">
        <v>11</v>
      </c>
    </row>
    <row r="49" spans="1:6" hidden="1" x14ac:dyDescent="0.3">
      <c r="A49" t="s">
        <v>123</v>
      </c>
      <c r="B49" t="s">
        <v>11</v>
      </c>
      <c r="E49" t="s">
        <v>11</v>
      </c>
    </row>
    <row r="50" spans="1:6" hidden="1" x14ac:dyDescent="0.3">
      <c r="A50" t="s">
        <v>124</v>
      </c>
      <c r="B50" t="s">
        <v>13</v>
      </c>
      <c r="C50" t="s">
        <v>125</v>
      </c>
      <c r="D50" t="s">
        <v>15</v>
      </c>
      <c r="E50" t="s">
        <v>16</v>
      </c>
      <c r="F50" t="s">
        <v>126</v>
      </c>
    </row>
    <row r="51" spans="1:6" hidden="1" x14ac:dyDescent="0.3">
      <c r="A51" t="s">
        <v>127</v>
      </c>
      <c r="B51" t="s">
        <v>11</v>
      </c>
      <c r="E51" t="s">
        <v>11</v>
      </c>
    </row>
    <row r="52" spans="1:6" x14ac:dyDescent="0.3">
      <c r="A52" t="s">
        <v>128</v>
      </c>
      <c r="B52" t="s">
        <v>9</v>
      </c>
      <c r="C52" t="s">
        <v>129</v>
      </c>
      <c r="D52" t="s">
        <v>15</v>
      </c>
      <c r="E52" t="s">
        <v>20</v>
      </c>
      <c r="F52" t="s">
        <v>130</v>
      </c>
    </row>
    <row r="53" spans="1:6" hidden="1" x14ac:dyDescent="0.3">
      <c r="A53" t="s">
        <v>131</v>
      </c>
      <c r="B53" t="s">
        <v>9</v>
      </c>
      <c r="C53" t="s">
        <v>132</v>
      </c>
      <c r="D53" t="s">
        <v>15</v>
      </c>
      <c r="E53" t="s">
        <v>11</v>
      </c>
    </row>
    <row r="54" spans="1:6" x14ac:dyDescent="0.3">
      <c r="A54" t="s">
        <v>133</v>
      </c>
      <c r="B54" t="s">
        <v>13</v>
      </c>
      <c r="C54" t="s">
        <v>134</v>
      </c>
      <c r="E54" t="s">
        <v>20</v>
      </c>
      <c r="F54" t="s">
        <v>135</v>
      </c>
    </row>
    <row r="55" spans="1:6" hidden="1" x14ac:dyDescent="0.3">
      <c r="A55" t="s">
        <v>136</v>
      </c>
      <c r="B55" t="s">
        <v>9</v>
      </c>
      <c r="C55" t="s">
        <v>137</v>
      </c>
      <c r="D55" t="s">
        <v>15</v>
      </c>
      <c r="E55" t="s">
        <v>16</v>
      </c>
      <c r="F55" t="s">
        <v>138</v>
      </c>
    </row>
    <row r="56" spans="1:6" hidden="1" x14ac:dyDescent="0.3">
      <c r="A56" t="s">
        <v>139</v>
      </c>
      <c r="B56" t="s">
        <v>9</v>
      </c>
      <c r="C56" t="s">
        <v>140</v>
      </c>
      <c r="D56" t="s">
        <v>15</v>
      </c>
      <c r="E56" t="s">
        <v>16</v>
      </c>
      <c r="F56" t="s">
        <v>141</v>
      </c>
    </row>
    <row r="57" spans="1:6" hidden="1" x14ac:dyDescent="0.3">
      <c r="A57" t="s">
        <v>142</v>
      </c>
      <c r="B57" t="s">
        <v>11</v>
      </c>
      <c r="E57" t="s">
        <v>11</v>
      </c>
    </row>
    <row r="58" spans="1:6" hidden="1" x14ac:dyDescent="0.3">
      <c r="A58" t="s">
        <v>143</v>
      </c>
      <c r="B58" t="s">
        <v>9</v>
      </c>
      <c r="C58" t="s">
        <v>144</v>
      </c>
      <c r="D58" t="s">
        <v>15</v>
      </c>
      <c r="E58" t="s">
        <v>54</v>
      </c>
      <c r="F58" t="s">
        <v>145</v>
      </c>
    </row>
    <row r="59" spans="1:6" hidden="1" x14ac:dyDescent="0.3">
      <c r="A59" t="s">
        <v>146</v>
      </c>
      <c r="B59" t="s">
        <v>13</v>
      </c>
      <c r="C59" t="s">
        <v>147</v>
      </c>
      <c r="E59" t="s">
        <v>16</v>
      </c>
      <c r="F59" t="s">
        <v>148</v>
      </c>
    </row>
    <row r="60" spans="1:6" hidden="1" x14ac:dyDescent="0.3">
      <c r="A60" t="s">
        <v>149</v>
      </c>
      <c r="B60" t="s">
        <v>9</v>
      </c>
      <c r="C60" t="s">
        <v>28</v>
      </c>
      <c r="E60" t="s">
        <v>16</v>
      </c>
      <c r="F60" t="s">
        <v>150</v>
      </c>
    </row>
    <row r="61" spans="1:6" hidden="1" x14ac:dyDescent="0.3">
      <c r="A61" t="s">
        <v>151</v>
      </c>
      <c r="B61" t="s">
        <v>11</v>
      </c>
      <c r="E61" t="s">
        <v>11</v>
      </c>
    </row>
    <row r="62" spans="1:6" hidden="1" x14ac:dyDescent="0.3">
      <c r="A62" t="s">
        <v>152</v>
      </c>
      <c r="B62" t="s">
        <v>13</v>
      </c>
      <c r="C62" t="s">
        <v>153</v>
      </c>
      <c r="D62" t="s">
        <v>15</v>
      </c>
      <c r="E62" t="s">
        <v>16</v>
      </c>
      <c r="F62" t="s">
        <v>154</v>
      </c>
    </row>
    <row r="63" spans="1:6" x14ac:dyDescent="0.3">
      <c r="A63" t="s">
        <v>155</v>
      </c>
      <c r="B63" t="s">
        <v>13</v>
      </c>
      <c r="C63" t="s">
        <v>156</v>
      </c>
      <c r="E63" t="s">
        <v>20</v>
      </c>
      <c r="F63" t="s">
        <v>157</v>
      </c>
    </row>
    <row r="64" spans="1:6" x14ac:dyDescent="0.3">
      <c r="A64" t="s">
        <v>158</v>
      </c>
      <c r="B64" t="s">
        <v>13</v>
      </c>
      <c r="C64" t="s">
        <v>159</v>
      </c>
      <c r="D64" t="s">
        <v>15</v>
      </c>
      <c r="E64" t="s">
        <v>20</v>
      </c>
      <c r="F64" t="s">
        <v>42</v>
      </c>
    </row>
    <row r="65" spans="1:6" hidden="1" x14ac:dyDescent="0.3">
      <c r="A65" t="s">
        <v>160</v>
      </c>
      <c r="B65" t="s">
        <v>9</v>
      </c>
      <c r="C65" t="s">
        <v>161</v>
      </c>
      <c r="E65" t="s">
        <v>11</v>
      </c>
    </row>
    <row r="66" spans="1:6" hidden="1" x14ac:dyDescent="0.3">
      <c r="A66" t="s">
        <v>162</v>
      </c>
      <c r="B66" t="s">
        <v>11</v>
      </c>
      <c r="E66" t="s">
        <v>11</v>
      </c>
    </row>
    <row r="67" spans="1:6" x14ac:dyDescent="0.3">
      <c r="A67" t="s">
        <v>163</v>
      </c>
      <c r="B67" t="s">
        <v>9</v>
      </c>
      <c r="C67" t="s">
        <v>164</v>
      </c>
      <c r="D67" t="s">
        <v>15</v>
      </c>
      <c r="E67" t="s">
        <v>20</v>
      </c>
      <c r="F67" t="s">
        <v>165</v>
      </c>
    </row>
    <row r="68" spans="1:6" hidden="1" x14ac:dyDescent="0.3">
      <c r="A68" t="s">
        <v>166</v>
      </c>
      <c r="B68" t="s">
        <v>9</v>
      </c>
      <c r="C68" t="s">
        <v>167</v>
      </c>
      <c r="D68" t="s">
        <v>15</v>
      </c>
      <c r="E68" t="s">
        <v>54</v>
      </c>
      <c r="F68" t="s">
        <v>168</v>
      </c>
    </row>
    <row r="69" spans="1:6" hidden="1" x14ac:dyDescent="0.3">
      <c r="A69" t="s">
        <v>169</v>
      </c>
      <c r="B69" t="s">
        <v>11</v>
      </c>
      <c r="E69" t="s">
        <v>11</v>
      </c>
    </row>
    <row r="70" spans="1:6" hidden="1" x14ac:dyDescent="0.3">
      <c r="A70" t="s">
        <v>170</v>
      </c>
      <c r="B70" t="s">
        <v>9</v>
      </c>
      <c r="C70" t="s">
        <v>171</v>
      </c>
      <c r="E70" t="s">
        <v>54</v>
      </c>
      <c r="F70" t="s">
        <v>172</v>
      </c>
    </row>
    <row r="71" spans="1:6" x14ac:dyDescent="0.3">
      <c r="A71" t="s">
        <v>173</v>
      </c>
      <c r="B71" t="s">
        <v>13</v>
      </c>
      <c r="C71" t="s">
        <v>174</v>
      </c>
      <c r="D71" t="s">
        <v>15</v>
      </c>
      <c r="E71" t="s">
        <v>20</v>
      </c>
      <c r="F71" t="s">
        <v>175</v>
      </c>
    </row>
    <row r="72" spans="1:6" hidden="1" x14ac:dyDescent="0.3">
      <c r="A72" t="s">
        <v>176</v>
      </c>
      <c r="B72" t="s">
        <v>9</v>
      </c>
      <c r="C72" t="s">
        <v>177</v>
      </c>
      <c r="D72" t="s">
        <v>15</v>
      </c>
      <c r="E72" t="s">
        <v>54</v>
      </c>
      <c r="F72" t="s">
        <v>178</v>
      </c>
    </row>
    <row r="73" spans="1:6" hidden="1" x14ac:dyDescent="0.3">
      <c r="A73" t="s">
        <v>179</v>
      </c>
      <c r="B73" t="s">
        <v>13</v>
      </c>
      <c r="C73" t="s">
        <v>180</v>
      </c>
      <c r="D73" t="s">
        <v>15</v>
      </c>
      <c r="E73" t="s">
        <v>11</v>
      </c>
    </row>
    <row r="74" spans="1:6" x14ac:dyDescent="0.3">
      <c r="A74" t="s">
        <v>181</v>
      </c>
      <c r="B74" t="s">
        <v>13</v>
      </c>
      <c r="C74" t="s">
        <v>182</v>
      </c>
      <c r="D74" t="s">
        <v>15</v>
      </c>
      <c r="E74" t="s">
        <v>20</v>
      </c>
      <c r="F74" t="s">
        <v>117</v>
      </c>
    </row>
    <row r="75" spans="1:6" x14ac:dyDescent="0.3">
      <c r="A75" t="s">
        <v>183</v>
      </c>
      <c r="B75" t="s">
        <v>13</v>
      </c>
      <c r="C75" t="s">
        <v>184</v>
      </c>
      <c r="E75" t="s">
        <v>20</v>
      </c>
      <c r="F75" t="s">
        <v>185</v>
      </c>
    </row>
    <row r="76" spans="1:6" hidden="1" x14ac:dyDescent="0.3">
      <c r="A76" t="s">
        <v>186</v>
      </c>
      <c r="B76" t="s">
        <v>9</v>
      </c>
      <c r="C76" t="s">
        <v>187</v>
      </c>
      <c r="D76" t="s">
        <v>15</v>
      </c>
      <c r="E76" t="s">
        <v>11</v>
      </c>
    </row>
    <row r="77" spans="1:6" hidden="1" x14ac:dyDescent="0.3">
      <c r="A77" t="s">
        <v>188</v>
      </c>
      <c r="B77" t="s">
        <v>13</v>
      </c>
      <c r="C77" t="s">
        <v>189</v>
      </c>
      <c r="D77" t="s">
        <v>15</v>
      </c>
      <c r="E77" t="s">
        <v>16</v>
      </c>
      <c r="F77" t="s">
        <v>190</v>
      </c>
    </row>
    <row r="78" spans="1:6" x14ac:dyDescent="0.3">
      <c r="A78" t="s">
        <v>191</v>
      </c>
      <c r="B78" t="s">
        <v>9</v>
      </c>
      <c r="C78" t="s">
        <v>192</v>
      </c>
      <c r="D78" t="s">
        <v>15</v>
      </c>
      <c r="E78" t="s">
        <v>20</v>
      </c>
      <c r="F78" t="s">
        <v>193</v>
      </c>
    </row>
    <row r="79" spans="1:6" hidden="1" x14ac:dyDescent="0.3">
      <c r="A79" t="s">
        <v>194</v>
      </c>
      <c r="B79" t="s">
        <v>11</v>
      </c>
      <c r="E79" t="s">
        <v>11</v>
      </c>
    </row>
    <row r="80" spans="1:6" hidden="1" x14ac:dyDescent="0.3">
      <c r="A80" t="s">
        <v>195</v>
      </c>
      <c r="B80" t="s">
        <v>9</v>
      </c>
      <c r="C80" t="s">
        <v>196</v>
      </c>
      <c r="D80" t="s">
        <v>15</v>
      </c>
      <c r="E80" t="s">
        <v>197</v>
      </c>
      <c r="F80" t="s">
        <v>198</v>
      </c>
    </row>
    <row r="81" spans="1:6" x14ac:dyDescent="0.3">
      <c r="A81" t="s">
        <v>199</v>
      </c>
      <c r="B81" t="s">
        <v>9</v>
      </c>
      <c r="C81" t="s">
        <v>200</v>
      </c>
      <c r="D81" t="s">
        <v>15</v>
      </c>
      <c r="E81" t="s">
        <v>20</v>
      </c>
      <c r="F81" t="s">
        <v>201</v>
      </c>
    </row>
    <row r="82" spans="1:6" x14ac:dyDescent="0.3">
      <c r="A82" t="s">
        <v>202</v>
      </c>
      <c r="B82" t="s">
        <v>9</v>
      </c>
      <c r="C82" t="s">
        <v>203</v>
      </c>
      <c r="E82" t="s">
        <v>20</v>
      </c>
      <c r="F82" t="s">
        <v>185</v>
      </c>
    </row>
    <row r="83" spans="1:6" hidden="1" x14ac:dyDescent="0.3">
      <c r="A83" t="s">
        <v>204</v>
      </c>
      <c r="B83" t="s">
        <v>9</v>
      </c>
      <c r="C83" t="s">
        <v>28</v>
      </c>
      <c r="E83" t="s">
        <v>11</v>
      </c>
    </row>
    <row r="84" spans="1:6" hidden="1" x14ac:dyDescent="0.3">
      <c r="A84" t="s">
        <v>205</v>
      </c>
      <c r="B84" t="s">
        <v>13</v>
      </c>
      <c r="C84" t="s">
        <v>206</v>
      </c>
      <c r="E84" t="s">
        <v>11</v>
      </c>
    </row>
    <row r="85" spans="1:6" hidden="1" x14ac:dyDescent="0.3">
      <c r="A85" t="s">
        <v>207</v>
      </c>
      <c r="B85" t="s">
        <v>9</v>
      </c>
      <c r="C85" t="s">
        <v>208</v>
      </c>
      <c r="D85" t="s">
        <v>15</v>
      </c>
      <c r="E85" t="s">
        <v>11</v>
      </c>
    </row>
    <row r="86" spans="1:6" hidden="1" x14ac:dyDescent="0.3">
      <c r="A86" t="s">
        <v>209</v>
      </c>
      <c r="B86" t="s">
        <v>11</v>
      </c>
      <c r="E86" t="s">
        <v>11</v>
      </c>
    </row>
    <row r="87" spans="1:6" hidden="1" x14ac:dyDescent="0.3">
      <c r="A87" t="s">
        <v>210</v>
      </c>
      <c r="B87" t="s">
        <v>13</v>
      </c>
      <c r="C87" t="s">
        <v>211</v>
      </c>
      <c r="D87" t="s">
        <v>15</v>
      </c>
      <c r="E87" t="s">
        <v>16</v>
      </c>
      <c r="F87" t="s">
        <v>212</v>
      </c>
    </row>
    <row r="88" spans="1:6" hidden="1" x14ac:dyDescent="0.3">
      <c r="A88" t="s">
        <v>213</v>
      </c>
      <c r="B88" t="s">
        <v>11</v>
      </c>
      <c r="E88" t="s">
        <v>11</v>
      </c>
    </row>
    <row r="89" spans="1:6" hidden="1" x14ac:dyDescent="0.3">
      <c r="A89" t="s">
        <v>214</v>
      </c>
      <c r="B89" t="s">
        <v>13</v>
      </c>
      <c r="C89" t="s">
        <v>215</v>
      </c>
      <c r="E89" t="s">
        <v>11</v>
      </c>
    </row>
    <row r="90" spans="1:6" hidden="1" x14ac:dyDescent="0.3">
      <c r="A90" t="s">
        <v>216</v>
      </c>
      <c r="B90" t="s">
        <v>9</v>
      </c>
      <c r="C90" t="s">
        <v>28</v>
      </c>
      <c r="E90" t="s">
        <v>11</v>
      </c>
    </row>
    <row r="91" spans="1:6" hidden="1" x14ac:dyDescent="0.3">
      <c r="A91" t="s">
        <v>217</v>
      </c>
      <c r="B91" t="s">
        <v>9</v>
      </c>
      <c r="C91" t="s">
        <v>51</v>
      </c>
      <c r="E91" t="s">
        <v>54</v>
      </c>
      <c r="F91" t="s">
        <v>218</v>
      </c>
    </row>
    <row r="92" spans="1:6" hidden="1" x14ac:dyDescent="0.3">
      <c r="A92" t="s">
        <v>219</v>
      </c>
      <c r="B92" t="s">
        <v>13</v>
      </c>
      <c r="C92" t="s">
        <v>220</v>
      </c>
      <c r="D92" t="s">
        <v>15</v>
      </c>
      <c r="E92" t="s">
        <v>16</v>
      </c>
      <c r="F92" t="s">
        <v>221</v>
      </c>
    </row>
    <row r="93" spans="1:6" hidden="1" x14ac:dyDescent="0.3">
      <c r="A93" t="s">
        <v>222</v>
      </c>
      <c r="B93" t="s">
        <v>9</v>
      </c>
      <c r="C93" t="s">
        <v>28</v>
      </c>
      <c r="E93" t="s">
        <v>11</v>
      </c>
    </row>
    <row r="94" spans="1:6" hidden="1" x14ac:dyDescent="0.3">
      <c r="A94" t="s">
        <v>223</v>
      </c>
      <c r="B94" t="s">
        <v>9</v>
      </c>
      <c r="C94" t="s">
        <v>224</v>
      </c>
      <c r="D94" t="s">
        <v>15</v>
      </c>
      <c r="E94" t="s">
        <v>54</v>
      </c>
      <c r="F94" t="s">
        <v>225</v>
      </c>
    </row>
    <row r="95" spans="1:6" x14ac:dyDescent="0.3">
      <c r="A95" t="s">
        <v>226</v>
      </c>
      <c r="B95" t="s">
        <v>9</v>
      </c>
      <c r="C95" t="s">
        <v>227</v>
      </c>
      <c r="D95" t="s">
        <v>15</v>
      </c>
      <c r="E95" t="s">
        <v>20</v>
      </c>
      <c r="F95" t="s">
        <v>117</v>
      </c>
    </row>
    <row r="96" spans="1:6" x14ac:dyDescent="0.3">
      <c r="A96" t="s">
        <v>228</v>
      </c>
      <c r="B96" t="s">
        <v>9</v>
      </c>
      <c r="C96" t="s">
        <v>229</v>
      </c>
      <c r="E96" t="s">
        <v>20</v>
      </c>
      <c r="F96" t="s">
        <v>42</v>
      </c>
    </row>
    <row r="97" spans="1:6" hidden="1" x14ac:dyDescent="0.3">
      <c r="A97" t="s">
        <v>230</v>
      </c>
      <c r="B97" t="s">
        <v>13</v>
      </c>
      <c r="C97" t="s">
        <v>231</v>
      </c>
      <c r="E97" t="s">
        <v>11</v>
      </c>
    </row>
    <row r="98" spans="1:6" hidden="1" x14ac:dyDescent="0.3">
      <c r="A98" t="s">
        <v>232</v>
      </c>
      <c r="B98" t="s">
        <v>9</v>
      </c>
      <c r="C98" t="s">
        <v>28</v>
      </c>
      <c r="E98" t="s">
        <v>11</v>
      </c>
    </row>
    <row r="99" spans="1:6" hidden="1" x14ac:dyDescent="0.3">
      <c r="A99" t="s">
        <v>233</v>
      </c>
      <c r="B99" t="s">
        <v>11</v>
      </c>
      <c r="E99" t="s">
        <v>11</v>
      </c>
    </row>
    <row r="100" spans="1:6" hidden="1" x14ac:dyDescent="0.3">
      <c r="A100" t="s">
        <v>234</v>
      </c>
      <c r="B100" t="s">
        <v>13</v>
      </c>
      <c r="C100" t="s">
        <v>235</v>
      </c>
      <c r="E100" t="s">
        <v>11</v>
      </c>
    </row>
    <row r="101" spans="1:6" hidden="1" x14ac:dyDescent="0.3">
      <c r="A101" t="s">
        <v>236</v>
      </c>
      <c r="B101" t="s">
        <v>9</v>
      </c>
      <c r="C101" t="s">
        <v>28</v>
      </c>
      <c r="E101" t="s">
        <v>11</v>
      </c>
    </row>
    <row r="102" spans="1:6" hidden="1" x14ac:dyDescent="0.3">
      <c r="A102" t="s">
        <v>237</v>
      </c>
      <c r="B102" t="s">
        <v>11</v>
      </c>
      <c r="E102" t="s">
        <v>11</v>
      </c>
    </row>
    <row r="103" spans="1:6" hidden="1" x14ac:dyDescent="0.3">
      <c r="A103" t="s">
        <v>238</v>
      </c>
      <c r="B103" t="s">
        <v>13</v>
      </c>
      <c r="C103" t="s">
        <v>239</v>
      </c>
      <c r="D103" t="s">
        <v>15</v>
      </c>
      <c r="E103" t="s">
        <v>11</v>
      </c>
    </row>
    <row r="104" spans="1:6" hidden="1" x14ac:dyDescent="0.3">
      <c r="A104" t="s">
        <v>240</v>
      </c>
      <c r="B104" t="s">
        <v>13</v>
      </c>
      <c r="C104" t="s">
        <v>65</v>
      </c>
      <c r="E104" t="s">
        <v>11</v>
      </c>
    </row>
    <row r="105" spans="1:6" hidden="1" x14ac:dyDescent="0.3">
      <c r="A105" t="s">
        <v>241</v>
      </c>
      <c r="B105" t="s">
        <v>11</v>
      </c>
      <c r="E105" t="s">
        <v>11</v>
      </c>
    </row>
    <row r="106" spans="1:6" hidden="1" x14ac:dyDescent="0.3">
      <c r="A106" t="s">
        <v>242</v>
      </c>
      <c r="B106" t="s">
        <v>13</v>
      </c>
      <c r="C106" t="s">
        <v>243</v>
      </c>
      <c r="D106" t="s">
        <v>15</v>
      </c>
      <c r="E106" t="s">
        <v>11</v>
      </c>
    </row>
    <row r="107" spans="1:6" hidden="1" x14ac:dyDescent="0.3">
      <c r="A107" t="s">
        <v>244</v>
      </c>
      <c r="B107" t="s">
        <v>13</v>
      </c>
      <c r="C107" t="s">
        <v>245</v>
      </c>
      <c r="E107" t="s">
        <v>11</v>
      </c>
    </row>
    <row r="108" spans="1:6" hidden="1" x14ac:dyDescent="0.3">
      <c r="A108" t="s">
        <v>246</v>
      </c>
      <c r="B108" t="s">
        <v>9</v>
      </c>
      <c r="C108" t="s">
        <v>247</v>
      </c>
      <c r="D108" t="s">
        <v>15</v>
      </c>
      <c r="E108" t="s">
        <v>11</v>
      </c>
    </row>
    <row r="109" spans="1:6" hidden="1" x14ac:dyDescent="0.3">
      <c r="A109" t="s">
        <v>248</v>
      </c>
      <c r="B109" t="s">
        <v>9</v>
      </c>
      <c r="C109" t="s">
        <v>249</v>
      </c>
      <c r="D109" t="s">
        <v>15</v>
      </c>
      <c r="E109" t="s">
        <v>11</v>
      </c>
    </row>
    <row r="110" spans="1:6" hidden="1" x14ac:dyDescent="0.3">
      <c r="A110" t="s">
        <v>250</v>
      </c>
      <c r="B110" t="s">
        <v>9</v>
      </c>
      <c r="C110" t="s">
        <v>28</v>
      </c>
      <c r="E110" t="s">
        <v>11</v>
      </c>
    </row>
    <row r="111" spans="1:6" hidden="1" x14ac:dyDescent="0.3">
      <c r="A111" t="s">
        <v>251</v>
      </c>
      <c r="B111" t="s">
        <v>197</v>
      </c>
      <c r="C111" t="s">
        <v>252</v>
      </c>
      <c r="D111" t="s">
        <v>15</v>
      </c>
      <c r="E111" t="s">
        <v>16</v>
      </c>
      <c r="F111" t="s">
        <v>253</v>
      </c>
    </row>
    <row r="112" spans="1:6" hidden="1" x14ac:dyDescent="0.3">
      <c r="A112" t="s">
        <v>254</v>
      </c>
      <c r="B112" t="s">
        <v>13</v>
      </c>
      <c r="C112" t="s">
        <v>255</v>
      </c>
      <c r="E112" t="s">
        <v>11</v>
      </c>
    </row>
    <row r="113" spans="1:6" hidden="1" x14ac:dyDescent="0.3">
      <c r="A113" t="s">
        <v>256</v>
      </c>
      <c r="B113" t="s">
        <v>11</v>
      </c>
      <c r="E113" t="s">
        <v>11</v>
      </c>
    </row>
    <row r="114" spans="1:6" x14ac:dyDescent="0.3">
      <c r="A114" t="s">
        <v>257</v>
      </c>
      <c r="B114" t="s">
        <v>13</v>
      </c>
      <c r="C114" t="s">
        <v>258</v>
      </c>
      <c r="D114" t="s">
        <v>15</v>
      </c>
      <c r="E114" t="s">
        <v>20</v>
      </c>
      <c r="F114" t="s">
        <v>130</v>
      </c>
    </row>
    <row r="115" spans="1:6" hidden="1" x14ac:dyDescent="0.3">
      <c r="A115" t="s">
        <v>259</v>
      </c>
      <c r="B115" t="s">
        <v>11</v>
      </c>
      <c r="E115" t="s">
        <v>11</v>
      </c>
    </row>
    <row r="116" spans="1:6" hidden="1" x14ac:dyDescent="0.3">
      <c r="A116" t="s">
        <v>260</v>
      </c>
      <c r="B116" t="s">
        <v>13</v>
      </c>
      <c r="C116" t="s">
        <v>261</v>
      </c>
      <c r="E116" t="s">
        <v>11</v>
      </c>
    </row>
    <row r="117" spans="1:6" hidden="1" x14ac:dyDescent="0.3">
      <c r="A117" t="s">
        <v>262</v>
      </c>
      <c r="B117" t="s">
        <v>13</v>
      </c>
      <c r="C117" t="s">
        <v>263</v>
      </c>
      <c r="E117" t="s">
        <v>11</v>
      </c>
    </row>
    <row r="118" spans="1:6" hidden="1" x14ac:dyDescent="0.3">
      <c r="A118" t="s">
        <v>264</v>
      </c>
      <c r="B118" t="s">
        <v>9</v>
      </c>
      <c r="C118" t="s">
        <v>265</v>
      </c>
      <c r="D118" t="s">
        <v>15</v>
      </c>
      <c r="E118" t="s">
        <v>11</v>
      </c>
    </row>
    <row r="119" spans="1:6" hidden="1" x14ac:dyDescent="0.3">
      <c r="A119" t="s">
        <v>266</v>
      </c>
      <c r="B119" t="s">
        <v>9</v>
      </c>
      <c r="C119" t="s">
        <v>267</v>
      </c>
      <c r="E119" t="s">
        <v>11</v>
      </c>
    </row>
    <row r="120" spans="1:6" hidden="1" x14ac:dyDescent="0.3">
      <c r="A120" t="s">
        <v>268</v>
      </c>
      <c r="B120" t="s">
        <v>9</v>
      </c>
      <c r="C120" t="s">
        <v>269</v>
      </c>
      <c r="D120" t="s">
        <v>15</v>
      </c>
      <c r="E120" t="s">
        <v>16</v>
      </c>
      <c r="F120" t="s">
        <v>270</v>
      </c>
    </row>
    <row r="121" spans="1:6" hidden="1" x14ac:dyDescent="0.3">
      <c r="A121" t="s">
        <v>271</v>
      </c>
      <c r="B121" t="s">
        <v>13</v>
      </c>
      <c r="C121" t="s">
        <v>272</v>
      </c>
      <c r="E121" t="s">
        <v>11</v>
      </c>
    </row>
    <row r="122" spans="1:6" hidden="1" x14ac:dyDescent="0.3">
      <c r="A122" t="s">
        <v>273</v>
      </c>
      <c r="B122" t="s">
        <v>13</v>
      </c>
      <c r="C122" t="s">
        <v>274</v>
      </c>
      <c r="E122" t="s">
        <v>11</v>
      </c>
    </row>
    <row r="123" spans="1:6" hidden="1" x14ac:dyDescent="0.3">
      <c r="A123" t="s">
        <v>275</v>
      </c>
      <c r="B123" t="s">
        <v>11</v>
      </c>
      <c r="E123" t="s">
        <v>11</v>
      </c>
    </row>
    <row r="124" spans="1:6" hidden="1" x14ac:dyDescent="0.3">
      <c r="A124" t="s">
        <v>276</v>
      </c>
      <c r="B124" t="s">
        <v>9</v>
      </c>
      <c r="C124" t="s">
        <v>28</v>
      </c>
      <c r="E124" t="s">
        <v>11</v>
      </c>
    </row>
    <row r="125" spans="1:6" x14ac:dyDescent="0.3">
      <c r="A125" t="s">
        <v>277</v>
      </c>
      <c r="B125" t="s">
        <v>9</v>
      </c>
      <c r="C125" t="s">
        <v>278</v>
      </c>
      <c r="D125" t="s">
        <v>15</v>
      </c>
      <c r="E125" t="s">
        <v>20</v>
      </c>
      <c r="F125" t="s">
        <v>117</v>
      </c>
    </row>
    <row r="126" spans="1:6" hidden="1" x14ac:dyDescent="0.3">
      <c r="A126" t="s">
        <v>279</v>
      </c>
      <c r="B126" t="s">
        <v>11</v>
      </c>
      <c r="E126" t="s">
        <v>11</v>
      </c>
    </row>
    <row r="127" spans="1:6" hidden="1" x14ac:dyDescent="0.3">
      <c r="A127" t="s">
        <v>280</v>
      </c>
      <c r="B127" t="s">
        <v>11</v>
      </c>
      <c r="E127" t="s">
        <v>11</v>
      </c>
    </row>
    <row r="128" spans="1:6" hidden="1" x14ac:dyDescent="0.3">
      <c r="A128" t="s">
        <v>281</v>
      </c>
      <c r="B128" t="s">
        <v>11</v>
      </c>
      <c r="E128" t="s">
        <v>11</v>
      </c>
    </row>
    <row r="129" spans="1:6" hidden="1" x14ac:dyDescent="0.3">
      <c r="A129" t="s">
        <v>282</v>
      </c>
      <c r="B129" t="s">
        <v>13</v>
      </c>
      <c r="C129" t="s">
        <v>283</v>
      </c>
      <c r="E129" t="s">
        <v>11</v>
      </c>
    </row>
    <row r="130" spans="1:6" hidden="1" x14ac:dyDescent="0.3">
      <c r="A130" t="s">
        <v>284</v>
      </c>
      <c r="B130" t="s">
        <v>9</v>
      </c>
      <c r="C130" t="s">
        <v>28</v>
      </c>
      <c r="E130" t="s">
        <v>11</v>
      </c>
    </row>
    <row r="131" spans="1:6" hidden="1" x14ac:dyDescent="0.3">
      <c r="A131" t="s">
        <v>285</v>
      </c>
      <c r="B131" t="s">
        <v>13</v>
      </c>
      <c r="C131" t="s">
        <v>245</v>
      </c>
      <c r="E131" t="s">
        <v>16</v>
      </c>
      <c r="F131" t="s">
        <v>286</v>
      </c>
    </row>
    <row r="132" spans="1:6" hidden="1" x14ac:dyDescent="0.3">
      <c r="A132" t="s">
        <v>287</v>
      </c>
      <c r="B132" t="s">
        <v>9</v>
      </c>
      <c r="C132" t="s">
        <v>28</v>
      </c>
      <c r="E132" t="s">
        <v>16</v>
      </c>
      <c r="F132" t="s">
        <v>288</v>
      </c>
    </row>
    <row r="133" spans="1:6" x14ac:dyDescent="0.3">
      <c r="A133" t="s">
        <v>289</v>
      </c>
      <c r="B133" t="s">
        <v>13</v>
      </c>
      <c r="C133" t="s">
        <v>245</v>
      </c>
      <c r="D133" t="s">
        <v>15</v>
      </c>
      <c r="E133" t="s">
        <v>20</v>
      </c>
      <c r="F133" t="s">
        <v>290</v>
      </c>
    </row>
    <row r="134" spans="1:6" hidden="1" x14ac:dyDescent="0.3">
      <c r="A134" t="s">
        <v>291</v>
      </c>
      <c r="B134" t="s">
        <v>13</v>
      </c>
      <c r="C134" t="s">
        <v>292</v>
      </c>
      <c r="D134" t="s">
        <v>15</v>
      </c>
      <c r="E134" t="s">
        <v>11</v>
      </c>
    </row>
    <row r="135" spans="1:6" hidden="1" x14ac:dyDescent="0.3">
      <c r="A135" t="s">
        <v>293</v>
      </c>
      <c r="B135" t="s">
        <v>11</v>
      </c>
      <c r="E135" t="s">
        <v>11</v>
      </c>
    </row>
    <row r="136" spans="1:6" hidden="1" x14ac:dyDescent="0.3">
      <c r="A136" t="s">
        <v>294</v>
      </c>
      <c r="B136" t="s">
        <v>9</v>
      </c>
      <c r="C136" t="s">
        <v>295</v>
      </c>
      <c r="D136" t="s">
        <v>15</v>
      </c>
      <c r="E136" t="s">
        <v>11</v>
      </c>
    </row>
    <row r="137" spans="1:6" x14ac:dyDescent="0.3">
      <c r="A137" t="s">
        <v>296</v>
      </c>
      <c r="B137" t="s">
        <v>9</v>
      </c>
      <c r="C137" t="s">
        <v>297</v>
      </c>
      <c r="E137" t="s">
        <v>20</v>
      </c>
      <c r="F137" t="s">
        <v>298</v>
      </c>
    </row>
    <row r="138" spans="1:6" hidden="1" x14ac:dyDescent="0.3">
      <c r="A138" t="s">
        <v>299</v>
      </c>
      <c r="B138" t="s">
        <v>9</v>
      </c>
      <c r="C138" t="s">
        <v>28</v>
      </c>
      <c r="E138" t="s">
        <v>11</v>
      </c>
    </row>
    <row r="139" spans="1:6" hidden="1" x14ac:dyDescent="0.3">
      <c r="A139" t="s">
        <v>300</v>
      </c>
      <c r="B139" t="s">
        <v>9</v>
      </c>
      <c r="C139" t="s">
        <v>301</v>
      </c>
      <c r="E139" t="s">
        <v>54</v>
      </c>
      <c r="F139" t="s">
        <v>302</v>
      </c>
    </row>
    <row r="140" spans="1:6" hidden="1" x14ac:dyDescent="0.3">
      <c r="A140" t="s">
        <v>303</v>
      </c>
      <c r="B140" t="s">
        <v>13</v>
      </c>
      <c r="C140" t="s">
        <v>304</v>
      </c>
      <c r="D140" t="s">
        <v>15</v>
      </c>
      <c r="E140" t="s">
        <v>11</v>
      </c>
    </row>
    <row r="141" spans="1:6" hidden="1" x14ac:dyDescent="0.3">
      <c r="A141" t="s">
        <v>305</v>
      </c>
      <c r="B141" t="s">
        <v>11</v>
      </c>
      <c r="E141" t="s">
        <v>11</v>
      </c>
    </row>
    <row r="142" spans="1:6" hidden="1" x14ac:dyDescent="0.3">
      <c r="A142" t="s">
        <v>306</v>
      </c>
      <c r="B142" t="s">
        <v>13</v>
      </c>
      <c r="C142" t="s">
        <v>245</v>
      </c>
      <c r="D142" t="s">
        <v>15</v>
      </c>
      <c r="E142" t="s">
        <v>11</v>
      </c>
    </row>
    <row r="143" spans="1:6" hidden="1" x14ac:dyDescent="0.3">
      <c r="A143" t="s">
        <v>307</v>
      </c>
      <c r="B143" t="s">
        <v>9</v>
      </c>
      <c r="C143" t="s">
        <v>224</v>
      </c>
      <c r="D143" t="s">
        <v>15</v>
      </c>
      <c r="E143" t="s">
        <v>54</v>
      </c>
      <c r="F143" t="s">
        <v>308</v>
      </c>
    </row>
    <row r="144" spans="1:6" hidden="1" x14ac:dyDescent="0.3">
      <c r="A144" t="s">
        <v>309</v>
      </c>
      <c r="B144" t="s">
        <v>9</v>
      </c>
      <c r="C144" t="s">
        <v>28</v>
      </c>
      <c r="D144" t="s">
        <v>15</v>
      </c>
      <c r="E144" t="s">
        <v>16</v>
      </c>
      <c r="F144" t="s">
        <v>286</v>
      </c>
    </row>
    <row r="145" spans="1:6" hidden="1" x14ac:dyDescent="0.3">
      <c r="A145" t="s">
        <v>310</v>
      </c>
      <c r="B145" t="s">
        <v>9</v>
      </c>
      <c r="C145" t="s">
        <v>28</v>
      </c>
      <c r="E145" t="s">
        <v>11</v>
      </c>
    </row>
    <row r="146" spans="1:6" hidden="1" x14ac:dyDescent="0.3">
      <c r="A146" t="s">
        <v>311</v>
      </c>
      <c r="B146" t="s">
        <v>11</v>
      </c>
      <c r="E146" t="s">
        <v>11</v>
      </c>
    </row>
    <row r="147" spans="1:6" x14ac:dyDescent="0.3">
      <c r="A147" t="s">
        <v>312</v>
      </c>
      <c r="B147" t="s">
        <v>13</v>
      </c>
      <c r="C147" t="s">
        <v>245</v>
      </c>
      <c r="E147" t="s">
        <v>20</v>
      </c>
      <c r="F147" t="s">
        <v>21</v>
      </c>
    </row>
    <row r="148" spans="1:6" hidden="1" x14ac:dyDescent="0.3">
      <c r="A148" t="s">
        <v>313</v>
      </c>
      <c r="B148" t="s">
        <v>13</v>
      </c>
      <c r="C148" t="s">
        <v>314</v>
      </c>
      <c r="E148" t="s">
        <v>11</v>
      </c>
    </row>
    <row r="149" spans="1:6" hidden="1" x14ac:dyDescent="0.3">
      <c r="A149" t="s">
        <v>315</v>
      </c>
      <c r="B149" t="s">
        <v>11</v>
      </c>
      <c r="E149" t="s">
        <v>11</v>
      </c>
    </row>
    <row r="150" spans="1:6" hidden="1" x14ac:dyDescent="0.3">
      <c r="A150" t="s">
        <v>316</v>
      </c>
      <c r="B150" t="s">
        <v>9</v>
      </c>
      <c r="C150" t="s">
        <v>317</v>
      </c>
      <c r="E150" t="s">
        <v>11</v>
      </c>
    </row>
    <row r="151" spans="1:6" hidden="1" x14ac:dyDescent="0.3">
      <c r="A151" t="s">
        <v>318</v>
      </c>
      <c r="B151" t="s">
        <v>9</v>
      </c>
      <c r="C151" t="s">
        <v>319</v>
      </c>
      <c r="D151" t="s">
        <v>15</v>
      </c>
      <c r="E151" t="s">
        <v>11</v>
      </c>
    </row>
    <row r="152" spans="1:6" hidden="1" x14ac:dyDescent="0.3">
      <c r="A152" t="s">
        <v>320</v>
      </c>
      <c r="B152" t="s">
        <v>11</v>
      </c>
      <c r="E152" t="s">
        <v>11</v>
      </c>
    </row>
    <row r="153" spans="1:6" hidden="1" x14ac:dyDescent="0.3">
      <c r="A153" t="s">
        <v>321</v>
      </c>
      <c r="B153" t="s">
        <v>11</v>
      </c>
      <c r="E153" t="s">
        <v>11</v>
      </c>
    </row>
    <row r="154" spans="1:6" hidden="1" x14ac:dyDescent="0.3">
      <c r="A154" t="s">
        <v>322</v>
      </c>
      <c r="B154" t="s">
        <v>11</v>
      </c>
      <c r="E154" t="s">
        <v>11</v>
      </c>
    </row>
    <row r="155" spans="1:6" hidden="1" x14ac:dyDescent="0.3">
      <c r="A155" t="s">
        <v>323</v>
      </c>
      <c r="B155" t="s">
        <v>13</v>
      </c>
      <c r="C155" t="s">
        <v>65</v>
      </c>
      <c r="E155" t="s">
        <v>11</v>
      </c>
    </row>
    <row r="156" spans="1:6" hidden="1" x14ac:dyDescent="0.3">
      <c r="A156" t="s">
        <v>324</v>
      </c>
      <c r="B156" t="s">
        <v>11</v>
      </c>
      <c r="E156" t="s">
        <v>11</v>
      </c>
    </row>
    <row r="157" spans="1:6" hidden="1" x14ac:dyDescent="0.3">
      <c r="A157" t="s">
        <v>325</v>
      </c>
      <c r="B157" t="s">
        <v>11</v>
      </c>
      <c r="E157" t="s">
        <v>11</v>
      </c>
    </row>
    <row r="158" spans="1:6" hidden="1" x14ac:dyDescent="0.3">
      <c r="A158" t="s">
        <v>326</v>
      </c>
      <c r="B158" t="s">
        <v>13</v>
      </c>
      <c r="C158" t="s">
        <v>327</v>
      </c>
      <c r="D158" t="s">
        <v>15</v>
      </c>
      <c r="E158" t="s">
        <v>11</v>
      </c>
    </row>
    <row r="159" spans="1:6" x14ac:dyDescent="0.3">
      <c r="A159" t="s">
        <v>328</v>
      </c>
      <c r="B159" t="s">
        <v>13</v>
      </c>
      <c r="C159" t="s">
        <v>329</v>
      </c>
      <c r="D159" t="s">
        <v>15</v>
      </c>
      <c r="E159" t="s">
        <v>20</v>
      </c>
      <c r="F159" t="s">
        <v>330</v>
      </c>
    </row>
    <row r="160" spans="1:6" hidden="1" x14ac:dyDescent="0.3">
      <c r="A160" t="s">
        <v>331</v>
      </c>
      <c r="B160" t="s">
        <v>11</v>
      </c>
      <c r="E160" t="s">
        <v>11</v>
      </c>
    </row>
    <row r="161" spans="1:6" hidden="1" x14ac:dyDescent="0.3">
      <c r="A161" t="s">
        <v>332</v>
      </c>
      <c r="B161" t="s">
        <v>9</v>
      </c>
      <c r="C161" t="s">
        <v>28</v>
      </c>
      <c r="E161" t="s">
        <v>11</v>
      </c>
    </row>
    <row r="162" spans="1:6" hidden="1" x14ac:dyDescent="0.3">
      <c r="A162" t="s">
        <v>333</v>
      </c>
      <c r="B162" t="s">
        <v>9</v>
      </c>
      <c r="C162" t="s">
        <v>334</v>
      </c>
      <c r="E162" t="s">
        <v>11</v>
      </c>
    </row>
    <row r="163" spans="1:6" x14ac:dyDescent="0.3">
      <c r="A163" t="s">
        <v>335</v>
      </c>
      <c r="B163" t="s">
        <v>13</v>
      </c>
      <c r="C163" t="s">
        <v>336</v>
      </c>
      <c r="D163" t="s">
        <v>15</v>
      </c>
      <c r="E163" t="s">
        <v>20</v>
      </c>
      <c r="F163" t="s">
        <v>337</v>
      </c>
    </row>
    <row r="164" spans="1:6" hidden="1" x14ac:dyDescent="0.3">
      <c r="A164" t="s">
        <v>338</v>
      </c>
      <c r="B164" t="s">
        <v>9</v>
      </c>
      <c r="C164" t="s">
        <v>339</v>
      </c>
      <c r="E164" t="s">
        <v>11</v>
      </c>
    </row>
    <row r="165" spans="1:6" hidden="1" x14ac:dyDescent="0.3">
      <c r="A165" t="s">
        <v>340</v>
      </c>
      <c r="B165" t="s">
        <v>9</v>
      </c>
      <c r="C165" t="s">
        <v>341</v>
      </c>
      <c r="D165" t="s">
        <v>15</v>
      </c>
      <c r="E165" t="s">
        <v>11</v>
      </c>
    </row>
    <row r="166" spans="1:6" hidden="1" x14ac:dyDescent="0.3">
      <c r="A166" t="s">
        <v>342</v>
      </c>
      <c r="B166" t="s">
        <v>9</v>
      </c>
      <c r="C166" t="s">
        <v>343</v>
      </c>
      <c r="E166" t="s">
        <v>11</v>
      </c>
    </row>
    <row r="167" spans="1:6" hidden="1" x14ac:dyDescent="0.3">
      <c r="A167" t="s">
        <v>344</v>
      </c>
      <c r="B167" t="s">
        <v>9</v>
      </c>
      <c r="C167" t="s">
        <v>28</v>
      </c>
      <c r="E167" t="s">
        <v>11</v>
      </c>
    </row>
    <row r="168" spans="1:6" x14ac:dyDescent="0.3">
      <c r="A168" t="s">
        <v>345</v>
      </c>
      <c r="B168" t="s">
        <v>13</v>
      </c>
      <c r="C168" t="s">
        <v>346</v>
      </c>
      <c r="E168" t="s">
        <v>20</v>
      </c>
      <c r="F168" t="s">
        <v>330</v>
      </c>
    </row>
    <row r="169" spans="1:6" hidden="1" x14ac:dyDescent="0.3">
      <c r="A169" t="s">
        <v>347</v>
      </c>
      <c r="B169" t="s">
        <v>9</v>
      </c>
      <c r="C169" t="s">
        <v>28</v>
      </c>
      <c r="E169" t="s">
        <v>11</v>
      </c>
    </row>
    <row r="170" spans="1:6" hidden="1" x14ac:dyDescent="0.3">
      <c r="A170" t="s">
        <v>348</v>
      </c>
      <c r="B170" t="s">
        <v>9</v>
      </c>
      <c r="C170" t="s">
        <v>339</v>
      </c>
      <c r="E170" t="s">
        <v>11</v>
      </c>
    </row>
    <row r="171" spans="1:6" hidden="1" x14ac:dyDescent="0.3">
      <c r="A171" t="s">
        <v>349</v>
      </c>
      <c r="B171" t="s">
        <v>11</v>
      </c>
      <c r="E171" t="s">
        <v>11</v>
      </c>
    </row>
    <row r="172" spans="1:6" hidden="1" x14ac:dyDescent="0.3">
      <c r="A172" t="s">
        <v>350</v>
      </c>
      <c r="B172" t="s">
        <v>11</v>
      </c>
      <c r="E172" t="s">
        <v>11</v>
      </c>
    </row>
    <row r="173" spans="1:6" hidden="1" x14ac:dyDescent="0.3">
      <c r="A173" t="s">
        <v>351</v>
      </c>
      <c r="B173" t="s">
        <v>11</v>
      </c>
      <c r="E173" t="s">
        <v>11</v>
      </c>
    </row>
    <row r="174" spans="1:6" hidden="1" x14ac:dyDescent="0.3">
      <c r="A174" t="s">
        <v>352</v>
      </c>
      <c r="B174" t="s">
        <v>9</v>
      </c>
      <c r="C174" t="s">
        <v>28</v>
      </c>
      <c r="E174" t="s">
        <v>11</v>
      </c>
    </row>
    <row r="175" spans="1:6" x14ac:dyDescent="0.3">
      <c r="A175" t="s">
        <v>353</v>
      </c>
      <c r="B175" t="s">
        <v>9</v>
      </c>
      <c r="C175" t="s">
        <v>354</v>
      </c>
      <c r="E175" t="s">
        <v>20</v>
      </c>
      <c r="F175" t="s">
        <v>330</v>
      </c>
    </row>
    <row r="176" spans="1:6" hidden="1" x14ac:dyDescent="0.3">
      <c r="A176" t="s">
        <v>355</v>
      </c>
      <c r="B176" t="s">
        <v>9</v>
      </c>
      <c r="C176" t="s">
        <v>356</v>
      </c>
      <c r="D176" t="s">
        <v>15</v>
      </c>
      <c r="E176" t="s">
        <v>54</v>
      </c>
      <c r="F176" t="s">
        <v>357</v>
      </c>
    </row>
    <row r="177" spans="1:6" hidden="1" x14ac:dyDescent="0.3">
      <c r="A177" t="s">
        <v>358</v>
      </c>
      <c r="B177" t="s">
        <v>13</v>
      </c>
      <c r="C177" t="s">
        <v>359</v>
      </c>
      <c r="D177" t="s">
        <v>15</v>
      </c>
      <c r="E177" t="s">
        <v>16</v>
      </c>
      <c r="F177" t="s">
        <v>360</v>
      </c>
    </row>
    <row r="178" spans="1:6" hidden="1" x14ac:dyDescent="0.3">
      <c r="A178" t="s">
        <v>361</v>
      </c>
      <c r="B178" t="s">
        <v>9</v>
      </c>
      <c r="C178" t="s">
        <v>362</v>
      </c>
      <c r="D178" t="s">
        <v>15</v>
      </c>
      <c r="E178" t="s">
        <v>54</v>
      </c>
      <c r="F178" t="s">
        <v>363</v>
      </c>
    </row>
    <row r="179" spans="1:6" hidden="1" x14ac:dyDescent="0.3">
      <c r="A179" t="s">
        <v>364</v>
      </c>
      <c r="B179" t="s">
        <v>13</v>
      </c>
      <c r="C179" t="s">
        <v>365</v>
      </c>
      <c r="E179" t="s">
        <v>11</v>
      </c>
    </row>
    <row r="180" spans="1:6" x14ac:dyDescent="0.3">
      <c r="A180" t="s">
        <v>366</v>
      </c>
      <c r="B180" t="s">
        <v>9</v>
      </c>
      <c r="C180" t="s">
        <v>367</v>
      </c>
      <c r="E180" t="s">
        <v>20</v>
      </c>
      <c r="F180" t="s">
        <v>21</v>
      </c>
    </row>
    <row r="181" spans="1:6" x14ac:dyDescent="0.3">
      <c r="A181" t="s">
        <v>368</v>
      </c>
      <c r="B181" t="s">
        <v>13</v>
      </c>
      <c r="C181" t="s">
        <v>369</v>
      </c>
      <c r="D181" t="s">
        <v>15</v>
      </c>
      <c r="E181" t="s">
        <v>20</v>
      </c>
      <c r="F181" t="s">
        <v>21</v>
      </c>
    </row>
    <row r="182" spans="1:6" x14ac:dyDescent="0.3">
      <c r="A182" t="s">
        <v>370</v>
      </c>
      <c r="B182" t="s">
        <v>9</v>
      </c>
      <c r="C182" t="s">
        <v>371</v>
      </c>
      <c r="E182" t="s">
        <v>20</v>
      </c>
      <c r="F182" t="s">
        <v>21</v>
      </c>
    </row>
    <row r="183" spans="1:6" hidden="1" x14ac:dyDescent="0.3">
      <c r="A183" t="s">
        <v>372</v>
      </c>
      <c r="B183" t="s">
        <v>11</v>
      </c>
      <c r="E183" t="s">
        <v>11</v>
      </c>
    </row>
    <row r="184" spans="1:6" hidden="1" x14ac:dyDescent="0.3">
      <c r="A184" t="s">
        <v>373</v>
      </c>
      <c r="B184" t="s">
        <v>9</v>
      </c>
      <c r="C184" t="s">
        <v>374</v>
      </c>
      <c r="E184" t="s">
        <v>11</v>
      </c>
    </row>
    <row r="185" spans="1:6" hidden="1" x14ac:dyDescent="0.3">
      <c r="A185" t="s">
        <v>375</v>
      </c>
      <c r="B185" t="s">
        <v>11</v>
      </c>
      <c r="E185" t="s">
        <v>11</v>
      </c>
    </row>
    <row r="186" spans="1:6" hidden="1" x14ac:dyDescent="0.3">
      <c r="A186" t="s">
        <v>376</v>
      </c>
      <c r="B186" t="s">
        <v>13</v>
      </c>
      <c r="C186" t="s">
        <v>377</v>
      </c>
      <c r="E186" t="s">
        <v>11</v>
      </c>
    </row>
    <row r="187" spans="1:6" hidden="1" x14ac:dyDescent="0.3">
      <c r="A187" t="s">
        <v>378</v>
      </c>
      <c r="B187" t="s">
        <v>9</v>
      </c>
      <c r="C187" t="s">
        <v>379</v>
      </c>
      <c r="D187" t="s">
        <v>15</v>
      </c>
      <c r="E187" t="s">
        <v>11</v>
      </c>
    </row>
    <row r="188" spans="1:6" hidden="1" x14ac:dyDescent="0.3">
      <c r="A188" t="s">
        <v>380</v>
      </c>
      <c r="B188" t="s">
        <v>9</v>
      </c>
      <c r="C188" t="s">
        <v>28</v>
      </c>
      <c r="E188" t="s">
        <v>11</v>
      </c>
    </row>
    <row r="189" spans="1:6" hidden="1" x14ac:dyDescent="0.3">
      <c r="A189" t="s">
        <v>381</v>
      </c>
      <c r="B189" t="s">
        <v>11</v>
      </c>
      <c r="E189" t="s">
        <v>11</v>
      </c>
    </row>
    <row r="190" spans="1:6" x14ac:dyDescent="0.3">
      <c r="A190" t="s">
        <v>382</v>
      </c>
      <c r="B190" t="s">
        <v>9</v>
      </c>
      <c r="C190" t="s">
        <v>28</v>
      </c>
      <c r="D190" t="s">
        <v>15</v>
      </c>
      <c r="E190" t="s">
        <v>20</v>
      </c>
      <c r="F190" t="s">
        <v>383</v>
      </c>
    </row>
    <row r="191" spans="1:6" x14ac:dyDescent="0.3">
      <c r="A191" t="s">
        <v>384</v>
      </c>
      <c r="B191" t="s">
        <v>9</v>
      </c>
      <c r="C191" t="s">
        <v>385</v>
      </c>
      <c r="D191" t="s">
        <v>15</v>
      </c>
      <c r="E191" t="s">
        <v>20</v>
      </c>
      <c r="F191" t="s">
        <v>386</v>
      </c>
    </row>
    <row r="192" spans="1:6" x14ac:dyDescent="0.3">
      <c r="A192" t="s">
        <v>387</v>
      </c>
      <c r="B192" t="s">
        <v>9</v>
      </c>
      <c r="C192" t="s">
        <v>28</v>
      </c>
      <c r="D192" t="s">
        <v>15</v>
      </c>
      <c r="E192" t="s">
        <v>20</v>
      </c>
      <c r="F192" t="s">
        <v>21</v>
      </c>
    </row>
    <row r="193" spans="1:6" x14ac:dyDescent="0.3">
      <c r="A193" t="s">
        <v>388</v>
      </c>
      <c r="B193" t="s">
        <v>11</v>
      </c>
      <c r="D193" t="s">
        <v>15</v>
      </c>
      <c r="E193" t="s">
        <v>20</v>
      </c>
      <c r="F193" t="s">
        <v>36</v>
      </c>
    </row>
    <row r="194" spans="1:6" hidden="1" x14ac:dyDescent="0.3">
      <c r="A194" t="s">
        <v>389</v>
      </c>
      <c r="B194" t="s">
        <v>13</v>
      </c>
      <c r="C194" t="s">
        <v>390</v>
      </c>
      <c r="E194" t="s">
        <v>16</v>
      </c>
      <c r="F194" t="s">
        <v>360</v>
      </c>
    </row>
    <row r="195" spans="1:6" x14ac:dyDescent="0.3">
      <c r="A195" t="s">
        <v>391</v>
      </c>
      <c r="B195" t="s">
        <v>9</v>
      </c>
      <c r="C195" t="s">
        <v>392</v>
      </c>
      <c r="D195" t="s">
        <v>15</v>
      </c>
      <c r="E195" t="s">
        <v>20</v>
      </c>
      <c r="F195" t="s">
        <v>21</v>
      </c>
    </row>
    <row r="196" spans="1:6" hidden="1" x14ac:dyDescent="0.3">
      <c r="A196" t="s">
        <v>393</v>
      </c>
      <c r="B196" t="s">
        <v>9</v>
      </c>
      <c r="C196" t="s">
        <v>394</v>
      </c>
      <c r="E196" t="s">
        <v>11</v>
      </c>
    </row>
    <row r="197" spans="1:6" hidden="1" x14ac:dyDescent="0.3">
      <c r="A197" t="s">
        <v>395</v>
      </c>
      <c r="B197" t="s">
        <v>9</v>
      </c>
      <c r="C197" t="s">
        <v>396</v>
      </c>
      <c r="E197" t="s">
        <v>11</v>
      </c>
    </row>
    <row r="198" spans="1:6" hidden="1" x14ac:dyDescent="0.3">
      <c r="A198" t="s">
        <v>397</v>
      </c>
      <c r="B198" t="s">
        <v>9</v>
      </c>
      <c r="C198" t="s">
        <v>398</v>
      </c>
      <c r="E198" t="s">
        <v>11</v>
      </c>
    </row>
    <row r="199" spans="1:6" hidden="1" x14ac:dyDescent="0.3">
      <c r="A199" t="s">
        <v>399</v>
      </c>
      <c r="B199" t="s">
        <v>13</v>
      </c>
      <c r="C199" t="s">
        <v>400</v>
      </c>
      <c r="E199" t="s">
        <v>11</v>
      </c>
    </row>
    <row r="200" spans="1:6" hidden="1" x14ac:dyDescent="0.3">
      <c r="A200" t="s">
        <v>401</v>
      </c>
      <c r="B200" t="s">
        <v>9</v>
      </c>
      <c r="C200" t="s">
        <v>28</v>
      </c>
      <c r="E200" t="s">
        <v>11</v>
      </c>
    </row>
    <row r="201" spans="1:6" hidden="1" x14ac:dyDescent="0.3">
      <c r="A201" t="s">
        <v>402</v>
      </c>
      <c r="B201" t="s">
        <v>9</v>
      </c>
      <c r="C201" t="s">
        <v>403</v>
      </c>
      <c r="D201" t="s">
        <v>15</v>
      </c>
      <c r="E201" t="s">
        <v>16</v>
      </c>
      <c r="F201" t="s">
        <v>404</v>
      </c>
    </row>
    <row r="202" spans="1:6" hidden="1" x14ac:dyDescent="0.3">
      <c r="A202" t="s">
        <v>405</v>
      </c>
      <c r="B202" t="s">
        <v>9</v>
      </c>
      <c r="C202" t="s">
        <v>406</v>
      </c>
      <c r="E202" t="s">
        <v>11</v>
      </c>
    </row>
    <row r="203" spans="1:6" hidden="1" x14ac:dyDescent="0.3">
      <c r="A203" t="s">
        <v>407</v>
      </c>
      <c r="B203" t="s">
        <v>13</v>
      </c>
      <c r="C203" t="s">
        <v>408</v>
      </c>
      <c r="D203" t="s">
        <v>15</v>
      </c>
      <c r="E203" t="s">
        <v>16</v>
      </c>
      <c r="F203" t="s">
        <v>409</v>
      </c>
    </row>
    <row r="204" spans="1:6" x14ac:dyDescent="0.3">
      <c r="A204" t="s">
        <v>410</v>
      </c>
      <c r="B204" t="s">
        <v>13</v>
      </c>
      <c r="C204" t="s">
        <v>411</v>
      </c>
      <c r="E204" t="s">
        <v>20</v>
      </c>
      <c r="F204" t="s">
        <v>21</v>
      </c>
    </row>
    <row r="205" spans="1:6" x14ac:dyDescent="0.3">
      <c r="A205" t="s">
        <v>412</v>
      </c>
      <c r="B205" t="s">
        <v>9</v>
      </c>
      <c r="C205" t="s">
        <v>413</v>
      </c>
      <c r="D205" t="s">
        <v>15</v>
      </c>
      <c r="E205" t="s">
        <v>20</v>
      </c>
      <c r="F205" t="s">
        <v>21</v>
      </c>
    </row>
    <row r="206" spans="1:6" hidden="1" x14ac:dyDescent="0.3">
      <c r="A206" t="s">
        <v>414</v>
      </c>
      <c r="B206" t="s">
        <v>9</v>
      </c>
      <c r="C206" t="s">
        <v>28</v>
      </c>
      <c r="E206" t="s">
        <v>11</v>
      </c>
    </row>
    <row r="207" spans="1:6" hidden="1" x14ac:dyDescent="0.3">
      <c r="A207" t="s">
        <v>415</v>
      </c>
      <c r="B207" t="s">
        <v>13</v>
      </c>
      <c r="C207" t="s">
        <v>65</v>
      </c>
      <c r="E207" t="s">
        <v>11</v>
      </c>
    </row>
    <row r="208" spans="1:6" hidden="1" x14ac:dyDescent="0.3">
      <c r="A208" t="s">
        <v>416</v>
      </c>
      <c r="B208" t="s">
        <v>417</v>
      </c>
      <c r="C208" t="s">
        <v>418</v>
      </c>
      <c r="E208" t="s">
        <v>11</v>
      </c>
    </row>
    <row r="209" spans="1:6" hidden="1" x14ac:dyDescent="0.3">
      <c r="A209" t="s">
        <v>419</v>
      </c>
      <c r="B209" t="s">
        <v>9</v>
      </c>
      <c r="C209" t="s">
        <v>406</v>
      </c>
      <c r="E209" t="s">
        <v>11</v>
      </c>
    </row>
    <row r="210" spans="1:6" x14ac:dyDescent="0.3">
      <c r="A210" t="s">
        <v>420</v>
      </c>
      <c r="B210" t="s">
        <v>9</v>
      </c>
      <c r="C210" t="s">
        <v>28</v>
      </c>
      <c r="D210" t="s">
        <v>15</v>
      </c>
      <c r="E210" t="s">
        <v>20</v>
      </c>
      <c r="F210" t="s">
        <v>421</v>
      </c>
    </row>
    <row r="211" spans="1:6" x14ac:dyDescent="0.3">
      <c r="A211" t="s">
        <v>422</v>
      </c>
      <c r="B211" t="s">
        <v>9</v>
      </c>
      <c r="C211" t="s">
        <v>339</v>
      </c>
      <c r="E211" t="s">
        <v>20</v>
      </c>
      <c r="F211" t="s">
        <v>135</v>
      </c>
    </row>
    <row r="212" spans="1:6" x14ac:dyDescent="0.3">
      <c r="A212" t="s">
        <v>423</v>
      </c>
      <c r="B212" t="s">
        <v>13</v>
      </c>
      <c r="C212" t="s">
        <v>424</v>
      </c>
      <c r="D212" t="s">
        <v>15</v>
      </c>
      <c r="E212" t="s">
        <v>20</v>
      </c>
      <c r="F212" t="s">
        <v>425</v>
      </c>
    </row>
    <row r="213" spans="1:6" hidden="1" x14ac:dyDescent="0.3">
      <c r="A213" t="s">
        <v>426</v>
      </c>
      <c r="B213" t="s">
        <v>9</v>
      </c>
      <c r="C213" t="s">
        <v>427</v>
      </c>
      <c r="E213" t="s">
        <v>11</v>
      </c>
    </row>
    <row r="214" spans="1:6" hidden="1" x14ac:dyDescent="0.3">
      <c r="A214" t="s">
        <v>428</v>
      </c>
      <c r="B214" t="s">
        <v>9</v>
      </c>
      <c r="C214" t="s">
        <v>429</v>
      </c>
      <c r="E214" t="s">
        <v>197</v>
      </c>
      <c r="F214" t="s">
        <v>430</v>
      </c>
    </row>
    <row r="215" spans="1:6" x14ac:dyDescent="0.3">
      <c r="A215" t="s">
        <v>431</v>
      </c>
      <c r="B215" t="s">
        <v>13</v>
      </c>
      <c r="C215" t="s">
        <v>432</v>
      </c>
      <c r="E215" t="s">
        <v>20</v>
      </c>
      <c r="F215" t="s">
        <v>135</v>
      </c>
    </row>
    <row r="216" spans="1:6" hidden="1" x14ac:dyDescent="0.3">
      <c r="A216" t="s">
        <v>433</v>
      </c>
      <c r="B216" t="s">
        <v>9</v>
      </c>
      <c r="C216" t="s">
        <v>434</v>
      </c>
      <c r="D216" t="s">
        <v>15</v>
      </c>
      <c r="E216" t="s">
        <v>11</v>
      </c>
    </row>
    <row r="217" spans="1:6" x14ac:dyDescent="0.3">
      <c r="A217" t="s">
        <v>435</v>
      </c>
      <c r="B217" t="s">
        <v>13</v>
      </c>
      <c r="C217" t="s">
        <v>436</v>
      </c>
      <c r="D217" t="s">
        <v>15</v>
      </c>
      <c r="E217" t="s">
        <v>20</v>
      </c>
      <c r="F217" t="s">
        <v>36</v>
      </c>
    </row>
    <row r="218" spans="1:6" x14ac:dyDescent="0.3">
      <c r="A218" t="s">
        <v>437</v>
      </c>
      <c r="B218" t="s">
        <v>13</v>
      </c>
      <c r="C218" t="s">
        <v>438</v>
      </c>
      <c r="D218" t="s">
        <v>15</v>
      </c>
      <c r="E218" t="s">
        <v>20</v>
      </c>
      <c r="F218" t="s">
        <v>21</v>
      </c>
    </row>
    <row r="219" spans="1:6" hidden="1" x14ac:dyDescent="0.3">
      <c r="A219" t="s">
        <v>439</v>
      </c>
      <c r="B219" t="s">
        <v>9</v>
      </c>
      <c r="C219" t="s">
        <v>28</v>
      </c>
      <c r="E219" t="s">
        <v>11</v>
      </c>
    </row>
    <row r="220" spans="1:6" hidden="1" x14ac:dyDescent="0.3">
      <c r="A220" t="s">
        <v>440</v>
      </c>
      <c r="B220" t="s">
        <v>9</v>
      </c>
      <c r="C220" t="s">
        <v>317</v>
      </c>
      <c r="E220" t="s">
        <v>11</v>
      </c>
    </row>
    <row r="221" spans="1:6" x14ac:dyDescent="0.3">
      <c r="A221" t="s">
        <v>441</v>
      </c>
      <c r="B221" t="s">
        <v>9</v>
      </c>
      <c r="C221" t="s">
        <v>442</v>
      </c>
      <c r="D221" t="s">
        <v>15</v>
      </c>
      <c r="E221" t="s">
        <v>20</v>
      </c>
      <c r="F221" t="s">
        <v>36</v>
      </c>
    </row>
    <row r="222" spans="1:6" hidden="1" x14ac:dyDescent="0.3">
      <c r="A222" t="s">
        <v>443</v>
      </c>
      <c r="B222" t="s">
        <v>9</v>
      </c>
      <c r="C222" t="s">
        <v>444</v>
      </c>
      <c r="D222" t="s">
        <v>15</v>
      </c>
      <c r="E222" t="s">
        <v>16</v>
      </c>
      <c r="F222" t="s">
        <v>45</v>
      </c>
    </row>
    <row r="223" spans="1:6" hidden="1" x14ac:dyDescent="0.3">
      <c r="A223" t="s">
        <v>445</v>
      </c>
      <c r="B223" t="s">
        <v>9</v>
      </c>
      <c r="C223" t="s">
        <v>446</v>
      </c>
      <c r="E223" t="s">
        <v>54</v>
      </c>
      <c r="F223" t="s">
        <v>447</v>
      </c>
    </row>
    <row r="224" spans="1:6" hidden="1" x14ac:dyDescent="0.3">
      <c r="A224" t="s">
        <v>448</v>
      </c>
      <c r="B224" t="s">
        <v>11</v>
      </c>
      <c r="E224" t="s">
        <v>11</v>
      </c>
    </row>
    <row r="225" spans="1:6" hidden="1" x14ac:dyDescent="0.3">
      <c r="A225" t="s">
        <v>449</v>
      </c>
      <c r="B225" t="s">
        <v>13</v>
      </c>
      <c r="C225" t="s">
        <v>112</v>
      </c>
      <c r="E225" t="s">
        <v>54</v>
      </c>
      <c r="F225" t="s">
        <v>450</v>
      </c>
    </row>
    <row r="226" spans="1:6" hidden="1" x14ac:dyDescent="0.3">
      <c r="A226" t="s">
        <v>451</v>
      </c>
      <c r="B226" t="s">
        <v>9</v>
      </c>
      <c r="C226" t="s">
        <v>452</v>
      </c>
      <c r="D226" t="s">
        <v>15</v>
      </c>
      <c r="E226" t="s">
        <v>16</v>
      </c>
      <c r="F226" t="s">
        <v>453</v>
      </c>
    </row>
    <row r="227" spans="1:6" x14ac:dyDescent="0.3">
      <c r="A227" t="s">
        <v>454</v>
      </c>
      <c r="B227" t="s">
        <v>9</v>
      </c>
      <c r="C227" t="s">
        <v>455</v>
      </c>
      <c r="D227" t="s">
        <v>15</v>
      </c>
      <c r="E227" t="s">
        <v>20</v>
      </c>
      <c r="F227" t="s">
        <v>117</v>
      </c>
    </row>
    <row r="228" spans="1:6" hidden="1" x14ac:dyDescent="0.3">
      <c r="A228" t="s">
        <v>456</v>
      </c>
      <c r="B228" t="s">
        <v>13</v>
      </c>
      <c r="C228" t="s">
        <v>231</v>
      </c>
      <c r="E228" t="s">
        <v>11</v>
      </c>
    </row>
    <row r="229" spans="1:6" x14ac:dyDescent="0.3">
      <c r="A229" t="s">
        <v>457</v>
      </c>
      <c r="B229" t="s">
        <v>197</v>
      </c>
      <c r="C229" t="s">
        <v>458</v>
      </c>
      <c r="D229" t="s">
        <v>15</v>
      </c>
      <c r="E229" t="s">
        <v>20</v>
      </c>
      <c r="F229" t="s">
        <v>459</v>
      </c>
    </row>
    <row r="230" spans="1:6" hidden="1" x14ac:dyDescent="0.3">
      <c r="A230" t="s">
        <v>460</v>
      </c>
      <c r="B230" t="s">
        <v>9</v>
      </c>
      <c r="C230" t="s">
        <v>461</v>
      </c>
      <c r="D230" t="s">
        <v>15</v>
      </c>
      <c r="E230" t="s">
        <v>16</v>
      </c>
      <c r="F230" t="s">
        <v>462</v>
      </c>
    </row>
    <row r="231" spans="1:6" hidden="1" x14ac:dyDescent="0.3">
      <c r="A231" t="s">
        <v>463</v>
      </c>
      <c r="B231" t="s">
        <v>11</v>
      </c>
      <c r="E231" t="s">
        <v>11</v>
      </c>
    </row>
    <row r="232" spans="1:6" hidden="1" x14ac:dyDescent="0.3">
      <c r="A232" t="s">
        <v>464</v>
      </c>
      <c r="B232" t="s">
        <v>9</v>
      </c>
      <c r="C232" t="s">
        <v>28</v>
      </c>
      <c r="E232" t="s">
        <v>11</v>
      </c>
    </row>
    <row r="233" spans="1:6" hidden="1" x14ac:dyDescent="0.3">
      <c r="A233" t="s">
        <v>465</v>
      </c>
      <c r="B233" t="s">
        <v>9</v>
      </c>
      <c r="C233" t="s">
        <v>466</v>
      </c>
      <c r="D233" t="s">
        <v>15</v>
      </c>
      <c r="E233" t="s">
        <v>16</v>
      </c>
      <c r="F233" t="s">
        <v>467</v>
      </c>
    </row>
    <row r="234" spans="1:6" hidden="1" x14ac:dyDescent="0.3">
      <c r="A234" t="s">
        <v>468</v>
      </c>
      <c r="B234" t="s">
        <v>13</v>
      </c>
      <c r="C234" t="s">
        <v>469</v>
      </c>
      <c r="D234" t="s">
        <v>15</v>
      </c>
      <c r="E234" t="s">
        <v>11</v>
      </c>
    </row>
    <row r="235" spans="1:6" hidden="1" x14ac:dyDescent="0.3">
      <c r="A235" t="s">
        <v>470</v>
      </c>
      <c r="B235" t="s">
        <v>9</v>
      </c>
      <c r="C235" t="s">
        <v>471</v>
      </c>
      <c r="E235" t="s">
        <v>11</v>
      </c>
    </row>
    <row r="236" spans="1:6" hidden="1" x14ac:dyDescent="0.3">
      <c r="A236" t="s">
        <v>472</v>
      </c>
      <c r="B236" t="s">
        <v>9</v>
      </c>
      <c r="C236" t="s">
        <v>28</v>
      </c>
      <c r="E236" t="s">
        <v>11</v>
      </c>
    </row>
    <row r="237" spans="1:6" hidden="1" x14ac:dyDescent="0.3">
      <c r="A237" t="s">
        <v>473</v>
      </c>
      <c r="B237" t="s">
        <v>9</v>
      </c>
      <c r="C237" t="s">
        <v>28</v>
      </c>
      <c r="E237" t="s">
        <v>11</v>
      </c>
    </row>
    <row r="238" spans="1:6" hidden="1" x14ac:dyDescent="0.3">
      <c r="A238" t="s">
        <v>474</v>
      </c>
      <c r="B238" t="s">
        <v>11</v>
      </c>
      <c r="E238" t="s">
        <v>11</v>
      </c>
    </row>
    <row r="239" spans="1:6" hidden="1" x14ac:dyDescent="0.3">
      <c r="A239" t="s">
        <v>475</v>
      </c>
      <c r="B239" t="s">
        <v>9</v>
      </c>
      <c r="C239" t="s">
        <v>476</v>
      </c>
      <c r="E239" t="s">
        <v>11</v>
      </c>
    </row>
    <row r="240" spans="1:6" hidden="1" x14ac:dyDescent="0.3">
      <c r="A240" t="s">
        <v>477</v>
      </c>
      <c r="B240" t="s">
        <v>9</v>
      </c>
      <c r="C240" t="s">
        <v>478</v>
      </c>
      <c r="D240" t="s">
        <v>15</v>
      </c>
      <c r="E240" t="s">
        <v>54</v>
      </c>
      <c r="F240" t="s">
        <v>479</v>
      </c>
    </row>
    <row r="241" spans="1:6" hidden="1" x14ac:dyDescent="0.3">
      <c r="A241" t="s">
        <v>480</v>
      </c>
      <c r="B241" t="s">
        <v>9</v>
      </c>
      <c r="C241" t="s">
        <v>51</v>
      </c>
      <c r="D241" t="s">
        <v>15</v>
      </c>
      <c r="E241" t="s">
        <v>54</v>
      </c>
      <c r="F241" t="s">
        <v>481</v>
      </c>
    </row>
    <row r="242" spans="1:6" x14ac:dyDescent="0.3">
      <c r="A242" t="s">
        <v>482</v>
      </c>
      <c r="B242" t="s">
        <v>13</v>
      </c>
      <c r="C242" t="s">
        <v>483</v>
      </c>
      <c r="D242" t="s">
        <v>15</v>
      </c>
      <c r="E242" t="s">
        <v>20</v>
      </c>
      <c r="F242" t="s">
        <v>117</v>
      </c>
    </row>
    <row r="243" spans="1:6" hidden="1" x14ac:dyDescent="0.3">
      <c r="A243" t="s">
        <v>484</v>
      </c>
      <c r="B243" t="s">
        <v>11</v>
      </c>
      <c r="E243" t="s">
        <v>11</v>
      </c>
    </row>
    <row r="244" spans="1:6" hidden="1" x14ac:dyDescent="0.3">
      <c r="A244" t="s">
        <v>485</v>
      </c>
      <c r="B244" t="s">
        <v>9</v>
      </c>
      <c r="C244" t="s">
        <v>486</v>
      </c>
      <c r="D244" t="s">
        <v>15</v>
      </c>
      <c r="E244" t="s">
        <v>11</v>
      </c>
    </row>
    <row r="245" spans="1:6" hidden="1" x14ac:dyDescent="0.3">
      <c r="A245" t="s">
        <v>487</v>
      </c>
      <c r="B245" t="s">
        <v>9</v>
      </c>
      <c r="C245" t="s">
        <v>488</v>
      </c>
      <c r="E245" t="s">
        <v>11</v>
      </c>
    </row>
    <row r="246" spans="1:6" hidden="1" x14ac:dyDescent="0.3">
      <c r="A246" t="s">
        <v>489</v>
      </c>
      <c r="B246" t="s">
        <v>9</v>
      </c>
      <c r="C246" t="s">
        <v>490</v>
      </c>
      <c r="D246" t="s">
        <v>15</v>
      </c>
      <c r="E246" t="s">
        <v>54</v>
      </c>
      <c r="F246" t="s">
        <v>491</v>
      </c>
    </row>
    <row r="247" spans="1:6" hidden="1" x14ac:dyDescent="0.3">
      <c r="A247" t="s">
        <v>492</v>
      </c>
      <c r="B247" t="s">
        <v>9</v>
      </c>
      <c r="C247" t="s">
        <v>493</v>
      </c>
      <c r="D247" t="s">
        <v>15</v>
      </c>
      <c r="E247" t="s">
        <v>11</v>
      </c>
    </row>
    <row r="248" spans="1:6" x14ac:dyDescent="0.3">
      <c r="A248" t="s">
        <v>494</v>
      </c>
      <c r="B248" t="s">
        <v>13</v>
      </c>
      <c r="C248" t="s">
        <v>495</v>
      </c>
      <c r="D248" t="s">
        <v>15</v>
      </c>
      <c r="E248" t="s">
        <v>20</v>
      </c>
      <c r="F248" t="s">
        <v>496</v>
      </c>
    </row>
    <row r="249" spans="1:6" hidden="1" x14ac:dyDescent="0.3">
      <c r="A249" t="s">
        <v>497</v>
      </c>
      <c r="B249" t="s">
        <v>197</v>
      </c>
      <c r="C249" t="s">
        <v>498</v>
      </c>
      <c r="D249" t="s">
        <v>15</v>
      </c>
      <c r="E249" t="s">
        <v>54</v>
      </c>
      <c r="F249" t="s">
        <v>499</v>
      </c>
    </row>
    <row r="250" spans="1:6" x14ac:dyDescent="0.3">
      <c r="A250" t="s">
        <v>500</v>
      </c>
      <c r="B250" t="s">
        <v>9</v>
      </c>
      <c r="C250" t="s">
        <v>28</v>
      </c>
      <c r="E250" t="s">
        <v>20</v>
      </c>
      <c r="F250" t="s">
        <v>21</v>
      </c>
    </row>
    <row r="251" spans="1:6" hidden="1" x14ac:dyDescent="0.3">
      <c r="A251" t="s">
        <v>501</v>
      </c>
      <c r="B251" t="s">
        <v>9</v>
      </c>
      <c r="C251" t="s">
        <v>502</v>
      </c>
      <c r="E251" t="s">
        <v>11</v>
      </c>
    </row>
    <row r="252" spans="1:6" hidden="1" x14ac:dyDescent="0.3">
      <c r="A252" t="s">
        <v>503</v>
      </c>
      <c r="B252" t="s">
        <v>9</v>
      </c>
      <c r="C252" t="s">
        <v>504</v>
      </c>
      <c r="D252" t="s">
        <v>15</v>
      </c>
      <c r="E252" t="s">
        <v>54</v>
      </c>
      <c r="F252" t="s">
        <v>505</v>
      </c>
    </row>
    <row r="253" spans="1:6" hidden="1" x14ac:dyDescent="0.3">
      <c r="A253" t="s">
        <v>506</v>
      </c>
      <c r="B253" t="s">
        <v>9</v>
      </c>
      <c r="C253" t="s">
        <v>507</v>
      </c>
      <c r="E253" t="s">
        <v>11</v>
      </c>
    </row>
    <row r="254" spans="1:6" x14ac:dyDescent="0.3">
      <c r="A254" t="s">
        <v>508</v>
      </c>
      <c r="B254" t="s">
        <v>13</v>
      </c>
      <c r="C254" t="s">
        <v>509</v>
      </c>
      <c r="E254" t="s">
        <v>20</v>
      </c>
      <c r="F254" t="s">
        <v>510</v>
      </c>
    </row>
    <row r="255" spans="1:6" x14ac:dyDescent="0.3">
      <c r="A255" t="s">
        <v>511</v>
      </c>
      <c r="B255" t="s">
        <v>13</v>
      </c>
      <c r="C255" t="s">
        <v>512</v>
      </c>
      <c r="D255" t="s">
        <v>15</v>
      </c>
      <c r="E255" t="s">
        <v>20</v>
      </c>
      <c r="F255" t="s">
        <v>21</v>
      </c>
    </row>
    <row r="256" spans="1:6" hidden="1" x14ac:dyDescent="0.3">
      <c r="A256" t="s">
        <v>513</v>
      </c>
      <c r="B256" t="s">
        <v>11</v>
      </c>
      <c r="E256" t="s">
        <v>11</v>
      </c>
    </row>
    <row r="257" spans="1:6" hidden="1" x14ac:dyDescent="0.3">
      <c r="A257" t="s">
        <v>514</v>
      </c>
      <c r="B257" t="s">
        <v>9</v>
      </c>
      <c r="C257" t="s">
        <v>515</v>
      </c>
      <c r="D257" t="s">
        <v>15</v>
      </c>
      <c r="E257" t="s">
        <v>54</v>
      </c>
      <c r="F257" t="s">
        <v>516</v>
      </c>
    </row>
    <row r="258" spans="1:6" hidden="1" x14ac:dyDescent="0.3">
      <c r="A258" t="s">
        <v>517</v>
      </c>
      <c r="B258" t="s">
        <v>9</v>
      </c>
      <c r="C258" t="s">
        <v>518</v>
      </c>
      <c r="E258" t="s">
        <v>11</v>
      </c>
    </row>
    <row r="259" spans="1:6" hidden="1" x14ac:dyDescent="0.3">
      <c r="A259" t="s">
        <v>519</v>
      </c>
      <c r="B259" t="s">
        <v>9</v>
      </c>
      <c r="C259" t="s">
        <v>520</v>
      </c>
      <c r="E259" t="s">
        <v>11</v>
      </c>
    </row>
    <row r="260" spans="1:6" hidden="1" x14ac:dyDescent="0.3">
      <c r="A260" t="s">
        <v>521</v>
      </c>
      <c r="B260" t="s">
        <v>9</v>
      </c>
      <c r="C260" t="s">
        <v>522</v>
      </c>
      <c r="D260" t="s">
        <v>15</v>
      </c>
      <c r="E260" t="s">
        <v>54</v>
      </c>
      <c r="F260" t="s">
        <v>523</v>
      </c>
    </row>
    <row r="261" spans="1:6" hidden="1" x14ac:dyDescent="0.3">
      <c r="A261" t="s">
        <v>524</v>
      </c>
      <c r="B261" t="s">
        <v>9</v>
      </c>
      <c r="C261" t="s">
        <v>525</v>
      </c>
      <c r="D261" t="s">
        <v>15</v>
      </c>
      <c r="E261" t="s">
        <v>54</v>
      </c>
      <c r="F261" t="s">
        <v>526</v>
      </c>
    </row>
    <row r="262" spans="1:6" hidden="1" x14ac:dyDescent="0.3">
      <c r="A262" t="s">
        <v>527</v>
      </c>
      <c r="B262" t="s">
        <v>9</v>
      </c>
      <c r="C262" t="s">
        <v>28</v>
      </c>
      <c r="D262" t="s">
        <v>15</v>
      </c>
      <c r="E262" t="s">
        <v>16</v>
      </c>
      <c r="F262" t="s">
        <v>528</v>
      </c>
    </row>
    <row r="263" spans="1:6" x14ac:dyDescent="0.3">
      <c r="A263" t="s">
        <v>529</v>
      </c>
      <c r="B263" t="s">
        <v>9</v>
      </c>
      <c r="C263" t="s">
        <v>28</v>
      </c>
      <c r="E263" t="s">
        <v>20</v>
      </c>
      <c r="F263" t="s">
        <v>42</v>
      </c>
    </row>
    <row r="264" spans="1:6" hidden="1" x14ac:dyDescent="0.3">
      <c r="A264" t="s">
        <v>530</v>
      </c>
      <c r="B264" t="s">
        <v>9</v>
      </c>
      <c r="C264" t="s">
        <v>531</v>
      </c>
      <c r="E264" t="s">
        <v>11</v>
      </c>
    </row>
    <row r="265" spans="1:6" hidden="1" x14ac:dyDescent="0.3">
      <c r="A265" t="s">
        <v>532</v>
      </c>
      <c r="B265" t="s">
        <v>9</v>
      </c>
      <c r="C265" t="s">
        <v>533</v>
      </c>
      <c r="D265" t="s">
        <v>15</v>
      </c>
      <c r="E265" t="s">
        <v>16</v>
      </c>
      <c r="F265" t="s">
        <v>534</v>
      </c>
    </row>
    <row r="266" spans="1:6" x14ac:dyDescent="0.3">
      <c r="A266" t="s">
        <v>535</v>
      </c>
      <c r="B266" t="s">
        <v>9</v>
      </c>
      <c r="C266" t="s">
        <v>442</v>
      </c>
      <c r="D266" t="s">
        <v>15</v>
      </c>
      <c r="E266" t="s">
        <v>20</v>
      </c>
      <c r="F266" t="s">
        <v>536</v>
      </c>
    </row>
    <row r="267" spans="1:6" hidden="1" x14ac:dyDescent="0.3">
      <c r="A267" t="s">
        <v>537</v>
      </c>
      <c r="B267" t="s">
        <v>9</v>
      </c>
      <c r="C267" t="s">
        <v>538</v>
      </c>
      <c r="D267" t="s">
        <v>15</v>
      </c>
      <c r="E267" t="s">
        <v>16</v>
      </c>
      <c r="F267" t="s">
        <v>539</v>
      </c>
    </row>
    <row r="268" spans="1:6" hidden="1" x14ac:dyDescent="0.3">
      <c r="A268" t="s">
        <v>540</v>
      </c>
      <c r="B268" t="s">
        <v>9</v>
      </c>
      <c r="C268" t="s">
        <v>28</v>
      </c>
      <c r="E268" t="s">
        <v>11</v>
      </c>
    </row>
    <row r="269" spans="1:6" hidden="1" x14ac:dyDescent="0.3">
      <c r="A269" t="s">
        <v>541</v>
      </c>
      <c r="B269" t="s">
        <v>197</v>
      </c>
      <c r="C269" t="s">
        <v>542</v>
      </c>
      <c r="D269" t="s">
        <v>15</v>
      </c>
      <c r="E269" t="s">
        <v>16</v>
      </c>
      <c r="F269" t="s">
        <v>543</v>
      </c>
    </row>
    <row r="270" spans="1:6" hidden="1" x14ac:dyDescent="0.3">
      <c r="A270" t="s">
        <v>544</v>
      </c>
      <c r="B270" t="s">
        <v>9</v>
      </c>
      <c r="C270" t="s">
        <v>545</v>
      </c>
      <c r="E270" t="s">
        <v>11</v>
      </c>
    </row>
    <row r="271" spans="1:6" x14ac:dyDescent="0.3">
      <c r="A271" t="s">
        <v>546</v>
      </c>
      <c r="B271" t="s">
        <v>9</v>
      </c>
      <c r="C271" t="s">
        <v>28</v>
      </c>
      <c r="E271" t="s">
        <v>20</v>
      </c>
      <c r="F271" t="s">
        <v>42</v>
      </c>
    </row>
    <row r="272" spans="1:6" x14ac:dyDescent="0.3">
      <c r="A272" t="s">
        <v>547</v>
      </c>
      <c r="B272" t="s">
        <v>9</v>
      </c>
      <c r="C272" t="s">
        <v>548</v>
      </c>
      <c r="D272" t="s">
        <v>15</v>
      </c>
      <c r="E272" t="s">
        <v>20</v>
      </c>
      <c r="F272" t="s">
        <v>549</v>
      </c>
    </row>
    <row r="273" spans="1:6" x14ac:dyDescent="0.3">
      <c r="A273" t="s">
        <v>550</v>
      </c>
      <c r="B273" t="s">
        <v>9</v>
      </c>
      <c r="C273" t="s">
        <v>551</v>
      </c>
      <c r="D273" t="s">
        <v>15</v>
      </c>
      <c r="E273" t="s">
        <v>20</v>
      </c>
      <c r="F273" t="s">
        <v>117</v>
      </c>
    </row>
    <row r="274" spans="1:6" hidden="1" x14ac:dyDescent="0.3">
      <c r="A274" t="s">
        <v>552</v>
      </c>
      <c r="B274" t="s">
        <v>9</v>
      </c>
      <c r="C274" t="s">
        <v>51</v>
      </c>
      <c r="E274" t="s">
        <v>54</v>
      </c>
      <c r="F274" t="s">
        <v>553</v>
      </c>
    </row>
    <row r="275" spans="1:6" hidden="1" x14ac:dyDescent="0.3">
      <c r="A275" t="s">
        <v>554</v>
      </c>
      <c r="B275" t="s">
        <v>9</v>
      </c>
      <c r="C275" t="s">
        <v>555</v>
      </c>
      <c r="D275" t="s">
        <v>15</v>
      </c>
      <c r="E275" t="s">
        <v>16</v>
      </c>
      <c r="F275" t="s">
        <v>556</v>
      </c>
    </row>
    <row r="276" spans="1:6" x14ac:dyDescent="0.3">
      <c r="A276" t="s">
        <v>557</v>
      </c>
      <c r="B276" t="s">
        <v>13</v>
      </c>
      <c r="C276" t="s">
        <v>558</v>
      </c>
      <c r="D276" t="s">
        <v>15</v>
      </c>
      <c r="E276" t="s">
        <v>20</v>
      </c>
      <c r="F276" t="s">
        <v>559</v>
      </c>
    </row>
    <row r="277" spans="1:6" hidden="1" x14ac:dyDescent="0.3">
      <c r="A277" t="s">
        <v>560</v>
      </c>
      <c r="B277" t="s">
        <v>9</v>
      </c>
      <c r="C277" t="s">
        <v>561</v>
      </c>
      <c r="D277" t="s">
        <v>15</v>
      </c>
      <c r="E277" t="s">
        <v>54</v>
      </c>
      <c r="F277" t="s">
        <v>562</v>
      </c>
    </row>
    <row r="278" spans="1:6" x14ac:dyDescent="0.3">
      <c r="A278" t="s">
        <v>563</v>
      </c>
      <c r="B278" t="s">
        <v>9</v>
      </c>
      <c r="C278" t="s">
        <v>564</v>
      </c>
      <c r="D278" t="s">
        <v>15</v>
      </c>
      <c r="E278" t="s">
        <v>20</v>
      </c>
      <c r="F278" t="s">
        <v>565</v>
      </c>
    </row>
    <row r="279" spans="1:6" x14ac:dyDescent="0.3">
      <c r="A279" t="s">
        <v>566</v>
      </c>
      <c r="B279" t="s">
        <v>13</v>
      </c>
      <c r="C279" t="s">
        <v>567</v>
      </c>
      <c r="E279" t="s">
        <v>20</v>
      </c>
      <c r="F279" t="s">
        <v>42</v>
      </c>
    </row>
    <row r="280" spans="1:6" hidden="1" x14ac:dyDescent="0.3">
      <c r="A280" t="s">
        <v>568</v>
      </c>
      <c r="B280" t="s">
        <v>11</v>
      </c>
      <c r="E280" t="s">
        <v>11</v>
      </c>
    </row>
    <row r="281" spans="1:6" hidden="1" x14ac:dyDescent="0.3">
      <c r="A281" t="s">
        <v>569</v>
      </c>
      <c r="B281" t="s">
        <v>417</v>
      </c>
      <c r="C281" t="s">
        <v>570</v>
      </c>
      <c r="D281" t="s">
        <v>15</v>
      </c>
      <c r="E281" t="s">
        <v>11</v>
      </c>
    </row>
    <row r="282" spans="1:6" x14ac:dyDescent="0.3">
      <c r="A282" t="s">
        <v>571</v>
      </c>
      <c r="B282" t="s">
        <v>9</v>
      </c>
      <c r="C282" t="s">
        <v>28</v>
      </c>
      <c r="D282" t="s">
        <v>15</v>
      </c>
      <c r="E282" t="s">
        <v>20</v>
      </c>
      <c r="F282" t="s">
        <v>21</v>
      </c>
    </row>
    <row r="283" spans="1:6" x14ac:dyDescent="0.3">
      <c r="A283" t="s">
        <v>572</v>
      </c>
      <c r="B283" t="s">
        <v>13</v>
      </c>
      <c r="C283" t="s">
        <v>573</v>
      </c>
      <c r="D283" t="s">
        <v>15</v>
      </c>
      <c r="E283" t="s">
        <v>20</v>
      </c>
      <c r="F283" t="s">
        <v>574</v>
      </c>
    </row>
    <row r="284" spans="1:6" hidden="1" x14ac:dyDescent="0.3">
      <c r="A284" t="s">
        <v>575</v>
      </c>
      <c r="B284" t="s">
        <v>13</v>
      </c>
      <c r="C284" t="s">
        <v>576</v>
      </c>
      <c r="D284" t="s">
        <v>15</v>
      </c>
      <c r="E284" t="s">
        <v>54</v>
      </c>
      <c r="F284" t="s">
        <v>577</v>
      </c>
    </row>
    <row r="285" spans="1:6" hidden="1" x14ac:dyDescent="0.3">
      <c r="A285" t="s">
        <v>578</v>
      </c>
      <c r="B285" t="s">
        <v>11</v>
      </c>
      <c r="E285" t="s">
        <v>11</v>
      </c>
    </row>
    <row r="286" spans="1:6" hidden="1" x14ac:dyDescent="0.3">
      <c r="A286" t="s">
        <v>579</v>
      </c>
      <c r="B286" t="s">
        <v>13</v>
      </c>
      <c r="C286" t="s">
        <v>580</v>
      </c>
      <c r="D286" t="s">
        <v>15</v>
      </c>
      <c r="E286" t="s">
        <v>54</v>
      </c>
      <c r="F286" t="s">
        <v>581</v>
      </c>
    </row>
    <row r="287" spans="1:6" hidden="1" x14ac:dyDescent="0.3">
      <c r="A287" t="s">
        <v>582</v>
      </c>
      <c r="B287" t="s">
        <v>9</v>
      </c>
      <c r="C287" t="s">
        <v>583</v>
      </c>
      <c r="D287" t="s">
        <v>15</v>
      </c>
      <c r="E287" t="s">
        <v>54</v>
      </c>
      <c r="F287" t="s">
        <v>584</v>
      </c>
    </row>
    <row r="288" spans="1:6" x14ac:dyDescent="0.3">
      <c r="A288" t="s">
        <v>585</v>
      </c>
      <c r="B288" t="s">
        <v>9</v>
      </c>
      <c r="C288" t="s">
        <v>586</v>
      </c>
      <c r="E288" t="s">
        <v>20</v>
      </c>
      <c r="F288" t="s">
        <v>21</v>
      </c>
    </row>
    <row r="289" spans="1:6" hidden="1" x14ac:dyDescent="0.3">
      <c r="A289" t="s">
        <v>587</v>
      </c>
      <c r="B289" t="s">
        <v>13</v>
      </c>
      <c r="C289" t="s">
        <v>112</v>
      </c>
      <c r="D289" t="s">
        <v>15</v>
      </c>
      <c r="E289" t="s">
        <v>54</v>
      </c>
      <c r="F289" t="s">
        <v>588</v>
      </c>
    </row>
    <row r="290" spans="1:6" hidden="1" x14ac:dyDescent="0.3">
      <c r="A290" t="s">
        <v>589</v>
      </c>
      <c r="B290" t="s">
        <v>9</v>
      </c>
      <c r="C290" t="s">
        <v>590</v>
      </c>
      <c r="E290" t="s">
        <v>11</v>
      </c>
    </row>
    <row r="291" spans="1:6" hidden="1" x14ac:dyDescent="0.3">
      <c r="A291" t="s">
        <v>591</v>
      </c>
      <c r="B291" t="s">
        <v>9</v>
      </c>
      <c r="C291" t="s">
        <v>102</v>
      </c>
      <c r="E291" t="s">
        <v>11</v>
      </c>
    </row>
    <row r="292" spans="1:6" hidden="1" x14ac:dyDescent="0.3">
      <c r="A292" t="s">
        <v>592</v>
      </c>
      <c r="B292" t="s">
        <v>417</v>
      </c>
      <c r="C292" t="s">
        <v>593</v>
      </c>
      <c r="E292" t="s">
        <v>11</v>
      </c>
    </row>
    <row r="293" spans="1:6" x14ac:dyDescent="0.3">
      <c r="A293" t="s">
        <v>594</v>
      </c>
      <c r="B293" t="s">
        <v>9</v>
      </c>
      <c r="C293" t="s">
        <v>595</v>
      </c>
      <c r="D293" t="s">
        <v>15</v>
      </c>
      <c r="E293" t="s">
        <v>20</v>
      </c>
      <c r="F293" t="s">
        <v>596</v>
      </c>
    </row>
    <row r="294" spans="1:6" hidden="1" x14ac:dyDescent="0.3">
      <c r="A294" t="s">
        <v>597</v>
      </c>
      <c r="B294" t="s">
        <v>13</v>
      </c>
      <c r="C294" t="s">
        <v>598</v>
      </c>
      <c r="E294" t="s">
        <v>11</v>
      </c>
    </row>
    <row r="295" spans="1:6" hidden="1" x14ac:dyDescent="0.3">
      <c r="A295" t="s">
        <v>599</v>
      </c>
      <c r="B295" t="s">
        <v>11</v>
      </c>
      <c r="E295" t="s">
        <v>11</v>
      </c>
    </row>
    <row r="296" spans="1:6" x14ac:dyDescent="0.3">
      <c r="A296" t="s">
        <v>600</v>
      </c>
      <c r="B296" t="s">
        <v>9</v>
      </c>
      <c r="C296" t="s">
        <v>28</v>
      </c>
      <c r="D296" t="s">
        <v>15</v>
      </c>
      <c r="E296" t="s">
        <v>20</v>
      </c>
      <c r="F296" t="s">
        <v>21</v>
      </c>
    </row>
    <row r="297" spans="1:6" hidden="1" x14ac:dyDescent="0.3">
      <c r="A297" t="s">
        <v>601</v>
      </c>
      <c r="B297" t="s">
        <v>11</v>
      </c>
      <c r="E297" t="s">
        <v>11</v>
      </c>
    </row>
    <row r="298" spans="1:6" hidden="1" x14ac:dyDescent="0.3">
      <c r="A298" t="s">
        <v>602</v>
      </c>
      <c r="B298" t="s">
        <v>9</v>
      </c>
      <c r="C298" t="s">
        <v>603</v>
      </c>
      <c r="E298" t="s">
        <v>11</v>
      </c>
    </row>
    <row r="299" spans="1:6" hidden="1" x14ac:dyDescent="0.3">
      <c r="A299" t="s">
        <v>604</v>
      </c>
      <c r="B299" t="s">
        <v>13</v>
      </c>
      <c r="C299" t="s">
        <v>605</v>
      </c>
      <c r="E299" t="s">
        <v>11</v>
      </c>
    </row>
    <row r="300" spans="1:6" hidden="1" x14ac:dyDescent="0.3">
      <c r="A300" t="s">
        <v>606</v>
      </c>
      <c r="B300" t="s">
        <v>9</v>
      </c>
      <c r="C300" t="s">
        <v>607</v>
      </c>
      <c r="D300" t="s">
        <v>15</v>
      </c>
      <c r="E300" t="s">
        <v>11</v>
      </c>
    </row>
    <row r="301" spans="1:6" hidden="1" x14ac:dyDescent="0.3">
      <c r="A301" t="s">
        <v>608</v>
      </c>
      <c r="B301" t="s">
        <v>9</v>
      </c>
      <c r="C301" t="s">
        <v>609</v>
      </c>
      <c r="D301" t="s">
        <v>15</v>
      </c>
      <c r="E301" t="s">
        <v>16</v>
      </c>
      <c r="F301" t="s">
        <v>610</v>
      </c>
    </row>
    <row r="302" spans="1:6" x14ac:dyDescent="0.3">
      <c r="A302" t="s">
        <v>611</v>
      </c>
      <c r="B302" t="s">
        <v>13</v>
      </c>
      <c r="C302" t="s">
        <v>65</v>
      </c>
      <c r="E302" t="s">
        <v>20</v>
      </c>
      <c r="F302" t="s">
        <v>135</v>
      </c>
    </row>
    <row r="303" spans="1:6" hidden="1" x14ac:dyDescent="0.3">
      <c r="A303" t="s">
        <v>612</v>
      </c>
      <c r="B303" t="s">
        <v>9</v>
      </c>
      <c r="C303" t="s">
        <v>28</v>
      </c>
      <c r="E303" t="s">
        <v>11</v>
      </c>
    </row>
    <row r="304" spans="1:6" x14ac:dyDescent="0.3">
      <c r="A304" t="s">
        <v>613</v>
      </c>
      <c r="B304" t="s">
        <v>9</v>
      </c>
      <c r="C304" t="s">
        <v>614</v>
      </c>
      <c r="E304" t="s">
        <v>20</v>
      </c>
      <c r="F304" t="s">
        <v>185</v>
      </c>
    </row>
    <row r="305" spans="1:6" hidden="1" x14ac:dyDescent="0.3">
      <c r="A305" t="s">
        <v>615</v>
      </c>
      <c r="B305" t="s">
        <v>13</v>
      </c>
      <c r="C305" t="s">
        <v>314</v>
      </c>
      <c r="E305" t="s">
        <v>11</v>
      </c>
    </row>
    <row r="306" spans="1:6" x14ac:dyDescent="0.3">
      <c r="A306" t="s">
        <v>616</v>
      </c>
      <c r="B306" t="s">
        <v>9</v>
      </c>
      <c r="C306" t="s">
        <v>617</v>
      </c>
      <c r="E306" t="s">
        <v>20</v>
      </c>
      <c r="F306" t="s">
        <v>21</v>
      </c>
    </row>
    <row r="307" spans="1:6" hidden="1" x14ac:dyDescent="0.3">
      <c r="A307" t="s">
        <v>618</v>
      </c>
      <c r="B307" t="s">
        <v>9</v>
      </c>
      <c r="C307" t="s">
        <v>28</v>
      </c>
      <c r="D307" t="s">
        <v>15</v>
      </c>
      <c r="E307" t="s">
        <v>11</v>
      </c>
    </row>
    <row r="308" spans="1:6" hidden="1" x14ac:dyDescent="0.3">
      <c r="A308" t="s">
        <v>619</v>
      </c>
      <c r="B308" t="s">
        <v>13</v>
      </c>
      <c r="C308" t="s">
        <v>620</v>
      </c>
      <c r="E308" t="s">
        <v>54</v>
      </c>
      <c r="F308" t="s">
        <v>588</v>
      </c>
    </row>
    <row r="309" spans="1:6" hidden="1" x14ac:dyDescent="0.3">
      <c r="A309" t="s">
        <v>621</v>
      </c>
      <c r="B309" t="s">
        <v>9</v>
      </c>
      <c r="C309" t="s">
        <v>622</v>
      </c>
      <c r="D309" t="s">
        <v>15</v>
      </c>
      <c r="E309" t="s">
        <v>54</v>
      </c>
      <c r="F309" t="s">
        <v>623</v>
      </c>
    </row>
    <row r="310" spans="1:6" hidden="1" x14ac:dyDescent="0.3">
      <c r="A310" t="s">
        <v>624</v>
      </c>
      <c r="B310" t="s">
        <v>9</v>
      </c>
      <c r="C310" t="s">
        <v>625</v>
      </c>
      <c r="E310" t="s">
        <v>54</v>
      </c>
      <c r="F310" t="s">
        <v>626</v>
      </c>
    </row>
    <row r="311" spans="1:6" hidden="1" x14ac:dyDescent="0.3">
      <c r="A311" t="s">
        <v>627</v>
      </c>
      <c r="B311" t="s">
        <v>11</v>
      </c>
      <c r="E311" t="s">
        <v>11</v>
      </c>
    </row>
    <row r="312" spans="1:6" hidden="1" x14ac:dyDescent="0.3">
      <c r="A312" t="s">
        <v>628</v>
      </c>
      <c r="B312" t="s">
        <v>9</v>
      </c>
      <c r="C312" t="s">
        <v>28</v>
      </c>
      <c r="D312" t="s">
        <v>15</v>
      </c>
      <c r="E312" t="s">
        <v>11</v>
      </c>
    </row>
    <row r="313" spans="1:6" x14ac:dyDescent="0.3">
      <c r="A313" t="s">
        <v>629</v>
      </c>
      <c r="B313" t="s">
        <v>13</v>
      </c>
      <c r="C313" t="s">
        <v>630</v>
      </c>
      <c r="D313" t="s">
        <v>15</v>
      </c>
      <c r="E313" t="s">
        <v>20</v>
      </c>
      <c r="F313" t="s">
        <v>21</v>
      </c>
    </row>
    <row r="314" spans="1:6" hidden="1" x14ac:dyDescent="0.3">
      <c r="A314" t="s">
        <v>631</v>
      </c>
      <c r="B314" t="s">
        <v>9</v>
      </c>
      <c r="C314" t="s">
        <v>632</v>
      </c>
      <c r="E314" t="s">
        <v>11</v>
      </c>
    </row>
    <row r="315" spans="1:6" hidden="1" x14ac:dyDescent="0.3">
      <c r="A315" t="s">
        <v>633</v>
      </c>
      <c r="B315" t="s">
        <v>13</v>
      </c>
      <c r="C315" t="s">
        <v>634</v>
      </c>
      <c r="D315" t="s">
        <v>15</v>
      </c>
      <c r="E315" t="s">
        <v>16</v>
      </c>
      <c r="F315" t="s">
        <v>635</v>
      </c>
    </row>
    <row r="316" spans="1:6" x14ac:dyDescent="0.3">
      <c r="A316" t="s">
        <v>636</v>
      </c>
      <c r="B316" t="s">
        <v>13</v>
      </c>
      <c r="C316" t="s">
        <v>637</v>
      </c>
      <c r="D316" t="s">
        <v>15</v>
      </c>
      <c r="E316" t="s">
        <v>20</v>
      </c>
      <c r="F316" t="s">
        <v>21</v>
      </c>
    </row>
    <row r="317" spans="1:6" hidden="1" x14ac:dyDescent="0.3">
      <c r="A317" t="s">
        <v>638</v>
      </c>
      <c r="B317" t="s">
        <v>11</v>
      </c>
      <c r="E317" t="s">
        <v>11</v>
      </c>
    </row>
    <row r="318" spans="1:6" hidden="1" x14ac:dyDescent="0.3">
      <c r="A318" t="s">
        <v>639</v>
      </c>
      <c r="B318" t="s">
        <v>9</v>
      </c>
      <c r="C318" t="s">
        <v>640</v>
      </c>
      <c r="E318" t="s">
        <v>11</v>
      </c>
    </row>
    <row r="319" spans="1:6" hidden="1" x14ac:dyDescent="0.3">
      <c r="A319" t="s">
        <v>641</v>
      </c>
      <c r="B319" t="s">
        <v>13</v>
      </c>
      <c r="C319" t="s">
        <v>642</v>
      </c>
      <c r="D319" t="s">
        <v>15</v>
      </c>
      <c r="E319" t="s">
        <v>11</v>
      </c>
    </row>
    <row r="320" spans="1:6" hidden="1" x14ac:dyDescent="0.3">
      <c r="A320" t="s">
        <v>643</v>
      </c>
      <c r="B320" t="s">
        <v>9</v>
      </c>
      <c r="C320" t="s">
        <v>339</v>
      </c>
      <c r="E320" t="s">
        <v>11</v>
      </c>
    </row>
    <row r="321" spans="1:6" hidden="1" x14ac:dyDescent="0.3">
      <c r="A321" t="s">
        <v>644</v>
      </c>
      <c r="B321" t="s">
        <v>9</v>
      </c>
      <c r="C321" t="s">
        <v>28</v>
      </c>
      <c r="E321" t="s">
        <v>11</v>
      </c>
    </row>
    <row r="322" spans="1:6" x14ac:dyDescent="0.3">
      <c r="A322" t="s">
        <v>645</v>
      </c>
      <c r="B322" t="s">
        <v>9</v>
      </c>
      <c r="C322" t="s">
        <v>646</v>
      </c>
      <c r="D322" t="s">
        <v>15</v>
      </c>
      <c r="E322" t="s">
        <v>20</v>
      </c>
      <c r="F322" t="s">
        <v>21</v>
      </c>
    </row>
    <row r="323" spans="1:6" hidden="1" x14ac:dyDescent="0.3">
      <c r="A323" t="s">
        <v>647</v>
      </c>
      <c r="B323" t="s">
        <v>9</v>
      </c>
      <c r="C323" t="s">
        <v>648</v>
      </c>
      <c r="E323" t="s">
        <v>11</v>
      </c>
    </row>
    <row r="324" spans="1:6" hidden="1" x14ac:dyDescent="0.3">
      <c r="A324" t="s">
        <v>649</v>
      </c>
      <c r="B324" t="s">
        <v>11</v>
      </c>
      <c r="E324" t="s">
        <v>11</v>
      </c>
    </row>
    <row r="325" spans="1:6" x14ac:dyDescent="0.3">
      <c r="A325" t="s">
        <v>650</v>
      </c>
      <c r="B325" t="s">
        <v>13</v>
      </c>
      <c r="C325" t="s">
        <v>651</v>
      </c>
      <c r="D325" t="s">
        <v>15</v>
      </c>
      <c r="E325" t="s">
        <v>20</v>
      </c>
      <c r="F325" t="s">
        <v>652</v>
      </c>
    </row>
    <row r="326" spans="1:6" x14ac:dyDescent="0.3">
      <c r="A326" t="s">
        <v>653</v>
      </c>
      <c r="B326" t="s">
        <v>11</v>
      </c>
      <c r="D326" t="s">
        <v>15</v>
      </c>
      <c r="E326" t="s">
        <v>20</v>
      </c>
      <c r="F326" t="s">
        <v>654</v>
      </c>
    </row>
    <row r="327" spans="1:6" hidden="1" x14ac:dyDescent="0.3">
      <c r="A327" t="s">
        <v>655</v>
      </c>
      <c r="B327" t="s">
        <v>13</v>
      </c>
      <c r="C327" t="s">
        <v>656</v>
      </c>
      <c r="D327" t="s">
        <v>15</v>
      </c>
      <c r="E327" t="s">
        <v>54</v>
      </c>
      <c r="F327" t="s">
        <v>657</v>
      </c>
    </row>
    <row r="328" spans="1:6" hidden="1" x14ac:dyDescent="0.3">
      <c r="A328" t="s">
        <v>658</v>
      </c>
      <c r="B328" t="s">
        <v>11</v>
      </c>
      <c r="E328" t="s">
        <v>11</v>
      </c>
    </row>
    <row r="329" spans="1:6" hidden="1" x14ac:dyDescent="0.3">
      <c r="A329" t="s">
        <v>659</v>
      </c>
      <c r="B329" t="s">
        <v>9</v>
      </c>
      <c r="C329" t="s">
        <v>660</v>
      </c>
      <c r="D329" t="s">
        <v>15</v>
      </c>
      <c r="E329" t="s">
        <v>16</v>
      </c>
      <c r="F329" t="s">
        <v>661</v>
      </c>
    </row>
    <row r="330" spans="1:6" x14ac:dyDescent="0.3">
      <c r="A330" t="s">
        <v>662</v>
      </c>
      <c r="B330" t="s">
        <v>9</v>
      </c>
      <c r="C330" t="s">
        <v>663</v>
      </c>
      <c r="D330" t="s">
        <v>15</v>
      </c>
      <c r="E330" t="s">
        <v>20</v>
      </c>
      <c r="F330" t="s">
        <v>664</v>
      </c>
    </row>
    <row r="331" spans="1:6" x14ac:dyDescent="0.3">
      <c r="A331" t="s">
        <v>665</v>
      </c>
      <c r="B331" t="s">
        <v>9</v>
      </c>
      <c r="C331" t="s">
        <v>666</v>
      </c>
      <c r="D331" t="s">
        <v>15</v>
      </c>
      <c r="E331" t="s">
        <v>20</v>
      </c>
      <c r="F331" t="s">
        <v>667</v>
      </c>
    </row>
    <row r="332" spans="1:6" x14ac:dyDescent="0.3">
      <c r="A332" t="s">
        <v>668</v>
      </c>
      <c r="B332" t="s">
        <v>9</v>
      </c>
      <c r="C332" t="s">
        <v>669</v>
      </c>
      <c r="D332" t="s">
        <v>15</v>
      </c>
      <c r="E332" t="s">
        <v>20</v>
      </c>
      <c r="F332" t="s">
        <v>670</v>
      </c>
    </row>
    <row r="333" spans="1:6" x14ac:dyDescent="0.3">
      <c r="A333" t="s">
        <v>671</v>
      </c>
      <c r="B333" t="s">
        <v>9</v>
      </c>
      <c r="C333" t="s">
        <v>672</v>
      </c>
      <c r="E333" t="s">
        <v>20</v>
      </c>
      <c r="F333" t="s">
        <v>673</v>
      </c>
    </row>
    <row r="334" spans="1:6" hidden="1" x14ac:dyDescent="0.3">
      <c r="A334" t="s">
        <v>674</v>
      </c>
      <c r="B334" t="s">
        <v>11</v>
      </c>
      <c r="E334" t="s">
        <v>11</v>
      </c>
    </row>
    <row r="335" spans="1:6" hidden="1" x14ac:dyDescent="0.3">
      <c r="A335" t="s">
        <v>675</v>
      </c>
      <c r="B335" t="s">
        <v>9</v>
      </c>
      <c r="C335" t="s">
        <v>28</v>
      </c>
      <c r="E335" t="s">
        <v>11</v>
      </c>
    </row>
    <row r="336" spans="1:6" hidden="1" x14ac:dyDescent="0.3">
      <c r="A336" t="s">
        <v>676</v>
      </c>
      <c r="B336" t="s">
        <v>11</v>
      </c>
      <c r="E336" t="s">
        <v>11</v>
      </c>
    </row>
    <row r="337" spans="1:6" hidden="1" x14ac:dyDescent="0.3">
      <c r="A337" t="s">
        <v>677</v>
      </c>
      <c r="B337" t="s">
        <v>9</v>
      </c>
      <c r="C337" t="s">
        <v>28</v>
      </c>
      <c r="D337" t="s">
        <v>15</v>
      </c>
      <c r="E337" t="s">
        <v>54</v>
      </c>
      <c r="F337" t="s">
        <v>588</v>
      </c>
    </row>
    <row r="338" spans="1:6" hidden="1" x14ac:dyDescent="0.3">
      <c r="A338" t="s">
        <v>678</v>
      </c>
      <c r="B338" t="s">
        <v>9</v>
      </c>
      <c r="C338" t="s">
        <v>679</v>
      </c>
      <c r="D338" t="s">
        <v>15</v>
      </c>
      <c r="E338" t="s">
        <v>16</v>
      </c>
      <c r="F338" t="s">
        <v>680</v>
      </c>
    </row>
    <row r="339" spans="1:6" hidden="1" x14ac:dyDescent="0.3">
      <c r="A339" t="s">
        <v>681</v>
      </c>
      <c r="B339" t="s">
        <v>13</v>
      </c>
      <c r="C339" t="s">
        <v>682</v>
      </c>
      <c r="D339" t="s">
        <v>15</v>
      </c>
      <c r="E339" t="s">
        <v>16</v>
      </c>
      <c r="F339" t="s">
        <v>683</v>
      </c>
    </row>
    <row r="340" spans="1:6" hidden="1" x14ac:dyDescent="0.3">
      <c r="A340" t="s">
        <v>684</v>
      </c>
      <c r="B340" t="s">
        <v>13</v>
      </c>
      <c r="C340" t="s">
        <v>573</v>
      </c>
      <c r="D340" t="s">
        <v>15</v>
      </c>
      <c r="E340" t="s">
        <v>11</v>
      </c>
    </row>
    <row r="341" spans="1:6" hidden="1" x14ac:dyDescent="0.3">
      <c r="A341" t="s">
        <v>685</v>
      </c>
      <c r="B341" t="s">
        <v>9</v>
      </c>
      <c r="C341" t="s">
        <v>28</v>
      </c>
      <c r="E341" t="s">
        <v>11</v>
      </c>
    </row>
    <row r="342" spans="1:6" x14ac:dyDescent="0.3">
      <c r="A342" t="s">
        <v>686</v>
      </c>
      <c r="B342" t="s">
        <v>13</v>
      </c>
      <c r="C342" t="s">
        <v>687</v>
      </c>
      <c r="D342" t="s">
        <v>15</v>
      </c>
      <c r="E342" t="s">
        <v>20</v>
      </c>
      <c r="F342" t="s">
        <v>688</v>
      </c>
    </row>
    <row r="343" spans="1:6" x14ac:dyDescent="0.3">
      <c r="A343" t="s">
        <v>689</v>
      </c>
      <c r="B343" t="s">
        <v>9</v>
      </c>
      <c r="C343" t="s">
        <v>28</v>
      </c>
      <c r="D343" t="s">
        <v>15</v>
      </c>
      <c r="E343" t="s">
        <v>20</v>
      </c>
      <c r="F343" t="s">
        <v>117</v>
      </c>
    </row>
    <row r="344" spans="1:6" hidden="1" x14ac:dyDescent="0.3">
      <c r="A344" t="s">
        <v>690</v>
      </c>
      <c r="B344" t="s">
        <v>9</v>
      </c>
      <c r="C344" t="s">
        <v>691</v>
      </c>
      <c r="D344" t="s">
        <v>15</v>
      </c>
      <c r="E344" t="s">
        <v>16</v>
      </c>
      <c r="F344" t="s">
        <v>692</v>
      </c>
    </row>
    <row r="345" spans="1:6" hidden="1" x14ac:dyDescent="0.3">
      <c r="A345" t="s">
        <v>693</v>
      </c>
      <c r="B345" t="s">
        <v>9</v>
      </c>
      <c r="C345" t="s">
        <v>28</v>
      </c>
      <c r="E345" t="s">
        <v>11</v>
      </c>
    </row>
    <row r="346" spans="1:6" x14ac:dyDescent="0.3">
      <c r="A346" t="s">
        <v>694</v>
      </c>
      <c r="B346" t="s">
        <v>13</v>
      </c>
      <c r="C346" t="s">
        <v>695</v>
      </c>
      <c r="E346" t="s">
        <v>20</v>
      </c>
      <c r="F346" t="s">
        <v>21</v>
      </c>
    </row>
    <row r="347" spans="1:6" hidden="1" x14ac:dyDescent="0.3">
      <c r="A347" t="s">
        <v>696</v>
      </c>
      <c r="B347" t="s">
        <v>11</v>
      </c>
      <c r="E347" t="s">
        <v>11</v>
      </c>
    </row>
    <row r="348" spans="1:6" hidden="1" x14ac:dyDescent="0.3">
      <c r="A348" t="s">
        <v>697</v>
      </c>
      <c r="B348" t="s">
        <v>9</v>
      </c>
      <c r="C348" t="s">
        <v>698</v>
      </c>
      <c r="E348" t="s">
        <v>54</v>
      </c>
      <c r="F348" t="s">
        <v>699</v>
      </c>
    </row>
    <row r="349" spans="1:6" hidden="1" x14ac:dyDescent="0.3">
      <c r="A349" t="s">
        <v>700</v>
      </c>
      <c r="B349" t="s">
        <v>13</v>
      </c>
      <c r="C349" t="s">
        <v>314</v>
      </c>
      <c r="E349" t="s">
        <v>11</v>
      </c>
    </row>
    <row r="350" spans="1:6" hidden="1" x14ac:dyDescent="0.3">
      <c r="A350" t="s">
        <v>701</v>
      </c>
      <c r="B350" t="s">
        <v>13</v>
      </c>
      <c r="C350" t="s">
        <v>702</v>
      </c>
      <c r="E350" t="s">
        <v>11</v>
      </c>
    </row>
    <row r="351" spans="1:6" hidden="1" x14ac:dyDescent="0.3">
      <c r="A351" t="s">
        <v>703</v>
      </c>
      <c r="B351" t="s">
        <v>11</v>
      </c>
      <c r="E351" t="s">
        <v>11</v>
      </c>
    </row>
    <row r="352" spans="1:6" hidden="1" x14ac:dyDescent="0.3">
      <c r="A352" t="s">
        <v>704</v>
      </c>
      <c r="B352" t="s">
        <v>11</v>
      </c>
      <c r="E352" t="s">
        <v>11</v>
      </c>
    </row>
    <row r="353" spans="1:6" x14ac:dyDescent="0.3">
      <c r="A353" t="s">
        <v>705</v>
      </c>
      <c r="B353" t="s">
        <v>9</v>
      </c>
      <c r="C353" t="s">
        <v>28</v>
      </c>
      <c r="D353" t="s">
        <v>15</v>
      </c>
      <c r="E353" t="s">
        <v>20</v>
      </c>
      <c r="F353" t="s">
        <v>36</v>
      </c>
    </row>
    <row r="354" spans="1:6" hidden="1" x14ac:dyDescent="0.3">
      <c r="A354" t="s">
        <v>706</v>
      </c>
      <c r="B354" t="s">
        <v>197</v>
      </c>
      <c r="C354" t="s">
        <v>707</v>
      </c>
      <c r="E354" t="s">
        <v>11</v>
      </c>
    </row>
    <row r="355" spans="1:6" x14ac:dyDescent="0.3">
      <c r="A355" t="s">
        <v>708</v>
      </c>
      <c r="B355" t="s">
        <v>197</v>
      </c>
      <c r="C355" t="s">
        <v>709</v>
      </c>
      <c r="D355" t="s">
        <v>15</v>
      </c>
      <c r="E355" t="s">
        <v>20</v>
      </c>
      <c r="F355" t="s">
        <v>42</v>
      </c>
    </row>
    <row r="356" spans="1:6" hidden="1" x14ac:dyDescent="0.3">
      <c r="A356" t="s">
        <v>710</v>
      </c>
      <c r="B356" t="s">
        <v>9</v>
      </c>
      <c r="C356" t="s">
        <v>711</v>
      </c>
      <c r="D356" t="s">
        <v>15</v>
      </c>
      <c r="E356" t="s">
        <v>11</v>
      </c>
    </row>
    <row r="357" spans="1:6" hidden="1" x14ac:dyDescent="0.3">
      <c r="A357" t="s">
        <v>712</v>
      </c>
      <c r="B357" t="s">
        <v>9</v>
      </c>
      <c r="C357" t="s">
        <v>28</v>
      </c>
      <c r="E357" t="s">
        <v>11</v>
      </c>
    </row>
    <row r="358" spans="1:6" hidden="1" x14ac:dyDescent="0.3">
      <c r="A358" t="s">
        <v>713</v>
      </c>
      <c r="B358" t="s">
        <v>13</v>
      </c>
      <c r="C358" t="s">
        <v>714</v>
      </c>
      <c r="D358" t="s">
        <v>15</v>
      </c>
      <c r="E358" t="s">
        <v>54</v>
      </c>
      <c r="F358" t="s">
        <v>715</v>
      </c>
    </row>
    <row r="359" spans="1:6" hidden="1" x14ac:dyDescent="0.3">
      <c r="A359" t="s">
        <v>716</v>
      </c>
      <c r="B359" t="s">
        <v>197</v>
      </c>
      <c r="C359" t="s">
        <v>717</v>
      </c>
      <c r="D359" t="s">
        <v>15</v>
      </c>
      <c r="E359" t="s">
        <v>54</v>
      </c>
      <c r="F359" t="s">
        <v>718</v>
      </c>
    </row>
    <row r="360" spans="1:6" hidden="1" x14ac:dyDescent="0.3">
      <c r="A360" t="s">
        <v>719</v>
      </c>
      <c r="B360" t="s">
        <v>9</v>
      </c>
      <c r="C360" t="s">
        <v>720</v>
      </c>
      <c r="D360" t="s">
        <v>15</v>
      </c>
      <c r="E360" t="s">
        <v>16</v>
      </c>
      <c r="F360" t="s">
        <v>721</v>
      </c>
    </row>
    <row r="361" spans="1:6" hidden="1" x14ac:dyDescent="0.3">
      <c r="A361" t="s">
        <v>722</v>
      </c>
      <c r="B361" t="s">
        <v>13</v>
      </c>
      <c r="C361" t="s">
        <v>723</v>
      </c>
      <c r="D361" t="s">
        <v>15</v>
      </c>
      <c r="E361" t="s">
        <v>54</v>
      </c>
      <c r="F361" t="s">
        <v>724</v>
      </c>
    </row>
    <row r="362" spans="1:6" hidden="1" x14ac:dyDescent="0.3">
      <c r="A362" t="s">
        <v>725</v>
      </c>
      <c r="B362" t="s">
        <v>9</v>
      </c>
      <c r="C362" t="s">
        <v>726</v>
      </c>
      <c r="D362" t="s">
        <v>15</v>
      </c>
      <c r="E362" t="s">
        <v>16</v>
      </c>
      <c r="F362" t="s">
        <v>727</v>
      </c>
    </row>
    <row r="363" spans="1:6" hidden="1" x14ac:dyDescent="0.3">
      <c r="A363" t="s">
        <v>728</v>
      </c>
      <c r="B363" t="s">
        <v>11</v>
      </c>
      <c r="E363" t="s">
        <v>11</v>
      </c>
    </row>
    <row r="364" spans="1:6" hidden="1" x14ac:dyDescent="0.3">
      <c r="A364" t="s">
        <v>729</v>
      </c>
      <c r="B364" t="s">
        <v>11</v>
      </c>
      <c r="E364" t="s">
        <v>11</v>
      </c>
    </row>
    <row r="365" spans="1:6" hidden="1" x14ac:dyDescent="0.3">
      <c r="A365" t="s">
        <v>730</v>
      </c>
      <c r="B365" t="s">
        <v>9</v>
      </c>
      <c r="C365" t="s">
        <v>28</v>
      </c>
      <c r="E365" t="s">
        <v>11</v>
      </c>
    </row>
    <row r="366" spans="1:6" hidden="1" x14ac:dyDescent="0.3">
      <c r="A366" t="s">
        <v>731</v>
      </c>
      <c r="B366" t="s">
        <v>197</v>
      </c>
      <c r="C366" t="s">
        <v>732</v>
      </c>
      <c r="D366" t="s">
        <v>15</v>
      </c>
      <c r="E366" t="s">
        <v>11</v>
      </c>
    </row>
    <row r="367" spans="1:6" hidden="1" x14ac:dyDescent="0.3">
      <c r="A367" t="s">
        <v>733</v>
      </c>
      <c r="B367" t="s">
        <v>13</v>
      </c>
      <c r="C367" t="s">
        <v>734</v>
      </c>
      <c r="D367" t="s">
        <v>15</v>
      </c>
      <c r="E367" t="s">
        <v>11</v>
      </c>
    </row>
    <row r="368" spans="1:6" hidden="1" x14ac:dyDescent="0.3">
      <c r="A368" t="s">
        <v>735</v>
      </c>
      <c r="B368" t="s">
        <v>13</v>
      </c>
      <c r="C368" t="s">
        <v>736</v>
      </c>
      <c r="E368" t="s">
        <v>11</v>
      </c>
    </row>
    <row r="369" spans="1:6" hidden="1" x14ac:dyDescent="0.3">
      <c r="A369" t="s">
        <v>737</v>
      </c>
      <c r="B369" t="s">
        <v>13</v>
      </c>
      <c r="C369" t="s">
        <v>738</v>
      </c>
      <c r="D369" t="s">
        <v>15</v>
      </c>
      <c r="E369" t="s">
        <v>11</v>
      </c>
    </row>
    <row r="370" spans="1:6" hidden="1" x14ac:dyDescent="0.3">
      <c r="A370" t="s">
        <v>739</v>
      </c>
      <c r="B370" t="s">
        <v>9</v>
      </c>
      <c r="C370" t="s">
        <v>740</v>
      </c>
      <c r="D370" t="s">
        <v>15</v>
      </c>
      <c r="E370" t="s">
        <v>16</v>
      </c>
      <c r="F370" t="s">
        <v>741</v>
      </c>
    </row>
    <row r="371" spans="1:6" hidden="1" x14ac:dyDescent="0.3">
      <c r="A371" t="s">
        <v>742</v>
      </c>
      <c r="B371" t="s">
        <v>9</v>
      </c>
      <c r="C371" t="s">
        <v>28</v>
      </c>
      <c r="E371" t="s">
        <v>11</v>
      </c>
    </row>
    <row r="372" spans="1:6" x14ac:dyDescent="0.3">
      <c r="A372" t="s">
        <v>743</v>
      </c>
      <c r="B372" t="s">
        <v>9</v>
      </c>
      <c r="C372" t="s">
        <v>744</v>
      </c>
      <c r="D372" t="s">
        <v>15</v>
      </c>
      <c r="E372" t="s">
        <v>20</v>
      </c>
      <c r="F372" t="s">
        <v>745</v>
      </c>
    </row>
    <row r="373" spans="1:6" x14ac:dyDescent="0.3">
      <c r="A373" t="s">
        <v>746</v>
      </c>
      <c r="B373" t="s">
        <v>9</v>
      </c>
      <c r="C373" t="s">
        <v>747</v>
      </c>
      <c r="D373" t="s">
        <v>15</v>
      </c>
      <c r="E373" t="s">
        <v>20</v>
      </c>
      <c r="F373" t="s">
        <v>21</v>
      </c>
    </row>
    <row r="374" spans="1:6" hidden="1" x14ac:dyDescent="0.3">
      <c r="A374" t="s">
        <v>748</v>
      </c>
      <c r="B374" t="s">
        <v>13</v>
      </c>
      <c r="C374" t="s">
        <v>749</v>
      </c>
      <c r="E374" t="s">
        <v>54</v>
      </c>
      <c r="F374" t="s">
        <v>750</v>
      </c>
    </row>
    <row r="375" spans="1:6" hidden="1" x14ac:dyDescent="0.3">
      <c r="A375" t="s">
        <v>751</v>
      </c>
      <c r="B375" t="s">
        <v>13</v>
      </c>
      <c r="C375" t="s">
        <v>752</v>
      </c>
      <c r="D375" t="s">
        <v>15</v>
      </c>
      <c r="E375" t="s">
        <v>16</v>
      </c>
      <c r="F375" t="s">
        <v>753</v>
      </c>
    </row>
    <row r="376" spans="1:6" hidden="1" x14ac:dyDescent="0.3">
      <c r="A376" t="s">
        <v>754</v>
      </c>
      <c r="B376" t="s">
        <v>13</v>
      </c>
      <c r="C376" t="s">
        <v>755</v>
      </c>
      <c r="E376" t="s">
        <v>11</v>
      </c>
    </row>
    <row r="377" spans="1:6" x14ac:dyDescent="0.3">
      <c r="A377" t="s">
        <v>756</v>
      </c>
      <c r="B377" t="s">
        <v>9</v>
      </c>
      <c r="C377" t="s">
        <v>757</v>
      </c>
      <c r="D377" t="s">
        <v>15</v>
      </c>
      <c r="E377" t="s">
        <v>20</v>
      </c>
      <c r="F377" t="s">
        <v>758</v>
      </c>
    </row>
    <row r="378" spans="1:6" hidden="1" x14ac:dyDescent="0.3">
      <c r="A378" t="s">
        <v>759</v>
      </c>
      <c r="B378" t="s">
        <v>13</v>
      </c>
      <c r="C378" t="s">
        <v>760</v>
      </c>
      <c r="D378" t="s">
        <v>15</v>
      </c>
      <c r="E378" t="s">
        <v>54</v>
      </c>
      <c r="F378" t="s">
        <v>761</v>
      </c>
    </row>
    <row r="379" spans="1:6" x14ac:dyDescent="0.3">
      <c r="A379" t="s">
        <v>762</v>
      </c>
      <c r="B379" t="s">
        <v>13</v>
      </c>
      <c r="C379" t="s">
        <v>763</v>
      </c>
      <c r="D379" t="s">
        <v>15</v>
      </c>
      <c r="E379" t="s">
        <v>20</v>
      </c>
      <c r="F379" t="s">
        <v>21</v>
      </c>
    </row>
    <row r="380" spans="1:6" hidden="1" x14ac:dyDescent="0.3">
      <c r="A380" t="s">
        <v>764</v>
      </c>
      <c r="B380" t="s">
        <v>9</v>
      </c>
      <c r="C380" t="s">
        <v>765</v>
      </c>
      <c r="D380" t="s">
        <v>15</v>
      </c>
      <c r="E380" t="s">
        <v>16</v>
      </c>
      <c r="F380" t="s">
        <v>766</v>
      </c>
    </row>
    <row r="381" spans="1:6" x14ac:dyDescent="0.3">
      <c r="A381" t="s">
        <v>767</v>
      </c>
      <c r="B381" t="s">
        <v>13</v>
      </c>
      <c r="C381" t="s">
        <v>768</v>
      </c>
      <c r="D381" t="s">
        <v>15</v>
      </c>
      <c r="E381" t="s">
        <v>20</v>
      </c>
      <c r="F381" t="s">
        <v>21</v>
      </c>
    </row>
    <row r="382" spans="1:6" hidden="1" x14ac:dyDescent="0.3">
      <c r="A382" t="s">
        <v>769</v>
      </c>
      <c r="B382" t="s">
        <v>9</v>
      </c>
      <c r="C382" t="s">
        <v>28</v>
      </c>
      <c r="D382" t="s">
        <v>15</v>
      </c>
      <c r="E382" t="s">
        <v>11</v>
      </c>
    </row>
    <row r="383" spans="1:6" hidden="1" x14ac:dyDescent="0.3">
      <c r="A383" t="s">
        <v>770</v>
      </c>
      <c r="B383" t="s">
        <v>13</v>
      </c>
      <c r="C383" t="s">
        <v>771</v>
      </c>
      <c r="D383" t="s">
        <v>15</v>
      </c>
      <c r="E383" t="s">
        <v>11</v>
      </c>
    </row>
    <row r="384" spans="1:6" x14ac:dyDescent="0.3">
      <c r="A384" t="s">
        <v>772</v>
      </c>
      <c r="B384" t="s">
        <v>11</v>
      </c>
      <c r="E384" t="s">
        <v>20</v>
      </c>
      <c r="F384" t="s">
        <v>773</v>
      </c>
    </row>
    <row r="385" spans="1:6" hidden="1" x14ac:dyDescent="0.3">
      <c r="A385" t="s">
        <v>774</v>
      </c>
      <c r="B385" t="s">
        <v>11</v>
      </c>
      <c r="E385" t="s">
        <v>11</v>
      </c>
    </row>
    <row r="386" spans="1:6" hidden="1" x14ac:dyDescent="0.3">
      <c r="A386" t="s">
        <v>775</v>
      </c>
      <c r="B386" t="s">
        <v>13</v>
      </c>
      <c r="C386" t="s">
        <v>231</v>
      </c>
      <c r="E386" t="s">
        <v>11</v>
      </c>
    </row>
    <row r="387" spans="1:6" hidden="1" x14ac:dyDescent="0.3">
      <c r="A387" t="s">
        <v>776</v>
      </c>
      <c r="B387" t="s">
        <v>13</v>
      </c>
      <c r="C387" t="s">
        <v>777</v>
      </c>
      <c r="D387" t="s">
        <v>15</v>
      </c>
      <c r="E387" t="s">
        <v>11</v>
      </c>
    </row>
    <row r="388" spans="1:6" x14ac:dyDescent="0.3">
      <c r="A388" t="s">
        <v>778</v>
      </c>
      <c r="B388" t="s">
        <v>13</v>
      </c>
      <c r="C388" t="s">
        <v>245</v>
      </c>
      <c r="D388" t="s">
        <v>15</v>
      </c>
      <c r="E388" t="s">
        <v>20</v>
      </c>
      <c r="F388" t="s">
        <v>21</v>
      </c>
    </row>
    <row r="389" spans="1:6" x14ac:dyDescent="0.3">
      <c r="A389" t="s">
        <v>779</v>
      </c>
      <c r="B389" t="s">
        <v>11</v>
      </c>
      <c r="D389" t="s">
        <v>15</v>
      </c>
      <c r="E389" t="s">
        <v>20</v>
      </c>
      <c r="F389" t="s">
        <v>21</v>
      </c>
    </row>
    <row r="390" spans="1:6" hidden="1" x14ac:dyDescent="0.3">
      <c r="A390" t="s">
        <v>780</v>
      </c>
      <c r="B390" t="s">
        <v>13</v>
      </c>
      <c r="C390" t="s">
        <v>781</v>
      </c>
      <c r="D390" t="s">
        <v>15</v>
      </c>
      <c r="E390" t="s">
        <v>11</v>
      </c>
    </row>
    <row r="391" spans="1:6" hidden="1" x14ac:dyDescent="0.3">
      <c r="A391" t="s">
        <v>782</v>
      </c>
      <c r="B391" t="s">
        <v>9</v>
      </c>
      <c r="C391" t="s">
        <v>28</v>
      </c>
      <c r="E391" t="s">
        <v>11</v>
      </c>
    </row>
    <row r="392" spans="1:6" hidden="1" x14ac:dyDescent="0.3">
      <c r="A392" t="s">
        <v>783</v>
      </c>
      <c r="B392" t="s">
        <v>11</v>
      </c>
      <c r="E392" t="s">
        <v>11</v>
      </c>
    </row>
    <row r="393" spans="1:6" hidden="1" x14ac:dyDescent="0.3">
      <c r="A393" t="s">
        <v>784</v>
      </c>
      <c r="B393" t="s">
        <v>11</v>
      </c>
      <c r="D393" t="s">
        <v>15</v>
      </c>
      <c r="E393" t="s">
        <v>11</v>
      </c>
    </row>
    <row r="394" spans="1:6" hidden="1" x14ac:dyDescent="0.3">
      <c r="A394" t="s">
        <v>785</v>
      </c>
      <c r="B394" t="s">
        <v>9</v>
      </c>
      <c r="C394" t="s">
        <v>28</v>
      </c>
      <c r="E394" t="s">
        <v>11</v>
      </c>
    </row>
    <row r="395" spans="1:6" hidden="1" x14ac:dyDescent="0.3">
      <c r="A395" t="s">
        <v>786</v>
      </c>
      <c r="B395" t="s">
        <v>13</v>
      </c>
      <c r="C395" t="s">
        <v>314</v>
      </c>
      <c r="D395" t="s">
        <v>15</v>
      </c>
      <c r="E395" t="s">
        <v>11</v>
      </c>
    </row>
    <row r="396" spans="1:6" hidden="1" x14ac:dyDescent="0.3">
      <c r="A396" t="s">
        <v>787</v>
      </c>
      <c r="B396" t="s">
        <v>13</v>
      </c>
      <c r="C396" t="s">
        <v>245</v>
      </c>
      <c r="E396" t="s">
        <v>11</v>
      </c>
    </row>
    <row r="397" spans="1:6" hidden="1" x14ac:dyDescent="0.3">
      <c r="A397" t="s">
        <v>788</v>
      </c>
      <c r="B397" t="s">
        <v>11</v>
      </c>
      <c r="E397" t="s">
        <v>11</v>
      </c>
    </row>
    <row r="398" spans="1:6" x14ac:dyDescent="0.3">
      <c r="A398" t="s">
        <v>789</v>
      </c>
      <c r="B398" t="s">
        <v>9</v>
      </c>
      <c r="C398" t="s">
        <v>28</v>
      </c>
      <c r="E398" t="s">
        <v>20</v>
      </c>
      <c r="F398" t="s">
        <v>21</v>
      </c>
    </row>
    <row r="399" spans="1:6" hidden="1" x14ac:dyDescent="0.3">
      <c r="A399" t="s">
        <v>790</v>
      </c>
      <c r="B399" t="s">
        <v>9</v>
      </c>
      <c r="C399" t="s">
        <v>791</v>
      </c>
      <c r="E399" t="s">
        <v>11</v>
      </c>
    </row>
    <row r="400" spans="1:6" hidden="1" x14ac:dyDescent="0.3">
      <c r="A400" t="s">
        <v>792</v>
      </c>
      <c r="B400" t="s">
        <v>13</v>
      </c>
      <c r="C400" t="s">
        <v>793</v>
      </c>
      <c r="E400" t="s">
        <v>11</v>
      </c>
    </row>
    <row r="401" spans="1:6" hidden="1" x14ac:dyDescent="0.3">
      <c r="A401" t="s">
        <v>794</v>
      </c>
      <c r="B401" t="s">
        <v>13</v>
      </c>
      <c r="C401" t="s">
        <v>795</v>
      </c>
      <c r="D401" t="s">
        <v>15</v>
      </c>
      <c r="E401" t="s">
        <v>11</v>
      </c>
    </row>
    <row r="402" spans="1:6" x14ac:dyDescent="0.3">
      <c r="A402" t="s">
        <v>796</v>
      </c>
      <c r="B402" t="s">
        <v>9</v>
      </c>
      <c r="C402" t="s">
        <v>797</v>
      </c>
      <c r="D402" t="s">
        <v>15</v>
      </c>
      <c r="E402" t="s">
        <v>20</v>
      </c>
      <c r="F402" t="s">
        <v>798</v>
      </c>
    </row>
    <row r="403" spans="1:6" hidden="1" x14ac:dyDescent="0.3">
      <c r="A403" t="s">
        <v>799</v>
      </c>
      <c r="B403" t="s">
        <v>9</v>
      </c>
      <c r="C403" t="s">
        <v>800</v>
      </c>
      <c r="D403" t="s">
        <v>15</v>
      </c>
      <c r="E403" t="s">
        <v>54</v>
      </c>
      <c r="F403" t="s">
        <v>801</v>
      </c>
    </row>
    <row r="404" spans="1:6" hidden="1" x14ac:dyDescent="0.3">
      <c r="A404" t="s">
        <v>802</v>
      </c>
      <c r="B404" t="s">
        <v>11</v>
      </c>
      <c r="E404" t="s">
        <v>11</v>
      </c>
    </row>
    <row r="405" spans="1:6" x14ac:dyDescent="0.3">
      <c r="A405" t="s">
        <v>803</v>
      </c>
      <c r="B405" t="s">
        <v>9</v>
      </c>
      <c r="C405" t="s">
        <v>804</v>
      </c>
      <c r="D405" t="s">
        <v>15</v>
      </c>
      <c r="E405" t="s">
        <v>20</v>
      </c>
      <c r="F405" t="s">
        <v>805</v>
      </c>
    </row>
    <row r="406" spans="1:6" hidden="1" x14ac:dyDescent="0.3">
      <c r="A406" t="s">
        <v>806</v>
      </c>
      <c r="B406" t="s">
        <v>9</v>
      </c>
      <c r="C406" t="s">
        <v>28</v>
      </c>
      <c r="E406" t="s">
        <v>11</v>
      </c>
    </row>
    <row r="407" spans="1:6" hidden="1" x14ac:dyDescent="0.3">
      <c r="A407" t="s">
        <v>807</v>
      </c>
      <c r="B407" t="s">
        <v>13</v>
      </c>
      <c r="C407" t="s">
        <v>808</v>
      </c>
      <c r="D407" t="s">
        <v>15</v>
      </c>
      <c r="E407" t="s">
        <v>54</v>
      </c>
      <c r="F407" t="s">
        <v>588</v>
      </c>
    </row>
    <row r="408" spans="1:6" hidden="1" x14ac:dyDescent="0.3">
      <c r="A408" t="s">
        <v>809</v>
      </c>
      <c r="B408" t="s">
        <v>9</v>
      </c>
      <c r="C408" t="s">
        <v>810</v>
      </c>
      <c r="E408" t="s">
        <v>54</v>
      </c>
      <c r="F408" t="s">
        <v>588</v>
      </c>
    </row>
    <row r="409" spans="1:6" x14ac:dyDescent="0.3">
      <c r="A409" t="s">
        <v>811</v>
      </c>
      <c r="B409" t="s">
        <v>9</v>
      </c>
      <c r="C409" t="s">
        <v>812</v>
      </c>
      <c r="D409" t="s">
        <v>15</v>
      </c>
      <c r="E409" t="s">
        <v>20</v>
      </c>
      <c r="F409" t="s">
        <v>813</v>
      </c>
    </row>
    <row r="410" spans="1:6" hidden="1" x14ac:dyDescent="0.3">
      <c r="A410" t="s">
        <v>814</v>
      </c>
      <c r="B410" t="s">
        <v>13</v>
      </c>
      <c r="C410" t="s">
        <v>815</v>
      </c>
      <c r="E410" t="s">
        <v>11</v>
      </c>
    </row>
    <row r="411" spans="1:6" hidden="1" x14ac:dyDescent="0.3">
      <c r="A411" t="s">
        <v>816</v>
      </c>
      <c r="B411" t="s">
        <v>9</v>
      </c>
      <c r="C411" t="s">
        <v>28</v>
      </c>
      <c r="D411" t="s">
        <v>15</v>
      </c>
      <c r="E411" t="s">
        <v>16</v>
      </c>
      <c r="F411" t="s">
        <v>817</v>
      </c>
    </row>
    <row r="412" spans="1:6" hidden="1" x14ac:dyDescent="0.3">
      <c r="A412" t="s">
        <v>818</v>
      </c>
      <c r="B412" t="s">
        <v>11</v>
      </c>
      <c r="E412" t="s">
        <v>11</v>
      </c>
    </row>
    <row r="413" spans="1:6" hidden="1" x14ac:dyDescent="0.3">
      <c r="A413" t="s">
        <v>819</v>
      </c>
      <c r="B413" t="s">
        <v>13</v>
      </c>
      <c r="C413" t="s">
        <v>369</v>
      </c>
      <c r="E413" t="s">
        <v>11</v>
      </c>
    </row>
    <row r="414" spans="1:6" hidden="1" x14ac:dyDescent="0.3">
      <c r="A414" t="s">
        <v>820</v>
      </c>
      <c r="B414" t="s">
        <v>13</v>
      </c>
      <c r="C414" t="s">
        <v>821</v>
      </c>
      <c r="D414" t="s">
        <v>15</v>
      </c>
      <c r="E414" t="s">
        <v>11</v>
      </c>
    </row>
    <row r="415" spans="1:6" x14ac:dyDescent="0.3">
      <c r="A415" t="s">
        <v>822</v>
      </c>
      <c r="B415" t="s">
        <v>9</v>
      </c>
      <c r="C415" t="s">
        <v>823</v>
      </c>
      <c r="D415" t="s">
        <v>15</v>
      </c>
      <c r="E415" t="s">
        <v>20</v>
      </c>
      <c r="F415" t="s">
        <v>824</v>
      </c>
    </row>
    <row r="416" spans="1:6" hidden="1" x14ac:dyDescent="0.3">
      <c r="A416" t="s">
        <v>825</v>
      </c>
      <c r="B416" t="s">
        <v>9</v>
      </c>
      <c r="C416" t="s">
        <v>826</v>
      </c>
      <c r="E416" t="s">
        <v>11</v>
      </c>
    </row>
    <row r="417" spans="1:6" hidden="1" x14ac:dyDescent="0.3">
      <c r="A417" t="s">
        <v>827</v>
      </c>
      <c r="B417" t="s">
        <v>9</v>
      </c>
      <c r="C417" t="s">
        <v>828</v>
      </c>
      <c r="D417" t="s">
        <v>15</v>
      </c>
      <c r="E417" t="s">
        <v>54</v>
      </c>
      <c r="F417" t="s">
        <v>829</v>
      </c>
    </row>
    <row r="418" spans="1:6" hidden="1" x14ac:dyDescent="0.3">
      <c r="A418" t="s">
        <v>830</v>
      </c>
      <c r="B418" t="s">
        <v>9</v>
      </c>
      <c r="C418" t="s">
        <v>28</v>
      </c>
      <c r="E418" t="s">
        <v>11</v>
      </c>
    </row>
    <row r="419" spans="1:6" hidden="1" x14ac:dyDescent="0.3">
      <c r="A419" t="s">
        <v>831</v>
      </c>
      <c r="B419" t="s">
        <v>9</v>
      </c>
      <c r="C419" t="s">
        <v>832</v>
      </c>
      <c r="D419" t="s">
        <v>15</v>
      </c>
      <c r="E419" t="s">
        <v>54</v>
      </c>
      <c r="F419" t="s">
        <v>833</v>
      </c>
    </row>
    <row r="420" spans="1:6" hidden="1" x14ac:dyDescent="0.3">
      <c r="A420" t="s">
        <v>834</v>
      </c>
      <c r="B420" t="s">
        <v>13</v>
      </c>
      <c r="C420" t="s">
        <v>835</v>
      </c>
      <c r="D420" t="s">
        <v>15</v>
      </c>
      <c r="E420" t="s">
        <v>16</v>
      </c>
      <c r="F420" t="s">
        <v>836</v>
      </c>
    </row>
    <row r="421" spans="1:6" x14ac:dyDescent="0.3">
      <c r="A421" t="s">
        <v>837</v>
      </c>
      <c r="B421" t="s">
        <v>9</v>
      </c>
      <c r="C421" t="s">
        <v>838</v>
      </c>
      <c r="D421" t="s">
        <v>15</v>
      </c>
      <c r="E421" t="s">
        <v>20</v>
      </c>
      <c r="F421" t="s">
        <v>839</v>
      </c>
    </row>
    <row r="422" spans="1:6" hidden="1" x14ac:dyDescent="0.3">
      <c r="A422" t="s">
        <v>840</v>
      </c>
      <c r="B422" t="s">
        <v>9</v>
      </c>
      <c r="C422" t="s">
        <v>841</v>
      </c>
      <c r="E422" t="s">
        <v>11</v>
      </c>
    </row>
    <row r="423" spans="1:6" hidden="1" x14ac:dyDescent="0.3">
      <c r="A423" t="s">
        <v>842</v>
      </c>
      <c r="B423" t="s">
        <v>11</v>
      </c>
      <c r="E423" t="s">
        <v>54</v>
      </c>
      <c r="F423" t="s">
        <v>588</v>
      </c>
    </row>
    <row r="424" spans="1:6" hidden="1" x14ac:dyDescent="0.3">
      <c r="A424" t="s">
        <v>843</v>
      </c>
      <c r="B424" t="s">
        <v>9</v>
      </c>
      <c r="C424" t="s">
        <v>28</v>
      </c>
      <c r="E424" t="s">
        <v>11</v>
      </c>
    </row>
    <row r="425" spans="1:6" hidden="1" x14ac:dyDescent="0.3">
      <c r="A425" t="s">
        <v>844</v>
      </c>
      <c r="B425" t="s">
        <v>11</v>
      </c>
      <c r="E425" t="s">
        <v>11</v>
      </c>
    </row>
    <row r="426" spans="1:6" hidden="1" x14ac:dyDescent="0.3">
      <c r="A426" t="s">
        <v>845</v>
      </c>
      <c r="B426" t="s">
        <v>9</v>
      </c>
      <c r="C426" t="s">
        <v>28</v>
      </c>
      <c r="E426" t="s">
        <v>11</v>
      </c>
    </row>
    <row r="427" spans="1:6" x14ac:dyDescent="0.3">
      <c r="A427" t="s">
        <v>846</v>
      </c>
      <c r="B427" t="s">
        <v>9</v>
      </c>
      <c r="C427" t="s">
        <v>847</v>
      </c>
      <c r="D427" t="s">
        <v>15</v>
      </c>
      <c r="E427" t="s">
        <v>20</v>
      </c>
      <c r="F427" t="s">
        <v>21</v>
      </c>
    </row>
    <row r="428" spans="1:6" hidden="1" x14ac:dyDescent="0.3">
      <c r="A428" t="s">
        <v>848</v>
      </c>
      <c r="B428" t="s">
        <v>9</v>
      </c>
      <c r="C428" t="s">
        <v>28</v>
      </c>
      <c r="D428" t="s">
        <v>15</v>
      </c>
      <c r="E428" t="s">
        <v>11</v>
      </c>
    </row>
    <row r="429" spans="1:6" hidden="1" x14ac:dyDescent="0.3">
      <c r="A429" t="s">
        <v>849</v>
      </c>
      <c r="B429" t="s">
        <v>13</v>
      </c>
      <c r="C429" t="s">
        <v>850</v>
      </c>
      <c r="D429" t="s">
        <v>15</v>
      </c>
      <c r="E429" t="s">
        <v>11</v>
      </c>
    </row>
    <row r="430" spans="1:6" hidden="1" x14ac:dyDescent="0.3">
      <c r="A430" t="s">
        <v>851</v>
      </c>
      <c r="B430" t="s">
        <v>11</v>
      </c>
      <c r="E430" t="s">
        <v>11</v>
      </c>
    </row>
    <row r="431" spans="1:6" hidden="1" x14ac:dyDescent="0.3">
      <c r="A431" t="s">
        <v>852</v>
      </c>
      <c r="B431" t="s">
        <v>9</v>
      </c>
      <c r="C431" t="s">
        <v>28</v>
      </c>
      <c r="E431" t="s">
        <v>11</v>
      </c>
    </row>
    <row r="432" spans="1:6" hidden="1" x14ac:dyDescent="0.3">
      <c r="A432" t="s">
        <v>853</v>
      </c>
      <c r="B432" t="s">
        <v>854</v>
      </c>
      <c r="C432" t="s">
        <v>855</v>
      </c>
      <c r="E432" t="s">
        <v>11</v>
      </c>
    </row>
    <row r="433" spans="1:8" hidden="1" x14ac:dyDescent="0.3">
      <c r="A433" t="s">
        <v>856</v>
      </c>
      <c r="B433" t="s">
        <v>13</v>
      </c>
      <c r="C433" t="s">
        <v>857</v>
      </c>
      <c r="E433" t="s">
        <v>11</v>
      </c>
    </row>
    <row r="434" spans="1:8" hidden="1" x14ac:dyDescent="0.3">
      <c r="A434" t="s">
        <v>858</v>
      </c>
      <c r="B434" t="s">
        <v>9</v>
      </c>
      <c r="C434" t="s">
        <v>859</v>
      </c>
      <c r="E434" t="s">
        <v>11</v>
      </c>
    </row>
    <row r="435" spans="1:8" x14ac:dyDescent="0.3">
      <c r="A435" t="s">
        <v>860</v>
      </c>
      <c r="B435" t="s">
        <v>13</v>
      </c>
      <c r="C435" t="s">
        <v>861</v>
      </c>
      <c r="E435" t="s">
        <v>20</v>
      </c>
      <c r="F435" t="s">
        <v>135</v>
      </c>
    </row>
    <row r="436" spans="1:8" hidden="1" x14ac:dyDescent="0.3">
      <c r="A436" t="s">
        <v>862</v>
      </c>
      <c r="B436" t="s">
        <v>11</v>
      </c>
      <c r="E436" t="s">
        <v>11</v>
      </c>
    </row>
    <row r="437" spans="1:8" hidden="1" x14ac:dyDescent="0.3">
      <c r="A437" t="s">
        <v>863</v>
      </c>
      <c r="B437" t="s">
        <v>9</v>
      </c>
      <c r="C437" t="s">
        <v>864</v>
      </c>
      <c r="D437" t="s">
        <v>15</v>
      </c>
      <c r="E437" t="s">
        <v>54</v>
      </c>
      <c r="F437" t="s">
        <v>357</v>
      </c>
      <c r="G437" t="s">
        <v>15</v>
      </c>
      <c r="H437" t="s">
        <v>865</v>
      </c>
    </row>
    <row r="438" spans="1:8" hidden="1" x14ac:dyDescent="0.3">
      <c r="A438" t="s">
        <v>866</v>
      </c>
      <c r="B438" t="s">
        <v>11</v>
      </c>
      <c r="E438" t="s">
        <v>11</v>
      </c>
    </row>
    <row r="439" spans="1:8" hidden="1" x14ac:dyDescent="0.3">
      <c r="A439" t="s">
        <v>867</v>
      </c>
      <c r="B439" t="s">
        <v>11</v>
      </c>
      <c r="D439" t="s">
        <v>15</v>
      </c>
      <c r="E439" t="s">
        <v>11</v>
      </c>
    </row>
    <row r="440" spans="1:8" hidden="1" x14ac:dyDescent="0.3">
      <c r="A440" t="s">
        <v>868</v>
      </c>
      <c r="B440" t="s">
        <v>13</v>
      </c>
      <c r="C440" t="s">
        <v>869</v>
      </c>
      <c r="E440" t="s">
        <v>54</v>
      </c>
      <c r="F440" t="s">
        <v>870</v>
      </c>
    </row>
    <row r="441" spans="1:8" hidden="1" x14ac:dyDescent="0.3">
      <c r="A441" t="s">
        <v>871</v>
      </c>
      <c r="B441" t="s">
        <v>13</v>
      </c>
      <c r="C441" t="s">
        <v>872</v>
      </c>
      <c r="E441" t="s">
        <v>11</v>
      </c>
    </row>
    <row r="442" spans="1:8" hidden="1" x14ac:dyDescent="0.3">
      <c r="A442" t="s">
        <v>873</v>
      </c>
      <c r="B442" t="s">
        <v>9</v>
      </c>
      <c r="C442" t="s">
        <v>874</v>
      </c>
      <c r="E442" t="s">
        <v>11</v>
      </c>
    </row>
    <row r="443" spans="1:8" hidden="1" x14ac:dyDescent="0.3">
      <c r="A443" t="s">
        <v>875</v>
      </c>
      <c r="B443" t="s">
        <v>9</v>
      </c>
      <c r="C443" t="s">
        <v>876</v>
      </c>
      <c r="D443" t="s">
        <v>15</v>
      </c>
      <c r="E443" t="s">
        <v>11</v>
      </c>
    </row>
    <row r="444" spans="1:8" x14ac:dyDescent="0.3">
      <c r="A444" t="s">
        <v>877</v>
      </c>
      <c r="B444" t="s">
        <v>197</v>
      </c>
      <c r="C444" t="s">
        <v>878</v>
      </c>
      <c r="D444" t="s">
        <v>15</v>
      </c>
      <c r="E444" t="s">
        <v>20</v>
      </c>
      <c r="F444" t="s">
        <v>135</v>
      </c>
    </row>
    <row r="445" spans="1:8" hidden="1" x14ac:dyDescent="0.3">
      <c r="A445" t="s">
        <v>879</v>
      </c>
      <c r="B445" t="s">
        <v>11</v>
      </c>
      <c r="E445" t="s">
        <v>11</v>
      </c>
    </row>
    <row r="446" spans="1:8" x14ac:dyDescent="0.3">
      <c r="A446" t="s">
        <v>880</v>
      </c>
      <c r="B446" t="s">
        <v>197</v>
      </c>
      <c r="C446" t="s">
        <v>881</v>
      </c>
      <c r="D446" t="s">
        <v>15</v>
      </c>
      <c r="E446" t="s">
        <v>20</v>
      </c>
      <c r="F446" t="s">
        <v>21</v>
      </c>
    </row>
    <row r="447" spans="1:8" hidden="1" x14ac:dyDescent="0.3">
      <c r="A447" t="s">
        <v>882</v>
      </c>
      <c r="B447" t="s">
        <v>9</v>
      </c>
      <c r="C447" t="s">
        <v>28</v>
      </c>
      <c r="E447" t="s">
        <v>11</v>
      </c>
    </row>
    <row r="448" spans="1:8" hidden="1" x14ac:dyDescent="0.3">
      <c r="A448" t="s">
        <v>883</v>
      </c>
      <c r="B448" t="s">
        <v>9</v>
      </c>
      <c r="C448" t="s">
        <v>28</v>
      </c>
      <c r="E448" t="s">
        <v>11</v>
      </c>
    </row>
    <row r="449" spans="1:6" hidden="1" x14ac:dyDescent="0.3">
      <c r="A449" t="s">
        <v>884</v>
      </c>
      <c r="B449" t="s">
        <v>9</v>
      </c>
      <c r="C449" t="s">
        <v>885</v>
      </c>
      <c r="E449" t="s">
        <v>11</v>
      </c>
    </row>
    <row r="450" spans="1:6" x14ac:dyDescent="0.3">
      <c r="A450" t="s">
        <v>886</v>
      </c>
      <c r="B450" t="s">
        <v>13</v>
      </c>
      <c r="C450" t="s">
        <v>887</v>
      </c>
      <c r="E450" t="s">
        <v>20</v>
      </c>
      <c r="F450" t="s">
        <v>135</v>
      </c>
    </row>
    <row r="451" spans="1:6" hidden="1" x14ac:dyDescent="0.3">
      <c r="A451" t="s">
        <v>888</v>
      </c>
      <c r="B451" t="s">
        <v>13</v>
      </c>
      <c r="C451" t="s">
        <v>889</v>
      </c>
      <c r="D451" t="s">
        <v>15</v>
      </c>
      <c r="E451" t="s">
        <v>16</v>
      </c>
      <c r="F451" t="s">
        <v>890</v>
      </c>
    </row>
    <row r="452" spans="1:6" x14ac:dyDescent="0.3">
      <c r="A452" t="s">
        <v>891</v>
      </c>
      <c r="B452" t="s">
        <v>9</v>
      </c>
      <c r="C452" t="s">
        <v>892</v>
      </c>
      <c r="D452" t="s">
        <v>15</v>
      </c>
      <c r="E452" t="s">
        <v>20</v>
      </c>
      <c r="F452" t="s">
        <v>893</v>
      </c>
    </row>
    <row r="453" spans="1:6" x14ac:dyDescent="0.3">
      <c r="A453" t="s">
        <v>894</v>
      </c>
      <c r="B453" t="s">
        <v>417</v>
      </c>
      <c r="C453" t="s">
        <v>895</v>
      </c>
      <c r="D453" t="s">
        <v>15</v>
      </c>
      <c r="E453" t="s">
        <v>20</v>
      </c>
      <c r="F453" t="s">
        <v>21</v>
      </c>
    </row>
    <row r="454" spans="1:6" hidden="1" x14ac:dyDescent="0.3">
      <c r="A454" t="s">
        <v>896</v>
      </c>
      <c r="B454" t="s">
        <v>11</v>
      </c>
      <c r="E454" t="s">
        <v>11</v>
      </c>
    </row>
    <row r="455" spans="1:6" x14ac:dyDescent="0.3">
      <c r="A455" t="s">
        <v>897</v>
      </c>
      <c r="B455" t="s">
        <v>9</v>
      </c>
      <c r="C455" t="s">
        <v>898</v>
      </c>
      <c r="E455" t="s">
        <v>20</v>
      </c>
      <c r="F455" t="s">
        <v>899</v>
      </c>
    </row>
    <row r="456" spans="1:6" hidden="1" x14ac:dyDescent="0.3">
      <c r="A456" t="s">
        <v>900</v>
      </c>
      <c r="B456" t="s">
        <v>9</v>
      </c>
      <c r="C456" t="s">
        <v>901</v>
      </c>
      <c r="D456" t="s">
        <v>15</v>
      </c>
      <c r="E456" t="s">
        <v>54</v>
      </c>
      <c r="F456" t="s">
        <v>902</v>
      </c>
    </row>
    <row r="457" spans="1:6" hidden="1" x14ac:dyDescent="0.3">
      <c r="A457" t="s">
        <v>903</v>
      </c>
      <c r="B457" t="s">
        <v>13</v>
      </c>
      <c r="C457" t="s">
        <v>904</v>
      </c>
      <c r="D457" t="s">
        <v>15</v>
      </c>
      <c r="E457" t="s">
        <v>54</v>
      </c>
      <c r="F457" t="s">
        <v>905</v>
      </c>
    </row>
    <row r="458" spans="1:6" hidden="1" x14ac:dyDescent="0.3">
      <c r="A458" t="s">
        <v>906</v>
      </c>
      <c r="B458" t="s">
        <v>9</v>
      </c>
      <c r="C458" t="s">
        <v>907</v>
      </c>
      <c r="D458" t="s">
        <v>15</v>
      </c>
      <c r="E458" t="s">
        <v>11</v>
      </c>
    </row>
    <row r="459" spans="1:6" hidden="1" x14ac:dyDescent="0.3">
      <c r="A459" t="s">
        <v>908</v>
      </c>
      <c r="B459" t="s">
        <v>9</v>
      </c>
      <c r="C459" t="s">
        <v>28</v>
      </c>
      <c r="E459" t="s">
        <v>11</v>
      </c>
    </row>
    <row r="460" spans="1:6" hidden="1" x14ac:dyDescent="0.3">
      <c r="A460" t="s">
        <v>909</v>
      </c>
      <c r="B460" t="s">
        <v>11</v>
      </c>
      <c r="E460" t="s">
        <v>11</v>
      </c>
    </row>
    <row r="461" spans="1:6" x14ac:dyDescent="0.3">
      <c r="A461" t="s">
        <v>910</v>
      </c>
      <c r="B461" t="s">
        <v>9</v>
      </c>
      <c r="C461" t="s">
        <v>911</v>
      </c>
      <c r="E461" t="s">
        <v>20</v>
      </c>
      <c r="F461" t="s">
        <v>912</v>
      </c>
    </row>
    <row r="462" spans="1:6" hidden="1" x14ac:dyDescent="0.3">
      <c r="A462" t="s">
        <v>913</v>
      </c>
      <c r="B462" t="s">
        <v>9</v>
      </c>
      <c r="C462" t="s">
        <v>914</v>
      </c>
      <c r="D462" t="s">
        <v>15</v>
      </c>
      <c r="E462" t="s">
        <v>11</v>
      </c>
    </row>
    <row r="463" spans="1:6" hidden="1" x14ac:dyDescent="0.3">
      <c r="A463" t="s">
        <v>915</v>
      </c>
      <c r="B463" t="s">
        <v>11</v>
      </c>
      <c r="E463" t="s">
        <v>11</v>
      </c>
    </row>
    <row r="464" spans="1:6" hidden="1" x14ac:dyDescent="0.3">
      <c r="A464" t="s">
        <v>916</v>
      </c>
      <c r="B464" t="s">
        <v>9</v>
      </c>
      <c r="C464" t="s">
        <v>917</v>
      </c>
      <c r="D464" t="s">
        <v>15</v>
      </c>
      <c r="E464" t="s">
        <v>54</v>
      </c>
      <c r="F464" t="s">
        <v>918</v>
      </c>
    </row>
    <row r="465" spans="1:6" hidden="1" x14ac:dyDescent="0.3">
      <c r="A465" t="s">
        <v>919</v>
      </c>
      <c r="B465" t="s">
        <v>11</v>
      </c>
      <c r="D465" t="s">
        <v>15</v>
      </c>
      <c r="E465" t="s">
        <v>11</v>
      </c>
    </row>
    <row r="466" spans="1:6" x14ac:dyDescent="0.3">
      <c r="A466" t="s">
        <v>920</v>
      </c>
      <c r="B466" t="s">
        <v>13</v>
      </c>
      <c r="C466" t="s">
        <v>921</v>
      </c>
      <c r="E466" t="s">
        <v>20</v>
      </c>
      <c r="F466" t="s">
        <v>922</v>
      </c>
    </row>
    <row r="467" spans="1:6" hidden="1" x14ac:dyDescent="0.3">
      <c r="A467" t="s">
        <v>923</v>
      </c>
      <c r="B467" t="s">
        <v>9</v>
      </c>
      <c r="C467" t="s">
        <v>924</v>
      </c>
      <c r="D467" t="s">
        <v>15</v>
      </c>
      <c r="E467" t="s">
        <v>16</v>
      </c>
      <c r="F467" t="s">
        <v>925</v>
      </c>
    </row>
    <row r="468" spans="1:6" x14ac:dyDescent="0.3">
      <c r="A468" t="s">
        <v>926</v>
      </c>
      <c r="B468" t="s">
        <v>9</v>
      </c>
      <c r="C468" t="s">
        <v>927</v>
      </c>
      <c r="E468" t="s">
        <v>20</v>
      </c>
      <c r="F468" t="s">
        <v>928</v>
      </c>
    </row>
    <row r="469" spans="1:6" x14ac:dyDescent="0.3">
      <c r="A469" t="s">
        <v>929</v>
      </c>
      <c r="B469" t="s">
        <v>417</v>
      </c>
      <c r="C469" t="s">
        <v>930</v>
      </c>
      <c r="E469" t="s">
        <v>20</v>
      </c>
      <c r="F469" t="s">
        <v>931</v>
      </c>
    </row>
    <row r="470" spans="1:6" x14ac:dyDescent="0.3">
      <c r="A470" t="s">
        <v>932</v>
      </c>
      <c r="B470" t="s">
        <v>13</v>
      </c>
      <c r="C470" t="s">
        <v>933</v>
      </c>
      <c r="E470" t="s">
        <v>20</v>
      </c>
      <c r="F470" t="s">
        <v>934</v>
      </c>
    </row>
    <row r="471" spans="1:6" hidden="1" x14ac:dyDescent="0.3">
      <c r="A471" t="s">
        <v>935</v>
      </c>
      <c r="B471" t="s">
        <v>13</v>
      </c>
      <c r="C471" t="s">
        <v>245</v>
      </c>
      <c r="D471" t="s">
        <v>15</v>
      </c>
      <c r="E471" t="s">
        <v>11</v>
      </c>
    </row>
    <row r="472" spans="1:6" hidden="1" x14ac:dyDescent="0.3">
      <c r="A472" t="s">
        <v>936</v>
      </c>
      <c r="B472" t="s">
        <v>9</v>
      </c>
      <c r="C472" t="s">
        <v>937</v>
      </c>
      <c r="E472" t="s">
        <v>11</v>
      </c>
    </row>
    <row r="473" spans="1:6" hidden="1" x14ac:dyDescent="0.3">
      <c r="A473" t="s">
        <v>938</v>
      </c>
      <c r="B473" t="s">
        <v>13</v>
      </c>
      <c r="C473" t="s">
        <v>939</v>
      </c>
      <c r="E473" t="s">
        <v>16</v>
      </c>
      <c r="F473" t="s">
        <v>940</v>
      </c>
    </row>
    <row r="474" spans="1:6" hidden="1" x14ac:dyDescent="0.3">
      <c r="A474" t="s">
        <v>941</v>
      </c>
      <c r="B474" t="s">
        <v>9</v>
      </c>
      <c r="C474" t="s">
        <v>28</v>
      </c>
      <c r="E474" t="s">
        <v>11</v>
      </c>
    </row>
    <row r="475" spans="1:6" hidden="1" x14ac:dyDescent="0.3">
      <c r="A475" t="s">
        <v>942</v>
      </c>
      <c r="B475" t="s">
        <v>9</v>
      </c>
      <c r="C475" t="s">
        <v>943</v>
      </c>
      <c r="E475" t="s">
        <v>11</v>
      </c>
    </row>
    <row r="476" spans="1:6" hidden="1" x14ac:dyDescent="0.3">
      <c r="A476" t="s">
        <v>944</v>
      </c>
      <c r="B476" t="s">
        <v>9</v>
      </c>
      <c r="C476" t="s">
        <v>28</v>
      </c>
      <c r="E476" t="s">
        <v>11</v>
      </c>
    </row>
    <row r="477" spans="1:6" hidden="1" x14ac:dyDescent="0.3">
      <c r="A477" t="s">
        <v>945</v>
      </c>
      <c r="B477" t="s">
        <v>9</v>
      </c>
      <c r="C477" t="s">
        <v>946</v>
      </c>
      <c r="E477" t="s">
        <v>11</v>
      </c>
    </row>
    <row r="478" spans="1:6" x14ac:dyDescent="0.3">
      <c r="A478" t="s">
        <v>947</v>
      </c>
      <c r="B478" t="s">
        <v>13</v>
      </c>
      <c r="C478" t="s">
        <v>948</v>
      </c>
      <c r="D478" t="s">
        <v>15</v>
      </c>
      <c r="E478" t="s">
        <v>20</v>
      </c>
      <c r="F478" t="s">
        <v>21</v>
      </c>
    </row>
    <row r="479" spans="1:6" hidden="1" x14ac:dyDescent="0.3">
      <c r="A479" t="s">
        <v>949</v>
      </c>
      <c r="B479" t="s">
        <v>9</v>
      </c>
      <c r="C479" t="s">
        <v>950</v>
      </c>
      <c r="D479" t="s">
        <v>15</v>
      </c>
      <c r="E479" t="s">
        <v>11</v>
      </c>
    </row>
    <row r="480" spans="1:6" hidden="1" x14ac:dyDescent="0.3">
      <c r="A480" t="s">
        <v>951</v>
      </c>
      <c r="B480" t="s">
        <v>11</v>
      </c>
      <c r="D480" t="s">
        <v>15</v>
      </c>
      <c r="E480" t="s">
        <v>11</v>
      </c>
    </row>
    <row r="481" spans="1:8" hidden="1" x14ac:dyDescent="0.3">
      <c r="A481" t="s">
        <v>952</v>
      </c>
      <c r="B481" t="s">
        <v>9</v>
      </c>
      <c r="C481" t="s">
        <v>953</v>
      </c>
      <c r="D481" t="s">
        <v>15</v>
      </c>
      <c r="E481" t="s">
        <v>11</v>
      </c>
    </row>
    <row r="482" spans="1:8" x14ac:dyDescent="0.3">
      <c r="A482" t="s">
        <v>954</v>
      </c>
      <c r="B482" t="s">
        <v>9</v>
      </c>
      <c r="C482" t="s">
        <v>955</v>
      </c>
      <c r="E482" t="s">
        <v>20</v>
      </c>
      <c r="F482" t="s">
        <v>956</v>
      </c>
    </row>
    <row r="483" spans="1:8" hidden="1" x14ac:dyDescent="0.3">
      <c r="A483" t="s">
        <v>957</v>
      </c>
      <c r="B483" t="s">
        <v>9</v>
      </c>
      <c r="C483" t="s">
        <v>958</v>
      </c>
      <c r="D483" t="s">
        <v>15</v>
      </c>
      <c r="E483" t="s">
        <v>54</v>
      </c>
      <c r="F483" t="s">
        <v>959</v>
      </c>
      <c r="G483" t="s">
        <v>15</v>
      </c>
      <c r="H483" t="s">
        <v>960</v>
      </c>
    </row>
    <row r="484" spans="1:8" hidden="1" x14ac:dyDescent="0.3">
      <c r="A484" t="s">
        <v>961</v>
      </c>
      <c r="B484" t="s">
        <v>11</v>
      </c>
      <c r="E484" t="s">
        <v>11</v>
      </c>
    </row>
    <row r="485" spans="1:8" x14ac:dyDescent="0.3">
      <c r="A485" t="s">
        <v>962</v>
      </c>
      <c r="B485" t="s">
        <v>13</v>
      </c>
      <c r="C485" t="s">
        <v>963</v>
      </c>
      <c r="D485" t="s">
        <v>15</v>
      </c>
      <c r="E485" t="s">
        <v>20</v>
      </c>
      <c r="F485" t="s">
        <v>21</v>
      </c>
    </row>
    <row r="486" spans="1:8" hidden="1" x14ac:dyDescent="0.3">
      <c r="A486" t="s">
        <v>964</v>
      </c>
      <c r="B486" t="s">
        <v>9</v>
      </c>
      <c r="C486" t="s">
        <v>965</v>
      </c>
      <c r="E486" t="s">
        <v>11</v>
      </c>
    </row>
    <row r="487" spans="1:8" hidden="1" x14ac:dyDescent="0.3">
      <c r="A487" t="s">
        <v>966</v>
      </c>
      <c r="B487" t="s">
        <v>11</v>
      </c>
      <c r="E487" t="s">
        <v>11</v>
      </c>
    </row>
    <row r="488" spans="1:8" hidden="1" x14ac:dyDescent="0.3">
      <c r="A488" t="s">
        <v>967</v>
      </c>
      <c r="B488" t="s">
        <v>11</v>
      </c>
      <c r="E488" t="s">
        <v>11</v>
      </c>
    </row>
    <row r="489" spans="1:8" hidden="1" x14ac:dyDescent="0.3">
      <c r="A489" t="s">
        <v>968</v>
      </c>
      <c r="B489" t="s">
        <v>13</v>
      </c>
      <c r="C489" t="s">
        <v>969</v>
      </c>
      <c r="D489" t="s">
        <v>15</v>
      </c>
      <c r="E489" t="s">
        <v>11</v>
      </c>
    </row>
    <row r="490" spans="1:8" hidden="1" x14ac:dyDescent="0.3">
      <c r="A490" t="s">
        <v>970</v>
      </c>
      <c r="B490" t="s">
        <v>9</v>
      </c>
      <c r="C490" t="s">
        <v>28</v>
      </c>
      <c r="D490" t="s">
        <v>15</v>
      </c>
      <c r="E490" t="s">
        <v>54</v>
      </c>
      <c r="F490" t="s">
        <v>971</v>
      </c>
    </row>
    <row r="491" spans="1:8" hidden="1" x14ac:dyDescent="0.3">
      <c r="A491" t="s">
        <v>972</v>
      </c>
      <c r="B491" t="s">
        <v>11</v>
      </c>
      <c r="E491" t="s">
        <v>11</v>
      </c>
    </row>
    <row r="492" spans="1:8" hidden="1" x14ac:dyDescent="0.3">
      <c r="A492" t="s">
        <v>973</v>
      </c>
      <c r="B492" t="s">
        <v>9</v>
      </c>
      <c r="C492" t="s">
        <v>974</v>
      </c>
      <c r="E492" t="s">
        <v>11</v>
      </c>
    </row>
    <row r="493" spans="1:8" hidden="1" x14ac:dyDescent="0.3">
      <c r="A493" t="s">
        <v>975</v>
      </c>
      <c r="B493" t="s">
        <v>11</v>
      </c>
      <c r="E493" t="s">
        <v>11</v>
      </c>
    </row>
    <row r="494" spans="1:8" hidden="1" x14ac:dyDescent="0.3">
      <c r="A494" t="s">
        <v>976</v>
      </c>
      <c r="B494" t="s">
        <v>11</v>
      </c>
      <c r="E494" t="s">
        <v>11</v>
      </c>
    </row>
    <row r="495" spans="1:8" hidden="1" x14ac:dyDescent="0.3">
      <c r="A495" t="s">
        <v>977</v>
      </c>
      <c r="B495" t="s">
        <v>9</v>
      </c>
      <c r="C495" t="s">
        <v>978</v>
      </c>
      <c r="D495" t="s">
        <v>15</v>
      </c>
      <c r="E495" t="s">
        <v>11</v>
      </c>
    </row>
    <row r="496" spans="1:8" hidden="1" x14ac:dyDescent="0.3">
      <c r="A496" t="s">
        <v>979</v>
      </c>
      <c r="B496" t="s">
        <v>11</v>
      </c>
      <c r="E496" t="s">
        <v>11</v>
      </c>
    </row>
    <row r="497" spans="1:6" hidden="1" x14ac:dyDescent="0.3">
      <c r="A497" t="s">
        <v>980</v>
      </c>
      <c r="B497" t="s">
        <v>9</v>
      </c>
      <c r="C497" t="s">
        <v>981</v>
      </c>
      <c r="D497" t="s">
        <v>15</v>
      </c>
      <c r="E497" t="s">
        <v>11</v>
      </c>
    </row>
    <row r="498" spans="1:6" x14ac:dyDescent="0.3">
      <c r="A498" t="s">
        <v>982</v>
      </c>
      <c r="B498" t="s">
        <v>13</v>
      </c>
      <c r="C498" t="s">
        <v>983</v>
      </c>
      <c r="D498" t="s">
        <v>15</v>
      </c>
      <c r="E498" t="s">
        <v>20</v>
      </c>
      <c r="F498" t="s">
        <v>21</v>
      </c>
    </row>
    <row r="499" spans="1:6" hidden="1" x14ac:dyDescent="0.3">
      <c r="A499" t="s">
        <v>984</v>
      </c>
      <c r="B499" t="s">
        <v>11</v>
      </c>
      <c r="E499" t="s">
        <v>11</v>
      </c>
    </row>
    <row r="500" spans="1:6" hidden="1" x14ac:dyDescent="0.3">
      <c r="A500" t="s">
        <v>985</v>
      </c>
      <c r="B500" t="s">
        <v>9</v>
      </c>
      <c r="C500" t="s">
        <v>986</v>
      </c>
      <c r="D500" t="s">
        <v>15</v>
      </c>
      <c r="E500" t="s">
        <v>54</v>
      </c>
      <c r="F500" t="s">
        <v>987</v>
      </c>
    </row>
    <row r="501" spans="1:6" hidden="1" x14ac:dyDescent="0.3">
      <c r="A501" t="s">
        <v>988</v>
      </c>
      <c r="B501" t="s">
        <v>9</v>
      </c>
      <c r="C501" t="s">
        <v>28</v>
      </c>
      <c r="E501" t="s">
        <v>11</v>
      </c>
    </row>
    <row r="502" spans="1:6" x14ac:dyDescent="0.3">
      <c r="A502" t="s">
        <v>989</v>
      </c>
      <c r="B502" t="s">
        <v>13</v>
      </c>
      <c r="C502" t="s">
        <v>990</v>
      </c>
      <c r="E502" t="s">
        <v>20</v>
      </c>
      <c r="F502" t="s">
        <v>991</v>
      </c>
    </row>
    <row r="503" spans="1:6" hidden="1" x14ac:dyDescent="0.3">
      <c r="A503" t="s">
        <v>992</v>
      </c>
      <c r="B503" t="s">
        <v>9</v>
      </c>
      <c r="C503" t="s">
        <v>993</v>
      </c>
      <c r="E503" t="s">
        <v>11</v>
      </c>
    </row>
    <row r="504" spans="1:6" x14ac:dyDescent="0.3">
      <c r="A504" t="s">
        <v>994</v>
      </c>
      <c r="B504" t="s">
        <v>9</v>
      </c>
      <c r="C504" t="s">
        <v>995</v>
      </c>
      <c r="D504" t="s">
        <v>15</v>
      </c>
      <c r="E504" t="s">
        <v>20</v>
      </c>
      <c r="F504" t="s">
        <v>996</v>
      </c>
    </row>
    <row r="505" spans="1:6" hidden="1" x14ac:dyDescent="0.3">
      <c r="A505" t="s">
        <v>997</v>
      </c>
      <c r="B505" t="s">
        <v>13</v>
      </c>
      <c r="C505" t="s">
        <v>998</v>
      </c>
      <c r="D505" t="s">
        <v>15</v>
      </c>
      <c r="E505" t="s">
        <v>11</v>
      </c>
    </row>
    <row r="506" spans="1:6" hidden="1" x14ac:dyDescent="0.3">
      <c r="A506" t="s">
        <v>999</v>
      </c>
      <c r="B506" t="s">
        <v>13</v>
      </c>
      <c r="C506" t="s">
        <v>1000</v>
      </c>
      <c r="D506" t="s">
        <v>15</v>
      </c>
      <c r="E506" t="s">
        <v>16</v>
      </c>
      <c r="F506" t="s">
        <v>1001</v>
      </c>
    </row>
    <row r="507" spans="1:6" hidden="1" x14ac:dyDescent="0.3">
      <c r="A507" t="s">
        <v>1002</v>
      </c>
      <c r="B507" t="s">
        <v>9</v>
      </c>
      <c r="C507" t="s">
        <v>28</v>
      </c>
      <c r="E507" t="s">
        <v>11</v>
      </c>
    </row>
    <row r="508" spans="1:6" hidden="1" x14ac:dyDescent="0.3">
      <c r="A508" t="s">
        <v>1003</v>
      </c>
      <c r="B508" t="s">
        <v>11</v>
      </c>
      <c r="E508" t="s">
        <v>11</v>
      </c>
    </row>
    <row r="509" spans="1:6" hidden="1" x14ac:dyDescent="0.3">
      <c r="A509" t="s">
        <v>1004</v>
      </c>
      <c r="B509" t="s">
        <v>9</v>
      </c>
      <c r="C509" t="s">
        <v>1005</v>
      </c>
      <c r="D509" t="s">
        <v>15</v>
      </c>
      <c r="E509" t="s">
        <v>11</v>
      </c>
    </row>
    <row r="510" spans="1:6" hidden="1" x14ac:dyDescent="0.3">
      <c r="A510" t="s">
        <v>1006</v>
      </c>
      <c r="B510" t="s">
        <v>11</v>
      </c>
      <c r="E510" t="s">
        <v>11</v>
      </c>
    </row>
    <row r="511" spans="1:6" hidden="1" x14ac:dyDescent="0.3">
      <c r="A511" t="s">
        <v>1007</v>
      </c>
      <c r="B511" t="s">
        <v>9</v>
      </c>
      <c r="C511" t="s">
        <v>1008</v>
      </c>
      <c r="E511" t="s">
        <v>11</v>
      </c>
    </row>
    <row r="512" spans="1:6" x14ac:dyDescent="0.3">
      <c r="A512" t="s">
        <v>1009</v>
      </c>
      <c r="B512" t="s">
        <v>13</v>
      </c>
      <c r="C512" t="s">
        <v>1010</v>
      </c>
      <c r="D512" t="s">
        <v>15</v>
      </c>
      <c r="E512" t="s">
        <v>20</v>
      </c>
      <c r="F512" t="s">
        <v>1011</v>
      </c>
    </row>
    <row r="513" spans="1:6" hidden="1" x14ac:dyDescent="0.3">
      <c r="A513" t="s">
        <v>1012</v>
      </c>
      <c r="B513" t="s">
        <v>11</v>
      </c>
      <c r="E513" t="s">
        <v>11</v>
      </c>
    </row>
    <row r="514" spans="1:6" hidden="1" x14ac:dyDescent="0.3">
      <c r="A514" t="s">
        <v>1013</v>
      </c>
      <c r="B514" t="s">
        <v>9</v>
      </c>
      <c r="C514" t="s">
        <v>51</v>
      </c>
      <c r="E514" t="s">
        <v>54</v>
      </c>
      <c r="F514" t="s">
        <v>1014</v>
      </c>
    </row>
    <row r="515" spans="1:6" hidden="1" x14ac:dyDescent="0.3">
      <c r="A515" t="s">
        <v>1015</v>
      </c>
      <c r="B515" t="s">
        <v>9</v>
      </c>
      <c r="C515" t="s">
        <v>1016</v>
      </c>
      <c r="E515" t="s">
        <v>11</v>
      </c>
    </row>
    <row r="516" spans="1:6" hidden="1" x14ac:dyDescent="0.3">
      <c r="A516" t="s">
        <v>1017</v>
      </c>
      <c r="B516" t="s">
        <v>13</v>
      </c>
      <c r="C516" t="s">
        <v>1018</v>
      </c>
      <c r="D516" t="s">
        <v>15</v>
      </c>
      <c r="E516" t="s">
        <v>11</v>
      </c>
    </row>
    <row r="517" spans="1:6" x14ac:dyDescent="0.3">
      <c r="A517" t="s">
        <v>1019</v>
      </c>
      <c r="B517" t="s">
        <v>9</v>
      </c>
      <c r="C517" t="s">
        <v>1020</v>
      </c>
      <c r="D517" t="s">
        <v>15</v>
      </c>
      <c r="E517" t="s">
        <v>20</v>
      </c>
      <c r="F517" t="s">
        <v>1021</v>
      </c>
    </row>
    <row r="518" spans="1:6" x14ac:dyDescent="0.3">
      <c r="A518" t="s">
        <v>1022</v>
      </c>
      <c r="B518" t="s">
        <v>9</v>
      </c>
      <c r="C518" t="s">
        <v>51</v>
      </c>
      <c r="E518" t="s">
        <v>20</v>
      </c>
      <c r="F518" t="s">
        <v>1023</v>
      </c>
    </row>
    <row r="519" spans="1:6" hidden="1" x14ac:dyDescent="0.3">
      <c r="A519" t="s">
        <v>1024</v>
      </c>
      <c r="B519" t="s">
        <v>9</v>
      </c>
      <c r="C519" t="s">
        <v>1025</v>
      </c>
      <c r="E519" t="s">
        <v>16</v>
      </c>
      <c r="F519" t="s">
        <v>1026</v>
      </c>
    </row>
    <row r="520" spans="1:6" x14ac:dyDescent="0.3">
      <c r="A520" t="s">
        <v>1027</v>
      </c>
      <c r="B520" t="s">
        <v>9</v>
      </c>
      <c r="C520" t="s">
        <v>1028</v>
      </c>
      <c r="D520" t="s">
        <v>15</v>
      </c>
      <c r="E520" t="s">
        <v>20</v>
      </c>
      <c r="F520" t="s">
        <v>21</v>
      </c>
    </row>
    <row r="521" spans="1:6" x14ac:dyDescent="0.3">
      <c r="A521" t="s">
        <v>1029</v>
      </c>
      <c r="B521" t="s">
        <v>13</v>
      </c>
      <c r="C521" t="s">
        <v>1030</v>
      </c>
      <c r="D521" t="s">
        <v>15</v>
      </c>
      <c r="E521" t="s">
        <v>20</v>
      </c>
      <c r="F521" t="s">
        <v>1031</v>
      </c>
    </row>
    <row r="522" spans="1:6" x14ac:dyDescent="0.3">
      <c r="A522" t="s">
        <v>1032</v>
      </c>
      <c r="B522" t="s">
        <v>9</v>
      </c>
      <c r="C522" t="s">
        <v>1033</v>
      </c>
      <c r="D522" t="s">
        <v>15</v>
      </c>
      <c r="E522" t="s">
        <v>20</v>
      </c>
      <c r="F522" t="s">
        <v>42</v>
      </c>
    </row>
    <row r="523" spans="1:6" hidden="1" x14ac:dyDescent="0.3">
      <c r="A523" t="s">
        <v>1034</v>
      </c>
      <c r="B523" t="s">
        <v>13</v>
      </c>
      <c r="C523" t="s">
        <v>1035</v>
      </c>
      <c r="D523" t="s">
        <v>15</v>
      </c>
      <c r="E523" t="s">
        <v>54</v>
      </c>
      <c r="F523" t="s">
        <v>1036</v>
      </c>
    </row>
    <row r="524" spans="1:6" hidden="1" x14ac:dyDescent="0.3">
      <c r="A524" t="s">
        <v>1037</v>
      </c>
      <c r="B524" t="s">
        <v>13</v>
      </c>
      <c r="C524" t="s">
        <v>1038</v>
      </c>
      <c r="D524" t="s">
        <v>15</v>
      </c>
      <c r="E524" t="s">
        <v>11</v>
      </c>
    </row>
    <row r="525" spans="1:6" hidden="1" x14ac:dyDescent="0.3">
      <c r="A525" t="s">
        <v>1039</v>
      </c>
      <c r="B525" t="s">
        <v>9</v>
      </c>
      <c r="C525" t="s">
        <v>51</v>
      </c>
      <c r="E525" t="s">
        <v>11</v>
      </c>
    </row>
    <row r="526" spans="1:6" hidden="1" x14ac:dyDescent="0.3">
      <c r="A526" t="s">
        <v>1040</v>
      </c>
      <c r="B526" t="s">
        <v>9</v>
      </c>
      <c r="C526" t="s">
        <v>1041</v>
      </c>
      <c r="E526" t="s">
        <v>16</v>
      </c>
      <c r="F526" t="s">
        <v>1042</v>
      </c>
    </row>
    <row r="527" spans="1:6" hidden="1" x14ac:dyDescent="0.3">
      <c r="A527" t="s">
        <v>1043</v>
      </c>
      <c r="B527" t="s">
        <v>9</v>
      </c>
      <c r="C527" t="s">
        <v>51</v>
      </c>
      <c r="E527" t="s">
        <v>11</v>
      </c>
    </row>
    <row r="528" spans="1:6" hidden="1" x14ac:dyDescent="0.3">
      <c r="A528" t="s">
        <v>1044</v>
      </c>
      <c r="B528" t="s">
        <v>11</v>
      </c>
      <c r="E528" t="s">
        <v>11</v>
      </c>
    </row>
    <row r="529" spans="1:6" hidden="1" x14ac:dyDescent="0.3">
      <c r="A529" t="s">
        <v>1045</v>
      </c>
      <c r="B529" t="s">
        <v>9</v>
      </c>
      <c r="C529" t="s">
        <v>28</v>
      </c>
      <c r="D529" t="s">
        <v>15</v>
      </c>
      <c r="E529" t="s">
        <v>16</v>
      </c>
      <c r="F529" t="s">
        <v>1046</v>
      </c>
    </row>
    <row r="530" spans="1:6" hidden="1" x14ac:dyDescent="0.3">
      <c r="A530" t="s">
        <v>1047</v>
      </c>
      <c r="B530" t="s">
        <v>9</v>
      </c>
      <c r="C530" t="s">
        <v>1048</v>
      </c>
      <c r="D530" t="s">
        <v>15</v>
      </c>
      <c r="E530" t="s">
        <v>16</v>
      </c>
      <c r="F530" t="s">
        <v>138</v>
      </c>
    </row>
    <row r="531" spans="1:6" x14ac:dyDescent="0.3">
      <c r="A531" t="s">
        <v>1049</v>
      </c>
      <c r="B531" t="s">
        <v>13</v>
      </c>
      <c r="C531" t="s">
        <v>1050</v>
      </c>
      <c r="D531" t="s">
        <v>15</v>
      </c>
      <c r="E531" t="s">
        <v>20</v>
      </c>
      <c r="F531" t="s">
        <v>130</v>
      </c>
    </row>
    <row r="532" spans="1:6" hidden="1" x14ac:dyDescent="0.3">
      <c r="A532" t="s">
        <v>1051</v>
      </c>
      <c r="B532" t="s">
        <v>9</v>
      </c>
      <c r="C532" t="s">
        <v>28</v>
      </c>
      <c r="E532" t="s">
        <v>11</v>
      </c>
    </row>
    <row r="533" spans="1:6" hidden="1" x14ac:dyDescent="0.3">
      <c r="A533" t="s">
        <v>1052</v>
      </c>
      <c r="B533" t="s">
        <v>9</v>
      </c>
      <c r="C533" t="s">
        <v>28</v>
      </c>
      <c r="E533" t="s">
        <v>11</v>
      </c>
    </row>
    <row r="534" spans="1:6" hidden="1" x14ac:dyDescent="0.3">
      <c r="A534" t="s">
        <v>1053</v>
      </c>
      <c r="B534" t="s">
        <v>13</v>
      </c>
      <c r="C534" t="s">
        <v>245</v>
      </c>
      <c r="D534" t="s">
        <v>15</v>
      </c>
      <c r="E534" t="s">
        <v>11</v>
      </c>
    </row>
    <row r="535" spans="1:6" hidden="1" x14ac:dyDescent="0.3">
      <c r="A535" t="s">
        <v>1054</v>
      </c>
      <c r="B535" t="s">
        <v>9</v>
      </c>
      <c r="C535" t="s">
        <v>28</v>
      </c>
      <c r="E535" t="s">
        <v>11</v>
      </c>
    </row>
    <row r="536" spans="1:6" hidden="1" x14ac:dyDescent="0.3">
      <c r="A536" t="s">
        <v>1055</v>
      </c>
      <c r="B536" t="s">
        <v>11</v>
      </c>
      <c r="E536" t="s">
        <v>11</v>
      </c>
    </row>
    <row r="537" spans="1:6" hidden="1" x14ac:dyDescent="0.3">
      <c r="A537" t="s">
        <v>1056</v>
      </c>
      <c r="B537" t="s">
        <v>13</v>
      </c>
      <c r="C537" t="s">
        <v>1057</v>
      </c>
      <c r="D537" t="s">
        <v>15</v>
      </c>
      <c r="E537" t="s">
        <v>54</v>
      </c>
      <c r="F537" t="s">
        <v>1058</v>
      </c>
    </row>
    <row r="538" spans="1:6" x14ac:dyDescent="0.3">
      <c r="A538" t="s">
        <v>1059</v>
      </c>
      <c r="B538" t="s">
        <v>13</v>
      </c>
      <c r="C538" t="s">
        <v>1060</v>
      </c>
      <c r="D538" t="s">
        <v>15</v>
      </c>
      <c r="E538" t="s">
        <v>20</v>
      </c>
      <c r="F538" t="s">
        <v>117</v>
      </c>
    </row>
    <row r="539" spans="1:6" x14ac:dyDescent="0.3">
      <c r="A539" t="s">
        <v>1061</v>
      </c>
      <c r="B539" t="s">
        <v>13</v>
      </c>
      <c r="C539" t="s">
        <v>1062</v>
      </c>
      <c r="E539" t="s">
        <v>20</v>
      </c>
      <c r="F539" t="s">
        <v>135</v>
      </c>
    </row>
    <row r="540" spans="1:6" hidden="1" x14ac:dyDescent="0.3">
      <c r="A540" t="s">
        <v>1063</v>
      </c>
      <c r="B540" t="s">
        <v>13</v>
      </c>
      <c r="C540" t="s">
        <v>1064</v>
      </c>
      <c r="D540" t="s">
        <v>15</v>
      </c>
      <c r="E540" t="s">
        <v>54</v>
      </c>
      <c r="F540" t="s">
        <v>1065</v>
      </c>
    </row>
    <row r="541" spans="1:6" hidden="1" x14ac:dyDescent="0.3">
      <c r="A541" t="s">
        <v>1066</v>
      </c>
      <c r="B541" t="s">
        <v>11</v>
      </c>
      <c r="E541" t="s">
        <v>11</v>
      </c>
    </row>
    <row r="542" spans="1:6" hidden="1" x14ac:dyDescent="0.3">
      <c r="A542" t="s">
        <v>1067</v>
      </c>
      <c r="B542" t="s">
        <v>9</v>
      </c>
      <c r="C542" t="s">
        <v>1068</v>
      </c>
      <c r="D542" t="s">
        <v>15</v>
      </c>
      <c r="E542" t="s">
        <v>54</v>
      </c>
      <c r="F542" t="s">
        <v>1069</v>
      </c>
    </row>
    <row r="543" spans="1:6" x14ac:dyDescent="0.3">
      <c r="A543" t="s">
        <v>1070</v>
      </c>
      <c r="B543" t="s">
        <v>13</v>
      </c>
      <c r="C543" t="s">
        <v>1071</v>
      </c>
      <c r="E543" t="s">
        <v>20</v>
      </c>
      <c r="F543" t="s">
        <v>1072</v>
      </c>
    </row>
    <row r="544" spans="1:6" hidden="1" x14ac:dyDescent="0.3">
      <c r="A544" t="s">
        <v>1073</v>
      </c>
      <c r="B544" t="s">
        <v>9</v>
      </c>
      <c r="C544" t="s">
        <v>1074</v>
      </c>
      <c r="D544" t="s">
        <v>15</v>
      </c>
      <c r="E544" t="s">
        <v>54</v>
      </c>
      <c r="F544" t="s">
        <v>1075</v>
      </c>
    </row>
    <row r="545" spans="1:6" hidden="1" x14ac:dyDescent="0.3">
      <c r="A545" t="s">
        <v>1076</v>
      </c>
      <c r="B545" t="s">
        <v>9</v>
      </c>
      <c r="C545" t="s">
        <v>1077</v>
      </c>
      <c r="D545" t="s">
        <v>15</v>
      </c>
      <c r="E545" t="s">
        <v>11</v>
      </c>
    </row>
    <row r="546" spans="1:6" hidden="1" x14ac:dyDescent="0.3">
      <c r="A546" t="s">
        <v>1078</v>
      </c>
      <c r="B546" t="s">
        <v>13</v>
      </c>
      <c r="C546" t="s">
        <v>1079</v>
      </c>
      <c r="E546" t="s">
        <v>11</v>
      </c>
    </row>
    <row r="547" spans="1:6" hidden="1" x14ac:dyDescent="0.3">
      <c r="A547" t="s">
        <v>1080</v>
      </c>
      <c r="B547" t="s">
        <v>11</v>
      </c>
      <c r="E547" t="s">
        <v>11</v>
      </c>
    </row>
    <row r="548" spans="1:6" hidden="1" x14ac:dyDescent="0.3">
      <c r="A548" t="s">
        <v>1081</v>
      </c>
      <c r="B548" t="s">
        <v>13</v>
      </c>
      <c r="C548" t="s">
        <v>231</v>
      </c>
      <c r="E548" t="s">
        <v>11</v>
      </c>
    </row>
    <row r="549" spans="1:6" x14ac:dyDescent="0.3">
      <c r="A549" t="s">
        <v>1082</v>
      </c>
      <c r="B549" t="s">
        <v>9</v>
      </c>
      <c r="C549" t="s">
        <v>1083</v>
      </c>
      <c r="D549" t="s">
        <v>15</v>
      </c>
      <c r="E549" t="s">
        <v>20</v>
      </c>
      <c r="F549" t="s">
        <v>21</v>
      </c>
    </row>
    <row r="550" spans="1:6" x14ac:dyDescent="0.3">
      <c r="A550" t="s">
        <v>1084</v>
      </c>
      <c r="B550" t="s">
        <v>9</v>
      </c>
      <c r="C550" t="s">
        <v>1085</v>
      </c>
      <c r="D550" t="s">
        <v>15</v>
      </c>
      <c r="E550" t="s">
        <v>20</v>
      </c>
      <c r="F550" t="s">
        <v>1086</v>
      </c>
    </row>
    <row r="551" spans="1:6" x14ac:dyDescent="0.3">
      <c r="A551" t="s">
        <v>1087</v>
      </c>
      <c r="B551" t="s">
        <v>13</v>
      </c>
      <c r="C551" t="s">
        <v>1088</v>
      </c>
      <c r="D551" t="s">
        <v>15</v>
      </c>
      <c r="E551" t="s">
        <v>20</v>
      </c>
      <c r="F551" t="s">
        <v>1089</v>
      </c>
    </row>
    <row r="552" spans="1:6" hidden="1" x14ac:dyDescent="0.3">
      <c r="A552" t="s">
        <v>1090</v>
      </c>
      <c r="B552" t="s">
        <v>9</v>
      </c>
      <c r="C552" t="s">
        <v>1091</v>
      </c>
      <c r="E552" t="s">
        <v>11</v>
      </c>
    </row>
    <row r="553" spans="1:6" hidden="1" x14ac:dyDescent="0.3">
      <c r="A553" t="s">
        <v>1092</v>
      </c>
      <c r="B553" t="s">
        <v>9</v>
      </c>
      <c r="C553" t="s">
        <v>317</v>
      </c>
      <c r="E553" t="s">
        <v>11</v>
      </c>
    </row>
    <row r="554" spans="1:6" hidden="1" x14ac:dyDescent="0.3">
      <c r="A554" t="s">
        <v>1093</v>
      </c>
      <c r="B554" t="s">
        <v>9</v>
      </c>
      <c r="C554" t="s">
        <v>28</v>
      </c>
      <c r="E554" t="s">
        <v>11</v>
      </c>
    </row>
    <row r="555" spans="1:6" hidden="1" x14ac:dyDescent="0.3">
      <c r="A555" t="s">
        <v>1094</v>
      </c>
      <c r="B555" t="s">
        <v>13</v>
      </c>
      <c r="C555" t="s">
        <v>1095</v>
      </c>
      <c r="D555" t="s">
        <v>15</v>
      </c>
      <c r="E555" t="s">
        <v>11</v>
      </c>
    </row>
    <row r="556" spans="1:6" x14ac:dyDescent="0.3">
      <c r="A556" t="s">
        <v>1096</v>
      </c>
      <c r="B556" t="s">
        <v>9</v>
      </c>
      <c r="C556" t="s">
        <v>1097</v>
      </c>
      <c r="D556" t="s">
        <v>15</v>
      </c>
      <c r="E556" t="s">
        <v>20</v>
      </c>
      <c r="F556" t="s">
        <v>1098</v>
      </c>
    </row>
    <row r="557" spans="1:6" x14ac:dyDescent="0.3">
      <c r="A557" t="s">
        <v>1099</v>
      </c>
      <c r="B557" t="s">
        <v>13</v>
      </c>
      <c r="C557" t="s">
        <v>1100</v>
      </c>
      <c r="D557" t="s">
        <v>15</v>
      </c>
      <c r="E557" t="s">
        <v>20</v>
      </c>
      <c r="F557" t="s">
        <v>130</v>
      </c>
    </row>
    <row r="558" spans="1:6" hidden="1" x14ac:dyDescent="0.3">
      <c r="A558" t="s">
        <v>1101</v>
      </c>
      <c r="B558" t="s">
        <v>9</v>
      </c>
      <c r="C558" t="s">
        <v>1102</v>
      </c>
      <c r="D558" t="s">
        <v>15</v>
      </c>
      <c r="E558" t="s">
        <v>54</v>
      </c>
      <c r="F558" t="s">
        <v>1103</v>
      </c>
    </row>
    <row r="559" spans="1:6" x14ac:dyDescent="0.3">
      <c r="A559" t="s">
        <v>1104</v>
      </c>
      <c r="B559" t="s">
        <v>9</v>
      </c>
      <c r="C559" t="s">
        <v>1105</v>
      </c>
      <c r="E559" t="s">
        <v>20</v>
      </c>
      <c r="F559" t="s">
        <v>21</v>
      </c>
    </row>
    <row r="560" spans="1:6" x14ac:dyDescent="0.3">
      <c r="A560" t="s">
        <v>1106</v>
      </c>
      <c r="B560" t="s">
        <v>9</v>
      </c>
      <c r="C560" t="s">
        <v>1107</v>
      </c>
      <c r="E560" t="s">
        <v>20</v>
      </c>
      <c r="F560" t="s">
        <v>21</v>
      </c>
    </row>
    <row r="561" spans="1:6" hidden="1" x14ac:dyDescent="0.3">
      <c r="A561" t="s">
        <v>1108</v>
      </c>
      <c r="B561" t="s">
        <v>13</v>
      </c>
      <c r="C561" t="s">
        <v>1109</v>
      </c>
      <c r="D561" t="s">
        <v>15</v>
      </c>
      <c r="E561" t="s">
        <v>11</v>
      </c>
    </row>
    <row r="562" spans="1:6" hidden="1" x14ac:dyDescent="0.3">
      <c r="A562" t="s">
        <v>1110</v>
      </c>
      <c r="B562" t="s">
        <v>13</v>
      </c>
      <c r="C562" t="s">
        <v>1111</v>
      </c>
      <c r="D562" t="s">
        <v>15</v>
      </c>
      <c r="E562" t="s">
        <v>11</v>
      </c>
    </row>
    <row r="563" spans="1:6" hidden="1" x14ac:dyDescent="0.3">
      <c r="A563" t="s">
        <v>1112</v>
      </c>
      <c r="B563" t="s">
        <v>9</v>
      </c>
      <c r="C563" t="s">
        <v>1113</v>
      </c>
      <c r="D563" t="s">
        <v>15</v>
      </c>
      <c r="E563" t="s">
        <v>16</v>
      </c>
      <c r="F563" t="s">
        <v>1114</v>
      </c>
    </row>
    <row r="564" spans="1:6" hidden="1" x14ac:dyDescent="0.3">
      <c r="A564" t="s">
        <v>1115</v>
      </c>
      <c r="B564" t="s">
        <v>13</v>
      </c>
      <c r="C564" t="s">
        <v>1116</v>
      </c>
      <c r="E564" t="s">
        <v>11</v>
      </c>
    </row>
    <row r="565" spans="1:6" hidden="1" x14ac:dyDescent="0.3">
      <c r="A565" t="s">
        <v>1117</v>
      </c>
      <c r="B565" t="s">
        <v>13</v>
      </c>
      <c r="C565" t="s">
        <v>1118</v>
      </c>
      <c r="E565" t="s">
        <v>11</v>
      </c>
    </row>
    <row r="566" spans="1:6" hidden="1" x14ac:dyDescent="0.3">
      <c r="A566" t="s">
        <v>1119</v>
      </c>
      <c r="B566" t="s">
        <v>11</v>
      </c>
      <c r="E566" t="s">
        <v>11</v>
      </c>
    </row>
    <row r="567" spans="1:6" hidden="1" x14ac:dyDescent="0.3">
      <c r="A567" t="s">
        <v>1120</v>
      </c>
      <c r="B567" t="s">
        <v>9</v>
      </c>
      <c r="C567" t="s">
        <v>1121</v>
      </c>
      <c r="D567" t="s">
        <v>15</v>
      </c>
      <c r="E567" t="s">
        <v>54</v>
      </c>
      <c r="F567" t="s">
        <v>1122</v>
      </c>
    </row>
    <row r="568" spans="1:6" x14ac:dyDescent="0.3">
      <c r="A568" t="s">
        <v>1123</v>
      </c>
      <c r="B568" t="s">
        <v>9</v>
      </c>
      <c r="C568" t="s">
        <v>1124</v>
      </c>
      <c r="D568" t="s">
        <v>15</v>
      </c>
      <c r="E568" t="s">
        <v>20</v>
      </c>
      <c r="F568" t="s">
        <v>135</v>
      </c>
    </row>
    <row r="569" spans="1:6" x14ac:dyDescent="0.3">
      <c r="A569" t="s">
        <v>1125</v>
      </c>
      <c r="B569" t="s">
        <v>197</v>
      </c>
      <c r="C569" t="s">
        <v>1126</v>
      </c>
      <c r="E569" t="s">
        <v>20</v>
      </c>
      <c r="F569" t="s">
        <v>1127</v>
      </c>
    </row>
    <row r="570" spans="1:6" hidden="1" x14ac:dyDescent="0.3">
      <c r="A570" t="s">
        <v>1128</v>
      </c>
      <c r="B570" t="s">
        <v>9</v>
      </c>
      <c r="C570" t="s">
        <v>28</v>
      </c>
      <c r="E570" t="s">
        <v>11</v>
      </c>
    </row>
    <row r="571" spans="1:6" hidden="1" x14ac:dyDescent="0.3">
      <c r="A571" t="s">
        <v>1129</v>
      </c>
      <c r="B571" t="s">
        <v>11</v>
      </c>
      <c r="E571" t="s">
        <v>11</v>
      </c>
    </row>
    <row r="572" spans="1:6" hidden="1" x14ac:dyDescent="0.3">
      <c r="A572" t="s">
        <v>1130</v>
      </c>
      <c r="B572" t="s">
        <v>9</v>
      </c>
      <c r="C572" t="s">
        <v>1131</v>
      </c>
      <c r="E572" t="s">
        <v>11</v>
      </c>
    </row>
    <row r="573" spans="1:6" hidden="1" x14ac:dyDescent="0.3">
      <c r="A573" t="s">
        <v>1132</v>
      </c>
      <c r="B573" t="s">
        <v>9</v>
      </c>
      <c r="C573" t="s">
        <v>51</v>
      </c>
      <c r="E573" t="s">
        <v>54</v>
      </c>
      <c r="F573" t="s">
        <v>1133</v>
      </c>
    </row>
    <row r="574" spans="1:6" hidden="1" x14ac:dyDescent="0.3">
      <c r="A574" t="s">
        <v>1134</v>
      </c>
      <c r="B574" t="s">
        <v>11</v>
      </c>
      <c r="E574" t="s">
        <v>11</v>
      </c>
    </row>
    <row r="575" spans="1:6" hidden="1" x14ac:dyDescent="0.3">
      <c r="A575" t="s">
        <v>1135</v>
      </c>
      <c r="B575" t="s">
        <v>13</v>
      </c>
      <c r="C575" t="s">
        <v>231</v>
      </c>
      <c r="E575" t="s">
        <v>11</v>
      </c>
    </row>
    <row r="576" spans="1:6" hidden="1" x14ac:dyDescent="0.3">
      <c r="A576" t="s">
        <v>1136</v>
      </c>
      <c r="B576" t="s">
        <v>9</v>
      </c>
      <c r="C576" t="s">
        <v>28</v>
      </c>
      <c r="D576" t="s">
        <v>15</v>
      </c>
      <c r="E576" t="s">
        <v>54</v>
      </c>
      <c r="F576" t="s">
        <v>1137</v>
      </c>
    </row>
    <row r="577" spans="1:6" hidden="1" x14ac:dyDescent="0.3">
      <c r="A577" t="s">
        <v>1138</v>
      </c>
      <c r="B577" t="s">
        <v>13</v>
      </c>
      <c r="C577" t="s">
        <v>245</v>
      </c>
      <c r="D577" t="s">
        <v>15</v>
      </c>
      <c r="E577" t="s">
        <v>11</v>
      </c>
    </row>
    <row r="578" spans="1:6" hidden="1" x14ac:dyDescent="0.3">
      <c r="A578" t="s">
        <v>1139</v>
      </c>
      <c r="B578" t="s">
        <v>9</v>
      </c>
      <c r="C578" t="s">
        <v>28</v>
      </c>
      <c r="D578" t="s">
        <v>15</v>
      </c>
      <c r="E578" t="s">
        <v>11</v>
      </c>
    </row>
    <row r="579" spans="1:6" hidden="1" x14ac:dyDescent="0.3">
      <c r="A579" t="s">
        <v>1140</v>
      </c>
      <c r="B579" t="s">
        <v>11</v>
      </c>
      <c r="E579" t="s">
        <v>11</v>
      </c>
    </row>
    <row r="580" spans="1:6" x14ac:dyDescent="0.3">
      <c r="A580" t="s">
        <v>1141</v>
      </c>
      <c r="B580" t="s">
        <v>197</v>
      </c>
      <c r="C580" t="s">
        <v>1142</v>
      </c>
      <c r="D580" t="s">
        <v>15</v>
      </c>
      <c r="E580" t="s">
        <v>20</v>
      </c>
      <c r="F580" t="s">
        <v>1143</v>
      </c>
    </row>
    <row r="581" spans="1:6" hidden="1" x14ac:dyDescent="0.3">
      <c r="A581" t="s">
        <v>1144</v>
      </c>
      <c r="B581" t="s">
        <v>13</v>
      </c>
      <c r="C581" t="s">
        <v>1145</v>
      </c>
      <c r="D581" t="s">
        <v>15</v>
      </c>
      <c r="E581" t="s">
        <v>54</v>
      </c>
      <c r="F581" t="s">
        <v>1146</v>
      </c>
    </row>
    <row r="582" spans="1:6" hidden="1" x14ac:dyDescent="0.3">
      <c r="A582" t="s">
        <v>1147</v>
      </c>
      <c r="B582" t="s">
        <v>9</v>
      </c>
      <c r="C582" t="s">
        <v>1148</v>
      </c>
      <c r="D582" t="s">
        <v>15</v>
      </c>
      <c r="E582" t="s">
        <v>16</v>
      </c>
      <c r="F582" t="s">
        <v>1149</v>
      </c>
    </row>
    <row r="583" spans="1:6" x14ac:dyDescent="0.3">
      <c r="A583" t="s">
        <v>1150</v>
      </c>
      <c r="B583" t="s">
        <v>9</v>
      </c>
      <c r="C583" t="s">
        <v>1151</v>
      </c>
      <c r="D583" t="s">
        <v>15</v>
      </c>
      <c r="E583" t="s">
        <v>20</v>
      </c>
      <c r="F583" t="s">
        <v>1152</v>
      </c>
    </row>
    <row r="584" spans="1:6" hidden="1" x14ac:dyDescent="0.3">
      <c r="A584" t="s">
        <v>1153</v>
      </c>
      <c r="B584" t="s">
        <v>9</v>
      </c>
      <c r="C584" t="s">
        <v>28</v>
      </c>
      <c r="D584" t="s">
        <v>15</v>
      </c>
      <c r="E584" t="s">
        <v>11</v>
      </c>
    </row>
    <row r="585" spans="1:6" x14ac:dyDescent="0.3">
      <c r="A585" t="s">
        <v>1154</v>
      </c>
      <c r="B585" t="s">
        <v>13</v>
      </c>
      <c r="C585" t="s">
        <v>1155</v>
      </c>
      <c r="D585" t="s">
        <v>15</v>
      </c>
      <c r="E585" t="s">
        <v>20</v>
      </c>
      <c r="F585" t="s">
        <v>117</v>
      </c>
    </row>
    <row r="586" spans="1:6" hidden="1" x14ac:dyDescent="0.3">
      <c r="A586" t="s">
        <v>1156</v>
      </c>
      <c r="B586" t="s">
        <v>9</v>
      </c>
      <c r="C586" t="s">
        <v>28</v>
      </c>
      <c r="E586" t="s">
        <v>11</v>
      </c>
    </row>
    <row r="587" spans="1:6" hidden="1" x14ac:dyDescent="0.3">
      <c r="A587" t="s">
        <v>1157</v>
      </c>
      <c r="B587" t="s">
        <v>13</v>
      </c>
      <c r="C587" t="s">
        <v>245</v>
      </c>
      <c r="D587" t="s">
        <v>15</v>
      </c>
      <c r="E587" t="s">
        <v>11</v>
      </c>
    </row>
    <row r="588" spans="1:6" hidden="1" x14ac:dyDescent="0.3">
      <c r="A588" t="s">
        <v>1158</v>
      </c>
      <c r="B588" t="s">
        <v>11</v>
      </c>
      <c r="E588" t="s">
        <v>11</v>
      </c>
    </row>
    <row r="589" spans="1:6" hidden="1" x14ac:dyDescent="0.3">
      <c r="A589" t="s">
        <v>1159</v>
      </c>
      <c r="B589" t="s">
        <v>9</v>
      </c>
      <c r="C589" t="s">
        <v>1160</v>
      </c>
      <c r="D589" t="s">
        <v>15</v>
      </c>
      <c r="E589" t="s">
        <v>54</v>
      </c>
      <c r="F589" t="s">
        <v>1161</v>
      </c>
    </row>
    <row r="590" spans="1:6" hidden="1" x14ac:dyDescent="0.3">
      <c r="A590" t="s">
        <v>1162</v>
      </c>
      <c r="B590" t="s">
        <v>13</v>
      </c>
      <c r="C590" t="s">
        <v>573</v>
      </c>
      <c r="E590" t="s">
        <v>11</v>
      </c>
    </row>
    <row r="591" spans="1:6" hidden="1" x14ac:dyDescent="0.3">
      <c r="A591" t="s">
        <v>1163</v>
      </c>
      <c r="B591" t="s">
        <v>9</v>
      </c>
      <c r="C591" t="s">
        <v>28</v>
      </c>
      <c r="E591" t="s">
        <v>11</v>
      </c>
    </row>
    <row r="592" spans="1:6" hidden="1" x14ac:dyDescent="0.3">
      <c r="A592" t="s">
        <v>1164</v>
      </c>
      <c r="B592" t="s">
        <v>9</v>
      </c>
      <c r="C592" t="s">
        <v>28</v>
      </c>
      <c r="E592" t="s">
        <v>11</v>
      </c>
    </row>
    <row r="593" spans="1:6" x14ac:dyDescent="0.3">
      <c r="A593" t="s">
        <v>1165</v>
      </c>
      <c r="B593" t="s">
        <v>9</v>
      </c>
      <c r="C593" t="s">
        <v>28</v>
      </c>
      <c r="E593" t="s">
        <v>20</v>
      </c>
      <c r="F593" t="s">
        <v>425</v>
      </c>
    </row>
    <row r="594" spans="1:6" x14ac:dyDescent="0.3">
      <c r="A594" t="s">
        <v>1166</v>
      </c>
      <c r="B594" t="s">
        <v>13</v>
      </c>
      <c r="C594" t="s">
        <v>1167</v>
      </c>
      <c r="D594" t="s">
        <v>15</v>
      </c>
      <c r="E594" t="s">
        <v>20</v>
      </c>
      <c r="F594" t="s">
        <v>1168</v>
      </c>
    </row>
    <row r="595" spans="1:6" hidden="1" x14ac:dyDescent="0.3">
      <c r="A595" t="s">
        <v>1169</v>
      </c>
      <c r="B595" t="s">
        <v>9</v>
      </c>
      <c r="C595" t="s">
        <v>1170</v>
      </c>
      <c r="D595" t="s">
        <v>15</v>
      </c>
      <c r="E595" t="s">
        <v>54</v>
      </c>
      <c r="F595" t="s">
        <v>1171</v>
      </c>
    </row>
    <row r="596" spans="1:6" x14ac:dyDescent="0.3">
      <c r="A596" t="s">
        <v>1172</v>
      </c>
      <c r="B596" t="s">
        <v>9</v>
      </c>
      <c r="C596" t="s">
        <v>1173</v>
      </c>
      <c r="D596" t="s">
        <v>15</v>
      </c>
      <c r="E596" t="s">
        <v>20</v>
      </c>
      <c r="F596" t="s">
        <v>21</v>
      </c>
    </row>
    <row r="597" spans="1:6" x14ac:dyDescent="0.3">
      <c r="A597" t="s">
        <v>1174</v>
      </c>
      <c r="B597" t="s">
        <v>13</v>
      </c>
      <c r="C597" t="s">
        <v>1175</v>
      </c>
      <c r="D597" t="s">
        <v>15</v>
      </c>
      <c r="E597" t="s">
        <v>20</v>
      </c>
      <c r="F597" t="s">
        <v>21</v>
      </c>
    </row>
    <row r="598" spans="1:6" hidden="1" x14ac:dyDescent="0.3">
      <c r="A598" t="s">
        <v>1176</v>
      </c>
      <c r="B598" t="s">
        <v>13</v>
      </c>
      <c r="C598" t="s">
        <v>1177</v>
      </c>
      <c r="D598" t="s">
        <v>15</v>
      </c>
      <c r="E598" t="s">
        <v>11</v>
      </c>
    </row>
    <row r="599" spans="1:6" hidden="1" x14ac:dyDescent="0.3">
      <c r="A599" t="s">
        <v>1178</v>
      </c>
      <c r="B599" t="s">
        <v>13</v>
      </c>
      <c r="C599" t="s">
        <v>1179</v>
      </c>
      <c r="D599" t="s">
        <v>15</v>
      </c>
      <c r="E599" t="s">
        <v>11</v>
      </c>
    </row>
    <row r="600" spans="1:6" hidden="1" x14ac:dyDescent="0.3">
      <c r="A600" t="s">
        <v>1180</v>
      </c>
      <c r="B600" t="s">
        <v>13</v>
      </c>
      <c r="C600" t="s">
        <v>1181</v>
      </c>
      <c r="D600" t="s">
        <v>15</v>
      </c>
      <c r="E600" t="s">
        <v>16</v>
      </c>
      <c r="F600" t="s">
        <v>138</v>
      </c>
    </row>
    <row r="601" spans="1:6" hidden="1" x14ac:dyDescent="0.3">
      <c r="A601" t="s">
        <v>1182</v>
      </c>
      <c r="B601" t="s">
        <v>11</v>
      </c>
      <c r="E601" t="s">
        <v>11</v>
      </c>
    </row>
    <row r="602" spans="1:6" x14ac:dyDescent="0.3">
      <c r="A602" t="s">
        <v>1183</v>
      </c>
      <c r="B602" t="s">
        <v>11</v>
      </c>
      <c r="D602" t="s">
        <v>15</v>
      </c>
      <c r="E602" t="s">
        <v>20</v>
      </c>
      <c r="F602" t="s">
        <v>21</v>
      </c>
    </row>
    <row r="603" spans="1:6" hidden="1" x14ac:dyDescent="0.3">
      <c r="A603" t="s">
        <v>1184</v>
      </c>
      <c r="B603" t="s">
        <v>9</v>
      </c>
      <c r="C603" t="s">
        <v>28</v>
      </c>
      <c r="E603" t="s">
        <v>11</v>
      </c>
    </row>
    <row r="604" spans="1:6" hidden="1" x14ac:dyDescent="0.3">
      <c r="A604" t="s">
        <v>1185</v>
      </c>
      <c r="B604" t="s">
        <v>13</v>
      </c>
      <c r="C604" t="s">
        <v>1186</v>
      </c>
      <c r="D604" t="s">
        <v>15</v>
      </c>
      <c r="E604" t="s">
        <v>11</v>
      </c>
    </row>
    <row r="605" spans="1:6" hidden="1" x14ac:dyDescent="0.3">
      <c r="A605" t="s">
        <v>1187</v>
      </c>
      <c r="B605" t="s">
        <v>13</v>
      </c>
      <c r="C605" t="s">
        <v>65</v>
      </c>
      <c r="E605" t="s">
        <v>11</v>
      </c>
    </row>
    <row r="606" spans="1:6" x14ac:dyDescent="0.3">
      <c r="A606" t="s">
        <v>1188</v>
      </c>
      <c r="B606" t="s">
        <v>9</v>
      </c>
      <c r="C606" t="s">
        <v>28</v>
      </c>
      <c r="E606" t="s">
        <v>20</v>
      </c>
      <c r="F606" t="s">
        <v>135</v>
      </c>
    </row>
    <row r="607" spans="1:6" hidden="1" x14ac:dyDescent="0.3">
      <c r="A607" t="s">
        <v>1189</v>
      </c>
      <c r="B607" t="s">
        <v>13</v>
      </c>
      <c r="C607" t="s">
        <v>1190</v>
      </c>
      <c r="D607" t="s">
        <v>15</v>
      </c>
      <c r="E607" t="s">
        <v>16</v>
      </c>
      <c r="F607" t="s">
        <v>1191</v>
      </c>
    </row>
    <row r="608" spans="1:6" x14ac:dyDescent="0.3">
      <c r="A608" t="s">
        <v>1192</v>
      </c>
      <c r="B608" t="s">
        <v>9</v>
      </c>
      <c r="C608" t="s">
        <v>1193</v>
      </c>
      <c r="D608" t="s">
        <v>15</v>
      </c>
      <c r="E608" t="s">
        <v>20</v>
      </c>
      <c r="F608" t="s">
        <v>42</v>
      </c>
    </row>
    <row r="609" spans="1:6" hidden="1" x14ac:dyDescent="0.3">
      <c r="A609" t="s">
        <v>1194</v>
      </c>
      <c r="B609" t="s">
        <v>9</v>
      </c>
      <c r="C609" t="s">
        <v>28</v>
      </c>
      <c r="E609" t="s">
        <v>11</v>
      </c>
    </row>
    <row r="610" spans="1:6" hidden="1" x14ac:dyDescent="0.3">
      <c r="A610" t="s">
        <v>1195</v>
      </c>
      <c r="B610" t="s">
        <v>9</v>
      </c>
      <c r="C610" t="s">
        <v>28</v>
      </c>
      <c r="E610" t="s">
        <v>11</v>
      </c>
    </row>
    <row r="611" spans="1:6" hidden="1" x14ac:dyDescent="0.3">
      <c r="A611" t="s">
        <v>1196</v>
      </c>
      <c r="B611" t="s">
        <v>13</v>
      </c>
      <c r="C611" t="s">
        <v>1197</v>
      </c>
      <c r="E611" t="s">
        <v>11</v>
      </c>
    </row>
    <row r="612" spans="1:6" hidden="1" x14ac:dyDescent="0.3">
      <c r="A612" t="s">
        <v>1198</v>
      </c>
      <c r="B612" t="s">
        <v>9</v>
      </c>
      <c r="C612" t="s">
        <v>1199</v>
      </c>
      <c r="D612" t="s">
        <v>15</v>
      </c>
      <c r="E612" t="s">
        <v>16</v>
      </c>
      <c r="F612" t="s">
        <v>1200</v>
      </c>
    </row>
    <row r="613" spans="1:6" hidden="1" x14ac:dyDescent="0.3">
      <c r="A613" t="s">
        <v>1201</v>
      </c>
      <c r="B613" t="s">
        <v>11</v>
      </c>
      <c r="E613" t="s">
        <v>11</v>
      </c>
    </row>
    <row r="614" spans="1:6" hidden="1" x14ac:dyDescent="0.3">
      <c r="A614" t="s">
        <v>1202</v>
      </c>
      <c r="B614" t="s">
        <v>417</v>
      </c>
      <c r="C614" t="s">
        <v>1203</v>
      </c>
      <c r="E614" t="s">
        <v>11</v>
      </c>
    </row>
    <row r="615" spans="1:6" hidden="1" x14ac:dyDescent="0.3">
      <c r="A615" t="s">
        <v>1204</v>
      </c>
      <c r="B615" t="s">
        <v>9</v>
      </c>
      <c r="C615" t="s">
        <v>28</v>
      </c>
      <c r="E615" t="s">
        <v>11</v>
      </c>
    </row>
    <row r="616" spans="1:6" hidden="1" x14ac:dyDescent="0.3">
      <c r="A616" t="s">
        <v>1205</v>
      </c>
      <c r="B616" t="s">
        <v>11</v>
      </c>
      <c r="E616" t="s">
        <v>11</v>
      </c>
    </row>
    <row r="617" spans="1:6" hidden="1" x14ac:dyDescent="0.3">
      <c r="A617" t="s">
        <v>1206</v>
      </c>
      <c r="B617" t="s">
        <v>13</v>
      </c>
      <c r="C617" t="s">
        <v>1207</v>
      </c>
      <c r="E617" t="s">
        <v>54</v>
      </c>
      <c r="F617" t="s">
        <v>1208</v>
      </c>
    </row>
    <row r="618" spans="1:6" hidden="1" x14ac:dyDescent="0.3">
      <c r="A618" t="s">
        <v>1209</v>
      </c>
      <c r="B618" t="s">
        <v>197</v>
      </c>
      <c r="C618" t="s">
        <v>1210</v>
      </c>
      <c r="D618" t="s">
        <v>15</v>
      </c>
      <c r="E618" t="s">
        <v>54</v>
      </c>
      <c r="F618" t="s">
        <v>1211</v>
      </c>
    </row>
    <row r="619" spans="1:6" x14ac:dyDescent="0.3">
      <c r="A619" t="s">
        <v>1212</v>
      </c>
      <c r="B619" t="s">
        <v>197</v>
      </c>
      <c r="C619" t="s">
        <v>1213</v>
      </c>
      <c r="D619" t="s">
        <v>15</v>
      </c>
      <c r="E619" t="s">
        <v>20</v>
      </c>
      <c r="F619" t="s">
        <v>21</v>
      </c>
    </row>
    <row r="620" spans="1:6" hidden="1" x14ac:dyDescent="0.3">
      <c r="A620" t="s">
        <v>1214</v>
      </c>
      <c r="B620" t="s">
        <v>9</v>
      </c>
      <c r="C620" t="s">
        <v>1215</v>
      </c>
      <c r="E620" t="s">
        <v>11</v>
      </c>
    </row>
    <row r="621" spans="1:6" hidden="1" x14ac:dyDescent="0.3">
      <c r="A621" t="s">
        <v>1216</v>
      </c>
      <c r="B621" t="s">
        <v>11</v>
      </c>
      <c r="E621" t="s">
        <v>11</v>
      </c>
    </row>
    <row r="622" spans="1:6" hidden="1" x14ac:dyDescent="0.3">
      <c r="A622" t="s">
        <v>1217</v>
      </c>
      <c r="B622" t="s">
        <v>9</v>
      </c>
      <c r="C622" t="s">
        <v>1218</v>
      </c>
      <c r="E622" t="s">
        <v>54</v>
      </c>
      <c r="F622" t="s">
        <v>1219</v>
      </c>
    </row>
    <row r="623" spans="1:6" x14ac:dyDescent="0.3">
      <c r="A623" t="s">
        <v>1220</v>
      </c>
      <c r="B623" t="s">
        <v>9</v>
      </c>
      <c r="C623" t="s">
        <v>1221</v>
      </c>
      <c r="D623" t="s">
        <v>15</v>
      </c>
      <c r="E623" t="s">
        <v>20</v>
      </c>
      <c r="F623" t="s">
        <v>1222</v>
      </c>
    </row>
    <row r="624" spans="1:6" hidden="1" x14ac:dyDescent="0.3">
      <c r="A624" t="s">
        <v>1223</v>
      </c>
      <c r="B624" t="s">
        <v>13</v>
      </c>
      <c r="C624" t="s">
        <v>1224</v>
      </c>
      <c r="D624" t="s">
        <v>15</v>
      </c>
      <c r="E624" t="s">
        <v>11</v>
      </c>
    </row>
    <row r="625" spans="1:6" hidden="1" x14ac:dyDescent="0.3">
      <c r="A625" t="s">
        <v>1225</v>
      </c>
      <c r="B625" t="s">
        <v>13</v>
      </c>
      <c r="C625" t="s">
        <v>65</v>
      </c>
      <c r="E625" t="s">
        <v>11</v>
      </c>
    </row>
    <row r="626" spans="1:6" hidden="1" x14ac:dyDescent="0.3">
      <c r="A626" t="s">
        <v>1226</v>
      </c>
      <c r="B626" t="s">
        <v>9</v>
      </c>
      <c r="C626" t="s">
        <v>1227</v>
      </c>
      <c r="D626" t="s">
        <v>15</v>
      </c>
      <c r="E626" t="s">
        <v>16</v>
      </c>
      <c r="F626" t="s">
        <v>45</v>
      </c>
    </row>
    <row r="627" spans="1:6" hidden="1" x14ac:dyDescent="0.3">
      <c r="A627" t="s">
        <v>1228</v>
      </c>
      <c r="B627" t="s">
        <v>9</v>
      </c>
      <c r="C627" t="s">
        <v>28</v>
      </c>
      <c r="E627" t="s">
        <v>11</v>
      </c>
    </row>
    <row r="628" spans="1:6" hidden="1" x14ac:dyDescent="0.3">
      <c r="A628" t="s">
        <v>1229</v>
      </c>
      <c r="B628" t="s">
        <v>11</v>
      </c>
      <c r="E628" t="s">
        <v>11</v>
      </c>
    </row>
    <row r="629" spans="1:6" hidden="1" x14ac:dyDescent="0.3">
      <c r="A629" t="s">
        <v>1230</v>
      </c>
      <c r="B629" t="s">
        <v>9</v>
      </c>
      <c r="C629" t="s">
        <v>1231</v>
      </c>
      <c r="D629" t="s">
        <v>15</v>
      </c>
      <c r="E629" t="s">
        <v>54</v>
      </c>
      <c r="F629" t="s">
        <v>1069</v>
      </c>
    </row>
    <row r="630" spans="1:6" hidden="1" x14ac:dyDescent="0.3">
      <c r="A630" t="s">
        <v>1232</v>
      </c>
      <c r="B630" t="s">
        <v>11</v>
      </c>
      <c r="E630" t="s">
        <v>11</v>
      </c>
    </row>
    <row r="631" spans="1:6" x14ac:dyDescent="0.3">
      <c r="A631" t="s">
        <v>1233</v>
      </c>
      <c r="B631" t="s">
        <v>9</v>
      </c>
      <c r="C631" t="s">
        <v>1234</v>
      </c>
      <c r="D631" t="s">
        <v>15</v>
      </c>
      <c r="E631" t="s">
        <v>20</v>
      </c>
      <c r="F631" t="s">
        <v>21</v>
      </c>
    </row>
    <row r="632" spans="1:6" hidden="1" x14ac:dyDescent="0.3">
      <c r="A632" t="s">
        <v>1235</v>
      </c>
      <c r="B632" t="s">
        <v>13</v>
      </c>
      <c r="C632" t="s">
        <v>245</v>
      </c>
      <c r="D632" t="s">
        <v>15</v>
      </c>
      <c r="E632" t="s">
        <v>11</v>
      </c>
    </row>
    <row r="633" spans="1:6" hidden="1" x14ac:dyDescent="0.3">
      <c r="A633" t="s">
        <v>1236</v>
      </c>
      <c r="B633" t="s">
        <v>11</v>
      </c>
      <c r="D633" t="s">
        <v>15</v>
      </c>
      <c r="E633" t="s">
        <v>11</v>
      </c>
    </row>
    <row r="634" spans="1:6" hidden="1" x14ac:dyDescent="0.3">
      <c r="A634" t="s">
        <v>1237</v>
      </c>
      <c r="B634" t="s">
        <v>13</v>
      </c>
      <c r="C634" t="s">
        <v>245</v>
      </c>
      <c r="D634" t="s">
        <v>15</v>
      </c>
      <c r="E634" t="s">
        <v>11</v>
      </c>
    </row>
    <row r="635" spans="1:6" hidden="1" x14ac:dyDescent="0.3">
      <c r="A635" t="s">
        <v>1238</v>
      </c>
      <c r="B635" t="s">
        <v>13</v>
      </c>
      <c r="C635" t="s">
        <v>245</v>
      </c>
      <c r="D635" t="s">
        <v>15</v>
      </c>
      <c r="E635" t="s">
        <v>11</v>
      </c>
    </row>
    <row r="636" spans="1:6" hidden="1" x14ac:dyDescent="0.3">
      <c r="A636" t="s">
        <v>1239</v>
      </c>
      <c r="B636" t="s">
        <v>9</v>
      </c>
      <c r="C636" t="s">
        <v>28</v>
      </c>
      <c r="E636" t="s">
        <v>11</v>
      </c>
    </row>
    <row r="637" spans="1:6" hidden="1" x14ac:dyDescent="0.3">
      <c r="A637" t="s">
        <v>1240</v>
      </c>
      <c r="B637" t="s">
        <v>11</v>
      </c>
      <c r="E637" t="s">
        <v>11</v>
      </c>
    </row>
    <row r="638" spans="1:6" hidden="1" x14ac:dyDescent="0.3">
      <c r="A638" t="s">
        <v>1241</v>
      </c>
      <c r="B638" t="s">
        <v>13</v>
      </c>
      <c r="C638" t="s">
        <v>245</v>
      </c>
      <c r="E638" t="s">
        <v>11</v>
      </c>
    </row>
    <row r="639" spans="1:6" hidden="1" x14ac:dyDescent="0.3">
      <c r="A639" t="s">
        <v>1242</v>
      </c>
      <c r="B639" t="s">
        <v>11</v>
      </c>
      <c r="E639" t="s">
        <v>11</v>
      </c>
    </row>
    <row r="640" spans="1:6" x14ac:dyDescent="0.3">
      <c r="A640" t="s">
        <v>1243</v>
      </c>
      <c r="B640" t="s">
        <v>9</v>
      </c>
      <c r="C640" t="s">
        <v>1244</v>
      </c>
      <c r="D640" t="s">
        <v>15</v>
      </c>
      <c r="E640" t="s">
        <v>20</v>
      </c>
      <c r="F640" t="s">
        <v>1245</v>
      </c>
    </row>
    <row r="641" spans="1:6" hidden="1" x14ac:dyDescent="0.3">
      <c r="A641" t="s">
        <v>1246</v>
      </c>
      <c r="B641" t="s">
        <v>13</v>
      </c>
      <c r="C641" t="s">
        <v>314</v>
      </c>
      <c r="E641" t="s">
        <v>11</v>
      </c>
    </row>
    <row r="642" spans="1:6" hidden="1" x14ac:dyDescent="0.3">
      <c r="A642" t="s">
        <v>1247</v>
      </c>
      <c r="B642" t="s">
        <v>9</v>
      </c>
      <c r="C642" t="s">
        <v>1248</v>
      </c>
      <c r="D642" t="s">
        <v>15</v>
      </c>
      <c r="E642" t="s">
        <v>54</v>
      </c>
      <c r="F642" t="s">
        <v>1249</v>
      </c>
    </row>
    <row r="643" spans="1:6" hidden="1" x14ac:dyDescent="0.3">
      <c r="A643" t="s">
        <v>1250</v>
      </c>
      <c r="B643" t="s">
        <v>11</v>
      </c>
      <c r="E643" t="s">
        <v>11</v>
      </c>
    </row>
    <row r="644" spans="1:6" hidden="1" x14ac:dyDescent="0.3">
      <c r="A644" t="s">
        <v>1251</v>
      </c>
      <c r="B644" t="s">
        <v>9</v>
      </c>
      <c r="C644" t="s">
        <v>28</v>
      </c>
      <c r="E644" t="s">
        <v>11</v>
      </c>
    </row>
    <row r="645" spans="1:6" hidden="1" x14ac:dyDescent="0.3">
      <c r="A645" t="s">
        <v>1252</v>
      </c>
      <c r="B645" t="s">
        <v>13</v>
      </c>
      <c r="C645" t="s">
        <v>245</v>
      </c>
      <c r="D645" t="s">
        <v>15</v>
      </c>
      <c r="E645" t="s">
        <v>11</v>
      </c>
    </row>
    <row r="646" spans="1:6" hidden="1" x14ac:dyDescent="0.3">
      <c r="A646" t="s">
        <v>1253</v>
      </c>
      <c r="B646" t="s">
        <v>13</v>
      </c>
      <c r="C646" t="s">
        <v>1254</v>
      </c>
      <c r="D646" t="s">
        <v>15</v>
      </c>
      <c r="E646" t="s">
        <v>11</v>
      </c>
    </row>
    <row r="647" spans="1:6" hidden="1" x14ac:dyDescent="0.3">
      <c r="A647" t="s">
        <v>1255</v>
      </c>
      <c r="B647" t="s">
        <v>11</v>
      </c>
      <c r="E647" t="s">
        <v>11</v>
      </c>
    </row>
    <row r="648" spans="1:6" hidden="1" x14ac:dyDescent="0.3">
      <c r="A648" t="s">
        <v>1256</v>
      </c>
      <c r="B648" t="s">
        <v>9</v>
      </c>
      <c r="C648" t="s">
        <v>28</v>
      </c>
      <c r="E648" t="s">
        <v>11</v>
      </c>
    </row>
    <row r="649" spans="1:6" hidden="1" x14ac:dyDescent="0.3">
      <c r="A649" t="s">
        <v>1257</v>
      </c>
      <c r="B649" t="s">
        <v>9</v>
      </c>
      <c r="C649" t="s">
        <v>28</v>
      </c>
      <c r="E649" t="s">
        <v>11</v>
      </c>
    </row>
    <row r="650" spans="1:6" hidden="1" x14ac:dyDescent="0.3">
      <c r="A650" t="s">
        <v>1258</v>
      </c>
      <c r="B650" t="s">
        <v>9</v>
      </c>
      <c r="C650" t="s">
        <v>1259</v>
      </c>
      <c r="D650" t="s">
        <v>15</v>
      </c>
      <c r="E650" t="s">
        <v>16</v>
      </c>
      <c r="F650" t="s">
        <v>1260</v>
      </c>
    </row>
    <row r="651" spans="1:6" x14ac:dyDescent="0.3">
      <c r="A651" t="s">
        <v>1261</v>
      </c>
      <c r="B651" t="s">
        <v>13</v>
      </c>
      <c r="C651" t="s">
        <v>1262</v>
      </c>
      <c r="E651" t="s">
        <v>20</v>
      </c>
      <c r="F651" t="s">
        <v>330</v>
      </c>
    </row>
    <row r="652" spans="1:6" hidden="1" x14ac:dyDescent="0.3">
      <c r="A652" t="s">
        <v>1263</v>
      </c>
      <c r="B652" t="s">
        <v>9</v>
      </c>
      <c r="C652" t="s">
        <v>28</v>
      </c>
      <c r="E652" t="s">
        <v>11</v>
      </c>
    </row>
    <row r="653" spans="1:6" x14ac:dyDescent="0.3">
      <c r="A653" t="s">
        <v>1264</v>
      </c>
      <c r="B653" t="s">
        <v>13</v>
      </c>
      <c r="C653" t="s">
        <v>1265</v>
      </c>
      <c r="D653" t="s">
        <v>15</v>
      </c>
      <c r="E653" t="s">
        <v>20</v>
      </c>
      <c r="F653" t="s">
        <v>1266</v>
      </c>
    </row>
    <row r="654" spans="1:6" hidden="1" x14ac:dyDescent="0.3">
      <c r="A654" t="s">
        <v>1267</v>
      </c>
      <c r="B654" t="s">
        <v>13</v>
      </c>
      <c r="C654" t="s">
        <v>112</v>
      </c>
      <c r="D654" t="s">
        <v>15</v>
      </c>
      <c r="E654" t="s">
        <v>54</v>
      </c>
      <c r="F654" t="s">
        <v>588</v>
      </c>
    </row>
    <row r="655" spans="1:6" hidden="1" x14ac:dyDescent="0.3">
      <c r="A655" t="s">
        <v>1268</v>
      </c>
      <c r="B655" t="s">
        <v>13</v>
      </c>
      <c r="C655" t="s">
        <v>1269</v>
      </c>
      <c r="E655" t="s">
        <v>16</v>
      </c>
      <c r="F655" t="s">
        <v>1270</v>
      </c>
    </row>
    <row r="656" spans="1:6" hidden="1" x14ac:dyDescent="0.3">
      <c r="A656" t="s">
        <v>1271</v>
      </c>
      <c r="B656" t="s">
        <v>9</v>
      </c>
      <c r="C656" t="s">
        <v>1272</v>
      </c>
      <c r="D656" t="s">
        <v>15</v>
      </c>
      <c r="E656" t="s">
        <v>54</v>
      </c>
      <c r="F656" t="s">
        <v>1273</v>
      </c>
    </row>
    <row r="657" spans="1:6" hidden="1" x14ac:dyDescent="0.3">
      <c r="A657" t="s">
        <v>1274</v>
      </c>
      <c r="B657" t="s">
        <v>9</v>
      </c>
      <c r="C657" t="s">
        <v>1275</v>
      </c>
      <c r="D657" t="s">
        <v>15</v>
      </c>
      <c r="E657" t="s">
        <v>16</v>
      </c>
      <c r="F657" t="s">
        <v>1276</v>
      </c>
    </row>
    <row r="658" spans="1:6" hidden="1" x14ac:dyDescent="0.3">
      <c r="A658" t="s">
        <v>1277</v>
      </c>
      <c r="B658" t="s">
        <v>197</v>
      </c>
      <c r="C658" t="s">
        <v>1278</v>
      </c>
      <c r="E658" t="s">
        <v>11</v>
      </c>
    </row>
    <row r="659" spans="1:6" x14ac:dyDescent="0.3">
      <c r="A659" t="s">
        <v>1279</v>
      </c>
      <c r="B659" t="s">
        <v>9</v>
      </c>
      <c r="C659" t="s">
        <v>1280</v>
      </c>
      <c r="D659" t="s">
        <v>15</v>
      </c>
      <c r="E659" t="s">
        <v>20</v>
      </c>
      <c r="F659" t="s">
        <v>1281</v>
      </c>
    </row>
    <row r="660" spans="1:6" hidden="1" x14ac:dyDescent="0.3">
      <c r="A660" t="s">
        <v>1282</v>
      </c>
      <c r="B660" t="s">
        <v>13</v>
      </c>
      <c r="C660" t="s">
        <v>1283</v>
      </c>
      <c r="E660" t="s">
        <v>54</v>
      </c>
      <c r="F660" t="s">
        <v>1284</v>
      </c>
    </row>
    <row r="661" spans="1:6" hidden="1" x14ac:dyDescent="0.3">
      <c r="A661" t="s">
        <v>1285</v>
      </c>
      <c r="B661" t="s">
        <v>13</v>
      </c>
      <c r="C661" t="s">
        <v>1286</v>
      </c>
      <c r="E661" t="s">
        <v>16</v>
      </c>
      <c r="F661" t="s">
        <v>1287</v>
      </c>
    </row>
    <row r="662" spans="1:6" hidden="1" x14ac:dyDescent="0.3">
      <c r="A662" t="s">
        <v>1288</v>
      </c>
      <c r="B662" t="s">
        <v>11</v>
      </c>
      <c r="E662" t="s">
        <v>11</v>
      </c>
    </row>
    <row r="663" spans="1:6" x14ac:dyDescent="0.3">
      <c r="A663" t="s">
        <v>1289</v>
      </c>
      <c r="B663" t="s">
        <v>197</v>
      </c>
      <c r="C663" t="s">
        <v>1290</v>
      </c>
      <c r="D663" t="s">
        <v>15</v>
      </c>
      <c r="E663" t="s">
        <v>20</v>
      </c>
      <c r="F663" t="s">
        <v>1291</v>
      </c>
    </row>
    <row r="664" spans="1:6" hidden="1" x14ac:dyDescent="0.3">
      <c r="A664" t="s">
        <v>1292</v>
      </c>
      <c r="B664" t="s">
        <v>9</v>
      </c>
      <c r="C664" t="s">
        <v>1293</v>
      </c>
      <c r="E664" t="s">
        <v>11</v>
      </c>
    </row>
    <row r="665" spans="1:6" hidden="1" x14ac:dyDescent="0.3">
      <c r="A665" t="s">
        <v>1294</v>
      </c>
      <c r="B665" t="s">
        <v>9</v>
      </c>
      <c r="C665" t="s">
        <v>1295</v>
      </c>
      <c r="D665" t="s">
        <v>15</v>
      </c>
      <c r="E665" t="s">
        <v>54</v>
      </c>
      <c r="F665" t="s">
        <v>1296</v>
      </c>
    </row>
    <row r="666" spans="1:6" hidden="1" x14ac:dyDescent="0.3">
      <c r="A666" t="s">
        <v>1297</v>
      </c>
      <c r="B666" t="s">
        <v>9</v>
      </c>
      <c r="C666" t="s">
        <v>28</v>
      </c>
      <c r="D666" t="s">
        <v>15</v>
      </c>
      <c r="E666" t="s">
        <v>16</v>
      </c>
      <c r="F666" t="s">
        <v>1298</v>
      </c>
    </row>
    <row r="667" spans="1:6" x14ac:dyDescent="0.3">
      <c r="A667" t="s">
        <v>1299</v>
      </c>
      <c r="B667" t="s">
        <v>13</v>
      </c>
      <c r="C667" t="s">
        <v>1300</v>
      </c>
      <c r="D667" t="s">
        <v>15</v>
      </c>
      <c r="E667" t="s">
        <v>20</v>
      </c>
      <c r="F667" t="s">
        <v>1301</v>
      </c>
    </row>
    <row r="668" spans="1:6" hidden="1" x14ac:dyDescent="0.3">
      <c r="A668" t="s">
        <v>1302</v>
      </c>
      <c r="B668" t="s">
        <v>13</v>
      </c>
      <c r="C668" t="s">
        <v>112</v>
      </c>
      <c r="D668" t="s">
        <v>15</v>
      </c>
      <c r="E668" t="s">
        <v>11</v>
      </c>
    </row>
    <row r="669" spans="1:6" hidden="1" x14ac:dyDescent="0.3">
      <c r="A669" t="s">
        <v>1303</v>
      </c>
      <c r="B669" t="s">
        <v>9</v>
      </c>
      <c r="C669" t="s">
        <v>1304</v>
      </c>
      <c r="E669" t="s">
        <v>11</v>
      </c>
    </row>
    <row r="670" spans="1:6" hidden="1" x14ac:dyDescent="0.3">
      <c r="A670" t="s">
        <v>1305</v>
      </c>
      <c r="B670" t="s">
        <v>9</v>
      </c>
      <c r="C670" t="s">
        <v>1306</v>
      </c>
      <c r="D670" t="s">
        <v>15</v>
      </c>
      <c r="E670" t="s">
        <v>16</v>
      </c>
      <c r="F670" t="s">
        <v>1307</v>
      </c>
    </row>
    <row r="671" spans="1:6" hidden="1" x14ac:dyDescent="0.3">
      <c r="A671" t="s">
        <v>1308</v>
      </c>
      <c r="B671" t="s">
        <v>9</v>
      </c>
      <c r="C671" t="s">
        <v>1309</v>
      </c>
      <c r="D671" t="s">
        <v>15</v>
      </c>
      <c r="E671" t="s">
        <v>16</v>
      </c>
      <c r="F671" t="s">
        <v>1310</v>
      </c>
    </row>
    <row r="672" spans="1:6" hidden="1" x14ac:dyDescent="0.3">
      <c r="A672" t="s">
        <v>1311</v>
      </c>
      <c r="B672" t="s">
        <v>197</v>
      </c>
      <c r="C672" t="s">
        <v>1312</v>
      </c>
      <c r="E672" t="s">
        <v>11</v>
      </c>
    </row>
    <row r="673" spans="1:6" hidden="1" x14ac:dyDescent="0.3">
      <c r="A673" t="s">
        <v>1313</v>
      </c>
      <c r="B673" t="s">
        <v>11</v>
      </c>
      <c r="E673" t="s">
        <v>11</v>
      </c>
    </row>
    <row r="674" spans="1:6" hidden="1" x14ac:dyDescent="0.3">
      <c r="A674" t="s">
        <v>1314</v>
      </c>
      <c r="B674" t="s">
        <v>197</v>
      </c>
      <c r="C674" t="s">
        <v>1312</v>
      </c>
      <c r="E674" t="s">
        <v>11</v>
      </c>
    </row>
    <row r="675" spans="1:6" hidden="1" x14ac:dyDescent="0.3">
      <c r="A675" t="s">
        <v>1315</v>
      </c>
      <c r="B675" t="s">
        <v>9</v>
      </c>
      <c r="C675" t="s">
        <v>51</v>
      </c>
      <c r="E675" t="s">
        <v>11</v>
      </c>
    </row>
    <row r="676" spans="1:6" x14ac:dyDescent="0.3">
      <c r="A676" t="s">
        <v>1316</v>
      </c>
      <c r="B676" t="s">
        <v>11</v>
      </c>
      <c r="E676" t="s">
        <v>20</v>
      </c>
      <c r="F676" t="s">
        <v>135</v>
      </c>
    </row>
    <row r="677" spans="1:6" hidden="1" x14ac:dyDescent="0.3">
      <c r="A677" t="s">
        <v>1317</v>
      </c>
      <c r="B677" t="s">
        <v>11</v>
      </c>
      <c r="E677" t="s">
        <v>11</v>
      </c>
    </row>
    <row r="678" spans="1:6" hidden="1" x14ac:dyDescent="0.3">
      <c r="A678" t="s">
        <v>1318</v>
      </c>
      <c r="B678" t="s">
        <v>9</v>
      </c>
      <c r="C678" t="s">
        <v>1319</v>
      </c>
      <c r="E678" t="s">
        <v>11</v>
      </c>
    </row>
    <row r="679" spans="1:6" hidden="1" x14ac:dyDescent="0.3">
      <c r="A679" t="s">
        <v>1320</v>
      </c>
      <c r="B679" t="s">
        <v>13</v>
      </c>
      <c r="C679" t="s">
        <v>1321</v>
      </c>
      <c r="D679" t="s">
        <v>15</v>
      </c>
      <c r="E679" t="s">
        <v>16</v>
      </c>
      <c r="F679" t="s">
        <v>1322</v>
      </c>
    </row>
    <row r="680" spans="1:6" x14ac:dyDescent="0.3">
      <c r="A680" t="s">
        <v>1323</v>
      </c>
      <c r="B680" t="s">
        <v>13</v>
      </c>
      <c r="C680" t="s">
        <v>1324</v>
      </c>
      <c r="D680" t="s">
        <v>15</v>
      </c>
      <c r="E680" t="s">
        <v>20</v>
      </c>
      <c r="F680" t="s">
        <v>1325</v>
      </c>
    </row>
    <row r="681" spans="1:6" hidden="1" x14ac:dyDescent="0.3">
      <c r="A681" t="s">
        <v>1326</v>
      </c>
      <c r="B681" t="s">
        <v>13</v>
      </c>
      <c r="C681" t="s">
        <v>1327</v>
      </c>
      <c r="E681" t="s">
        <v>54</v>
      </c>
      <c r="F681" t="s">
        <v>1328</v>
      </c>
    </row>
    <row r="682" spans="1:6" hidden="1" x14ac:dyDescent="0.3">
      <c r="A682" t="s">
        <v>1329</v>
      </c>
      <c r="B682" t="s">
        <v>11</v>
      </c>
      <c r="E682" t="s">
        <v>11</v>
      </c>
    </row>
    <row r="683" spans="1:6" hidden="1" x14ac:dyDescent="0.3">
      <c r="A683" t="s">
        <v>1330</v>
      </c>
      <c r="B683" t="s">
        <v>417</v>
      </c>
      <c r="C683" t="s">
        <v>1331</v>
      </c>
      <c r="D683" t="s">
        <v>15</v>
      </c>
      <c r="E683" t="s">
        <v>54</v>
      </c>
      <c r="F683" t="s">
        <v>918</v>
      </c>
    </row>
    <row r="684" spans="1:6" hidden="1" x14ac:dyDescent="0.3">
      <c r="A684" t="s">
        <v>1332</v>
      </c>
      <c r="B684" t="s">
        <v>11</v>
      </c>
      <c r="E684" t="s">
        <v>11</v>
      </c>
    </row>
    <row r="685" spans="1:6" hidden="1" x14ac:dyDescent="0.3">
      <c r="A685" t="s">
        <v>1333</v>
      </c>
      <c r="B685" t="s">
        <v>9</v>
      </c>
      <c r="C685" t="s">
        <v>1334</v>
      </c>
      <c r="D685" t="s">
        <v>15</v>
      </c>
      <c r="E685" t="s">
        <v>16</v>
      </c>
      <c r="F685" t="s">
        <v>1335</v>
      </c>
    </row>
    <row r="686" spans="1:6" x14ac:dyDescent="0.3">
      <c r="A686" t="s">
        <v>1336</v>
      </c>
      <c r="B686" t="s">
        <v>9</v>
      </c>
      <c r="C686" t="s">
        <v>1337</v>
      </c>
      <c r="E686" t="s">
        <v>20</v>
      </c>
      <c r="F686" t="s">
        <v>21</v>
      </c>
    </row>
    <row r="687" spans="1:6" hidden="1" x14ac:dyDescent="0.3">
      <c r="A687" t="s">
        <v>1338</v>
      </c>
      <c r="B687" t="s">
        <v>9</v>
      </c>
      <c r="C687" t="s">
        <v>1339</v>
      </c>
      <c r="E687" t="s">
        <v>11</v>
      </c>
    </row>
    <row r="688" spans="1:6" hidden="1" x14ac:dyDescent="0.3">
      <c r="A688" t="s">
        <v>1340</v>
      </c>
      <c r="B688" t="s">
        <v>11</v>
      </c>
      <c r="E688" t="s">
        <v>11</v>
      </c>
    </row>
    <row r="689" spans="1:6" hidden="1" x14ac:dyDescent="0.3">
      <c r="A689" t="s">
        <v>1341</v>
      </c>
      <c r="B689" t="s">
        <v>11</v>
      </c>
      <c r="E689" t="s">
        <v>11</v>
      </c>
    </row>
    <row r="690" spans="1:6" x14ac:dyDescent="0.3">
      <c r="A690" t="s">
        <v>1342</v>
      </c>
      <c r="B690" t="s">
        <v>9</v>
      </c>
      <c r="C690" t="s">
        <v>1343</v>
      </c>
      <c r="D690" t="s">
        <v>15</v>
      </c>
      <c r="E690" t="s">
        <v>20</v>
      </c>
      <c r="F690" t="s">
        <v>1344</v>
      </c>
    </row>
    <row r="691" spans="1:6" hidden="1" x14ac:dyDescent="0.3">
      <c r="A691" t="s">
        <v>1345</v>
      </c>
      <c r="B691" t="s">
        <v>9</v>
      </c>
      <c r="C691" t="s">
        <v>28</v>
      </c>
      <c r="E691" t="s">
        <v>11</v>
      </c>
    </row>
    <row r="692" spans="1:6" hidden="1" x14ac:dyDescent="0.3">
      <c r="A692" t="s">
        <v>1346</v>
      </c>
      <c r="B692" t="s">
        <v>9</v>
      </c>
      <c r="C692" t="s">
        <v>28</v>
      </c>
      <c r="E692" t="s">
        <v>11</v>
      </c>
    </row>
    <row r="693" spans="1:6" hidden="1" x14ac:dyDescent="0.3">
      <c r="A693" t="s">
        <v>1347</v>
      </c>
      <c r="B693" t="s">
        <v>9</v>
      </c>
      <c r="C693" t="s">
        <v>1348</v>
      </c>
      <c r="D693" t="s">
        <v>15</v>
      </c>
      <c r="E693" t="s">
        <v>11</v>
      </c>
    </row>
    <row r="694" spans="1:6" hidden="1" x14ac:dyDescent="0.3">
      <c r="A694" t="s">
        <v>1349</v>
      </c>
      <c r="B694" t="s">
        <v>11</v>
      </c>
      <c r="E694" t="s">
        <v>11</v>
      </c>
    </row>
    <row r="695" spans="1:6" hidden="1" x14ac:dyDescent="0.3">
      <c r="A695" t="s">
        <v>1350</v>
      </c>
      <c r="B695" t="s">
        <v>9</v>
      </c>
      <c r="C695" t="s">
        <v>1351</v>
      </c>
      <c r="D695" t="s">
        <v>15</v>
      </c>
      <c r="E695" t="s">
        <v>16</v>
      </c>
      <c r="F695" t="s">
        <v>1352</v>
      </c>
    </row>
    <row r="696" spans="1:6" hidden="1" x14ac:dyDescent="0.3">
      <c r="A696" t="s">
        <v>1353</v>
      </c>
      <c r="B696" t="s">
        <v>13</v>
      </c>
      <c r="C696" t="s">
        <v>65</v>
      </c>
      <c r="E696" t="s">
        <v>11</v>
      </c>
    </row>
    <row r="697" spans="1:6" hidden="1" x14ac:dyDescent="0.3">
      <c r="A697" t="s">
        <v>1354</v>
      </c>
      <c r="B697" t="s">
        <v>11</v>
      </c>
      <c r="E697" t="s">
        <v>11</v>
      </c>
    </row>
    <row r="698" spans="1:6" hidden="1" x14ac:dyDescent="0.3">
      <c r="A698" t="s">
        <v>1355</v>
      </c>
      <c r="B698" t="s">
        <v>11</v>
      </c>
      <c r="E698" t="s">
        <v>16</v>
      </c>
      <c r="F698" t="s">
        <v>288</v>
      </c>
    </row>
    <row r="699" spans="1:6" hidden="1" x14ac:dyDescent="0.3">
      <c r="A699" t="s">
        <v>1356</v>
      </c>
      <c r="B699" t="s">
        <v>9</v>
      </c>
      <c r="C699" t="s">
        <v>28</v>
      </c>
      <c r="E699" t="s">
        <v>11</v>
      </c>
    </row>
    <row r="700" spans="1:6" hidden="1" x14ac:dyDescent="0.3">
      <c r="A700" t="s">
        <v>1357</v>
      </c>
      <c r="B700" t="s">
        <v>13</v>
      </c>
      <c r="C700" t="s">
        <v>245</v>
      </c>
      <c r="D700" t="s">
        <v>15</v>
      </c>
      <c r="E700" t="s">
        <v>11</v>
      </c>
    </row>
    <row r="701" spans="1:6" hidden="1" x14ac:dyDescent="0.3">
      <c r="A701" t="s">
        <v>1358</v>
      </c>
      <c r="B701" t="s">
        <v>9</v>
      </c>
      <c r="C701" t="s">
        <v>1359</v>
      </c>
      <c r="D701" t="s">
        <v>15</v>
      </c>
      <c r="E701" t="s">
        <v>16</v>
      </c>
      <c r="F701" t="s">
        <v>1360</v>
      </c>
    </row>
    <row r="702" spans="1:6" x14ac:dyDescent="0.3">
      <c r="A702" t="s">
        <v>1361</v>
      </c>
      <c r="B702" t="s">
        <v>9</v>
      </c>
      <c r="C702" t="s">
        <v>1362</v>
      </c>
      <c r="E702" t="s">
        <v>20</v>
      </c>
      <c r="F702" t="s">
        <v>21</v>
      </c>
    </row>
    <row r="703" spans="1:6" hidden="1" x14ac:dyDescent="0.3">
      <c r="A703" t="s">
        <v>1363</v>
      </c>
      <c r="B703" t="s">
        <v>9</v>
      </c>
      <c r="C703" t="s">
        <v>1364</v>
      </c>
      <c r="D703" t="s">
        <v>15</v>
      </c>
      <c r="E703" t="s">
        <v>11</v>
      </c>
    </row>
    <row r="704" spans="1:6" hidden="1" x14ac:dyDescent="0.3">
      <c r="A704" t="s">
        <v>1365</v>
      </c>
      <c r="B704" t="s">
        <v>11</v>
      </c>
      <c r="E704" t="s">
        <v>11</v>
      </c>
    </row>
    <row r="705" spans="1:6" hidden="1" x14ac:dyDescent="0.3">
      <c r="A705" t="s">
        <v>1366</v>
      </c>
      <c r="B705" t="s">
        <v>13</v>
      </c>
      <c r="C705" t="s">
        <v>1367</v>
      </c>
      <c r="E705" t="s">
        <v>11</v>
      </c>
    </row>
    <row r="706" spans="1:6" hidden="1" x14ac:dyDescent="0.3">
      <c r="A706" t="s">
        <v>1368</v>
      </c>
      <c r="B706" t="s">
        <v>9</v>
      </c>
      <c r="C706" t="s">
        <v>1369</v>
      </c>
      <c r="D706" t="s">
        <v>15</v>
      </c>
      <c r="E706" t="s">
        <v>54</v>
      </c>
      <c r="F706" t="s">
        <v>302</v>
      </c>
    </row>
    <row r="707" spans="1:6" hidden="1" x14ac:dyDescent="0.3">
      <c r="A707" t="s">
        <v>1370</v>
      </c>
      <c r="B707" t="s">
        <v>13</v>
      </c>
      <c r="C707" t="s">
        <v>1371</v>
      </c>
      <c r="D707" t="s">
        <v>15</v>
      </c>
      <c r="E707" t="s">
        <v>16</v>
      </c>
      <c r="F707" t="s">
        <v>1372</v>
      </c>
    </row>
    <row r="708" spans="1:6" hidden="1" x14ac:dyDescent="0.3">
      <c r="A708" t="s">
        <v>1373</v>
      </c>
      <c r="B708" t="s">
        <v>9</v>
      </c>
      <c r="C708" t="s">
        <v>1374</v>
      </c>
      <c r="D708" t="s">
        <v>15</v>
      </c>
      <c r="E708" t="s">
        <v>54</v>
      </c>
      <c r="F708" t="s">
        <v>1375</v>
      </c>
    </row>
    <row r="709" spans="1:6" hidden="1" x14ac:dyDescent="0.3">
      <c r="A709" t="s">
        <v>1376</v>
      </c>
      <c r="B709" t="s">
        <v>9</v>
      </c>
      <c r="C709" t="s">
        <v>1377</v>
      </c>
      <c r="D709" t="s">
        <v>15</v>
      </c>
      <c r="E709" t="s">
        <v>11</v>
      </c>
    </row>
    <row r="710" spans="1:6" hidden="1" x14ac:dyDescent="0.3">
      <c r="A710" t="s">
        <v>1378</v>
      </c>
      <c r="B710" t="s">
        <v>9</v>
      </c>
      <c r="C710" t="s">
        <v>1379</v>
      </c>
      <c r="D710" t="s">
        <v>15</v>
      </c>
      <c r="E710" t="s">
        <v>16</v>
      </c>
      <c r="F710" t="s">
        <v>1380</v>
      </c>
    </row>
    <row r="711" spans="1:6" x14ac:dyDescent="0.3">
      <c r="A711" t="s">
        <v>1381</v>
      </c>
      <c r="B711" t="s">
        <v>13</v>
      </c>
      <c r="C711" t="s">
        <v>1382</v>
      </c>
      <c r="D711" t="s">
        <v>15</v>
      </c>
      <c r="E711" t="s">
        <v>20</v>
      </c>
      <c r="F711" t="s">
        <v>1383</v>
      </c>
    </row>
    <row r="712" spans="1:6" x14ac:dyDescent="0.3">
      <c r="A712" t="s">
        <v>1384</v>
      </c>
      <c r="B712" t="s">
        <v>13</v>
      </c>
      <c r="C712" t="s">
        <v>1385</v>
      </c>
      <c r="E712" t="s">
        <v>20</v>
      </c>
      <c r="F712" t="s">
        <v>21</v>
      </c>
    </row>
    <row r="713" spans="1:6" hidden="1" x14ac:dyDescent="0.3">
      <c r="A713" t="s">
        <v>1386</v>
      </c>
      <c r="B713" t="s">
        <v>9</v>
      </c>
      <c r="C713" t="s">
        <v>1387</v>
      </c>
      <c r="D713" t="s">
        <v>15</v>
      </c>
      <c r="E713" t="s">
        <v>16</v>
      </c>
      <c r="F713" t="s">
        <v>88</v>
      </c>
    </row>
    <row r="714" spans="1:6" hidden="1" x14ac:dyDescent="0.3">
      <c r="A714" t="s">
        <v>1388</v>
      </c>
      <c r="B714" t="s">
        <v>13</v>
      </c>
      <c r="C714" t="s">
        <v>245</v>
      </c>
      <c r="D714" t="s">
        <v>15</v>
      </c>
      <c r="E714" t="s">
        <v>11</v>
      </c>
    </row>
    <row r="715" spans="1:6" x14ac:dyDescent="0.3">
      <c r="A715" t="s">
        <v>1389</v>
      </c>
      <c r="B715" t="s">
        <v>13</v>
      </c>
      <c r="C715" t="s">
        <v>1390</v>
      </c>
      <c r="D715" t="s">
        <v>15</v>
      </c>
      <c r="E715" t="s">
        <v>20</v>
      </c>
      <c r="F715" t="s">
        <v>1391</v>
      </c>
    </row>
    <row r="716" spans="1:6" hidden="1" x14ac:dyDescent="0.3">
      <c r="A716" t="s">
        <v>1392</v>
      </c>
      <c r="B716" t="s">
        <v>13</v>
      </c>
      <c r="C716" t="s">
        <v>1393</v>
      </c>
      <c r="D716" t="s">
        <v>15</v>
      </c>
      <c r="E716" t="s">
        <v>54</v>
      </c>
      <c r="F716" t="s">
        <v>1394</v>
      </c>
    </row>
    <row r="717" spans="1:6" hidden="1" x14ac:dyDescent="0.3">
      <c r="A717" t="s">
        <v>1395</v>
      </c>
      <c r="B717" t="s">
        <v>11</v>
      </c>
      <c r="E717" t="s">
        <v>11</v>
      </c>
    </row>
    <row r="718" spans="1:6" hidden="1" x14ac:dyDescent="0.3">
      <c r="A718" t="s">
        <v>1396</v>
      </c>
      <c r="B718" t="s">
        <v>13</v>
      </c>
      <c r="C718" t="s">
        <v>231</v>
      </c>
      <c r="E718" t="s">
        <v>11</v>
      </c>
    </row>
    <row r="719" spans="1:6" hidden="1" x14ac:dyDescent="0.3">
      <c r="A719" t="s">
        <v>1397</v>
      </c>
      <c r="B719" t="s">
        <v>11</v>
      </c>
      <c r="E719" t="s">
        <v>11</v>
      </c>
    </row>
    <row r="720" spans="1:6" hidden="1" x14ac:dyDescent="0.3">
      <c r="A720" t="s">
        <v>1398</v>
      </c>
      <c r="B720" t="s">
        <v>11</v>
      </c>
      <c r="E720" t="s">
        <v>11</v>
      </c>
    </row>
    <row r="721" spans="1:6" hidden="1" x14ac:dyDescent="0.3">
      <c r="A721" t="s">
        <v>1399</v>
      </c>
      <c r="B721" t="s">
        <v>9</v>
      </c>
      <c r="C721" t="s">
        <v>1400</v>
      </c>
      <c r="E721" t="s">
        <v>11</v>
      </c>
    </row>
    <row r="722" spans="1:6" x14ac:dyDescent="0.3">
      <c r="A722" t="s">
        <v>1401</v>
      </c>
      <c r="B722" t="s">
        <v>197</v>
      </c>
      <c r="C722" t="s">
        <v>1402</v>
      </c>
      <c r="D722" t="s">
        <v>15</v>
      </c>
      <c r="E722" t="s">
        <v>20</v>
      </c>
      <c r="F722" t="s">
        <v>1403</v>
      </c>
    </row>
    <row r="723" spans="1:6" hidden="1" x14ac:dyDescent="0.3">
      <c r="A723" t="s">
        <v>1404</v>
      </c>
      <c r="B723" t="s">
        <v>13</v>
      </c>
      <c r="C723" t="s">
        <v>1405</v>
      </c>
      <c r="D723" t="s">
        <v>15</v>
      </c>
      <c r="E723" t="s">
        <v>11</v>
      </c>
    </row>
    <row r="724" spans="1:6" x14ac:dyDescent="0.3">
      <c r="A724" t="s">
        <v>1406</v>
      </c>
      <c r="B724" t="s">
        <v>9</v>
      </c>
      <c r="C724" t="s">
        <v>1407</v>
      </c>
      <c r="D724" t="s">
        <v>15</v>
      </c>
      <c r="E724" t="s">
        <v>20</v>
      </c>
      <c r="F724" t="s">
        <v>1408</v>
      </c>
    </row>
    <row r="725" spans="1:6" hidden="1" x14ac:dyDescent="0.3">
      <c r="A725" t="s">
        <v>1409</v>
      </c>
      <c r="B725" t="s">
        <v>9</v>
      </c>
      <c r="C725" t="s">
        <v>1410</v>
      </c>
      <c r="D725" t="s">
        <v>15</v>
      </c>
      <c r="E725" t="s">
        <v>54</v>
      </c>
      <c r="F725" t="s">
        <v>1411</v>
      </c>
    </row>
    <row r="726" spans="1:6" x14ac:dyDescent="0.3">
      <c r="A726" t="s">
        <v>1412</v>
      </c>
      <c r="B726" t="s">
        <v>9</v>
      </c>
      <c r="C726" t="s">
        <v>1413</v>
      </c>
      <c r="D726" t="s">
        <v>15</v>
      </c>
      <c r="E726" t="s">
        <v>20</v>
      </c>
      <c r="F726" t="s">
        <v>1414</v>
      </c>
    </row>
    <row r="727" spans="1:6" x14ac:dyDescent="0.3">
      <c r="A727" t="s">
        <v>1415</v>
      </c>
      <c r="B727" t="s">
        <v>9</v>
      </c>
      <c r="C727" t="s">
        <v>1416</v>
      </c>
      <c r="D727" t="s">
        <v>15</v>
      </c>
      <c r="E727" t="s">
        <v>20</v>
      </c>
      <c r="F727" t="s">
        <v>1417</v>
      </c>
    </row>
    <row r="728" spans="1:6" hidden="1" x14ac:dyDescent="0.3">
      <c r="A728" t="s">
        <v>1418</v>
      </c>
      <c r="B728" t="s">
        <v>13</v>
      </c>
      <c r="C728" t="s">
        <v>245</v>
      </c>
      <c r="D728" t="s">
        <v>15</v>
      </c>
      <c r="E728" t="s">
        <v>54</v>
      </c>
      <c r="F728" t="s">
        <v>1419</v>
      </c>
    </row>
    <row r="729" spans="1:6" hidden="1" x14ac:dyDescent="0.3">
      <c r="A729" t="s">
        <v>1420</v>
      </c>
      <c r="B729" t="s">
        <v>9</v>
      </c>
      <c r="C729" t="s">
        <v>51</v>
      </c>
      <c r="E729" t="s">
        <v>54</v>
      </c>
      <c r="F729" t="s">
        <v>218</v>
      </c>
    </row>
    <row r="730" spans="1:6" x14ac:dyDescent="0.3">
      <c r="A730" t="s">
        <v>1421</v>
      </c>
      <c r="B730" t="s">
        <v>13</v>
      </c>
      <c r="C730" t="s">
        <v>1422</v>
      </c>
      <c r="E730" t="s">
        <v>20</v>
      </c>
      <c r="F730" t="s">
        <v>1423</v>
      </c>
    </row>
    <row r="731" spans="1:6" x14ac:dyDescent="0.3">
      <c r="A731" t="s">
        <v>1424</v>
      </c>
      <c r="B731" t="s">
        <v>13</v>
      </c>
      <c r="C731" t="s">
        <v>1422</v>
      </c>
      <c r="D731" t="s">
        <v>15</v>
      </c>
      <c r="E731" t="s">
        <v>20</v>
      </c>
      <c r="F731" t="s">
        <v>1423</v>
      </c>
    </row>
    <row r="732" spans="1:6" hidden="1" x14ac:dyDescent="0.3">
      <c r="A732" t="s">
        <v>1425</v>
      </c>
      <c r="B732" t="s">
        <v>9</v>
      </c>
      <c r="C732" t="s">
        <v>1426</v>
      </c>
      <c r="D732" t="s">
        <v>15</v>
      </c>
      <c r="E732" t="s">
        <v>54</v>
      </c>
      <c r="F732" t="s">
        <v>1427</v>
      </c>
    </row>
    <row r="733" spans="1:6" x14ac:dyDescent="0.3">
      <c r="A733" t="s">
        <v>1428</v>
      </c>
      <c r="B733" t="s">
        <v>9</v>
      </c>
      <c r="C733" t="s">
        <v>28</v>
      </c>
      <c r="D733" t="s">
        <v>15</v>
      </c>
      <c r="E733" t="s">
        <v>20</v>
      </c>
      <c r="F733" t="s">
        <v>1429</v>
      </c>
    </row>
    <row r="734" spans="1:6" hidden="1" x14ac:dyDescent="0.3">
      <c r="A734" t="s">
        <v>1430</v>
      </c>
      <c r="B734" t="s">
        <v>9</v>
      </c>
      <c r="C734" t="s">
        <v>1431</v>
      </c>
      <c r="D734" t="s">
        <v>15</v>
      </c>
      <c r="E734" t="s">
        <v>54</v>
      </c>
      <c r="F734" t="s">
        <v>1432</v>
      </c>
    </row>
    <row r="735" spans="1:6" hidden="1" x14ac:dyDescent="0.3">
      <c r="A735" t="s">
        <v>1433</v>
      </c>
      <c r="B735" t="s">
        <v>11</v>
      </c>
      <c r="E735" t="s">
        <v>11</v>
      </c>
    </row>
    <row r="736" spans="1:6" hidden="1" x14ac:dyDescent="0.3">
      <c r="A736" t="s">
        <v>1434</v>
      </c>
      <c r="B736" t="s">
        <v>11</v>
      </c>
      <c r="E736" t="s">
        <v>11</v>
      </c>
    </row>
    <row r="737" spans="1:6" x14ac:dyDescent="0.3">
      <c r="A737" t="s">
        <v>1435</v>
      </c>
      <c r="B737" t="s">
        <v>13</v>
      </c>
      <c r="C737" t="s">
        <v>1436</v>
      </c>
      <c r="D737" t="s">
        <v>15</v>
      </c>
      <c r="E737" t="s">
        <v>20</v>
      </c>
      <c r="F737" t="s">
        <v>117</v>
      </c>
    </row>
    <row r="738" spans="1:6" hidden="1" x14ac:dyDescent="0.3">
      <c r="A738" t="s">
        <v>1437</v>
      </c>
      <c r="B738" t="s">
        <v>9</v>
      </c>
      <c r="C738" t="s">
        <v>1438</v>
      </c>
      <c r="D738" t="s">
        <v>15</v>
      </c>
      <c r="E738" t="s">
        <v>11</v>
      </c>
    </row>
    <row r="739" spans="1:6" hidden="1" x14ac:dyDescent="0.3">
      <c r="A739" t="s">
        <v>1439</v>
      </c>
      <c r="B739" t="s">
        <v>9</v>
      </c>
      <c r="C739" t="s">
        <v>1440</v>
      </c>
      <c r="D739" t="s">
        <v>15</v>
      </c>
      <c r="E739" t="s">
        <v>16</v>
      </c>
      <c r="F739" t="s">
        <v>1441</v>
      </c>
    </row>
    <row r="740" spans="1:6" hidden="1" x14ac:dyDescent="0.3">
      <c r="A740" t="s">
        <v>1442</v>
      </c>
      <c r="B740" t="s">
        <v>9</v>
      </c>
      <c r="C740" t="s">
        <v>1443</v>
      </c>
      <c r="D740" t="s">
        <v>15</v>
      </c>
      <c r="E740" t="s">
        <v>11</v>
      </c>
    </row>
    <row r="741" spans="1:6" x14ac:dyDescent="0.3">
      <c r="A741" t="s">
        <v>1444</v>
      </c>
      <c r="B741" t="s">
        <v>9</v>
      </c>
      <c r="C741" t="s">
        <v>1445</v>
      </c>
      <c r="D741" t="s">
        <v>15</v>
      </c>
      <c r="E741" t="s">
        <v>20</v>
      </c>
      <c r="F741" t="s">
        <v>21</v>
      </c>
    </row>
    <row r="742" spans="1:6" x14ac:dyDescent="0.3">
      <c r="A742" t="s">
        <v>1446</v>
      </c>
      <c r="B742" t="s">
        <v>9</v>
      </c>
      <c r="C742" t="s">
        <v>28</v>
      </c>
      <c r="E742" t="s">
        <v>20</v>
      </c>
      <c r="F742" t="s">
        <v>135</v>
      </c>
    </row>
    <row r="743" spans="1:6" hidden="1" x14ac:dyDescent="0.3">
      <c r="A743" t="s">
        <v>1447</v>
      </c>
      <c r="B743" t="s">
        <v>9</v>
      </c>
      <c r="C743" t="s">
        <v>1448</v>
      </c>
      <c r="D743" t="s">
        <v>15</v>
      </c>
      <c r="E743" t="s">
        <v>16</v>
      </c>
      <c r="F743" t="s">
        <v>1449</v>
      </c>
    </row>
    <row r="744" spans="1:6" hidden="1" x14ac:dyDescent="0.3">
      <c r="A744" t="s">
        <v>1450</v>
      </c>
      <c r="B744" t="s">
        <v>9</v>
      </c>
      <c r="C744" t="s">
        <v>339</v>
      </c>
      <c r="E744" t="s">
        <v>11</v>
      </c>
    </row>
    <row r="745" spans="1:6" hidden="1" x14ac:dyDescent="0.3">
      <c r="A745" t="s">
        <v>1451</v>
      </c>
      <c r="B745" t="s">
        <v>9</v>
      </c>
      <c r="C745" t="s">
        <v>1452</v>
      </c>
      <c r="D745" t="s">
        <v>15</v>
      </c>
      <c r="E745" t="s">
        <v>16</v>
      </c>
      <c r="F745" t="s">
        <v>138</v>
      </c>
    </row>
    <row r="746" spans="1:6" hidden="1" x14ac:dyDescent="0.3">
      <c r="A746" t="s">
        <v>1453</v>
      </c>
      <c r="B746" t="s">
        <v>9</v>
      </c>
      <c r="C746" t="s">
        <v>1454</v>
      </c>
      <c r="D746" t="s">
        <v>15</v>
      </c>
      <c r="E746" t="s">
        <v>54</v>
      </c>
      <c r="F746" t="s">
        <v>1455</v>
      </c>
    </row>
    <row r="747" spans="1:6" hidden="1" x14ac:dyDescent="0.3">
      <c r="A747" t="s">
        <v>1456</v>
      </c>
      <c r="B747" t="s">
        <v>9</v>
      </c>
      <c r="C747" t="s">
        <v>442</v>
      </c>
      <c r="E747" t="s">
        <v>11</v>
      </c>
    </row>
    <row r="748" spans="1:6" x14ac:dyDescent="0.3">
      <c r="A748" t="s">
        <v>1457</v>
      </c>
      <c r="B748" t="s">
        <v>13</v>
      </c>
      <c r="C748" t="s">
        <v>857</v>
      </c>
      <c r="D748" t="s">
        <v>15</v>
      </c>
      <c r="E748" t="s">
        <v>20</v>
      </c>
      <c r="F748" t="s">
        <v>21</v>
      </c>
    </row>
    <row r="749" spans="1:6" hidden="1" x14ac:dyDescent="0.3">
      <c r="A749" t="s">
        <v>1458</v>
      </c>
      <c r="B749" t="s">
        <v>9</v>
      </c>
      <c r="C749" t="s">
        <v>1459</v>
      </c>
      <c r="D749" t="s">
        <v>15</v>
      </c>
      <c r="E749" t="s">
        <v>54</v>
      </c>
      <c r="F749" t="s">
        <v>1460</v>
      </c>
    </row>
    <row r="750" spans="1:6" x14ac:dyDescent="0.3">
      <c r="A750" t="s">
        <v>1461</v>
      </c>
      <c r="B750" t="s">
        <v>9</v>
      </c>
      <c r="C750" t="s">
        <v>1462</v>
      </c>
      <c r="E750" t="s">
        <v>20</v>
      </c>
      <c r="F750" t="s">
        <v>1423</v>
      </c>
    </row>
    <row r="751" spans="1:6" hidden="1" x14ac:dyDescent="0.3">
      <c r="A751" t="s">
        <v>1463</v>
      </c>
      <c r="B751" t="s">
        <v>9</v>
      </c>
      <c r="C751" t="s">
        <v>28</v>
      </c>
      <c r="E751" t="s">
        <v>11</v>
      </c>
    </row>
    <row r="752" spans="1:6" hidden="1" x14ac:dyDescent="0.3">
      <c r="A752" t="s">
        <v>1464</v>
      </c>
      <c r="B752" t="s">
        <v>9</v>
      </c>
      <c r="C752" t="s">
        <v>28</v>
      </c>
      <c r="D752" t="s">
        <v>15</v>
      </c>
      <c r="E752" t="s">
        <v>54</v>
      </c>
      <c r="F752" t="s">
        <v>1465</v>
      </c>
    </row>
    <row r="753" spans="1:6" hidden="1" x14ac:dyDescent="0.3">
      <c r="A753" t="s">
        <v>1466</v>
      </c>
      <c r="B753" t="s">
        <v>11</v>
      </c>
      <c r="E753" t="s">
        <v>11</v>
      </c>
    </row>
    <row r="754" spans="1:6" hidden="1" x14ac:dyDescent="0.3">
      <c r="A754" t="s">
        <v>1467</v>
      </c>
      <c r="B754" t="s">
        <v>9</v>
      </c>
      <c r="C754" t="s">
        <v>1468</v>
      </c>
      <c r="E754" t="s">
        <v>11</v>
      </c>
    </row>
    <row r="755" spans="1:6" hidden="1" x14ac:dyDescent="0.3">
      <c r="A755" t="s">
        <v>1469</v>
      </c>
      <c r="B755" t="s">
        <v>9</v>
      </c>
      <c r="C755" t="s">
        <v>28</v>
      </c>
      <c r="E755" t="s">
        <v>11</v>
      </c>
    </row>
    <row r="756" spans="1:6" hidden="1" x14ac:dyDescent="0.3">
      <c r="A756" t="s">
        <v>1470</v>
      </c>
      <c r="B756" t="s">
        <v>9</v>
      </c>
      <c r="C756" t="s">
        <v>28</v>
      </c>
      <c r="E756" t="s">
        <v>11</v>
      </c>
    </row>
    <row r="757" spans="1:6" hidden="1" x14ac:dyDescent="0.3">
      <c r="A757" t="s">
        <v>1471</v>
      </c>
      <c r="B757" t="s">
        <v>9</v>
      </c>
      <c r="C757" t="s">
        <v>28</v>
      </c>
      <c r="E757" t="s">
        <v>11</v>
      </c>
    </row>
    <row r="758" spans="1:6" hidden="1" x14ac:dyDescent="0.3">
      <c r="A758" t="s">
        <v>1472</v>
      </c>
      <c r="B758" t="s">
        <v>9</v>
      </c>
      <c r="C758" t="s">
        <v>1473</v>
      </c>
      <c r="E758" t="s">
        <v>11</v>
      </c>
    </row>
    <row r="759" spans="1:6" hidden="1" x14ac:dyDescent="0.3">
      <c r="A759" t="s">
        <v>1474</v>
      </c>
      <c r="B759" t="s">
        <v>13</v>
      </c>
      <c r="C759" t="s">
        <v>65</v>
      </c>
      <c r="E759" t="s">
        <v>11</v>
      </c>
    </row>
    <row r="760" spans="1:6" hidden="1" x14ac:dyDescent="0.3">
      <c r="A760" t="s">
        <v>1475</v>
      </c>
      <c r="B760" t="s">
        <v>11</v>
      </c>
      <c r="E760" t="s">
        <v>11</v>
      </c>
    </row>
    <row r="761" spans="1:6" hidden="1" x14ac:dyDescent="0.3">
      <c r="A761" t="s">
        <v>1476</v>
      </c>
      <c r="B761" t="s">
        <v>9</v>
      </c>
      <c r="C761" t="s">
        <v>28</v>
      </c>
      <c r="D761" t="s">
        <v>15</v>
      </c>
      <c r="E761" t="s">
        <v>16</v>
      </c>
      <c r="F761" t="s">
        <v>1477</v>
      </c>
    </row>
    <row r="762" spans="1:6" hidden="1" x14ac:dyDescent="0.3">
      <c r="A762" t="s">
        <v>1478</v>
      </c>
      <c r="B762" t="s">
        <v>13</v>
      </c>
      <c r="C762" t="s">
        <v>245</v>
      </c>
      <c r="D762" t="s">
        <v>15</v>
      </c>
      <c r="E762" t="s">
        <v>54</v>
      </c>
      <c r="F762" t="s">
        <v>1479</v>
      </c>
    </row>
    <row r="763" spans="1:6" x14ac:dyDescent="0.3">
      <c r="A763" t="s">
        <v>1480</v>
      </c>
      <c r="B763" t="s">
        <v>9</v>
      </c>
      <c r="C763" t="s">
        <v>28</v>
      </c>
      <c r="D763" t="s">
        <v>15</v>
      </c>
      <c r="E763" t="s">
        <v>20</v>
      </c>
      <c r="F763" t="s">
        <v>21</v>
      </c>
    </row>
    <row r="764" spans="1:6" hidden="1" x14ac:dyDescent="0.3">
      <c r="A764" t="s">
        <v>1481</v>
      </c>
      <c r="B764" t="s">
        <v>9</v>
      </c>
      <c r="C764" t="s">
        <v>1482</v>
      </c>
      <c r="E764" t="s">
        <v>11</v>
      </c>
    </row>
    <row r="765" spans="1:6" hidden="1" x14ac:dyDescent="0.3">
      <c r="A765" t="s">
        <v>1483</v>
      </c>
      <c r="B765" t="s">
        <v>9</v>
      </c>
      <c r="C765" t="s">
        <v>1484</v>
      </c>
      <c r="E765" t="s">
        <v>11</v>
      </c>
    </row>
    <row r="766" spans="1:6" hidden="1" x14ac:dyDescent="0.3">
      <c r="A766" t="s">
        <v>1485</v>
      </c>
      <c r="B766" t="s">
        <v>11</v>
      </c>
      <c r="D766" t="s">
        <v>15</v>
      </c>
      <c r="E766" t="s">
        <v>11</v>
      </c>
    </row>
    <row r="767" spans="1:6" hidden="1" x14ac:dyDescent="0.3">
      <c r="A767" t="s">
        <v>1486</v>
      </c>
      <c r="B767" t="s">
        <v>9</v>
      </c>
      <c r="C767" t="s">
        <v>28</v>
      </c>
      <c r="E767" t="s">
        <v>11</v>
      </c>
    </row>
    <row r="768" spans="1:6" hidden="1" x14ac:dyDescent="0.3">
      <c r="A768" t="s">
        <v>1487</v>
      </c>
      <c r="B768" t="s">
        <v>13</v>
      </c>
      <c r="C768" t="s">
        <v>245</v>
      </c>
      <c r="E768" t="s">
        <v>11</v>
      </c>
    </row>
    <row r="769" spans="1:6" hidden="1" x14ac:dyDescent="0.3">
      <c r="A769" t="s">
        <v>1488</v>
      </c>
      <c r="B769" t="s">
        <v>11</v>
      </c>
      <c r="E769" t="s">
        <v>11</v>
      </c>
    </row>
    <row r="770" spans="1:6" hidden="1" x14ac:dyDescent="0.3">
      <c r="A770" t="s">
        <v>1489</v>
      </c>
      <c r="B770" t="s">
        <v>9</v>
      </c>
      <c r="C770" t="s">
        <v>28</v>
      </c>
      <c r="D770" t="s">
        <v>15</v>
      </c>
      <c r="E770" t="s">
        <v>16</v>
      </c>
      <c r="F770" t="s">
        <v>1490</v>
      </c>
    </row>
    <row r="771" spans="1:6" hidden="1" x14ac:dyDescent="0.3">
      <c r="A771" t="s">
        <v>1491</v>
      </c>
      <c r="B771" t="s">
        <v>11</v>
      </c>
      <c r="E771" t="s">
        <v>11</v>
      </c>
    </row>
    <row r="772" spans="1:6" hidden="1" x14ac:dyDescent="0.3">
      <c r="A772" t="s">
        <v>1492</v>
      </c>
      <c r="B772" t="s">
        <v>11</v>
      </c>
      <c r="E772" t="s">
        <v>11</v>
      </c>
    </row>
    <row r="773" spans="1:6" hidden="1" x14ac:dyDescent="0.3">
      <c r="A773" t="s">
        <v>1493</v>
      </c>
      <c r="B773" t="s">
        <v>9</v>
      </c>
      <c r="C773" t="s">
        <v>28</v>
      </c>
      <c r="E773" t="s">
        <v>11</v>
      </c>
    </row>
    <row r="774" spans="1:6" x14ac:dyDescent="0.3">
      <c r="A774" t="s">
        <v>1494</v>
      </c>
      <c r="B774" t="s">
        <v>13</v>
      </c>
      <c r="C774" t="s">
        <v>1495</v>
      </c>
      <c r="D774" t="s">
        <v>15</v>
      </c>
      <c r="E774" t="s">
        <v>20</v>
      </c>
      <c r="F774" t="s">
        <v>117</v>
      </c>
    </row>
    <row r="775" spans="1:6" hidden="1" x14ac:dyDescent="0.3">
      <c r="A775" t="s">
        <v>1496</v>
      </c>
      <c r="B775" t="s">
        <v>11</v>
      </c>
      <c r="E775" t="s">
        <v>11</v>
      </c>
    </row>
    <row r="776" spans="1:6" hidden="1" x14ac:dyDescent="0.3">
      <c r="A776" t="s">
        <v>1497</v>
      </c>
      <c r="B776" t="s">
        <v>11</v>
      </c>
      <c r="E776" t="s">
        <v>11</v>
      </c>
    </row>
    <row r="777" spans="1:6" hidden="1" x14ac:dyDescent="0.3">
      <c r="A777" t="s">
        <v>1498</v>
      </c>
      <c r="B777" t="s">
        <v>417</v>
      </c>
      <c r="C777" t="s">
        <v>1499</v>
      </c>
      <c r="D777" t="s">
        <v>15</v>
      </c>
      <c r="E777" t="s">
        <v>11</v>
      </c>
    </row>
    <row r="778" spans="1:6" hidden="1" x14ac:dyDescent="0.3">
      <c r="A778" t="s">
        <v>1500</v>
      </c>
      <c r="B778" t="s">
        <v>9</v>
      </c>
      <c r="C778" t="s">
        <v>28</v>
      </c>
      <c r="D778" t="s">
        <v>15</v>
      </c>
      <c r="E778" t="s">
        <v>11</v>
      </c>
    </row>
    <row r="779" spans="1:6" hidden="1" x14ac:dyDescent="0.3">
      <c r="A779" t="s">
        <v>1501</v>
      </c>
      <c r="B779" t="s">
        <v>11</v>
      </c>
      <c r="E779" t="s">
        <v>11</v>
      </c>
    </row>
    <row r="780" spans="1:6" hidden="1" x14ac:dyDescent="0.3">
      <c r="A780" t="s">
        <v>1502</v>
      </c>
      <c r="B780" t="s">
        <v>9</v>
      </c>
      <c r="C780" t="s">
        <v>28</v>
      </c>
      <c r="E780" t="s">
        <v>11</v>
      </c>
    </row>
    <row r="781" spans="1:6" hidden="1" x14ac:dyDescent="0.3">
      <c r="A781" t="s">
        <v>1503</v>
      </c>
      <c r="B781" t="s">
        <v>9</v>
      </c>
      <c r="C781" t="s">
        <v>28</v>
      </c>
      <c r="E781" t="s">
        <v>11</v>
      </c>
    </row>
    <row r="782" spans="1:6" hidden="1" x14ac:dyDescent="0.3">
      <c r="A782" t="s">
        <v>1504</v>
      </c>
      <c r="B782" t="s">
        <v>11</v>
      </c>
      <c r="E782" t="s">
        <v>11</v>
      </c>
    </row>
    <row r="783" spans="1:6" hidden="1" x14ac:dyDescent="0.3">
      <c r="A783" t="s">
        <v>1505</v>
      </c>
      <c r="B783" t="s">
        <v>9</v>
      </c>
      <c r="C783" t="s">
        <v>28</v>
      </c>
      <c r="E783" t="s">
        <v>11</v>
      </c>
    </row>
    <row r="784" spans="1:6" hidden="1" x14ac:dyDescent="0.3">
      <c r="A784" t="s">
        <v>1506</v>
      </c>
      <c r="B784" t="s">
        <v>9</v>
      </c>
      <c r="C784" t="s">
        <v>28</v>
      </c>
      <c r="E784" t="s">
        <v>11</v>
      </c>
    </row>
    <row r="785" spans="1:6" hidden="1" x14ac:dyDescent="0.3">
      <c r="A785" t="s">
        <v>1507</v>
      </c>
      <c r="B785" t="s">
        <v>9</v>
      </c>
      <c r="C785" t="s">
        <v>224</v>
      </c>
      <c r="D785" t="s">
        <v>15</v>
      </c>
      <c r="E785" t="s">
        <v>54</v>
      </c>
      <c r="F785" t="s">
        <v>1508</v>
      </c>
    </row>
    <row r="786" spans="1:6" hidden="1" x14ac:dyDescent="0.3">
      <c r="A786" t="s">
        <v>1509</v>
      </c>
      <c r="B786" t="s">
        <v>9</v>
      </c>
      <c r="C786" t="s">
        <v>28</v>
      </c>
      <c r="E786" t="s">
        <v>11</v>
      </c>
    </row>
    <row r="787" spans="1:6" hidden="1" x14ac:dyDescent="0.3">
      <c r="A787" t="s">
        <v>1510</v>
      </c>
      <c r="B787" t="s">
        <v>9</v>
      </c>
      <c r="C787" t="s">
        <v>1511</v>
      </c>
      <c r="E787" t="s">
        <v>11</v>
      </c>
    </row>
    <row r="788" spans="1:6" x14ac:dyDescent="0.3">
      <c r="A788" t="s">
        <v>1512</v>
      </c>
      <c r="B788" t="s">
        <v>13</v>
      </c>
      <c r="C788" t="s">
        <v>1513</v>
      </c>
      <c r="D788" t="s">
        <v>15</v>
      </c>
      <c r="E788" t="s">
        <v>20</v>
      </c>
      <c r="F788" t="s">
        <v>42</v>
      </c>
    </row>
    <row r="789" spans="1:6" hidden="1" x14ac:dyDescent="0.3">
      <c r="A789" t="s">
        <v>1514</v>
      </c>
      <c r="B789" t="s">
        <v>9</v>
      </c>
      <c r="C789" t="s">
        <v>28</v>
      </c>
      <c r="E789" t="s">
        <v>11</v>
      </c>
    </row>
    <row r="790" spans="1:6" hidden="1" x14ac:dyDescent="0.3">
      <c r="A790" t="s">
        <v>1515</v>
      </c>
      <c r="B790" t="s">
        <v>11</v>
      </c>
      <c r="E790" t="s">
        <v>11</v>
      </c>
    </row>
    <row r="791" spans="1:6" hidden="1" x14ac:dyDescent="0.3">
      <c r="A791" t="s">
        <v>1516</v>
      </c>
      <c r="B791" t="s">
        <v>11</v>
      </c>
      <c r="D791" t="s">
        <v>15</v>
      </c>
      <c r="E791" t="s">
        <v>11</v>
      </c>
    </row>
    <row r="792" spans="1:6" hidden="1" x14ac:dyDescent="0.3">
      <c r="A792" t="s">
        <v>1517</v>
      </c>
      <c r="B792" t="s">
        <v>197</v>
      </c>
      <c r="C792" t="s">
        <v>1518</v>
      </c>
      <c r="E792" t="s">
        <v>11</v>
      </c>
    </row>
    <row r="793" spans="1:6" hidden="1" x14ac:dyDescent="0.3">
      <c r="A793" t="s">
        <v>1519</v>
      </c>
      <c r="B793" t="s">
        <v>9</v>
      </c>
      <c r="C793" t="s">
        <v>1520</v>
      </c>
      <c r="E793" t="s">
        <v>11</v>
      </c>
    </row>
    <row r="794" spans="1:6" hidden="1" x14ac:dyDescent="0.3">
      <c r="A794" t="s">
        <v>1521</v>
      </c>
      <c r="B794" t="s">
        <v>11</v>
      </c>
      <c r="E794" t="s">
        <v>11</v>
      </c>
    </row>
    <row r="795" spans="1:6" hidden="1" x14ac:dyDescent="0.3">
      <c r="A795" t="s">
        <v>1522</v>
      </c>
      <c r="B795" t="s">
        <v>9</v>
      </c>
      <c r="C795" t="s">
        <v>1523</v>
      </c>
      <c r="E795" t="s">
        <v>11</v>
      </c>
    </row>
    <row r="796" spans="1:6" hidden="1" x14ac:dyDescent="0.3">
      <c r="A796" t="s">
        <v>1524</v>
      </c>
      <c r="B796" t="s">
        <v>11</v>
      </c>
      <c r="E796" t="s">
        <v>11</v>
      </c>
    </row>
    <row r="797" spans="1:6" hidden="1" x14ac:dyDescent="0.3">
      <c r="A797" t="s">
        <v>1525</v>
      </c>
      <c r="B797" t="s">
        <v>9</v>
      </c>
      <c r="C797" t="s">
        <v>1526</v>
      </c>
      <c r="D797" t="s">
        <v>15</v>
      </c>
      <c r="E797" t="s">
        <v>16</v>
      </c>
      <c r="F797" t="s">
        <v>1527</v>
      </c>
    </row>
    <row r="798" spans="1:6" hidden="1" x14ac:dyDescent="0.3">
      <c r="A798" t="s">
        <v>1528</v>
      </c>
      <c r="B798" t="s">
        <v>11</v>
      </c>
      <c r="E798" t="s">
        <v>11</v>
      </c>
    </row>
    <row r="799" spans="1:6" x14ac:dyDescent="0.3">
      <c r="A799" t="s">
        <v>1529</v>
      </c>
      <c r="B799" t="s">
        <v>9</v>
      </c>
      <c r="C799" t="s">
        <v>1530</v>
      </c>
      <c r="D799" t="s">
        <v>15</v>
      </c>
      <c r="E799" t="s">
        <v>20</v>
      </c>
      <c r="F799" t="s">
        <v>1531</v>
      </c>
    </row>
    <row r="800" spans="1:6" hidden="1" x14ac:dyDescent="0.3">
      <c r="A800" t="s">
        <v>1532</v>
      </c>
      <c r="B800" t="s">
        <v>11</v>
      </c>
      <c r="E800" t="s">
        <v>11</v>
      </c>
    </row>
    <row r="801" spans="1:6" hidden="1" x14ac:dyDescent="0.3">
      <c r="A801" t="s">
        <v>1533</v>
      </c>
      <c r="B801" t="s">
        <v>9</v>
      </c>
      <c r="C801" t="s">
        <v>1534</v>
      </c>
      <c r="D801" t="s">
        <v>15</v>
      </c>
      <c r="E801" t="s">
        <v>16</v>
      </c>
      <c r="F801" t="s">
        <v>1535</v>
      </c>
    </row>
    <row r="802" spans="1:6" hidden="1" x14ac:dyDescent="0.3">
      <c r="A802" t="s">
        <v>1536</v>
      </c>
      <c r="B802" t="s">
        <v>9</v>
      </c>
      <c r="C802" t="s">
        <v>28</v>
      </c>
      <c r="E802" t="s">
        <v>11</v>
      </c>
    </row>
    <row r="803" spans="1:6" x14ac:dyDescent="0.3">
      <c r="A803" t="s">
        <v>1537</v>
      </c>
      <c r="B803" t="s">
        <v>9</v>
      </c>
      <c r="C803" t="s">
        <v>28</v>
      </c>
      <c r="E803" t="s">
        <v>20</v>
      </c>
      <c r="F803" t="s">
        <v>1538</v>
      </c>
    </row>
    <row r="804" spans="1:6" hidden="1" x14ac:dyDescent="0.3">
      <c r="A804" t="s">
        <v>1539</v>
      </c>
      <c r="B804" t="s">
        <v>9</v>
      </c>
      <c r="C804" t="s">
        <v>1540</v>
      </c>
      <c r="D804" t="s">
        <v>15</v>
      </c>
      <c r="E804" t="s">
        <v>16</v>
      </c>
      <c r="F804" t="s">
        <v>360</v>
      </c>
    </row>
    <row r="805" spans="1:6" hidden="1" x14ac:dyDescent="0.3">
      <c r="A805" t="s">
        <v>1541</v>
      </c>
      <c r="B805" t="s">
        <v>9</v>
      </c>
      <c r="C805" t="s">
        <v>339</v>
      </c>
      <c r="E805" t="s">
        <v>11</v>
      </c>
    </row>
    <row r="806" spans="1:6" hidden="1" x14ac:dyDescent="0.3">
      <c r="A806" t="s">
        <v>1542</v>
      </c>
      <c r="B806" t="s">
        <v>9</v>
      </c>
      <c r="C806" t="s">
        <v>1543</v>
      </c>
      <c r="D806" t="s">
        <v>15</v>
      </c>
      <c r="E806" t="s">
        <v>11</v>
      </c>
    </row>
    <row r="807" spans="1:6" hidden="1" x14ac:dyDescent="0.3">
      <c r="A807" t="s">
        <v>1544</v>
      </c>
      <c r="B807" t="s">
        <v>9</v>
      </c>
      <c r="C807" t="s">
        <v>28</v>
      </c>
      <c r="E807" t="s">
        <v>11</v>
      </c>
    </row>
    <row r="808" spans="1:6" hidden="1" x14ac:dyDescent="0.3">
      <c r="A808" t="s">
        <v>1545</v>
      </c>
      <c r="B808" t="s">
        <v>9</v>
      </c>
      <c r="C808" t="s">
        <v>1546</v>
      </c>
      <c r="E808" t="s">
        <v>11</v>
      </c>
    </row>
    <row r="809" spans="1:6" hidden="1" x14ac:dyDescent="0.3">
      <c r="A809" t="s">
        <v>1547</v>
      </c>
      <c r="B809" t="s">
        <v>9</v>
      </c>
      <c r="C809" t="s">
        <v>28</v>
      </c>
      <c r="E809" t="s">
        <v>11</v>
      </c>
    </row>
    <row r="810" spans="1:6" hidden="1" x14ac:dyDescent="0.3">
      <c r="A810" t="s">
        <v>1548</v>
      </c>
      <c r="B810" t="s">
        <v>9</v>
      </c>
      <c r="C810" t="s">
        <v>1549</v>
      </c>
      <c r="D810" t="s">
        <v>15</v>
      </c>
      <c r="E810" t="s">
        <v>11</v>
      </c>
    </row>
    <row r="811" spans="1:6" hidden="1" x14ac:dyDescent="0.3">
      <c r="A811" t="s">
        <v>1550</v>
      </c>
      <c r="B811" t="s">
        <v>11</v>
      </c>
      <c r="E811" t="s">
        <v>11</v>
      </c>
    </row>
    <row r="812" spans="1:6" hidden="1" x14ac:dyDescent="0.3">
      <c r="A812" t="s">
        <v>1551</v>
      </c>
      <c r="B812" t="s">
        <v>9</v>
      </c>
      <c r="C812" t="s">
        <v>28</v>
      </c>
      <c r="D812" t="s">
        <v>15</v>
      </c>
      <c r="E812" t="s">
        <v>16</v>
      </c>
      <c r="F812" t="s">
        <v>1552</v>
      </c>
    </row>
    <row r="813" spans="1:6" hidden="1" x14ac:dyDescent="0.3">
      <c r="A813" t="s">
        <v>1553</v>
      </c>
      <c r="B813" t="s">
        <v>13</v>
      </c>
      <c r="C813" t="s">
        <v>1554</v>
      </c>
      <c r="E813" t="s">
        <v>11</v>
      </c>
    </row>
    <row r="814" spans="1:6" hidden="1" x14ac:dyDescent="0.3">
      <c r="A814" t="s">
        <v>1555</v>
      </c>
      <c r="B814" t="s">
        <v>11</v>
      </c>
      <c r="E814" t="s">
        <v>11</v>
      </c>
    </row>
    <row r="815" spans="1:6" hidden="1" x14ac:dyDescent="0.3">
      <c r="A815" t="s">
        <v>1556</v>
      </c>
      <c r="B815" t="s">
        <v>11</v>
      </c>
      <c r="E815" t="s">
        <v>11</v>
      </c>
    </row>
    <row r="816" spans="1:6" hidden="1" x14ac:dyDescent="0.3">
      <c r="A816" t="s">
        <v>1557</v>
      </c>
      <c r="B816" t="s">
        <v>9</v>
      </c>
      <c r="C816" t="s">
        <v>1558</v>
      </c>
      <c r="E816" t="s">
        <v>11</v>
      </c>
    </row>
    <row r="817" spans="1:6" x14ac:dyDescent="0.3">
      <c r="A817" t="s">
        <v>1559</v>
      </c>
      <c r="B817" t="s">
        <v>9</v>
      </c>
      <c r="C817" t="s">
        <v>1560</v>
      </c>
      <c r="E817" t="s">
        <v>20</v>
      </c>
      <c r="F817" t="s">
        <v>1561</v>
      </c>
    </row>
    <row r="818" spans="1:6" hidden="1" x14ac:dyDescent="0.3">
      <c r="A818" t="s">
        <v>1562</v>
      </c>
      <c r="B818" t="s">
        <v>9</v>
      </c>
      <c r="C818" t="s">
        <v>1563</v>
      </c>
      <c r="D818" t="s">
        <v>15</v>
      </c>
      <c r="E818" t="s">
        <v>16</v>
      </c>
      <c r="F818" t="s">
        <v>1564</v>
      </c>
    </row>
    <row r="819" spans="1:6" hidden="1" x14ac:dyDescent="0.3">
      <c r="A819" t="s">
        <v>1565</v>
      </c>
      <c r="B819" t="s">
        <v>9</v>
      </c>
      <c r="C819" t="s">
        <v>1566</v>
      </c>
      <c r="D819" t="s">
        <v>15</v>
      </c>
      <c r="E819" t="s">
        <v>16</v>
      </c>
      <c r="F819" t="s">
        <v>1567</v>
      </c>
    </row>
    <row r="820" spans="1:6" hidden="1" x14ac:dyDescent="0.3">
      <c r="A820" t="s">
        <v>1568</v>
      </c>
      <c r="B820" t="s">
        <v>9</v>
      </c>
      <c r="C820" t="s">
        <v>1569</v>
      </c>
      <c r="D820" t="s">
        <v>15</v>
      </c>
      <c r="E820" t="s">
        <v>54</v>
      </c>
      <c r="F820" t="s">
        <v>1570</v>
      </c>
    </row>
    <row r="821" spans="1:6" hidden="1" x14ac:dyDescent="0.3">
      <c r="A821" t="s">
        <v>1571</v>
      </c>
      <c r="B821" t="s">
        <v>9</v>
      </c>
      <c r="C821" t="s">
        <v>1572</v>
      </c>
      <c r="D821" t="s">
        <v>15</v>
      </c>
      <c r="E821" t="s">
        <v>16</v>
      </c>
      <c r="F821" t="s">
        <v>1573</v>
      </c>
    </row>
    <row r="822" spans="1:6" hidden="1" x14ac:dyDescent="0.3">
      <c r="A822" t="s">
        <v>1574</v>
      </c>
      <c r="B822" t="s">
        <v>13</v>
      </c>
      <c r="C822" t="s">
        <v>314</v>
      </c>
      <c r="E822" t="s">
        <v>11</v>
      </c>
    </row>
    <row r="823" spans="1:6" x14ac:dyDescent="0.3">
      <c r="A823" t="s">
        <v>1575</v>
      </c>
      <c r="B823" t="s">
        <v>9</v>
      </c>
      <c r="C823" t="s">
        <v>1576</v>
      </c>
      <c r="E823" t="s">
        <v>20</v>
      </c>
      <c r="F823" t="s">
        <v>1577</v>
      </c>
    </row>
    <row r="824" spans="1:6" hidden="1" x14ac:dyDescent="0.3">
      <c r="A824" t="s">
        <v>1578</v>
      </c>
      <c r="B824" t="s">
        <v>9</v>
      </c>
      <c r="C824" t="s">
        <v>28</v>
      </c>
      <c r="E824" t="s">
        <v>11</v>
      </c>
    </row>
    <row r="825" spans="1:6" hidden="1" x14ac:dyDescent="0.3">
      <c r="A825" t="s">
        <v>1579</v>
      </c>
      <c r="B825" t="s">
        <v>11</v>
      </c>
      <c r="E825" t="s">
        <v>11</v>
      </c>
    </row>
    <row r="826" spans="1:6" hidden="1" x14ac:dyDescent="0.3">
      <c r="A826" t="s">
        <v>1580</v>
      </c>
      <c r="B826" t="s">
        <v>11</v>
      </c>
      <c r="E826" t="s">
        <v>11</v>
      </c>
    </row>
    <row r="827" spans="1:6" hidden="1" x14ac:dyDescent="0.3">
      <c r="A827" t="s">
        <v>1581</v>
      </c>
      <c r="B827" t="s">
        <v>9</v>
      </c>
      <c r="C827" t="s">
        <v>28</v>
      </c>
      <c r="E827" t="s">
        <v>11</v>
      </c>
    </row>
    <row r="828" spans="1:6" hidden="1" x14ac:dyDescent="0.3">
      <c r="A828" t="s">
        <v>1582</v>
      </c>
      <c r="B828" t="s">
        <v>9</v>
      </c>
      <c r="C828" t="s">
        <v>1319</v>
      </c>
      <c r="E828" t="s">
        <v>11</v>
      </c>
    </row>
    <row r="829" spans="1:6" x14ac:dyDescent="0.3">
      <c r="A829" t="s">
        <v>1583</v>
      </c>
      <c r="B829" t="s">
        <v>13</v>
      </c>
      <c r="C829" t="s">
        <v>1584</v>
      </c>
      <c r="E829" t="s">
        <v>20</v>
      </c>
      <c r="F829" t="s">
        <v>1585</v>
      </c>
    </row>
    <row r="830" spans="1:6" hidden="1" x14ac:dyDescent="0.3">
      <c r="A830" t="s">
        <v>1586</v>
      </c>
      <c r="B830" t="s">
        <v>9</v>
      </c>
      <c r="C830" t="s">
        <v>1587</v>
      </c>
      <c r="E830" t="s">
        <v>11</v>
      </c>
    </row>
    <row r="831" spans="1:6" x14ac:dyDescent="0.3">
      <c r="A831" t="s">
        <v>1588</v>
      </c>
      <c r="B831" t="s">
        <v>9</v>
      </c>
      <c r="C831" t="s">
        <v>679</v>
      </c>
      <c r="D831" t="s">
        <v>15</v>
      </c>
      <c r="E831" t="s">
        <v>20</v>
      </c>
      <c r="F831" t="s">
        <v>21</v>
      </c>
    </row>
    <row r="832" spans="1:6" hidden="1" x14ac:dyDescent="0.3">
      <c r="A832" t="s">
        <v>1589</v>
      </c>
      <c r="B832" t="s">
        <v>13</v>
      </c>
      <c r="C832" t="s">
        <v>1590</v>
      </c>
      <c r="E832" t="s">
        <v>11</v>
      </c>
    </row>
    <row r="833" spans="1:6" hidden="1" x14ac:dyDescent="0.3">
      <c r="A833" t="s">
        <v>1591</v>
      </c>
      <c r="B833" t="s">
        <v>13</v>
      </c>
      <c r="C833" t="s">
        <v>1592</v>
      </c>
      <c r="D833" t="s">
        <v>15</v>
      </c>
      <c r="E833" t="s">
        <v>54</v>
      </c>
      <c r="F833" t="s">
        <v>1593</v>
      </c>
    </row>
    <row r="834" spans="1:6" x14ac:dyDescent="0.3">
      <c r="A834" t="s">
        <v>1594</v>
      </c>
      <c r="B834" t="s">
        <v>9</v>
      </c>
      <c r="C834" t="s">
        <v>28</v>
      </c>
      <c r="E834" t="s">
        <v>20</v>
      </c>
      <c r="F834" t="s">
        <v>21</v>
      </c>
    </row>
    <row r="835" spans="1:6" hidden="1" x14ac:dyDescent="0.3">
      <c r="A835" t="s">
        <v>1595</v>
      </c>
      <c r="B835" t="s">
        <v>9</v>
      </c>
      <c r="C835" t="s">
        <v>1596</v>
      </c>
      <c r="D835" t="s">
        <v>15</v>
      </c>
      <c r="E835" t="s">
        <v>54</v>
      </c>
      <c r="F835" t="s">
        <v>1597</v>
      </c>
    </row>
    <row r="836" spans="1:6" hidden="1" x14ac:dyDescent="0.3">
      <c r="A836" t="s">
        <v>1598</v>
      </c>
      <c r="B836" t="s">
        <v>11</v>
      </c>
      <c r="E836" t="s">
        <v>11</v>
      </c>
    </row>
    <row r="837" spans="1:6" x14ac:dyDescent="0.3">
      <c r="A837" t="s">
        <v>1599</v>
      </c>
      <c r="B837" t="s">
        <v>9</v>
      </c>
      <c r="C837" t="s">
        <v>1600</v>
      </c>
      <c r="D837" t="s">
        <v>15</v>
      </c>
      <c r="E837" t="s">
        <v>20</v>
      </c>
      <c r="F837" t="s">
        <v>135</v>
      </c>
    </row>
    <row r="838" spans="1:6" x14ac:dyDescent="0.3">
      <c r="A838" t="s">
        <v>1601</v>
      </c>
      <c r="B838" t="s">
        <v>9</v>
      </c>
      <c r="C838" t="s">
        <v>1602</v>
      </c>
      <c r="D838" t="s">
        <v>15</v>
      </c>
      <c r="E838" t="s">
        <v>20</v>
      </c>
      <c r="F838" t="s">
        <v>1603</v>
      </c>
    </row>
    <row r="839" spans="1:6" x14ac:dyDescent="0.3">
      <c r="A839" t="s">
        <v>1604</v>
      </c>
      <c r="B839" t="s">
        <v>9</v>
      </c>
      <c r="C839" t="s">
        <v>1605</v>
      </c>
      <c r="E839" t="s">
        <v>20</v>
      </c>
      <c r="F839" t="s">
        <v>1606</v>
      </c>
    </row>
    <row r="840" spans="1:6" hidden="1" x14ac:dyDescent="0.3">
      <c r="A840" t="s">
        <v>1607</v>
      </c>
      <c r="B840" t="s">
        <v>9</v>
      </c>
      <c r="C840" t="s">
        <v>28</v>
      </c>
      <c r="E840" t="s">
        <v>11</v>
      </c>
    </row>
    <row r="841" spans="1:6" hidden="1" x14ac:dyDescent="0.3">
      <c r="A841" t="s">
        <v>1608</v>
      </c>
      <c r="B841" t="s">
        <v>9</v>
      </c>
      <c r="C841" t="s">
        <v>442</v>
      </c>
      <c r="D841" t="s">
        <v>15</v>
      </c>
      <c r="E841" t="s">
        <v>11</v>
      </c>
    </row>
    <row r="842" spans="1:6" hidden="1" x14ac:dyDescent="0.3">
      <c r="A842" t="s">
        <v>1609</v>
      </c>
      <c r="B842" t="s">
        <v>11</v>
      </c>
      <c r="E842" t="s">
        <v>16</v>
      </c>
      <c r="F842" t="s">
        <v>288</v>
      </c>
    </row>
    <row r="843" spans="1:6" hidden="1" x14ac:dyDescent="0.3">
      <c r="A843" t="s">
        <v>1610</v>
      </c>
      <c r="B843" t="s">
        <v>9</v>
      </c>
      <c r="C843" t="s">
        <v>28</v>
      </c>
      <c r="E843" t="s">
        <v>11</v>
      </c>
    </row>
    <row r="844" spans="1:6" hidden="1" x14ac:dyDescent="0.3">
      <c r="A844" t="s">
        <v>1611</v>
      </c>
      <c r="B844" t="s">
        <v>9</v>
      </c>
      <c r="C844" t="s">
        <v>301</v>
      </c>
      <c r="D844" t="s">
        <v>15</v>
      </c>
      <c r="E844" t="s">
        <v>11</v>
      </c>
    </row>
    <row r="845" spans="1:6" x14ac:dyDescent="0.3">
      <c r="A845" t="s">
        <v>1612</v>
      </c>
      <c r="B845" t="s">
        <v>9</v>
      </c>
      <c r="C845" t="s">
        <v>1613</v>
      </c>
      <c r="E845" t="s">
        <v>20</v>
      </c>
      <c r="F845" t="s">
        <v>1614</v>
      </c>
    </row>
    <row r="846" spans="1:6" hidden="1" x14ac:dyDescent="0.3">
      <c r="A846" t="s">
        <v>1615</v>
      </c>
      <c r="B846" t="s">
        <v>11</v>
      </c>
      <c r="E846" t="s">
        <v>11</v>
      </c>
    </row>
    <row r="847" spans="1:6" hidden="1" x14ac:dyDescent="0.3">
      <c r="A847" t="s">
        <v>1616</v>
      </c>
      <c r="B847" t="s">
        <v>9</v>
      </c>
      <c r="C847" t="s">
        <v>1617</v>
      </c>
      <c r="D847" t="s">
        <v>15</v>
      </c>
      <c r="E847" t="s">
        <v>16</v>
      </c>
      <c r="F847" t="s">
        <v>138</v>
      </c>
    </row>
    <row r="848" spans="1:6" hidden="1" x14ac:dyDescent="0.3">
      <c r="A848" t="s">
        <v>1618</v>
      </c>
      <c r="B848" t="s">
        <v>417</v>
      </c>
      <c r="C848" t="s">
        <v>1619</v>
      </c>
      <c r="E848" t="s">
        <v>11</v>
      </c>
    </row>
    <row r="849" spans="1:6" hidden="1" x14ac:dyDescent="0.3">
      <c r="A849" t="s">
        <v>1620</v>
      </c>
      <c r="B849" t="s">
        <v>9</v>
      </c>
      <c r="C849" t="s">
        <v>1621</v>
      </c>
      <c r="E849" t="s">
        <v>11</v>
      </c>
    </row>
    <row r="850" spans="1:6" hidden="1" x14ac:dyDescent="0.3">
      <c r="A850" t="s">
        <v>1622</v>
      </c>
      <c r="B850" t="s">
        <v>9</v>
      </c>
      <c r="C850" t="s">
        <v>28</v>
      </c>
      <c r="E850" t="s">
        <v>11</v>
      </c>
    </row>
    <row r="851" spans="1:6" hidden="1" x14ac:dyDescent="0.3">
      <c r="A851" t="s">
        <v>1623</v>
      </c>
      <c r="B851" t="s">
        <v>9</v>
      </c>
      <c r="C851" t="s">
        <v>1624</v>
      </c>
      <c r="E851" t="s">
        <v>11</v>
      </c>
    </row>
    <row r="852" spans="1:6" hidden="1" x14ac:dyDescent="0.3">
      <c r="A852" t="s">
        <v>1625</v>
      </c>
      <c r="B852" t="s">
        <v>9</v>
      </c>
      <c r="C852" t="s">
        <v>1626</v>
      </c>
      <c r="D852" t="s">
        <v>15</v>
      </c>
      <c r="E852" t="s">
        <v>54</v>
      </c>
      <c r="F852" t="s">
        <v>1627</v>
      </c>
    </row>
    <row r="853" spans="1:6" hidden="1" x14ac:dyDescent="0.3">
      <c r="A853" t="s">
        <v>1628</v>
      </c>
      <c r="B853" t="s">
        <v>13</v>
      </c>
      <c r="C853" t="s">
        <v>1629</v>
      </c>
      <c r="E853" t="s">
        <v>54</v>
      </c>
      <c r="F853" t="s">
        <v>1630</v>
      </c>
    </row>
    <row r="854" spans="1:6" hidden="1" x14ac:dyDescent="0.3">
      <c r="A854" t="s">
        <v>1631</v>
      </c>
      <c r="B854" t="s">
        <v>13</v>
      </c>
      <c r="C854" t="s">
        <v>1632</v>
      </c>
      <c r="E854" t="s">
        <v>54</v>
      </c>
      <c r="F854" t="s">
        <v>588</v>
      </c>
    </row>
    <row r="855" spans="1:6" hidden="1" x14ac:dyDescent="0.3">
      <c r="A855" t="s">
        <v>1633</v>
      </c>
      <c r="B855" t="s">
        <v>13</v>
      </c>
      <c r="C855" t="s">
        <v>1634</v>
      </c>
      <c r="D855" t="s">
        <v>15</v>
      </c>
      <c r="E855" t="s">
        <v>16</v>
      </c>
      <c r="F855" t="s">
        <v>1635</v>
      </c>
    </row>
    <row r="856" spans="1:6" hidden="1" x14ac:dyDescent="0.3">
      <c r="A856" t="s">
        <v>1636</v>
      </c>
      <c r="B856" t="s">
        <v>9</v>
      </c>
      <c r="C856" t="s">
        <v>1637</v>
      </c>
      <c r="D856" t="s">
        <v>15</v>
      </c>
      <c r="E856" t="s">
        <v>54</v>
      </c>
      <c r="F856" t="s">
        <v>1638</v>
      </c>
    </row>
    <row r="857" spans="1:6" x14ac:dyDescent="0.3">
      <c r="A857" t="s">
        <v>1639</v>
      </c>
      <c r="B857" t="s">
        <v>9</v>
      </c>
      <c r="C857" t="s">
        <v>1640</v>
      </c>
      <c r="E857" t="s">
        <v>20</v>
      </c>
      <c r="F857" t="s">
        <v>21</v>
      </c>
    </row>
    <row r="858" spans="1:6" hidden="1" x14ac:dyDescent="0.3">
      <c r="A858" t="s">
        <v>1641</v>
      </c>
      <c r="B858" t="s">
        <v>9</v>
      </c>
      <c r="C858" t="s">
        <v>1642</v>
      </c>
      <c r="D858" t="s">
        <v>15</v>
      </c>
      <c r="E858" t="s">
        <v>54</v>
      </c>
      <c r="F858" t="s">
        <v>1643</v>
      </c>
    </row>
    <row r="859" spans="1:6" hidden="1" x14ac:dyDescent="0.3">
      <c r="A859" t="s">
        <v>1644</v>
      </c>
      <c r="B859" t="s">
        <v>9</v>
      </c>
      <c r="C859" t="s">
        <v>1645</v>
      </c>
      <c r="E859" t="s">
        <v>11</v>
      </c>
    </row>
    <row r="860" spans="1:6" hidden="1" x14ac:dyDescent="0.3">
      <c r="A860" t="s">
        <v>1646</v>
      </c>
      <c r="B860" t="s">
        <v>11</v>
      </c>
      <c r="E860" t="s">
        <v>11</v>
      </c>
    </row>
    <row r="861" spans="1:6" x14ac:dyDescent="0.3">
      <c r="A861" t="s">
        <v>1647</v>
      </c>
      <c r="B861" t="s">
        <v>9</v>
      </c>
      <c r="C861" t="s">
        <v>1648</v>
      </c>
      <c r="D861" t="s">
        <v>15</v>
      </c>
      <c r="E861" t="s">
        <v>20</v>
      </c>
      <c r="F861" t="s">
        <v>135</v>
      </c>
    </row>
    <row r="862" spans="1:6" x14ac:dyDescent="0.3">
      <c r="A862" t="s">
        <v>1649</v>
      </c>
      <c r="B862" t="s">
        <v>9</v>
      </c>
      <c r="C862" t="s">
        <v>1650</v>
      </c>
      <c r="D862" t="s">
        <v>15</v>
      </c>
      <c r="E862" t="s">
        <v>20</v>
      </c>
      <c r="F862" t="s">
        <v>1651</v>
      </c>
    </row>
    <row r="863" spans="1:6" x14ac:dyDescent="0.3">
      <c r="A863" t="s">
        <v>1652</v>
      </c>
      <c r="B863" t="s">
        <v>9</v>
      </c>
      <c r="C863" t="s">
        <v>1653</v>
      </c>
      <c r="D863" t="s">
        <v>15</v>
      </c>
      <c r="E863" t="s">
        <v>20</v>
      </c>
      <c r="F863" t="s">
        <v>1654</v>
      </c>
    </row>
    <row r="864" spans="1:6" hidden="1" x14ac:dyDescent="0.3">
      <c r="A864" t="s">
        <v>1655</v>
      </c>
      <c r="B864" t="s">
        <v>9</v>
      </c>
      <c r="C864" t="s">
        <v>28</v>
      </c>
      <c r="D864" t="s">
        <v>15</v>
      </c>
      <c r="E864" t="s">
        <v>11</v>
      </c>
    </row>
    <row r="865" spans="1:6" hidden="1" x14ac:dyDescent="0.3">
      <c r="A865" t="s">
        <v>1656</v>
      </c>
      <c r="B865" t="s">
        <v>9</v>
      </c>
      <c r="C865" t="s">
        <v>1657</v>
      </c>
      <c r="E865" t="s">
        <v>11</v>
      </c>
    </row>
    <row r="866" spans="1:6" hidden="1" x14ac:dyDescent="0.3">
      <c r="A866" t="s">
        <v>1658</v>
      </c>
      <c r="B866" t="s">
        <v>9</v>
      </c>
      <c r="C866" t="s">
        <v>1659</v>
      </c>
      <c r="D866" t="s">
        <v>15</v>
      </c>
      <c r="E866" t="s">
        <v>54</v>
      </c>
      <c r="F866" t="s">
        <v>1660</v>
      </c>
    </row>
    <row r="867" spans="1:6" hidden="1" x14ac:dyDescent="0.3">
      <c r="A867" t="s">
        <v>1661</v>
      </c>
      <c r="B867" t="s">
        <v>9</v>
      </c>
      <c r="C867" t="s">
        <v>129</v>
      </c>
      <c r="E867" t="s">
        <v>11</v>
      </c>
    </row>
    <row r="868" spans="1:6" hidden="1" x14ac:dyDescent="0.3">
      <c r="A868" t="s">
        <v>1662</v>
      </c>
      <c r="B868" t="s">
        <v>9</v>
      </c>
      <c r="C868" t="s">
        <v>1663</v>
      </c>
      <c r="D868" t="s">
        <v>15</v>
      </c>
      <c r="E868" t="s">
        <v>54</v>
      </c>
      <c r="F868" t="s">
        <v>1664</v>
      </c>
    </row>
    <row r="869" spans="1:6" hidden="1" x14ac:dyDescent="0.3">
      <c r="A869" t="s">
        <v>1665</v>
      </c>
      <c r="B869" t="s">
        <v>9</v>
      </c>
      <c r="C869" t="s">
        <v>1666</v>
      </c>
      <c r="D869" t="s">
        <v>15</v>
      </c>
      <c r="E869" t="s">
        <v>11</v>
      </c>
    </row>
    <row r="870" spans="1:6" hidden="1" x14ac:dyDescent="0.3">
      <c r="A870" t="s">
        <v>1667</v>
      </c>
      <c r="B870" t="s">
        <v>197</v>
      </c>
      <c r="C870" t="s">
        <v>1668</v>
      </c>
      <c r="D870" t="s">
        <v>15</v>
      </c>
      <c r="E870" t="s">
        <v>16</v>
      </c>
      <c r="F870" t="s">
        <v>1669</v>
      </c>
    </row>
    <row r="871" spans="1:6" hidden="1" x14ac:dyDescent="0.3">
      <c r="A871" t="s">
        <v>1670</v>
      </c>
      <c r="B871" t="s">
        <v>13</v>
      </c>
      <c r="C871" t="s">
        <v>1671</v>
      </c>
      <c r="E871" t="s">
        <v>11</v>
      </c>
    </row>
    <row r="872" spans="1:6" hidden="1" x14ac:dyDescent="0.3">
      <c r="A872" t="s">
        <v>1672</v>
      </c>
      <c r="B872" t="s">
        <v>9</v>
      </c>
      <c r="C872" t="s">
        <v>1673</v>
      </c>
      <c r="D872" t="s">
        <v>15</v>
      </c>
      <c r="E872" t="s">
        <v>16</v>
      </c>
      <c r="F872" t="s">
        <v>1674</v>
      </c>
    </row>
    <row r="873" spans="1:6" hidden="1" x14ac:dyDescent="0.3">
      <c r="A873" t="s">
        <v>1675</v>
      </c>
      <c r="B873" t="s">
        <v>9</v>
      </c>
      <c r="C873" t="s">
        <v>51</v>
      </c>
      <c r="E873" t="s">
        <v>54</v>
      </c>
      <c r="F873" t="s">
        <v>1284</v>
      </c>
    </row>
    <row r="874" spans="1:6" hidden="1" x14ac:dyDescent="0.3">
      <c r="A874" t="s">
        <v>1676</v>
      </c>
      <c r="B874" t="s">
        <v>9</v>
      </c>
      <c r="C874" t="s">
        <v>51</v>
      </c>
      <c r="D874" t="s">
        <v>15</v>
      </c>
      <c r="E874" t="s">
        <v>54</v>
      </c>
      <c r="F874" t="s">
        <v>588</v>
      </c>
    </row>
    <row r="875" spans="1:6" hidden="1" x14ac:dyDescent="0.3">
      <c r="A875" t="s">
        <v>1677</v>
      </c>
      <c r="B875" t="s">
        <v>11</v>
      </c>
      <c r="E875" t="s">
        <v>11</v>
      </c>
    </row>
    <row r="876" spans="1:6" hidden="1" x14ac:dyDescent="0.3">
      <c r="A876" t="s">
        <v>1678</v>
      </c>
      <c r="B876" t="s">
        <v>9</v>
      </c>
      <c r="C876" t="s">
        <v>28</v>
      </c>
      <c r="E876" t="s">
        <v>11</v>
      </c>
    </row>
    <row r="877" spans="1:6" hidden="1" x14ac:dyDescent="0.3">
      <c r="A877" t="s">
        <v>1679</v>
      </c>
      <c r="B877" t="s">
        <v>9</v>
      </c>
      <c r="C877" t="s">
        <v>1680</v>
      </c>
      <c r="E877" t="s">
        <v>16</v>
      </c>
      <c r="F877" t="s">
        <v>1681</v>
      </c>
    </row>
    <row r="878" spans="1:6" hidden="1" x14ac:dyDescent="0.3">
      <c r="A878" t="s">
        <v>1682</v>
      </c>
      <c r="B878" t="s">
        <v>13</v>
      </c>
      <c r="C878" t="s">
        <v>1683</v>
      </c>
      <c r="E878" t="s">
        <v>11</v>
      </c>
    </row>
    <row r="879" spans="1:6" x14ac:dyDescent="0.3">
      <c r="A879" t="s">
        <v>1684</v>
      </c>
      <c r="B879" t="s">
        <v>9</v>
      </c>
      <c r="C879" t="s">
        <v>1685</v>
      </c>
      <c r="D879" t="s">
        <v>15</v>
      </c>
      <c r="E879" t="s">
        <v>20</v>
      </c>
      <c r="F879" t="s">
        <v>337</v>
      </c>
    </row>
    <row r="880" spans="1:6" hidden="1" x14ac:dyDescent="0.3">
      <c r="A880" t="s">
        <v>1686</v>
      </c>
      <c r="B880" t="s">
        <v>9</v>
      </c>
      <c r="C880" t="s">
        <v>1687</v>
      </c>
      <c r="E880" t="s">
        <v>11</v>
      </c>
    </row>
    <row r="881" spans="1:6" x14ac:dyDescent="0.3">
      <c r="A881" t="s">
        <v>1688</v>
      </c>
      <c r="B881" t="s">
        <v>9</v>
      </c>
      <c r="C881" t="s">
        <v>1689</v>
      </c>
      <c r="D881" t="s">
        <v>15</v>
      </c>
      <c r="E881" t="s">
        <v>20</v>
      </c>
      <c r="F881" t="s">
        <v>1690</v>
      </c>
    </row>
    <row r="882" spans="1:6" x14ac:dyDescent="0.3">
      <c r="A882" t="s">
        <v>1691</v>
      </c>
      <c r="B882" t="s">
        <v>9</v>
      </c>
      <c r="C882" t="s">
        <v>1692</v>
      </c>
      <c r="D882" t="s">
        <v>15</v>
      </c>
      <c r="E882" t="s">
        <v>20</v>
      </c>
      <c r="F882" t="s">
        <v>36</v>
      </c>
    </row>
    <row r="883" spans="1:6" hidden="1" x14ac:dyDescent="0.3">
      <c r="A883" t="s">
        <v>1693</v>
      </c>
      <c r="B883" t="s">
        <v>9</v>
      </c>
      <c r="C883" t="s">
        <v>1694</v>
      </c>
      <c r="E883" t="s">
        <v>11</v>
      </c>
    </row>
    <row r="884" spans="1:6" hidden="1" x14ac:dyDescent="0.3">
      <c r="A884" t="s">
        <v>1695</v>
      </c>
      <c r="B884" t="s">
        <v>197</v>
      </c>
      <c r="C884" t="s">
        <v>707</v>
      </c>
      <c r="E884" t="s">
        <v>11</v>
      </c>
    </row>
    <row r="885" spans="1:6" hidden="1" x14ac:dyDescent="0.3">
      <c r="A885" t="s">
        <v>1696</v>
      </c>
      <c r="B885" t="s">
        <v>9</v>
      </c>
      <c r="C885" t="s">
        <v>1697</v>
      </c>
      <c r="D885" t="s">
        <v>15</v>
      </c>
      <c r="E885" t="s">
        <v>54</v>
      </c>
      <c r="F885" t="s">
        <v>1698</v>
      </c>
    </row>
    <row r="886" spans="1:6" hidden="1" x14ac:dyDescent="0.3">
      <c r="A886" t="s">
        <v>1699</v>
      </c>
      <c r="B886" t="s">
        <v>9</v>
      </c>
      <c r="C886" t="s">
        <v>1700</v>
      </c>
      <c r="D886" t="s">
        <v>15</v>
      </c>
      <c r="E886" t="s">
        <v>16</v>
      </c>
      <c r="F886" t="s">
        <v>1701</v>
      </c>
    </row>
    <row r="887" spans="1:6" hidden="1" x14ac:dyDescent="0.3">
      <c r="A887" t="s">
        <v>1702</v>
      </c>
      <c r="B887" t="s">
        <v>13</v>
      </c>
      <c r="C887" t="s">
        <v>1703</v>
      </c>
      <c r="E887" t="s">
        <v>11</v>
      </c>
    </row>
    <row r="888" spans="1:6" hidden="1" x14ac:dyDescent="0.3">
      <c r="A888" t="s">
        <v>1704</v>
      </c>
      <c r="B888" t="s">
        <v>13</v>
      </c>
      <c r="C888" t="s">
        <v>1705</v>
      </c>
      <c r="D888" t="s">
        <v>15</v>
      </c>
      <c r="E888" t="s">
        <v>16</v>
      </c>
      <c r="F888" t="s">
        <v>1706</v>
      </c>
    </row>
    <row r="889" spans="1:6" hidden="1" x14ac:dyDescent="0.3">
      <c r="A889" t="s">
        <v>1707</v>
      </c>
      <c r="B889" t="s">
        <v>11</v>
      </c>
      <c r="E889" t="s">
        <v>11</v>
      </c>
    </row>
    <row r="890" spans="1:6" x14ac:dyDescent="0.3">
      <c r="A890" t="s">
        <v>1708</v>
      </c>
      <c r="B890" t="s">
        <v>13</v>
      </c>
      <c r="C890" t="s">
        <v>1709</v>
      </c>
      <c r="D890" t="s">
        <v>15</v>
      </c>
      <c r="E890" t="s">
        <v>20</v>
      </c>
      <c r="F890" t="s">
        <v>117</v>
      </c>
    </row>
    <row r="891" spans="1:6" hidden="1" x14ac:dyDescent="0.3">
      <c r="A891" t="s">
        <v>1710</v>
      </c>
      <c r="B891" t="s">
        <v>9</v>
      </c>
      <c r="C891" t="s">
        <v>1711</v>
      </c>
      <c r="E891" t="s">
        <v>54</v>
      </c>
      <c r="F891" t="s">
        <v>1712</v>
      </c>
    </row>
    <row r="892" spans="1:6" x14ac:dyDescent="0.3">
      <c r="A892" t="s">
        <v>1713</v>
      </c>
      <c r="B892" t="s">
        <v>13</v>
      </c>
      <c r="C892" t="s">
        <v>1714</v>
      </c>
      <c r="E892" t="s">
        <v>20</v>
      </c>
      <c r="F892" t="s">
        <v>21</v>
      </c>
    </row>
    <row r="893" spans="1:6" x14ac:dyDescent="0.3">
      <c r="A893" t="s">
        <v>1715</v>
      </c>
      <c r="B893" t="s">
        <v>9</v>
      </c>
      <c r="C893" t="s">
        <v>28</v>
      </c>
      <c r="D893" t="s">
        <v>15</v>
      </c>
      <c r="E893" t="s">
        <v>20</v>
      </c>
      <c r="F893" t="s">
        <v>1716</v>
      </c>
    </row>
    <row r="894" spans="1:6" hidden="1" x14ac:dyDescent="0.3">
      <c r="A894" t="s">
        <v>1717</v>
      </c>
      <c r="B894" t="s">
        <v>9</v>
      </c>
      <c r="C894" t="s">
        <v>1718</v>
      </c>
      <c r="D894" t="s">
        <v>15</v>
      </c>
      <c r="E894" t="s">
        <v>54</v>
      </c>
      <c r="F894" t="s">
        <v>1719</v>
      </c>
    </row>
    <row r="895" spans="1:6" hidden="1" x14ac:dyDescent="0.3">
      <c r="A895" t="s">
        <v>1720</v>
      </c>
      <c r="B895" t="s">
        <v>13</v>
      </c>
      <c r="C895" t="s">
        <v>1721</v>
      </c>
      <c r="D895" t="s">
        <v>15</v>
      </c>
      <c r="E895" t="s">
        <v>11</v>
      </c>
    </row>
    <row r="896" spans="1:6" hidden="1" x14ac:dyDescent="0.3">
      <c r="A896" t="s">
        <v>1722</v>
      </c>
      <c r="B896" t="s">
        <v>13</v>
      </c>
      <c r="C896" t="s">
        <v>1723</v>
      </c>
      <c r="D896" t="s">
        <v>15</v>
      </c>
      <c r="E896" t="s">
        <v>16</v>
      </c>
      <c r="F896" t="s">
        <v>1724</v>
      </c>
    </row>
    <row r="897" spans="1:6" hidden="1" x14ac:dyDescent="0.3">
      <c r="A897" t="s">
        <v>1725</v>
      </c>
      <c r="B897" t="s">
        <v>9</v>
      </c>
      <c r="C897" t="s">
        <v>28</v>
      </c>
      <c r="E897" t="s">
        <v>11</v>
      </c>
    </row>
    <row r="898" spans="1:6" hidden="1" x14ac:dyDescent="0.3">
      <c r="A898" t="s">
        <v>1726</v>
      </c>
      <c r="B898" t="s">
        <v>9</v>
      </c>
      <c r="C898" t="s">
        <v>1727</v>
      </c>
      <c r="D898" t="s">
        <v>15</v>
      </c>
      <c r="E898" t="s">
        <v>16</v>
      </c>
      <c r="F898" t="s">
        <v>1728</v>
      </c>
    </row>
    <row r="899" spans="1:6" hidden="1" x14ac:dyDescent="0.3">
      <c r="A899" t="s">
        <v>1729</v>
      </c>
      <c r="B899" t="s">
        <v>11</v>
      </c>
      <c r="E899" t="s">
        <v>11</v>
      </c>
    </row>
    <row r="900" spans="1:6" hidden="1" x14ac:dyDescent="0.3">
      <c r="A900" t="s">
        <v>1730</v>
      </c>
      <c r="B900" t="s">
        <v>11</v>
      </c>
      <c r="E900" t="s">
        <v>11</v>
      </c>
    </row>
    <row r="901" spans="1:6" x14ac:dyDescent="0.3">
      <c r="A901" t="s">
        <v>1731</v>
      </c>
      <c r="B901" t="s">
        <v>9</v>
      </c>
      <c r="C901" t="s">
        <v>1732</v>
      </c>
      <c r="D901" t="s">
        <v>15</v>
      </c>
      <c r="E901" t="s">
        <v>20</v>
      </c>
      <c r="F901" t="s">
        <v>1733</v>
      </c>
    </row>
    <row r="902" spans="1:6" hidden="1" x14ac:dyDescent="0.3">
      <c r="A902" t="s">
        <v>1734</v>
      </c>
      <c r="B902" t="s">
        <v>11</v>
      </c>
      <c r="E902" t="s">
        <v>11</v>
      </c>
    </row>
    <row r="903" spans="1:6" x14ac:dyDescent="0.3">
      <c r="A903" t="s">
        <v>1735</v>
      </c>
      <c r="B903" t="s">
        <v>13</v>
      </c>
      <c r="C903" t="s">
        <v>1736</v>
      </c>
      <c r="D903" t="s">
        <v>15</v>
      </c>
      <c r="E903" t="s">
        <v>20</v>
      </c>
      <c r="F903" t="s">
        <v>1737</v>
      </c>
    </row>
    <row r="904" spans="1:6" hidden="1" x14ac:dyDescent="0.3">
      <c r="A904" t="s">
        <v>1738</v>
      </c>
      <c r="B904" t="s">
        <v>9</v>
      </c>
      <c r="C904" t="s">
        <v>1739</v>
      </c>
      <c r="D904" t="s">
        <v>15</v>
      </c>
      <c r="E904" t="s">
        <v>16</v>
      </c>
      <c r="F904" t="s">
        <v>1740</v>
      </c>
    </row>
    <row r="905" spans="1:6" hidden="1" x14ac:dyDescent="0.3">
      <c r="A905" t="s">
        <v>1741</v>
      </c>
      <c r="B905" t="s">
        <v>9</v>
      </c>
      <c r="C905" t="s">
        <v>1742</v>
      </c>
      <c r="D905" t="s">
        <v>15</v>
      </c>
      <c r="E905" t="s">
        <v>16</v>
      </c>
      <c r="F905" t="s">
        <v>1743</v>
      </c>
    </row>
    <row r="906" spans="1:6" x14ac:dyDescent="0.3">
      <c r="A906" t="s">
        <v>1744</v>
      </c>
      <c r="B906" t="s">
        <v>9</v>
      </c>
      <c r="C906" t="s">
        <v>1745</v>
      </c>
      <c r="E906" t="s">
        <v>20</v>
      </c>
      <c r="F906" t="s">
        <v>1023</v>
      </c>
    </row>
    <row r="907" spans="1:6" x14ac:dyDescent="0.3">
      <c r="A907" t="s">
        <v>1746</v>
      </c>
      <c r="B907" t="s">
        <v>13</v>
      </c>
      <c r="C907" t="s">
        <v>1747</v>
      </c>
      <c r="D907" t="s">
        <v>15</v>
      </c>
      <c r="E907" t="s">
        <v>20</v>
      </c>
      <c r="F907" t="s">
        <v>1748</v>
      </c>
    </row>
    <row r="908" spans="1:6" hidden="1" x14ac:dyDescent="0.3">
      <c r="A908" t="s">
        <v>1749</v>
      </c>
      <c r="B908" t="s">
        <v>9</v>
      </c>
      <c r="C908" t="s">
        <v>1750</v>
      </c>
      <c r="D908" t="s">
        <v>15</v>
      </c>
      <c r="E908" t="s">
        <v>197</v>
      </c>
      <c r="F908" t="s">
        <v>1751</v>
      </c>
    </row>
    <row r="909" spans="1:6" hidden="1" x14ac:dyDescent="0.3">
      <c r="A909" t="s">
        <v>1752</v>
      </c>
      <c r="B909" t="s">
        <v>9</v>
      </c>
      <c r="C909" t="s">
        <v>28</v>
      </c>
      <c r="D909" t="s">
        <v>15</v>
      </c>
      <c r="E909" t="s">
        <v>54</v>
      </c>
      <c r="F909" t="s">
        <v>553</v>
      </c>
    </row>
    <row r="910" spans="1:6" hidden="1" x14ac:dyDescent="0.3">
      <c r="A910" t="s">
        <v>1753</v>
      </c>
      <c r="B910" t="s">
        <v>9</v>
      </c>
      <c r="C910" t="s">
        <v>1754</v>
      </c>
      <c r="D910" t="s">
        <v>15</v>
      </c>
      <c r="E910" t="s">
        <v>16</v>
      </c>
      <c r="F910" t="s">
        <v>1755</v>
      </c>
    </row>
    <row r="911" spans="1:6" hidden="1" x14ac:dyDescent="0.3">
      <c r="A911" t="s">
        <v>1756</v>
      </c>
      <c r="B911" t="s">
        <v>9</v>
      </c>
      <c r="C911" t="s">
        <v>1757</v>
      </c>
      <c r="E911" t="s">
        <v>11</v>
      </c>
    </row>
    <row r="912" spans="1:6" x14ac:dyDescent="0.3">
      <c r="A912" t="s">
        <v>1758</v>
      </c>
      <c r="B912" t="s">
        <v>13</v>
      </c>
      <c r="C912" t="s">
        <v>369</v>
      </c>
      <c r="E912" t="s">
        <v>20</v>
      </c>
      <c r="F912" t="s">
        <v>135</v>
      </c>
    </row>
    <row r="913" spans="1:6" hidden="1" x14ac:dyDescent="0.3">
      <c r="A913" t="s">
        <v>1759</v>
      </c>
      <c r="B913" t="s">
        <v>13</v>
      </c>
      <c r="C913" t="s">
        <v>1760</v>
      </c>
      <c r="E913" t="s">
        <v>11</v>
      </c>
    </row>
    <row r="914" spans="1:6" x14ac:dyDescent="0.3">
      <c r="A914" t="s">
        <v>1761</v>
      </c>
      <c r="B914" t="s">
        <v>13</v>
      </c>
      <c r="C914" t="s">
        <v>1762</v>
      </c>
      <c r="D914" t="s">
        <v>15</v>
      </c>
      <c r="E914" t="s">
        <v>20</v>
      </c>
      <c r="F914" t="s">
        <v>117</v>
      </c>
    </row>
    <row r="915" spans="1:6" hidden="1" x14ac:dyDescent="0.3">
      <c r="A915" t="s">
        <v>1763</v>
      </c>
      <c r="B915" t="s">
        <v>9</v>
      </c>
      <c r="C915" t="s">
        <v>28</v>
      </c>
      <c r="E915" t="s">
        <v>11</v>
      </c>
    </row>
    <row r="916" spans="1:6" hidden="1" x14ac:dyDescent="0.3">
      <c r="A916" t="s">
        <v>1764</v>
      </c>
      <c r="B916" t="s">
        <v>11</v>
      </c>
      <c r="E916" t="s">
        <v>11</v>
      </c>
    </row>
    <row r="917" spans="1:6" hidden="1" x14ac:dyDescent="0.3">
      <c r="A917" t="s">
        <v>1765</v>
      </c>
      <c r="B917" t="s">
        <v>13</v>
      </c>
      <c r="C917" t="s">
        <v>65</v>
      </c>
      <c r="E917" t="s">
        <v>11</v>
      </c>
    </row>
    <row r="918" spans="1:6" hidden="1" x14ac:dyDescent="0.3">
      <c r="A918" t="s">
        <v>1766</v>
      </c>
      <c r="B918" t="s">
        <v>11</v>
      </c>
      <c r="E918" t="s">
        <v>11</v>
      </c>
    </row>
    <row r="919" spans="1:6" hidden="1" x14ac:dyDescent="0.3">
      <c r="A919" t="s">
        <v>1767</v>
      </c>
      <c r="B919" t="s">
        <v>197</v>
      </c>
      <c r="C919" t="s">
        <v>1768</v>
      </c>
      <c r="D919" t="s">
        <v>15</v>
      </c>
      <c r="E919" t="s">
        <v>16</v>
      </c>
      <c r="F919" t="s">
        <v>1769</v>
      </c>
    </row>
    <row r="920" spans="1:6" hidden="1" x14ac:dyDescent="0.3">
      <c r="A920" t="s">
        <v>1770</v>
      </c>
      <c r="B920" t="s">
        <v>9</v>
      </c>
      <c r="C920" t="s">
        <v>28</v>
      </c>
      <c r="E920" t="s">
        <v>11</v>
      </c>
    </row>
    <row r="921" spans="1:6" hidden="1" x14ac:dyDescent="0.3">
      <c r="A921" t="s">
        <v>1771</v>
      </c>
      <c r="B921" t="s">
        <v>13</v>
      </c>
      <c r="C921" t="s">
        <v>1772</v>
      </c>
      <c r="D921" t="s">
        <v>15</v>
      </c>
      <c r="E921" t="s">
        <v>16</v>
      </c>
      <c r="F921" t="s">
        <v>138</v>
      </c>
    </row>
    <row r="922" spans="1:6" hidden="1" x14ac:dyDescent="0.3">
      <c r="A922" t="s">
        <v>1773</v>
      </c>
      <c r="B922" t="s">
        <v>9</v>
      </c>
      <c r="C922" t="s">
        <v>28</v>
      </c>
      <c r="E922" t="s">
        <v>11</v>
      </c>
    </row>
    <row r="923" spans="1:6" hidden="1" x14ac:dyDescent="0.3">
      <c r="A923" t="s">
        <v>1774</v>
      </c>
      <c r="B923" t="s">
        <v>9</v>
      </c>
      <c r="C923" t="s">
        <v>1775</v>
      </c>
      <c r="D923" t="s">
        <v>15</v>
      </c>
      <c r="E923" t="s">
        <v>54</v>
      </c>
      <c r="F923" t="s">
        <v>1776</v>
      </c>
    </row>
    <row r="924" spans="1:6" hidden="1" x14ac:dyDescent="0.3">
      <c r="A924" t="s">
        <v>1777</v>
      </c>
      <c r="B924" t="s">
        <v>11</v>
      </c>
      <c r="E924" t="s">
        <v>11</v>
      </c>
    </row>
    <row r="925" spans="1:6" x14ac:dyDescent="0.3">
      <c r="A925" t="s">
        <v>1778</v>
      </c>
      <c r="B925" t="s">
        <v>9</v>
      </c>
      <c r="C925" t="s">
        <v>1779</v>
      </c>
      <c r="D925" t="s">
        <v>15</v>
      </c>
      <c r="E925" t="s">
        <v>20</v>
      </c>
      <c r="F925" t="s">
        <v>1780</v>
      </c>
    </row>
    <row r="926" spans="1:6" hidden="1" x14ac:dyDescent="0.3">
      <c r="A926" t="s">
        <v>1781</v>
      </c>
      <c r="B926" t="s">
        <v>9</v>
      </c>
      <c r="C926" t="s">
        <v>1782</v>
      </c>
      <c r="D926" t="s">
        <v>15</v>
      </c>
      <c r="E926" t="s">
        <v>54</v>
      </c>
      <c r="F926" t="s">
        <v>801</v>
      </c>
    </row>
    <row r="927" spans="1:6" hidden="1" x14ac:dyDescent="0.3">
      <c r="A927" t="s">
        <v>1783</v>
      </c>
      <c r="B927" t="s">
        <v>9</v>
      </c>
      <c r="C927" t="s">
        <v>1784</v>
      </c>
      <c r="D927" t="s">
        <v>15</v>
      </c>
      <c r="E927" t="s">
        <v>54</v>
      </c>
      <c r="F927" t="s">
        <v>1065</v>
      </c>
    </row>
    <row r="928" spans="1:6" hidden="1" x14ac:dyDescent="0.3">
      <c r="A928" t="s">
        <v>1785</v>
      </c>
      <c r="B928" t="s">
        <v>13</v>
      </c>
      <c r="C928" t="s">
        <v>1786</v>
      </c>
      <c r="E928" t="s">
        <v>11</v>
      </c>
    </row>
    <row r="929" spans="1:8" hidden="1" x14ac:dyDescent="0.3">
      <c r="A929" t="s">
        <v>1787</v>
      </c>
      <c r="B929" t="s">
        <v>9</v>
      </c>
      <c r="C929" t="s">
        <v>1788</v>
      </c>
      <c r="E929" t="s">
        <v>54</v>
      </c>
      <c r="F929" t="s">
        <v>1789</v>
      </c>
      <c r="G929" t="s">
        <v>15</v>
      </c>
      <c r="H929" t="s">
        <v>1790</v>
      </c>
    </row>
    <row r="930" spans="1:8" hidden="1" x14ac:dyDescent="0.3">
      <c r="A930" t="s">
        <v>1791</v>
      </c>
      <c r="B930" t="s">
        <v>9</v>
      </c>
      <c r="C930" t="s">
        <v>28</v>
      </c>
      <c r="E930" t="s">
        <v>11</v>
      </c>
    </row>
    <row r="931" spans="1:8" hidden="1" x14ac:dyDescent="0.3">
      <c r="A931" t="s">
        <v>1792</v>
      </c>
      <c r="B931" t="s">
        <v>9</v>
      </c>
      <c r="C931" t="s">
        <v>1793</v>
      </c>
      <c r="D931" t="s">
        <v>15</v>
      </c>
      <c r="E931" t="s">
        <v>11</v>
      </c>
    </row>
    <row r="932" spans="1:8" hidden="1" x14ac:dyDescent="0.3">
      <c r="A932" t="s">
        <v>1794</v>
      </c>
      <c r="B932" t="s">
        <v>9</v>
      </c>
      <c r="C932" t="s">
        <v>691</v>
      </c>
      <c r="D932" t="s">
        <v>15</v>
      </c>
      <c r="E932" t="s">
        <v>16</v>
      </c>
      <c r="F932" t="s">
        <v>692</v>
      </c>
    </row>
    <row r="933" spans="1:8" hidden="1" x14ac:dyDescent="0.3">
      <c r="A933" t="s">
        <v>1795</v>
      </c>
      <c r="B933" t="s">
        <v>9</v>
      </c>
      <c r="C933" t="s">
        <v>1796</v>
      </c>
      <c r="E933" t="s">
        <v>11</v>
      </c>
    </row>
    <row r="934" spans="1:8" x14ac:dyDescent="0.3">
      <c r="A934" t="s">
        <v>1797</v>
      </c>
      <c r="B934" t="s">
        <v>9</v>
      </c>
      <c r="C934" t="s">
        <v>28</v>
      </c>
      <c r="D934" t="s">
        <v>15</v>
      </c>
      <c r="E934" t="s">
        <v>20</v>
      </c>
      <c r="F934" t="s">
        <v>21</v>
      </c>
    </row>
    <row r="935" spans="1:8" hidden="1" x14ac:dyDescent="0.3">
      <c r="A935" t="s">
        <v>1798</v>
      </c>
      <c r="B935" t="s">
        <v>11</v>
      </c>
      <c r="E935" t="s">
        <v>11</v>
      </c>
    </row>
    <row r="936" spans="1:8" x14ac:dyDescent="0.3">
      <c r="A936" t="s">
        <v>1799</v>
      </c>
      <c r="B936" t="s">
        <v>13</v>
      </c>
      <c r="C936" t="s">
        <v>1800</v>
      </c>
      <c r="D936" t="s">
        <v>15</v>
      </c>
      <c r="E936" t="s">
        <v>20</v>
      </c>
      <c r="F936" t="s">
        <v>1801</v>
      </c>
    </row>
    <row r="937" spans="1:8" hidden="1" x14ac:dyDescent="0.3">
      <c r="A937" t="s">
        <v>1802</v>
      </c>
      <c r="B937" t="s">
        <v>9</v>
      </c>
      <c r="C937" t="s">
        <v>28</v>
      </c>
      <c r="E937" t="s">
        <v>11</v>
      </c>
    </row>
    <row r="938" spans="1:8" hidden="1" x14ac:dyDescent="0.3">
      <c r="A938" t="s">
        <v>1803</v>
      </c>
      <c r="B938" t="s">
        <v>11</v>
      </c>
      <c r="E938" t="s">
        <v>11</v>
      </c>
    </row>
    <row r="939" spans="1:8" hidden="1" x14ac:dyDescent="0.3">
      <c r="A939" t="s">
        <v>1804</v>
      </c>
      <c r="B939" t="s">
        <v>9</v>
      </c>
      <c r="C939" t="s">
        <v>1805</v>
      </c>
      <c r="D939" t="s">
        <v>15</v>
      </c>
      <c r="E939" t="s">
        <v>54</v>
      </c>
      <c r="F939" t="s">
        <v>302</v>
      </c>
    </row>
    <row r="940" spans="1:8" hidden="1" x14ac:dyDescent="0.3">
      <c r="A940" t="s">
        <v>1806</v>
      </c>
      <c r="B940" t="s">
        <v>11</v>
      </c>
      <c r="E940" t="s">
        <v>11</v>
      </c>
    </row>
    <row r="941" spans="1:8" hidden="1" x14ac:dyDescent="0.3">
      <c r="A941" t="s">
        <v>1807</v>
      </c>
      <c r="B941" t="s">
        <v>11</v>
      </c>
      <c r="E941" t="s">
        <v>11</v>
      </c>
    </row>
    <row r="942" spans="1:8" hidden="1" x14ac:dyDescent="0.3">
      <c r="A942" t="s">
        <v>1808</v>
      </c>
      <c r="B942" t="s">
        <v>13</v>
      </c>
      <c r="C942" t="s">
        <v>1809</v>
      </c>
      <c r="E942" t="s">
        <v>11</v>
      </c>
    </row>
    <row r="943" spans="1:8" hidden="1" x14ac:dyDescent="0.3">
      <c r="A943" t="s">
        <v>1810</v>
      </c>
      <c r="B943" t="s">
        <v>9</v>
      </c>
      <c r="C943" t="s">
        <v>28</v>
      </c>
      <c r="D943" t="s">
        <v>15</v>
      </c>
      <c r="E943" t="s">
        <v>16</v>
      </c>
      <c r="F943" t="s">
        <v>88</v>
      </c>
    </row>
    <row r="944" spans="1:8" x14ac:dyDescent="0.3">
      <c r="A944" t="s">
        <v>1811</v>
      </c>
      <c r="B944" t="s">
        <v>9</v>
      </c>
      <c r="C944" t="s">
        <v>1812</v>
      </c>
      <c r="D944" t="s">
        <v>15</v>
      </c>
      <c r="E944" t="s">
        <v>20</v>
      </c>
      <c r="F944" t="s">
        <v>21</v>
      </c>
    </row>
    <row r="945" spans="1:6" hidden="1" x14ac:dyDescent="0.3">
      <c r="A945" t="s">
        <v>1813</v>
      </c>
      <c r="B945" t="s">
        <v>11</v>
      </c>
      <c r="E945" t="s">
        <v>11</v>
      </c>
    </row>
    <row r="946" spans="1:6" x14ac:dyDescent="0.3">
      <c r="A946" t="s">
        <v>1814</v>
      </c>
      <c r="B946" t="s">
        <v>9</v>
      </c>
      <c r="C946" t="s">
        <v>1815</v>
      </c>
      <c r="D946" t="s">
        <v>15</v>
      </c>
      <c r="E946" t="s">
        <v>20</v>
      </c>
      <c r="F946" t="s">
        <v>135</v>
      </c>
    </row>
    <row r="947" spans="1:6" hidden="1" x14ac:dyDescent="0.3">
      <c r="A947" t="s">
        <v>1816</v>
      </c>
      <c r="B947" t="s">
        <v>9</v>
      </c>
      <c r="C947" t="s">
        <v>28</v>
      </c>
      <c r="E947" t="s">
        <v>11</v>
      </c>
    </row>
    <row r="948" spans="1:6" x14ac:dyDescent="0.3">
      <c r="A948" t="s">
        <v>1817</v>
      </c>
      <c r="B948" t="s">
        <v>9</v>
      </c>
      <c r="C948" t="s">
        <v>28</v>
      </c>
      <c r="D948" t="s">
        <v>15</v>
      </c>
      <c r="E948" t="s">
        <v>20</v>
      </c>
      <c r="F948" t="s">
        <v>117</v>
      </c>
    </row>
    <row r="949" spans="1:6" hidden="1" x14ac:dyDescent="0.3">
      <c r="A949" t="s">
        <v>1818</v>
      </c>
      <c r="B949" t="s">
        <v>11</v>
      </c>
      <c r="E949" t="s">
        <v>11</v>
      </c>
    </row>
    <row r="950" spans="1:6" hidden="1" x14ac:dyDescent="0.3">
      <c r="A950" t="s">
        <v>1819</v>
      </c>
      <c r="B950" t="s">
        <v>11</v>
      </c>
      <c r="E950" t="s">
        <v>11</v>
      </c>
    </row>
    <row r="951" spans="1:6" hidden="1" x14ac:dyDescent="0.3">
      <c r="A951" t="s">
        <v>1820</v>
      </c>
      <c r="B951" t="s">
        <v>9</v>
      </c>
      <c r="C951" t="s">
        <v>51</v>
      </c>
      <c r="E951" t="s">
        <v>11</v>
      </c>
    </row>
    <row r="952" spans="1:6" hidden="1" x14ac:dyDescent="0.3">
      <c r="A952" t="s">
        <v>1821</v>
      </c>
      <c r="B952" t="s">
        <v>13</v>
      </c>
      <c r="C952" t="s">
        <v>1822</v>
      </c>
      <c r="D952" t="s">
        <v>15</v>
      </c>
      <c r="E952" t="s">
        <v>16</v>
      </c>
      <c r="F952" t="s">
        <v>1823</v>
      </c>
    </row>
    <row r="953" spans="1:6" x14ac:dyDescent="0.3">
      <c r="A953" t="s">
        <v>1824</v>
      </c>
      <c r="B953" t="s">
        <v>9</v>
      </c>
      <c r="C953" t="s">
        <v>1825</v>
      </c>
      <c r="E953" t="s">
        <v>20</v>
      </c>
      <c r="F953" t="s">
        <v>1826</v>
      </c>
    </row>
    <row r="954" spans="1:6" hidden="1" x14ac:dyDescent="0.3">
      <c r="A954" t="s">
        <v>1827</v>
      </c>
      <c r="B954" t="s">
        <v>11</v>
      </c>
      <c r="E954" t="s">
        <v>11</v>
      </c>
    </row>
    <row r="955" spans="1:6" x14ac:dyDescent="0.3">
      <c r="A955" t="s">
        <v>1828</v>
      </c>
      <c r="B955" t="s">
        <v>13</v>
      </c>
      <c r="C955" t="s">
        <v>1829</v>
      </c>
      <c r="E955" t="s">
        <v>20</v>
      </c>
      <c r="F955" t="s">
        <v>135</v>
      </c>
    </row>
    <row r="956" spans="1:6" hidden="1" x14ac:dyDescent="0.3">
      <c r="A956" t="s">
        <v>1830</v>
      </c>
      <c r="B956" t="s">
        <v>11</v>
      </c>
      <c r="E956" t="s">
        <v>11</v>
      </c>
    </row>
    <row r="957" spans="1:6" x14ac:dyDescent="0.3">
      <c r="A957" t="s">
        <v>1831</v>
      </c>
      <c r="B957" t="s">
        <v>13</v>
      </c>
      <c r="C957" t="s">
        <v>1832</v>
      </c>
      <c r="E957" t="s">
        <v>20</v>
      </c>
      <c r="F957" t="s">
        <v>21</v>
      </c>
    </row>
    <row r="958" spans="1:6" hidden="1" x14ac:dyDescent="0.3">
      <c r="A958" t="s">
        <v>1833</v>
      </c>
      <c r="B958" t="s">
        <v>13</v>
      </c>
      <c r="C958" t="s">
        <v>211</v>
      </c>
      <c r="E958" t="s">
        <v>11</v>
      </c>
    </row>
    <row r="959" spans="1:6" x14ac:dyDescent="0.3">
      <c r="A959" t="s">
        <v>1834</v>
      </c>
      <c r="B959" t="s">
        <v>13</v>
      </c>
      <c r="C959" t="s">
        <v>573</v>
      </c>
      <c r="D959" t="s">
        <v>15</v>
      </c>
      <c r="E959" t="s">
        <v>20</v>
      </c>
      <c r="F959" t="s">
        <v>1835</v>
      </c>
    </row>
    <row r="960" spans="1:6" hidden="1" x14ac:dyDescent="0.3">
      <c r="A960" t="s">
        <v>1836</v>
      </c>
      <c r="B960" t="s">
        <v>11</v>
      </c>
      <c r="E960" t="s">
        <v>11</v>
      </c>
    </row>
    <row r="961" spans="1:8" hidden="1" x14ac:dyDescent="0.3">
      <c r="A961" t="s">
        <v>1837</v>
      </c>
      <c r="B961" t="s">
        <v>9</v>
      </c>
      <c r="C961" t="s">
        <v>1838</v>
      </c>
      <c r="D961" t="s">
        <v>15</v>
      </c>
      <c r="E961" t="s">
        <v>54</v>
      </c>
      <c r="F961" t="s">
        <v>1839</v>
      </c>
    </row>
    <row r="962" spans="1:8" x14ac:dyDescent="0.3">
      <c r="A962" t="s">
        <v>1840</v>
      </c>
      <c r="B962" t="s">
        <v>13</v>
      </c>
      <c r="C962" t="s">
        <v>1841</v>
      </c>
      <c r="E962" t="s">
        <v>20</v>
      </c>
      <c r="F962" t="s">
        <v>1842</v>
      </c>
    </row>
    <row r="963" spans="1:8" x14ac:dyDescent="0.3">
      <c r="A963" t="s">
        <v>1843</v>
      </c>
      <c r="B963" t="s">
        <v>13</v>
      </c>
      <c r="C963" t="s">
        <v>1844</v>
      </c>
      <c r="E963" t="s">
        <v>20</v>
      </c>
      <c r="F963" t="s">
        <v>135</v>
      </c>
    </row>
    <row r="964" spans="1:8" hidden="1" x14ac:dyDescent="0.3">
      <c r="A964" t="s">
        <v>1845</v>
      </c>
      <c r="B964" t="s">
        <v>9</v>
      </c>
      <c r="C964" t="s">
        <v>28</v>
      </c>
      <c r="D964" t="s">
        <v>15</v>
      </c>
      <c r="E964" t="s">
        <v>16</v>
      </c>
      <c r="F964" t="s">
        <v>45</v>
      </c>
    </row>
    <row r="965" spans="1:8" hidden="1" x14ac:dyDescent="0.3">
      <c r="A965" t="s">
        <v>1846</v>
      </c>
      <c r="B965" t="s">
        <v>9</v>
      </c>
      <c r="C965" t="s">
        <v>28</v>
      </c>
      <c r="D965" t="s">
        <v>15</v>
      </c>
      <c r="E965" t="s">
        <v>11</v>
      </c>
    </row>
    <row r="966" spans="1:8" hidden="1" x14ac:dyDescent="0.3">
      <c r="A966" t="s">
        <v>1847</v>
      </c>
      <c r="B966" t="s">
        <v>9</v>
      </c>
      <c r="C966" t="s">
        <v>1848</v>
      </c>
      <c r="E966" t="s">
        <v>11</v>
      </c>
    </row>
    <row r="967" spans="1:8" x14ac:dyDescent="0.3">
      <c r="A967" t="s">
        <v>1849</v>
      </c>
      <c r="B967" t="s">
        <v>9</v>
      </c>
      <c r="C967" t="s">
        <v>1850</v>
      </c>
      <c r="D967" t="s">
        <v>15</v>
      </c>
      <c r="E967" t="s">
        <v>20</v>
      </c>
      <c r="F967" t="s">
        <v>1851</v>
      </c>
    </row>
    <row r="968" spans="1:8" hidden="1" x14ac:dyDescent="0.3">
      <c r="A968" t="s">
        <v>1852</v>
      </c>
      <c r="B968" t="s">
        <v>11</v>
      </c>
      <c r="E968" t="s">
        <v>11</v>
      </c>
    </row>
    <row r="969" spans="1:8" hidden="1" x14ac:dyDescent="0.3">
      <c r="A969" t="s">
        <v>1853</v>
      </c>
      <c r="B969" t="s">
        <v>9</v>
      </c>
      <c r="C969" t="s">
        <v>1854</v>
      </c>
      <c r="E969" t="s">
        <v>11</v>
      </c>
    </row>
    <row r="970" spans="1:8" hidden="1" x14ac:dyDescent="0.3">
      <c r="A970" t="s">
        <v>1855</v>
      </c>
      <c r="B970" t="s">
        <v>9</v>
      </c>
      <c r="C970" t="s">
        <v>28</v>
      </c>
      <c r="D970" t="s">
        <v>15</v>
      </c>
      <c r="E970" t="s">
        <v>11</v>
      </c>
    </row>
    <row r="971" spans="1:8" hidden="1" x14ac:dyDescent="0.3">
      <c r="A971" t="s">
        <v>1856</v>
      </c>
      <c r="B971" t="s">
        <v>9</v>
      </c>
      <c r="C971" t="s">
        <v>1857</v>
      </c>
      <c r="D971" t="s">
        <v>15</v>
      </c>
      <c r="E971" t="s">
        <v>16</v>
      </c>
      <c r="F971" t="s">
        <v>1858</v>
      </c>
      <c r="G971" t="s">
        <v>15</v>
      </c>
      <c r="H971" t="s">
        <v>1859</v>
      </c>
    </row>
    <row r="972" spans="1:8" hidden="1" x14ac:dyDescent="0.3">
      <c r="A972" t="s">
        <v>1860</v>
      </c>
      <c r="B972" t="s">
        <v>9</v>
      </c>
      <c r="C972" t="s">
        <v>28</v>
      </c>
      <c r="E972" t="s">
        <v>11</v>
      </c>
    </row>
    <row r="973" spans="1:8" x14ac:dyDescent="0.3">
      <c r="A973" t="s">
        <v>1861</v>
      </c>
      <c r="B973" t="s">
        <v>9</v>
      </c>
      <c r="C973" t="s">
        <v>28</v>
      </c>
      <c r="E973" t="s">
        <v>20</v>
      </c>
      <c r="F973" t="s">
        <v>135</v>
      </c>
    </row>
    <row r="974" spans="1:8" hidden="1" x14ac:dyDescent="0.3">
      <c r="A974" t="s">
        <v>1862</v>
      </c>
      <c r="B974" t="s">
        <v>9</v>
      </c>
      <c r="C974" t="s">
        <v>1863</v>
      </c>
      <c r="D974" t="s">
        <v>15</v>
      </c>
      <c r="E974" t="s">
        <v>11</v>
      </c>
    </row>
    <row r="975" spans="1:8" hidden="1" x14ac:dyDescent="0.3">
      <c r="A975" t="s">
        <v>1864</v>
      </c>
      <c r="B975" t="s">
        <v>9</v>
      </c>
      <c r="C975" t="s">
        <v>1865</v>
      </c>
      <c r="D975" t="s">
        <v>15</v>
      </c>
      <c r="E975" t="s">
        <v>11</v>
      </c>
    </row>
    <row r="976" spans="1:8" hidden="1" x14ac:dyDescent="0.3">
      <c r="A976" t="s">
        <v>1866</v>
      </c>
      <c r="B976" t="s">
        <v>9</v>
      </c>
      <c r="C976" t="s">
        <v>1867</v>
      </c>
      <c r="E976" t="s">
        <v>54</v>
      </c>
      <c r="F976" t="s">
        <v>1868</v>
      </c>
    </row>
    <row r="977" spans="1:6" hidden="1" x14ac:dyDescent="0.3">
      <c r="A977" t="s">
        <v>1869</v>
      </c>
      <c r="B977" t="s">
        <v>11</v>
      </c>
      <c r="E977" t="s">
        <v>11</v>
      </c>
    </row>
    <row r="978" spans="1:6" hidden="1" x14ac:dyDescent="0.3">
      <c r="A978" t="s">
        <v>1870</v>
      </c>
      <c r="B978" t="s">
        <v>9</v>
      </c>
      <c r="C978" t="s">
        <v>1871</v>
      </c>
      <c r="D978" t="s">
        <v>15</v>
      </c>
      <c r="E978" t="s">
        <v>11</v>
      </c>
    </row>
    <row r="979" spans="1:6" hidden="1" x14ac:dyDescent="0.3">
      <c r="A979" t="s">
        <v>1872</v>
      </c>
      <c r="B979" t="s">
        <v>9</v>
      </c>
      <c r="C979" t="s">
        <v>1873</v>
      </c>
      <c r="E979" t="s">
        <v>54</v>
      </c>
      <c r="F979" t="s">
        <v>1874</v>
      </c>
    </row>
    <row r="980" spans="1:6" hidden="1" x14ac:dyDescent="0.3">
      <c r="A980" t="s">
        <v>1875</v>
      </c>
      <c r="B980" t="s">
        <v>13</v>
      </c>
      <c r="C980" t="s">
        <v>1876</v>
      </c>
      <c r="D980" t="s">
        <v>15</v>
      </c>
      <c r="E980" t="s">
        <v>54</v>
      </c>
      <c r="F980" t="s">
        <v>1877</v>
      </c>
    </row>
    <row r="981" spans="1:6" hidden="1" x14ac:dyDescent="0.3">
      <c r="A981" t="s">
        <v>1878</v>
      </c>
      <c r="B981" t="s">
        <v>9</v>
      </c>
      <c r="C981" t="s">
        <v>28</v>
      </c>
      <c r="D981" t="s">
        <v>15</v>
      </c>
      <c r="E981" t="s">
        <v>54</v>
      </c>
      <c r="F981" t="s">
        <v>1879</v>
      </c>
    </row>
    <row r="982" spans="1:6" hidden="1" x14ac:dyDescent="0.3">
      <c r="A982" t="s">
        <v>1880</v>
      </c>
      <c r="B982" t="s">
        <v>13</v>
      </c>
      <c r="C982" t="s">
        <v>1881</v>
      </c>
      <c r="E982" t="s">
        <v>11</v>
      </c>
    </row>
    <row r="983" spans="1:6" hidden="1" x14ac:dyDescent="0.3">
      <c r="A983" t="s">
        <v>1882</v>
      </c>
      <c r="B983" t="s">
        <v>9</v>
      </c>
      <c r="C983" t="s">
        <v>28</v>
      </c>
      <c r="E983" t="s">
        <v>11</v>
      </c>
    </row>
    <row r="984" spans="1:6" hidden="1" x14ac:dyDescent="0.3">
      <c r="A984" t="s">
        <v>1883</v>
      </c>
      <c r="B984" t="s">
        <v>9</v>
      </c>
      <c r="C984" t="s">
        <v>1884</v>
      </c>
      <c r="D984" t="s">
        <v>15</v>
      </c>
      <c r="E984" t="s">
        <v>54</v>
      </c>
      <c r="F984" t="s">
        <v>1885</v>
      </c>
    </row>
    <row r="985" spans="1:6" x14ac:dyDescent="0.3">
      <c r="A985" t="s">
        <v>1886</v>
      </c>
      <c r="B985" t="s">
        <v>9</v>
      </c>
      <c r="C985" t="s">
        <v>1887</v>
      </c>
      <c r="E985" t="s">
        <v>20</v>
      </c>
      <c r="F985" t="s">
        <v>21</v>
      </c>
    </row>
    <row r="986" spans="1:6" hidden="1" x14ac:dyDescent="0.3">
      <c r="A986" t="s">
        <v>1888</v>
      </c>
      <c r="B986" t="s">
        <v>417</v>
      </c>
      <c r="C986" t="s">
        <v>1889</v>
      </c>
      <c r="D986" t="s">
        <v>15</v>
      </c>
      <c r="E986" t="s">
        <v>54</v>
      </c>
      <c r="F986" t="s">
        <v>1890</v>
      </c>
    </row>
    <row r="987" spans="1:6" hidden="1" x14ac:dyDescent="0.3">
      <c r="A987" t="s">
        <v>1891</v>
      </c>
      <c r="B987" t="s">
        <v>9</v>
      </c>
      <c r="C987" t="s">
        <v>1892</v>
      </c>
      <c r="D987" t="s">
        <v>15</v>
      </c>
      <c r="E987" t="s">
        <v>54</v>
      </c>
      <c r="F987" t="s">
        <v>1893</v>
      </c>
    </row>
    <row r="988" spans="1:6" x14ac:dyDescent="0.3">
      <c r="A988" t="s">
        <v>1894</v>
      </c>
      <c r="B988" t="s">
        <v>9</v>
      </c>
      <c r="C988" t="s">
        <v>28</v>
      </c>
      <c r="E988" t="s">
        <v>20</v>
      </c>
      <c r="F988" t="s">
        <v>21</v>
      </c>
    </row>
    <row r="989" spans="1:6" hidden="1" x14ac:dyDescent="0.3">
      <c r="A989" t="s">
        <v>1895</v>
      </c>
      <c r="B989" t="s">
        <v>9</v>
      </c>
      <c r="C989" t="s">
        <v>1896</v>
      </c>
      <c r="D989" t="s">
        <v>15</v>
      </c>
      <c r="E989" t="s">
        <v>11</v>
      </c>
    </row>
    <row r="990" spans="1:6" hidden="1" x14ac:dyDescent="0.3">
      <c r="A990" t="s">
        <v>1897</v>
      </c>
      <c r="B990" t="s">
        <v>13</v>
      </c>
      <c r="C990" t="s">
        <v>112</v>
      </c>
      <c r="D990" t="s">
        <v>15</v>
      </c>
      <c r="E990" t="s">
        <v>54</v>
      </c>
      <c r="F990" t="s">
        <v>113</v>
      </c>
    </row>
    <row r="991" spans="1:6" hidden="1" x14ac:dyDescent="0.3">
      <c r="A991" t="s">
        <v>1898</v>
      </c>
      <c r="B991" t="s">
        <v>9</v>
      </c>
      <c r="C991" t="s">
        <v>1899</v>
      </c>
      <c r="E991" t="s">
        <v>54</v>
      </c>
      <c r="F991" t="s">
        <v>1900</v>
      </c>
    </row>
    <row r="992" spans="1:6" hidden="1" x14ac:dyDescent="0.3">
      <c r="A992" t="s">
        <v>1901</v>
      </c>
      <c r="B992" t="s">
        <v>9</v>
      </c>
      <c r="C992" t="s">
        <v>1902</v>
      </c>
      <c r="D992" t="s">
        <v>15</v>
      </c>
      <c r="E992" t="s">
        <v>16</v>
      </c>
      <c r="F992" t="s">
        <v>1903</v>
      </c>
    </row>
    <row r="993" spans="1:6" hidden="1" x14ac:dyDescent="0.3">
      <c r="A993" t="s">
        <v>1904</v>
      </c>
      <c r="B993" t="s">
        <v>11</v>
      </c>
      <c r="E993" t="s">
        <v>11</v>
      </c>
    </row>
    <row r="994" spans="1:6" hidden="1" x14ac:dyDescent="0.3">
      <c r="A994" t="s">
        <v>1905</v>
      </c>
      <c r="B994" t="s">
        <v>9</v>
      </c>
      <c r="C994" t="s">
        <v>1906</v>
      </c>
      <c r="D994" t="s">
        <v>15</v>
      </c>
      <c r="E994" t="s">
        <v>16</v>
      </c>
      <c r="F994" t="s">
        <v>88</v>
      </c>
    </row>
    <row r="995" spans="1:6" x14ac:dyDescent="0.3">
      <c r="A995" t="s">
        <v>1907</v>
      </c>
      <c r="B995" t="s">
        <v>13</v>
      </c>
      <c r="C995" t="s">
        <v>1747</v>
      </c>
      <c r="D995" t="s">
        <v>15</v>
      </c>
      <c r="E995" t="s">
        <v>20</v>
      </c>
      <c r="F995" t="s">
        <v>1908</v>
      </c>
    </row>
    <row r="996" spans="1:6" hidden="1" x14ac:dyDescent="0.3">
      <c r="A996" t="s">
        <v>1909</v>
      </c>
      <c r="B996" t="s">
        <v>9</v>
      </c>
      <c r="C996" t="s">
        <v>28</v>
      </c>
      <c r="E996" t="s">
        <v>11</v>
      </c>
    </row>
    <row r="997" spans="1:6" hidden="1" x14ac:dyDescent="0.3">
      <c r="A997" t="s">
        <v>1910</v>
      </c>
      <c r="B997" t="s">
        <v>13</v>
      </c>
      <c r="C997" t="s">
        <v>1911</v>
      </c>
      <c r="E997" t="s">
        <v>11</v>
      </c>
    </row>
    <row r="998" spans="1:6" hidden="1" x14ac:dyDescent="0.3">
      <c r="A998" t="s">
        <v>1912</v>
      </c>
      <c r="B998" t="s">
        <v>13</v>
      </c>
      <c r="C998" t="s">
        <v>1913</v>
      </c>
      <c r="D998" t="s">
        <v>15</v>
      </c>
      <c r="E998" t="s">
        <v>11</v>
      </c>
    </row>
    <row r="999" spans="1:6" hidden="1" x14ac:dyDescent="0.3">
      <c r="A999" t="s">
        <v>1914</v>
      </c>
      <c r="B999" t="s">
        <v>13</v>
      </c>
      <c r="C999" t="s">
        <v>1915</v>
      </c>
      <c r="E999" t="s">
        <v>11</v>
      </c>
    </row>
    <row r="1000" spans="1:6" hidden="1" x14ac:dyDescent="0.3">
      <c r="A1000" t="s">
        <v>1916</v>
      </c>
      <c r="B1000" t="s">
        <v>9</v>
      </c>
      <c r="C1000" t="s">
        <v>1917</v>
      </c>
      <c r="D1000" t="s">
        <v>15</v>
      </c>
      <c r="E1000" t="s">
        <v>16</v>
      </c>
      <c r="F1000" t="s">
        <v>817</v>
      </c>
    </row>
    <row r="1001" spans="1:6" hidden="1" x14ac:dyDescent="0.3">
      <c r="A1001" t="s">
        <v>1918</v>
      </c>
      <c r="B1001" t="s">
        <v>9</v>
      </c>
      <c r="C1001" t="s">
        <v>1919</v>
      </c>
      <c r="E1001" t="s">
        <v>11</v>
      </c>
    </row>
    <row r="1002" spans="1:6" x14ac:dyDescent="0.3">
      <c r="A1002" t="s">
        <v>1920</v>
      </c>
      <c r="B1002" t="s">
        <v>9</v>
      </c>
      <c r="C1002" t="s">
        <v>1921</v>
      </c>
      <c r="E1002" t="s">
        <v>20</v>
      </c>
      <c r="F1002" t="s">
        <v>1922</v>
      </c>
    </row>
    <row r="1003" spans="1:6" hidden="1" x14ac:dyDescent="0.3">
      <c r="A1003" t="s">
        <v>1923</v>
      </c>
      <c r="B1003" t="s">
        <v>9</v>
      </c>
      <c r="C1003" t="s">
        <v>1924</v>
      </c>
      <c r="D1003" t="s">
        <v>15</v>
      </c>
      <c r="E1003" t="s">
        <v>54</v>
      </c>
      <c r="F1003" t="s">
        <v>1925</v>
      </c>
    </row>
    <row r="1004" spans="1:6" hidden="1" x14ac:dyDescent="0.3">
      <c r="A1004" t="s">
        <v>1926</v>
      </c>
      <c r="B1004" t="s">
        <v>13</v>
      </c>
      <c r="C1004" t="s">
        <v>1927</v>
      </c>
      <c r="D1004" t="s">
        <v>15</v>
      </c>
      <c r="E1004" t="s">
        <v>54</v>
      </c>
      <c r="F1004" t="s">
        <v>1928</v>
      </c>
    </row>
    <row r="1005" spans="1:6" x14ac:dyDescent="0.3">
      <c r="A1005" t="s">
        <v>1929</v>
      </c>
      <c r="B1005" t="s">
        <v>9</v>
      </c>
      <c r="C1005" t="s">
        <v>1930</v>
      </c>
      <c r="E1005" t="s">
        <v>20</v>
      </c>
      <c r="F1005" t="s">
        <v>21</v>
      </c>
    </row>
    <row r="1006" spans="1:6" hidden="1" x14ac:dyDescent="0.3">
      <c r="A1006" t="s">
        <v>1931</v>
      </c>
      <c r="B1006" t="s">
        <v>9</v>
      </c>
      <c r="C1006" t="s">
        <v>1932</v>
      </c>
      <c r="D1006" t="s">
        <v>15</v>
      </c>
      <c r="E1006" t="s">
        <v>11</v>
      </c>
    </row>
    <row r="1007" spans="1:6" hidden="1" x14ac:dyDescent="0.3">
      <c r="A1007" t="s">
        <v>1933</v>
      </c>
      <c r="B1007" t="s">
        <v>13</v>
      </c>
      <c r="C1007" t="s">
        <v>1934</v>
      </c>
      <c r="E1007" t="s">
        <v>11</v>
      </c>
    </row>
    <row r="1008" spans="1:6" hidden="1" x14ac:dyDescent="0.3">
      <c r="A1008" t="s">
        <v>1935</v>
      </c>
      <c r="B1008" t="s">
        <v>13</v>
      </c>
      <c r="C1008" t="s">
        <v>1936</v>
      </c>
      <c r="E1008" t="s">
        <v>11</v>
      </c>
    </row>
    <row r="1009" spans="1:6" x14ac:dyDescent="0.3">
      <c r="A1009" t="s">
        <v>1937</v>
      </c>
      <c r="B1009" t="s">
        <v>9</v>
      </c>
      <c r="C1009" t="s">
        <v>1938</v>
      </c>
      <c r="E1009" t="s">
        <v>20</v>
      </c>
      <c r="F1009" t="s">
        <v>21</v>
      </c>
    </row>
    <row r="1010" spans="1:6" hidden="1" x14ac:dyDescent="0.3">
      <c r="A1010" t="s">
        <v>1939</v>
      </c>
      <c r="B1010" t="s">
        <v>11</v>
      </c>
      <c r="E1010" t="s">
        <v>11</v>
      </c>
    </row>
    <row r="1011" spans="1:6" hidden="1" x14ac:dyDescent="0.3">
      <c r="A1011" t="s">
        <v>1940</v>
      </c>
      <c r="B1011" t="s">
        <v>11</v>
      </c>
      <c r="E1011" t="s">
        <v>11</v>
      </c>
    </row>
    <row r="1012" spans="1:6" hidden="1" x14ac:dyDescent="0.3">
      <c r="A1012" t="s">
        <v>1941</v>
      </c>
      <c r="B1012" t="s">
        <v>9</v>
      </c>
      <c r="C1012" t="s">
        <v>1942</v>
      </c>
      <c r="D1012" t="s">
        <v>15</v>
      </c>
      <c r="E1012" t="s">
        <v>11</v>
      </c>
    </row>
    <row r="1013" spans="1:6" hidden="1" x14ac:dyDescent="0.3">
      <c r="A1013" t="s">
        <v>1943</v>
      </c>
      <c r="B1013" t="s">
        <v>9</v>
      </c>
      <c r="C1013" t="s">
        <v>461</v>
      </c>
      <c r="E1013" t="s">
        <v>11</v>
      </c>
    </row>
    <row r="1014" spans="1:6" x14ac:dyDescent="0.3">
      <c r="A1014" t="s">
        <v>1944</v>
      </c>
      <c r="B1014" t="s">
        <v>9</v>
      </c>
      <c r="C1014" t="s">
        <v>1945</v>
      </c>
      <c r="D1014" t="s">
        <v>15</v>
      </c>
      <c r="E1014" t="s">
        <v>20</v>
      </c>
      <c r="F1014" t="s">
        <v>21</v>
      </c>
    </row>
    <row r="1015" spans="1:6" hidden="1" x14ac:dyDescent="0.3">
      <c r="A1015" t="s">
        <v>1946</v>
      </c>
      <c r="B1015" t="s">
        <v>11</v>
      </c>
      <c r="E1015" t="s">
        <v>11</v>
      </c>
    </row>
    <row r="1016" spans="1:6" hidden="1" x14ac:dyDescent="0.3">
      <c r="A1016" t="s">
        <v>1947</v>
      </c>
      <c r="B1016" t="s">
        <v>11</v>
      </c>
      <c r="E1016" t="s">
        <v>11</v>
      </c>
    </row>
    <row r="1017" spans="1:6" hidden="1" x14ac:dyDescent="0.3">
      <c r="A1017" t="s">
        <v>1948</v>
      </c>
      <c r="B1017" t="s">
        <v>9</v>
      </c>
      <c r="C1017" t="s">
        <v>1949</v>
      </c>
      <c r="E1017" t="s">
        <v>11</v>
      </c>
    </row>
    <row r="1018" spans="1:6" x14ac:dyDescent="0.3">
      <c r="A1018" t="s">
        <v>1950</v>
      </c>
      <c r="B1018" t="s">
        <v>9</v>
      </c>
      <c r="C1018" t="s">
        <v>1951</v>
      </c>
      <c r="E1018" t="s">
        <v>20</v>
      </c>
      <c r="F1018" t="s">
        <v>21</v>
      </c>
    </row>
    <row r="1019" spans="1:6" hidden="1" x14ac:dyDescent="0.3">
      <c r="A1019" t="s">
        <v>1952</v>
      </c>
      <c r="B1019" t="s">
        <v>9</v>
      </c>
      <c r="C1019" t="s">
        <v>28</v>
      </c>
      <c r="E1019" t="s">
        <v>11</v>
      </c>
    </row>
    <row r="1020" spans="1:6" hidden="1" x14ac:dyDescent="0.3">
      <c r="A1020" t="s">
        <v>1953</v>
      </c>
      <c r="B1020" t="s">
        <v>13</v>
      </c>
      <c r="C1020" t="s">
        <v>1954</v>
      </c>
      <c r="D1020" t="s">
        <v>15</v>
      </c>
      <c r="E1020" t="s">
        <v>16</v>
      </c>
      <c r="F1020" t="s">
        <v>1955</v>
      </c>
    </row>
    <row r="1021" spans="1:6" x14ac:dyDescent="0.3">
      <c r="A1021" t="s">
        <v>1956</v>
      </c>
      <c r="B1021" t="s">
        <v>9</v>
      </c>
      <c r="C1021" t="s">
        <v>1957</v>
      </c>
      <c r="D1021" t="s">
        <v>15</v>
      </c>
      <c r="E1021" t="s">
        <v>20</v>
      </c>
      <c r="F1021" t="s">
        <v>1958</v>
      </c>
    </row>
    <row r="1022" spans="1:6" hidden="1" x14ac:dyDescent="0.3">
      <c r="A1022" t="s">
        <v>1959</v>
      </c>
      <c r="B1022" t="s">
        <v>13</v>
      </c>
      <c r="C1022" t="s">
        <v>1960</v>
      </c>
      <c r="E1022" t="s">
        <v>11</v>
      </c>
    </row>
    <row r="1023" spans="1:6" hidden="1" x14ac:dyDescent="0.3">
      <c r="A1023" t="s">
        <v>1961</v>
      </c>
      <c r="B1023" t="s">
        <v>13</v>
      </c>
      <c r="C1023" t="s">
        <v>1962</v>
      </c>
      <c r="E1023" t="s">
        <v>11</v>
      </c>
    </row>
    <row r="1024" spans="1:6" hidden="1" x14ac:dyDescent="0.3">
      <c r="A1024" t="s">
        <v>1963</v>
      </c>
      <c r="B1024" t="s">
        <v>9</v>
      </c>
      <c r="C1024" t="s">
        <v>28</v>
      </c>
      <c r="D1024" t="s">
        <v>15</v>
      </c>
      <c r="E1024" t="s">
        <v>54</v>
      </c>
      <c r="F1024" t="s">
        <v>971</v>
      </c>
    </row>
    <row r="1025" spans="1:6" hidden="1" x14ac:dyDescent="0.3">
      <c r="A1025" t="s">
        <v>1964</v>
      </c>
      <c r="B1025" t="s">
        <v>11</v>
      </c>
      <c r="E1025" t="s">
        <v>11</v>
      </c>
    </row>
    <row r="1026" spans="1:6" hidden="1" x14ac:dyDescent="0.3">
      <c r="A1026" t="s">
        <v>1965</v>
      </c>
      <c r="B1026" t="s">
        <v>11</v>
      </c>
      <c r="D1026" t="s">
        <v>15</v>
      </c>
      <c r="E1026" t="s">
        <v>11</v>
      </c>
    </row>
    <row r="1027" spans="1:6" hidden="1" x14ac:dyDescent="0.3">
      <c r="A1027" t="s">
        <v>1966</v>
      </c>
      <c r="B1027" t="s">
        <v>13</v>
      </c>
      <c r="C1027" t="s">
        <v>1967</v>
      </c>
      <c r="E1027" t="s">
        <v>11</v>
      </c>
    </row>
    <row r="1028" spans="1:6" x14ac:dyDescent="0.3">
      <c r="A1028" t="s">
        <v>1968</v>
      </c>
      <c r="B1028" t="s">
        <v>13</v>
      </c>
      <c r="C1028" t="s">
        <v>1969</v>
      </c>
      <c r="D1028" t="s">
        <v>15</v>
      </c>
      <c r="E1028" t="s">
        <v>20</v>
      </c>
      <c r="F1028" t="s">
        <v>135</v>
      </c>
    </row>
    <row r="1029" spans="1:6" hidden="1" x14ac:dyDescent="0.3">
      <c r="A1029" t="s">
        <v>1970</v>
      </c>
      <c r="B1029" t="s">
        <v>13</v>
      </c>
      <c r="C1029" t="s">
        <v>1971</v>
      </c>
      <c r="D1029" t="s">
        <v>15</v>
      </c>
      <c r="E1029" t="s">
        <v>11</v>
      </c>
    </row>
    <row r="1030" spans="1:6" x14ac:dyDescent="0.3">
      <c r="A1030" t="s">
        <v>1972</v>
      </c>
      <c r="B1030" t="s">
        <v>13</v>
      </c>
      <c r="C1030" t="s">
        <v>1973</v>
      </c>
      <c r="D1030" t="s">
        <v>15</v>
      </c>
      <c r="E1030" t="s">
        <v>20</v>
      </c>
      <c r="F1030" t="s">
        <v>1974</v>
      </c>
    </row>
    <row r="1031" spans="1:6" hidden="1" x14ac:dyDescent="0.3">
      <c r="A1031" t="s">
        <v>1975</v>
      </c>
      <c r="B1031" t="s">
        <v>11</v>
      </c>
      <c r="E1031" t="s">
        <v>11</v>
      </c>
    </row>
    <row r="1032" spans="1:6" hidden="1" x14ac:dyDescent="0.3">
      <c r="A1032" t="s">
        <v>1976</v>
      </c>
      <c r="B1032" t="s">
        <v>9</v>
      </c>
      <c r="C1032" t="s">
        <v>28</v>
      </c>
      <c r="D1032" t="s">
        <v>15</v>
      </c>
      <c r="E1032" t="s">
        <v>11</v>
      </c>
    </row>
    <row r="1033" spans="1:6" hidden="1" x14ac:dyDescent="0.3">
      <c r="A1033" t="s">
        <v>1977</v>
      </c>
      <c r="B1033" t="s">
        <v>9</v>
      </c>
      <c r="C1033" t="s">
        <v>28</v>
      </c>
      <c r="E1033" t="s">
        <v>11</v>
      </c>
    </row>
    <row r="1034" spans="1:6" hidden="1" x14ac:dyDescent="0.3">
      <c r="A1034" t="s">
        <v>1978</v>
      </c>
      <c r="B1034" t="s">
        <v>13</v>
      </c>
      <c r="C1034" t="s">
        <v>1979</v>
      </c>
      <c r="D1034" t="s">
        <v>15</v>
      </c>
      <c r="E1034" t="s">
        <v>11</v>
      </c>
    </row>
    <row r="1035" spans="1:6" hidden="1" x14ac:dyDescent="0.3">
      <c r="A1035" t="s">
        <v>1980</v>
      </c>
      <c r="B1035" t="s">
        <v>13</v>
      </c>
      <c r="C1035" t="s">
        <v>245</v>
      </c>
      <c r="D1035" t="s">
        <v>15</v>
      </c>
      <c r="E1035" t="s">
        <v>11</v>
      </c>
    </row>
    <row r="1036" spans="1:6" hidden="1" x14ac:dyDescent="0.3">
      <c r="A1036" t="s">
        <v>1981</v>
      </c>
      <c r="B1036" t="s">
        <v>9</v>
      </c>
      <c r="C1036" t="s">
        <v>28</v>
      </c>
      <c r="E1036" t="s">
        <v>11</v>
      </c>
    </row>
    <row r="1037" spans="1:6" hidden="1" x14ac:dyDescent="0.3">
      <c r="A1037" t="s">
        <v>1982</v>
      </c>
      <c r="B1037" t="s">
        <v>13</v>
      </c>
      <c r="C1037" t="s">
        <v>1983</v>
      </c>
      <c r="D1037" t="s">
        <v>15</v>
      </c>
      <c r="E1037" t="s">
        <v>54</v>
      </c>
      <c r="F1037" t="s">
        <v>1984</v>
      </c>
    </row>
    <row r="1038" spans="1:6" hidden="1" x14ac:dyDescent="0.3">
      <c r="A1038" t="s">
        <v>1985</v>
      </c>
      <c r="B1038" t="s">
        <v>9</v>
      </c>
      <c r="C1038" t="s">
        <v>28</v>
      </c>
      <c r="E1038" t="s">
        <v>11</v>
      </c>
    </row>
    <row r="1039" spans="1:6" hidden="1" x14ac:dyDescent="0.3">
      <c r="A1039" t="s">
        <v>1986</v>
      </c>
      <c r="B1039" t="s">
        <v>9</v>
      </c>
      <c r="C1039" t="s">
        <v>28</v>
      </c>
      <c r="D1039" t="s">
        <v>15</v>
      </c>
      <c r="E1039" t="s">
        <v>11</v>
      </c>
    </row>
    <row r="1040" spans="1:6" hidden="1" x14ac:dyDescent="0.3">
      <c r="A1040" t="s">
        <v>1987</v>
      </c>
      <c r="B1040" t="s">
        <v>13</v>
      </c>
      <c r="C1040" t="s">
        <v>235</v>
      </c>
      <c r="E1040" t="s">
        <v>11</v>
      </c>
    </row>
    <row r="1041" spans="1:6" hidden="1" x14ac:dyDescent="0.3">
      <c r="A1041" t="s">
        <v>1988</v>
      </c>
      <c r="B1041" t="s">
        <v>9</v>
      </c>
      <c r="C1041" t="s">
        <v>1989</v>
      </c>
      <c r="D1041" t="s">
        <v>15</v>
      </c>
      <c r="E1041" t="s">
        <v>11</v>
      </c>
    </row>
    <row r="1042" spans="1:6" hidden="1" x14ac:dyDescent="0.3">
      <c r="A1042" t="s">
        <v>1990</v>
      </c>
      <c r="B1042" t="s">
        <v>11</v>
      </c>
      <c r="E1042" t="s">
        <v>11</v>
      </c>
    </row>
    <row r="1043" spans="1:6" hidden="1" x14ac:dyDescent="0.3">
      <c r="A1043" t="s">
        <v>1991</v>
      </c>
      <c r="B1043" t="s">
        <v>9</v>
      </c>
      <c r="C1043" t="s">
        <v>1992</v>
      </c>
      <c r="D1043" t="s">
        <v>15</v>
      </c>
      <c r="E1043" t="s">
        <v>16</v>
      </c>
      <c r="F1043" t="s">
        <v>1993</v>
      </c>
    </row>
    <row r="1044" spans="1:6" hidden="1" x14ac:dyDescent="0.3">
      <c r="A1044" t="s">
        <v>1994</v>
      </c>
      <c r="B1044" t="s">
        <v>13</v>
      </c>
      <c r="C1044" t="s">
        <v>1995</v>
      </c>
      <c r="D1044" t="s">
        <v>15</v>
      </c>
      <c r="E1044" t="s">
        <v>16</v>
      </c>
      <c r="F1044" t="s">
        <v>1996</v>
      </c>
    </row>
    <row r="1045" spans="1:6" hidden="1" x14ac:dyDescent="0.3">
      <c r="A1045" t="s">
        <v>1997</v>
      </c>
      <c r="B1045" t="s">
        <v>9</v>
      </c>
      <c r="C1045" t="s">
        <v>51</v>
      </c>
      <c r="E1045" t="s">
        <v>11</v>
      </c>
    </row>
    <row r="1046" spans="1:6" hidden="1" x14ac:dyDescent="0.3">
      <c r="A1046" t="s">
        <v>1998</v>
      </c>
      <c r="B1046" t="s">
        <v>11</v>
      </c>
      <c r="E1046" t="s">
        <v>11</v>
      </c>
    </row>
    <row r="1047" spans="1:6" hidden="1" x14ac:dyDescent="0.3">
      <c r="A1047" t="s">
        <v>1999</v>
      </c>
      <c r="B1047" t="s">
        <v>9</v>
      </c>
      <c r="C1047" t="s">
        <v>2000</v>
      </c>
      <c r="E1047" t="s">
        <v>16</v>
      </c>
      <c r="F1047" t="s">
        <v>2001</v>
      </c>
    </row>
    <row r="1048" spans="1:6" hidden="1" x14ac:dyDescent="0.3">
      <c r="A1048" t="s">
        <v>2002</v>
      </c>
      <c r="B1048" t="s">
        <v>13</v>
      </c>
      <c r="C1048" t="s">
        <v>2003</v>
      </c>
      <c r="D1048" t="s">
        <v>15</v>
      </c>
      <c r="E1048" t="s">
        <v>54</v>
      </c>
      <c r="F1048" t="s">
        <v>2004</v>
      </c>
    </row>
    <row r="1049" spans="1:6" hidden="1" x14ac:dyDescent="0.3">
      <c r="A1049" t="s">
        <v>2005</v>
      </c>
      <c r="B1049" t="s">
        <v>197</v>
      </c>
      <c r="C1049" t="s">
        <v>2006</v>
      </c>
      <c r="D1049" t="s">
        <v>15</v>
      </c>
      <c r="E1049" t="s">
        <v>54</v>
      </c>
      <c r="F1049" t="s">
        <v>2007</v>
      </c>
    </row>
    <row r="1050" spans="1:6" hidden="1" x14ac:dyDescent="0.3">
      <c r="A1050" t="s">
        <v>2008</v>
      </c>
      <c r="B1050" t="s">
        <v>11</v>
      </c>
      <c r="E1050" t="s">
        <v>11</v>
      </c>
    </row>
    <row r="1051" spans="1:6" hidden="1" x14ac:dyDescent="0.3">
      <c r="A1051" t="s">
        <v>2009</v>
      </c>
      <c r="B1051" t="s">
        <v>11</v>
      </c>
      <c r="E1051" t="s">
        <v>54</v>
      </c>
      <c r="F1051" t="s">
        <v>588</v>
      </c>
    </row>
    <row r="1052" spans="1:6" x14ac:dyDescent="0.3">
      <c r="A1052" t="s">
        <v>2010</v>
      </c>
      <c r="B1052" t="s">
        <v>9</v>
      </c>
      <c r="C1052" t="s">
        <v>2011</v>
      </c>
      <c r="D1052" t="s">
        <v>15</v>
      </c>
      <c r="E1052" t="s">
        <v>20</v>
      </c>
      <c r="F1052" t="s">
        <v>2012</v>
      </c>
    </row>
    <row r="1053" spans="1:6" hidden="1" x14ac:dyDescent="0.3">
      <c r="A1053" t="s">
        <v>2013</v>
      </c>
      <c r="B1053" t="s">
        <v>11</v>
      </c>
      <c r="E1053" t="s">
        <v>11</v>
      </c>
    </row>
    <row r="1054" spans="1:6" hidden="1" x14ac:dyDescent="0.3">
      <c r="A1054" t="s">
        <v>2014</v>
      </c>
      <c r="B1054" t="s">
        <v>9</v>
      </c>
      <c r="C1054" t="s">
        <v>2015</v>
      </c>
      <c r="D1054" t="s">
        <v>15</v>
      </c>
      <c r="E1054" t="s">
        <v>16</v>
      </c>
      <c r="F1054" t="s">
        <v>2016</v>
      </c>
    </row>
    <row r="1055" spans="1:6" hidden="1" x14ac:dyDescent="0.3">
      <c r="A1055" t="s">
        <v>2017</v>
      </c>
      <c r="B1055" t="s">
        <v>9</v>
      </c>
      <c r="C1055" t="s">
        <v>28</v>
      </c>
      <c r="E1055" t="s">
        <v>11</v>
      </c>
    </row>
    <row r="1056" spans="1:6" hidden="1" x14ac:dyDescent="0.3">
      <c r="A1056" t="s">
        <v>2018</v>
      </c>
      <c r="B1056" t="s">
        <v>13</v>
      </c>
      <c r="C1056" t="s">
        <v>2019</v>
      </c>
      <c r="E1056" t="s">
        <v>54</v>
      </c>
      <c r="F1056" t="s">
        <v>1036</v>
      </c>
    </row>
    <row r="1057" spans="1:6" hidden="1" x14ac:dyDescent="0.3">
      <c r="A1057" t="s">
        <v>2020</v>
      </c>
      <c r="B1057" t="s">
        <v>197</v>
      </c>
      <c r="C1057" t="s">
        <v>2021</v>
      </c>
      <c r="E1057" t="s">
        <v>11</v>
      </c>
    </row>
    <row r="1058" spans="1:6" x14ac:dyDescent="0.3">
      <c r="A1058" t="s">
        <v>2022</v>
      </c>
      <c r="B1058" t="s">
        <v>9</v>
      </c>
      <c r="C1058" t="s">
        <v>2023</v>
      </c>
      <c r="D1058" t="s">
        <v>15</v>
      </c>
      <c r="E1058" t="s">
        <v>20</v>
      </c>
      <c r="F1058" t="s">
        <v>2024</v>
      </c>
    </row>
    <row r="1059" spans="1:6" hidden="1" x14ac:dyDescent="0.3">
      <c r="A1059" t="s">
        <v>2025</v>
      </c>
      <c r="B1059" t="s">
        <v>13</v>
      </c>
      <c r="C1059" t="s">
        <v>2026</v>
      </c>
      <c r="D1059" t="s">
        <v>15</v>
      </c>
      <c r="E1059" t="s">
        <v>16</v>
      </c>
      <c r="F1059" t="s">
        <v>138</v>
      </c>
    </row>
    <row r="1060" spans="1:6" hidden="1" x14ac:dyDescent="0.3">
      <c r="A1060" t="s">
        <v>2027</v>
      </c>
      <c r="B1060" t="s">
        <v>9</v>
      </c>
      <c r="C1060" t="s">
        <v>28</v>
      </c>
      <c r="D1060" t="s">
        <v>15</v>
      </c>
      <c r="E1060" t="s">
        <v>11</v>
      </c>
    </row>
    <row r="1061" spans="1:6" hidden="1" x14ac:dyDescent="0.3">
      <c r="A1061" t="s">
        <v>2028</v>
      </c>
      <c r="B1061" t="s">
        <v>9</v>
      </c>
      <c r="C1061" t="s">
        <v>2029</v>
      </c>
      <c r="D1061" t="s">
        <v>15</v>
      </c>
      <c r="E1061" t="s">
        <v>54</v>
      </c>
      <c r="F1061" t="s">
        <v>2030</v>
      </c>
    </row>
    <row r="1062" spans="1:6" hidden="1" x14ac:dyDescent="0.3">
      <c r="A1062" t="s">
        <v>2031</v>
      </c>
      <c r="B1062" t="s">
        <v>11</v>
      </c>
      <c r="E1062" t="s">
        <v>11</v>
      </c>
    </row>
    <row r="1063" spans="1:6" hidden="1" x14ac:dyDescent="0.3">
      <c r="A1063" t="s">
        <v>2032</v>
      </c>
      <c r="B1063" t="s">
        <v>13</v>
      </c>
      <c r="C1063" t="s">
        <v>112</v>
      </c>
      <c r="D1063" t="s">
        <v>15</v>
      </c>
      <c r="E1063" t="s">
        <v>16</v>
      </c>
      <c r="F1063" t="s">
        <v>2033</v>
      </c>
    </row>
    <row r="1064" spans="1:6" hidden="1" x14ac:dyDescent="0.3">
      <c r="A1064" t="s">
        <v>2034</v>
      </c>
      <c r="B1064" t="s">
        <v>9</v>
      </c>
      <c r="C1064" t="s">
        <v>2035</v>
      </c>
      <c r="D1064" t="s">
        <v>15</v>
      </c>
      <c r="E1064" t="s">
        <v>11</v>
      </c>
    </row>
    <row r="1065" spans="1:6" hidden="1" x14ac:dyDescent="0.3">
      <c r="A1065" t="s">
        <v>2036</v>
      </c>
      <c r="B1065" t="s">
        <v>9</v>
      </c>
      <c r="C1065" t="s">
        <v>28</v>
      </c>
      <c r="E1065" t="s">
        <v>11</v>
      </c>
    </row>
    <row r="1066" spans="1:6" hidden="1" x14ac:dyDescent="0.3">
      <c r="A1066" t="s">
        <v>2037</v>
      </c>
      <c r="B1066" t="s">
        <v>9</v>
      </c>
      <c r="C1066" t="s">
        <v>28</v>
      </c>
      <c r="E1066" t="s">
        <v>11</v>
      </c>
    </row>
    <row r="1067" spans="1:6" hidden="1" x14ac:dyDescent="0.3">
      <c r="A1067" t="s">
        <v>2038</v>
      </c>
      <c r="B1067" t="s">
        <v>9</v>
      </c>
      <c r="C1067" t="s">
        <v>2039</v>
      </c>
      <c r="D1067" t="s">
        <v>15</v>
      </c>
      <c r="E1067" t="s">
        <v>11</v>
      </c>
    </row>
    <row r="1068" spans="1:6" x14ac:dyDescent="0.3">
      <c r="A1068" t="s">
        <v>2040</v>
      </c>
      <c r="B1068" t="s">
        <v>9</v>
      </c>
      <c r="C1068" t="s">
        <v>2041</v>
      </c>
      <c r="E1068" t="s">
        <v>20</v>
      </c>
      <c r="F1068" t="s">
        <v>2042</v>
      </c>
    </row>
    <row r="1069" spans="1:6" x14ac:dyDescent="0.3">
      <c r="A1069" t="s">
        <v>2043</v>
      </c>
      <c r="B1069" t="s">
        <v>9</v>
      </c>
      <c r="C1069" t="s">
        <v>28</v>
      </c>
      <c r="D1069" t="s">
        <v>15</v>
      </c>
      <c r="E1069" t="s">
        <v>20</v>
      </c>
      <c r="F1069" t="s">
        <v>21</v>
      </c>
    </row>
    <row r="1070" spans="1:6" hidden="1" x14ac:dyDescent="0.3">
      <c r="A1070" t="s">
        <v>2044</v>
      </c>
      <c r="B1070" t="s">
        <v>9</v>
      </c>
      <c r="C1070" t="s">
        <v>28</v>
      </c>
      <c r="E1070" t="s">
        <v>11</v>
      </c>
    </row>
    <row r="1071" spans="1:6" hidden="1" x14ac:dyDescent="0.3">
      <c r="A1071" t="s">
        <v>2045</v>
      </c>
      <c r="B1071" t="s">
        <v>13</v>
      </c>
      <c r="C1071" t="s">
        <v>2046</v>
      </c>
      <c r="D1071" t="s">
        <v>15</v>
      </c>
      <c r="E1071" t="s">
        <v>54</v>
      </c>
      <c r="F1071" t="s">
        <v>2047</v>
      </c>
    </row>
    <row r="1072" spans="1:6" hidden="1" x14ac:dyDescent="0.3">
      <c r="A1072" t="s">
        <v>2048</v>
      </c>
      <c r="B1072" t="s">
        <v>11</v>
      </c>
      <c r="E1072" t="s">
        <v>11</v>
      </c>
    </row>
    <row r="1073" spans="1:8" hidden="1" x14ac:dyDescent="0.3">
      <c r="A1073" t="s">
        <v>2049</v>
      </c>
      <c r="B1073" t="s">
        <v>13</v>
      </c>
      <c r="C1073" t="s">
        <v>2050</v>
      </c>
      <c r="D1073" t="s">
        <v>15</v>
      </c>
      <c r="E1073" t="s">
        <v>54</v>
      </c>
      <c r="F1073" t="s">
        <v>1036</v>
      </c>
      <c r="G1073" t="s">
        <v>15</v>
      </c>
      <c r="H1073" t="s">
        <v>2051</v>
      </c>
    </row>
    <row r="1074" spans="1:8" hidden="1" x14ac:dyDescent="0.3">
      <c r="A1074" t="s">
        <v>2052</v>
      </c>
      <c r="B1074" t="s">
        <v>13</v>
      </c>
      <c r="C1074" t="s">
        <v>2053</v>
      </c>
      <c r="E1074" t="s">
        <v>54</v>
      </c>
      <c r="F1074" t="s">
        <v>2054</v>
      </c>
    </row>
    <row r="1075" spans="1:8" hidden="1" x14ac:dyDescent="0.3">
      <c r="A1075" t="s">
        <v>2055</v>
      </c>
      <c r="B1075" t="s">
        <v>9</v>
      </c>
      <c r="C1075" t="s">
        <v>2056</v>
      </c>
      <c r="D1075" t="s">
        <v>15</v>
      </c>
      <c r="E1075" t="s">
        <v>54</v>
      </c>
      <c r="F1075" t="s">
        <v>1284</v>
      </c>
    </row>
    <row r="1076" spans="1:8" hidden="1" x14ac:dyDescent="0.3">
      <c r="A1076" t="s">
        <v>2057</v>
      </c>
      <c r="B1076" t="s">
        <v>13</v>
      </c>
      <c r="C1076" t="s">
        <v>2058</v>
      </c>
      <c r="D1076" t="s">
        <v>15</v>
      </c>
      <c r="E1076" t="s">
        <v>11</v>
      </c>
    </row>
    <row r="1077" spans="1:8" hidden="1" x14ac:dyDescent="0.3">
      <c r="A1077" t="s">
        <v>2059</v>
      </c>
      <c r="B1077" t="s">
        <v>9</v>
      </c>
      <c r="C1077" t="s">
        <v>2060</v>
      </c>
      <c r="E1077" t="s">
        <v>11</v>
      </c>
    </row>
    <row r="1078" spans="1:8" hidden="1" x14ac:dyDescent="0.3">
      <c r="A1078" t="s">
        <v>2061</v>
      </c>
      <c r="B1078" t="s">
        <v>13</v>
      </c>
      <c r="C1078" t="s">
        <v>2062</v>
      </c>
      <c r="E1078" t="s">
        <v>11</v>
      </c>
    </row>
    <row r="1079" spans="1:8" hidden="1" x14ac:dyDescent="0.3">
      <c r="A1079" t="s">
        <v>2063</v>
      </c>
      <c r="B1079" t="s">
        <v>11</v>
      </c>
      <c r="E1079" t="s">
        <v>11</v>
      </c>
    </row>
    <row r="1080" spans="1:8" hidden="1" x14ac:dyDescent="0.3">
      <c r="A1080" t="s">
        <v>2064</v>
      </c>
      <c r="B1080" t="s">
        <v>11</v>
      </c>
      <c r="E1080" t="s">
        <v>11</v>
      </c>
    </row>
    <row r="1081" spans="1:8" hidden="1" x14ac:dyDescent="0.3">
      <c r="A1081" t="s">
        <v>2065</v>
      </c>
      <c r="B1081" t="s">
        <v>9</v>
      </c>
      <c r="C1081" t="s">
        <v>2066</v>
      </c>
      <c r="D1081" t="s">
        <v>15</v>
      </c>
      <c r="E1081" t="s">
        <v>54</v>
      </c>
      <c r="F1081" t="s">
        <v>2067</v>
      </c>
    </row>
    <row r="1082" spans="1:8" hidden="1" x14ac:dyDescent="0.3">
      <c r="A1082" t="s">
        <v>2068</v>
      </c>
      <c r="B1082" t="s">
        <v>11</v>
      </c>
      <c r="E1082" t="s">
        <v>11</v>
      </c>
    </row>
    <row r="1083" spans="1:8" hidden="1" x14ac:dyDescent="0.3">
      <c r="A1083" t="s">
        <v>2069</v>
      </c>
      <c r="B1083" t="s">
        <v>9</v>
      </c>
      <c r="C1083" t="s">
        <v>2070</v>
      </c>
      <c r="D1083" t="s">
        <v>15</v>
      </c>
      <c r="E1083" t="s">
        <v>16</v>
      </c>
      <c r="F1083" t="s">
        <v>2071</v>
      </c>
    </row>
    <row r="1084" spans="1:8" hidden="1" x14ac:dyDescent="0.3">
      <c r="A1084" t="s">
        <v>2072</v>
      </c>
      <c r="B1084" t="s">
        <v>9</v>
      </c>
      <c r="C1084" t="s">
        <v>28</v>
      </c>
      <c r="E1084" t="s">
        <v>11</v>
      </c>
    </row>
    <row r="1085" spans="1:8" hidden="1" x14ac:dyDescent="0.3">
      <c r="A1085" t="s">
        <v>2073</v>
      </c>
      <c r="B1085" t="s">
        <v>11</v>
      </c>
      <c r="E1085" t="s">
        <v>11</v>
      </c>
    </row>
    <row r="1086" spans="1:8" hidden="1" x14ac:dyDescent="0.3">
      <c r="A1086" t="s">
        <v>2074</v>
      </c>
      <c r="B1086" t="s">
        <v>13</v>
      </c>
      <c r="C1086" t="s">
        <v>2075</v>
      </c>
      <c r="D1086" t="s">
        <v>15</v>
      </c>
      <c r="E1086" t="s">
        <v>16</v>
      </c>
      <c r="F1086" t="s">
        <v>2076</v>
      </c>
    </row>
    <row r="1087" spans="1:8" hidden="1" x14ac:dyDescent="0.3">
      <c r="A1087" t="s">
        <v>2077</v>
      </c>
      <c r="B1087" t="s">
        <v>11</v>
      </c>
      <c r="E1087" t="s">
        <v>11</v>
      </c>
    </row>
    <row r="1088" spans="1:8" hidden="1" x14ac:dyDescent="0.3">
      <c r="A1088" t="s">
        <v>2078</v>
      </c>
      <c r="B1088" t="s">
        <v>11</v>
      </c>
      <c r="E1088" t="s">
        <v>11</v>
      </c>
    </row>
    <row r="1089" spans="1:6" hidden="1" x14ac:dyDescent="0.3">
      <c r="A1089" t="s">
        <v>2079</v>
      </c>
      <c r="B1089" t="s">
        <v>13</v>
      </c>
      <c r="C1089" t="s">
        <v>231</v>
      </c>
      <c r="E1089" t="s">
        <v>11</v>
      </c>
    </row>
    <row r="1090" spans="1:6" hidden="1" x14ac:dyDescent="0.3">
      <c r="A1090" t="s">
        <v>2080</v>
      </c>
      <c r="B1090" t="s">
        <v>9</v>
      </c>
      <c r="C1090" t="s">
        <v>28</v>
      </c>
      <c r="D1090" t="s">
        <v>15</v>
      </c>
      <c r="E1090" t="s">
        <v>11</v>
      </c>
    </row>
    <row r="1091" spans="1:6" x14ac:dyDescent="0.3">
      <c r="A1091" t="s">
        <v>2081</v>
      </c>
      <c r="B1091" t="s">
        <v>9</v>
      </c>
      <c r="C1091" t="s">
        <v>2082</v>
      </c>
      <c r="D1091" t="s">
        <v>15</v>
      </c>
      <c r="E1091" t="s">
        <v>20</v>
      </c>
      <c r="F1091" t="s">
        <v>2083</v>
      </c>
    </row>
    <row r="1092" spans="1:6" hidden="1" x14ac:dyDescent="0.3">
      <c r="A1092" t="s">
        <v>2084</v>
      </c>
      <c r="B1092" t="s">
        <v>11</v>
      </c>
      <c r="E1092" t="s">
        <v>11</v>
      </c>
    </row>
    <row r="1093" spans="1:6" hidden="1" x14ac:dyDescent="0.3">
      <c r="A1093" t="s">
        <v>2085</v>
      </c>
      <c r="B1093" t="s">
        <v>11</v>
      </c>
      <c r="E1093" t="s">
        <v>11</v>
      </c>
    </row>
    <row r="1094" spans="1:6" hidden="1" x14ac:dyDescent="0.3">
      <c r="A1094" t="s">
        <v>2086</v>
      </c>
      <c r="B1094" t="s">
        <v>9</v>
      </c>
      <c r="C1094" t="s">
        <v>28</v>
      </c>
      <c r="E1094" t="s">
        <v>11</v>
      </c>
    </row>
    <row r="1095" spans="1:6" hidden="1" x14ac:dyDescent="0.3">
      <c r="A1095" t="s">
        <v>2087</v>
      </c>
      <c r="B1095" t="s">
        <v>11</v>
      </c>
      <c r="E1095" t="s">
        <v>11</v>
      </c>
    </row>
    <row r="1096" spans="1:6" x14ac:dyDescent="0.3">
      <c r="A1096" t="s">
        <v>2088</v>
      </c>
      <c r="B1096" t="s">
        <v>9</v>
      </c>
      <c r="C1096" t="s">
        <v>2089</v>
      </c>
      <c r="D1096" t="s">
        <v>15</v>
      </c>
      <c r="E1096" t="s">
        <v>20</v>
      </c>
      <c r="F1096" t="s">
        <v>2090</v>
      </c>
    </row>
    <row r="1097" spans="1:6" hidden="1" x14ac:dyDescent="0.3">
      <c r="A1097" t="s">
        <v>2091</v>
      </c>
      <c r="B1097" t="s">
        <v>197</v>
      </c>
      <c r="C1097" t="s">
        <v>2092</v>
      </c>
      <c r="E1097" t="s">
        <v>11</v>
      </c>
    </row>
    <row r="1098" spans="1:6" hidden="1" x14ac:dyDescent="0.3">
      <c r="A1098" t="s">
        <v>2093</v>
      </c>
      <c r="B1098" t="s">
        <v>13</v>
      </c>
      <c r="C1098" t="s">
        <v>2094</v>
      </c>
      <c r="E1098" t="s">
        <v>11</v>
      </c>
    </row>
    <row r="1099" spans="1:6" x14ac:dyDescent="0.3">
      <c r="A1099" t="s">
        <v>2095</v>
      </c>
      <c r="B1099" t="s">
        <v>13</v>
      </c>
      <c r="C1099" t="s">
        <v>2096</v>
      </c>
      <c r="E1099" t="s">
        <v>20</v>
      </c>
      <c r="F1099" t="s">
        <v>135</v>
      </c>
    </row>
    <row r="1100" spans="1:6" hidden="1" x14ac:dyDescent="0.3">
      <c r="A1100" t="s">
        <v>2097</v>
      </c>
      <c r="B1100" t="s">
        <v>9</v>
      </c>
      <c r="C1100" t="s">
        <v>28</v>
      </c>
      <c r="E1100" t="s">
        <v>11</v>
      </c>
    </row>
    <row r="1101" spans="1:6" x14ac:dyDescent="0.3">
      <c r="A1101" t="s">
        <v>2098</v>
      </c>
      <c r="B1101" t="s">
        <v>9</v>
      </c>
      <c r="C1101" t="s">
        <v>2099</v>
      </c>
      <c r="E1101" t="s">
        <v>20</v>
      </c>
      <c r="F1101" t="s">
        <v>425</v>
      </c>
    </row>
    <row r="1102" spans="1:6" hidden="1" x14ac:dyDescent="0.3">
      <c r="A1102" t="s">
        <v>2100</v>
      </c>
      <c r="B1102" t="s">
        <v>11</v>
      </c>
      <c r="E1102" t="s">
        <v>11</v>
      </c>
    </row>
    <row r="1103" spans="1:6" hidden="1" x14ac:dyDescent="0.3">
      <c r="A1103" t="s">
        <v>2101</v>
      </c>
      <c r="B1103" t="s">
        <v>11</v>
      </c>
      <c r="E1103" t="s">
        <v>11</v>
      </c>
    </row>
    <row r="1104" spans="1:6" hidden="1" x14ac:dyDescent="0.3">
      <c r="A1104" t="s">
        <v>2102</v>
      </c>
      <c r="B1104" t="s">
        <v>9</v>
      </c>
      <c r="C1104" t="s">
        <v>2039</v>
      </c>
      <c r="E1104" t="s">
        <v>11</v>
      </c>
    </row>
    <row r="1105" spans="1:6" hidden="1" x14ac:dyDescent="0.3">
      <c r="A1105" t="s">
        <v>2103</v>
      </c>
      <c r="B1105" t="s">
        <v>9</v>
      </c>
      <c r="C1105" t="s">
        <v>2104</v>
      </c>
      <c r="D1105" t="s">
        <v>15</v>
      </c>
      <c r="E1105" t="s">
        <v>16</v>
      </c>
      <c r="F1105" t="s">
        <v>2105</v>
      </c>
    </row>
    <row r="1106" spans="1:6" x14ac:dyDescent="0.3">
      <c r="A1106" t="s">
        <v>2106</v>
      </c>
      <c r="B1106" t="s">
        <v>197</v>
      </c>
      <c r="C1106" t="s">
        <v>2107</v>
      </c>
      <c r="D1106" t="s">
        <v>15</v>
      </c>
      <c r="E1106" t="s">
        <v>20</v>
      </c>
      <c r="F1106" t="s">
        <v>2108</v>
      </c>
    </row>
    <row r="1107" spans="1:6" hidden="1" x14ac:dyDescent="0.3">
      <c r="A1107" t="s">
        <v>2109</v>
      </c>
      <c r="B1107" t="s">
        <v>9</v>
      </c>
      <c r="C1107" t="s">
        <v>28</v>
      </c>
      <c r="D1107" t="s">
        <v>15</v>
      </c>
      <c r="E1107" t="s">
        <v>54</v>
      </c>
      <c r="F1107" t="s">
        <v>2110</v>
      </c>
    </row>
    <row r="1108" spans="1:6" x14ac:dyDescent="0.3">
      <c r="A1108" t="s">
        <v>2111</v>
      </c>
      <c r="B1108" t="s">
        <v>9</v>
      </c>
      <c r="C1108" t="s">
        <v>2112</v>
      </c>
      <c r="D1108" t="s">
        <v>15</v>
      </c>
      <c r="E1108" t="s">
        <v>20</v>
      </c>
      <c r="F1108" t="s">
        <v>2113</v>
      </c>
    </row>
    <row r="1109" spans="1:6" hidden="1" x14ac:dyDescent="0.3">
      <c r="A1109" t="s">
        <v>2114</v>
      </c>
      <c r="B1109" t="s">
        <v>9</v>
      </c>
      <c r="C1109" t="s">
        <v>51</v>
      </c>
      <c r="E1109" t="s">
        <v>54</v>
      </c>
      <c r="F1109" t="s">
        <v>1419</v>
      </c>
    </row>
    <row r="1110" spans="1:6" hidden="1" x14ac:dyDescent="0.3">
      <c r="A1110" t="s">
        <v>2115</v>
      </c>
      <c r="B1110" t="s">
        <v>13</v>
      </c>
      <c r="C1110" t="s">
        <v>231</v>
      </c>
      <c r="E1110" t="s">
        <v>11</v>
      </c>
    </row>
    <row r="1111" spans="1:6" hidden="1" x14ac:dyDescent="0.3">
      <c r="A1111" t="s">
        <v>2116</v>
      </c>
      <c r="B1111" t="s">
        <v>13</v>
      </c>
      <c r="C1111" t="s">
        <v>2117</v>
      </c>
      <c r="D1111" t="s">
        <v>15</v>
      </c>
      <c r="E1111" t="s">
        <v>54</v>
      </c>
      <c r="F1111" t="s">
        <v>2118</v>
      </c>
    </row>
    <row r="1112" spans="1:6" hidden="1" x14ac:dyDescent="0.3">
      <c r="A1112" t="s">
        <v>2119</v>
      </c>
      <c r="B1112" t="s">
        <v>13</v>
      </c>
      <c r="C1112" t="s">
        <v>576</v>
      </c>
      <c r="D1112" t="s">
        <v>15</v>
      </c>
      <c r="E1112" t="s">
        <v>16</v>
      </c>
      <c r="F1112" t="s">
        <v>2120</v>
      </c>
    </row>
    <row r="1113" spans="1:6" x14ac:dyDescent="0.3">
      <c r="A1113" t="s">
        <v>2121</v>
      </c>
      <c r="B1113" t="s">
        <v>9</v>
      </c>
      <c r="C1113" t="s">
        <v>2122</v>
      </c>
      <c r="D1113" t="s">
        <v>15</v>
      </c>
      <c r="E1113" t="s">
        <v>20</v>
      </c>
      <c r="F1113" t="s">
        <v>135</v>
      </c>
    </row>
    <row r="1114" spans="1:6" x14ac:dyDescent="0.3">
      <c r="A1114" t="s">
        <v>2123</v>
      </c>
      <c r="B1114" t="s">
        <v>9</v>
      </c>
      <c r="C1114" t="s">
        <v>28</v>
      </c>
      <c r="D1114" t="s">
        <v>15</v>
      </c>
      <c r="E1114" t="s">
        <v>20</v>
      </c>
      <c r="F1114" t="s">
        <v>2124</v>
      </c>
    </row>
    <row r="1115" spans="1:6" hidden="1" x14ac:dyDescent="0.3">
      <c r="A1115" t="s">
        <v>2125</v>
      </c>
      <c r="B1115" t="s">
        <v>9</v>
      </c>
      <c r="C1115" t="s">
        <v>2126</v>
      </c>
      <c r="D1115" t="s">
        <v>15</v>
      </c>
      <c r="E1115" t="s">
        <v>11</v>
      </c>
    </row>
    <row r="1116" spans="1:6" x14ac:dyDescent="0.3">
      <c r="A1116" t="s">
        <v>2127</v>
      </c>
      <c r="B1116" t="s">
        <v>9</v>
      </c>
      <c r="C1116" t="s">
        <v>2128</v>
      </c>
      <c r="D1116" t="s">
        <v>15</v>
      </c>
      <c r="E1116" t="s">
        <v>20</v>
      </c>
      <c r="F1116" t="s">
        <v>185</v>
      </c>
    </row>
    <row r="1117" spans="1:6" hidden="1" x14ac:dyDescent="0.3">
      <c r="A1117" t="s">
        <v>2129</v>
      </c>
      <c r="B1117" t="s">
        <v>13</v>
      </c>
      <c r="C1117" t="s">
        <v>2130</v>
      </c>
      <c r="D1117" t="s">
        <v>15</v>
      </c>
      <c r="E1117" t="s">
        <v>11</v>
      </c>
    </row>
    <row r="1118" spans="1:6" hidden="1" x14ac:dyDescent="0.3">
      <c r="A1118" t="s">
        <v>2131</v>
      </c>
      <c r="B1118" t="s">
        <v>9</v>
      </c>
      <c r="C1118" t="s">
        <v>2132</v>
      </c>
      <c r="E1118" t="s">
        <v>11</v>
      </c>
    </row>
    <row r="1119" spans="1:6" hidden="1" x14ac:dyDescent="0.3">
      <c r="A1119" t="s">
        <v>2133</v>
      </c>
      <c r="B1119" t="s">
        <v>9</v>
      </c>
      <c r="C1119" t="s">
        <v>28</v>
      </c>
      <c r="E1119" t="s">
        <v>11</v>
      </c>
    </row>
    <row r="1120" spans="1:6" hidden="1" x14ac:dyDescent="0.3">
      <c r="A1120" t="s">
        <v>2134</v>
      </c>
      <c r="B1120" t="s">
        <v>9</v>
      </c>
      <c r="C1120" t="s">
        <v>442</v>
      </c>
      <c r="E1120" t="s">
        <v>11</v>
      </c>
    </row>
    <row r="1121" spans="1:6" hidden="1" x14ac:dyDescent="0.3">
      <c r="A1121" t="s">
        <v>2135</v>
      </c>
      <c r="B1121" t="s">
        <v>13</v>
      </c>
      <c r="C1121" t="s">
        <v>314</v>
      </c>
      <c r="E1121" t="s">
        <v>11</v>
      </c>
    </row>
    <row r="1122" spans="1:6" hidden="1" x14ac:dyDescent="0.3">
      <c r="A1122" t="s">
        <v>2136</v>
      </c>
      <c r="B1122" t="s">
        <v>9</v>
      </c>
      <c r="C1122" t="s">
        <v>2137</v>
      </c>
      <c r="D1122" t="s">
        <v>15</v>
      </c>
      <c r="E1122" t="s">
        <v>16</v>
      </c>
      <c r="F1122" t="s">
        <v>45</v>
      </c>
    </row>
    <row r="1123" spans="1:6" x14ac:dyDescent="0.3">
      <c r="A1123" t="s">
        <v>2138</v>
      </c>
      <c r="B1123" t="s">
        <v>13</v>
      </c>
      <c r="C1123" t="s">
        <v>2139</v>
      </c>
      <c r="E1123" t="s">
        <v>20</v>
      </c>
      <c r="F1123" t="s">
        <v>135</v>
      </c>
    </row>
    <row r="1124" spans="1:6" hidden="1" x14ac:dyDescent="0.3">
      <c r="A1124" t="s">
        <v>2140</v>
      </c>
      <c r="B1124" t="s">
        <v>9</v>
      </c>
      <c r="C1124" t="s">
        <v>2141</v>
      </c>
      <c r="E1124" t="s">
        <v>11</v>
      </c>
    </row>
    <row r="1125" spans="1:6" hidden="1" x14ac:dyDescent="0.3">
      <c r="A1125" t="s">
        <v>2142</v>
      </c>
      <c r="B1125" t="s">
        <v>9</v>
      </c>
      <c r="C1125" t="s">
        <v>2143</v>
      </c>
      <c r="E1125" t="s">
        <v>11</v>
      </c>
    </row>
    <row r="1126" spans="1:6" hidden="1" x14ac:dyDescent="0.3">
      <c r="A1126" t="s">
        <v>2144</v>
      </c>
      <c r="B1126" t="s">
        <v>13</v>
      </c>
      <c r="C1126" t="s">
        <v>2145</v>
      </c>
      <c r="D1126" t="s">
        <v>15</v>
      </c>
      <c r="E1126" t="s">
        <v>16</v>
      </c>
      <c r="F1126" t="s">
        <v>2146</v>
      </c>
    </row>
    <row r="1127" spans="1:6" hidden="1" x14ac:dyDescent="0.3">
      <c r="A1127" t="s">
        <v>2147</v>
      </c>
      <c r="B1127" t="s">
        <v>9</v>
      </c>
      <c r="C1127" t="s">
        <v>2148</v>
      </c>
      <c r="E1127" t="s">
        <v>11</v>
      </c>
    </row>
    <row r="1128" spans="1:6" hidden="1" x14ac:dyDescent="0.3">
      <c r="A1128" t="s">
        <v>2149</v>
      </c>
      <c r="B1128" t="s">
        <v>9</v>
      </c>
      <c r="C1128" t="s">
        <v>2150</v>
      </c>
      <c r="D1128" t="s">
        <v>15</v>
      </c>
      <c r="E1128" t="s">
        <v>54</v>
      </c>
      <c r="F1128" t="s">
        <v>302</v>
      </c>
    </row>
    <row r="1129" spans="1:6" hidden="1" x14ac:dyDescent="0.3">
      <c r="A1129" t="s">
        <v>2151</v>
      </c>
      <c r="B1129" t="s">
        <v>9</v>
      </c>
      <c r="C1129" t="s">
        <v>2152</v>
      </c>
      <c r="E1129" t="s">
        <v>11</v>
      </c>
    </row>
    <row r="1130" spans="1:6" hidden="1" x14ac:dyDescent="0.3">
      <c r="A1130" t="s">
        <v>2153</v>
      </c>
      <c r="B1130" t="s">
        <v>9</v>
      </c>
      <c r="C1130" t="s">
        <v>28</v>
      </c>
      <c r="E1130" t="s">
        <v>11</v>
      </c>
    </row>
    <row r="1131" spans="1:6" hidden="1" x14ac:dyDescent="0.3">
      <c r="A1131" t="s">
        <v>2154</v>
      </c>
      <c r="B1131" t="s">
        <v>11</v>
      </c>
      <c r="E1131" t="s">
        <v>11</v>
      </c>
    </row>
    <row r="1132" spans="1:6" hidden="1" x14ac:dyDescent="0.3">
      <c r="A1132" t="s">
        <v>2155</v>
      </c>
      <c r="B1132" t="s">
        <v>11</v>
      </c>
      <c r="E1132" t="s">
        <v>11</v>
      </c>
    </row>
    <row r="1133" spans="1:6" hidden="1" x14ac:dyDescent="0.3">
      <c r="A1133" t="s">
        <v>2156</v>
      </c>
      <c r="B1133" t="s">
        <v>11</v>
      </c>
      <c r="E1133" t="s">
        <v>11</v>
      </c>
    </row>
    <row r="1134" spans="1:6" hidden="1" x14ac:dyDescent="0.3">
      <c r="A1134" t="s">
        <v>2157</v>
      </c>
      <c r="B1134" t="s">
        <v>9</v>
      </c>
      <c r="C1134" t="s">
        <v>28</v>
      </c>
      <c r="E1134" t="s">
        <v>11</v>
      </c>
    </row>
    <row r="1135" spans="1:6" hidden="1" x14ac:dyDescent="0.3">
      <c r="A1135" t="s">
        <v>2158</v>
      </c>
      <c r="B1135" t="s">
        <v>11</v>
      </c>
      <c r="D1135" t="s">
        <v>15</v>
      </c>
      <c r="E1135" t="s">
        <v>11</v>
      </c>
    </row>
    <row r="1136" spans="1:6" hidden="1" x14ac:dyDescent="0.3">
      <c r="A1136" t="s">
        <v>2159</v>
      </c>
      <c r="B1136" t="s">
        <v>13</v>
      </c>
      <c r="C1136" t="s">
        <v>2160</v>
      </c>
      <c r="E1136" t="s">
        <v>11</v>
      </c>
    </row>
    <row r="1137" spans="1:6" hidden="1" x14ac:dyDescent="0.3">
      <c r="A1137" t="s">
        <v>2161</v>
      </c>
      <c r="B1137" t="s">
        <v>9</v>
      </c>
      <c r="C1137" t="s">
        <v>2162</v>
      </c>
      <c r="E1137" t="s">
        <v>11</v>
      </c>
    </row>
    <row r="1138" spans="1:6" hidden="1" x14ac:dyDescent="0.3">
      <c r="A1138" t="s">
        <v>2163</v>
      </c>
      <c r="B1138" t="s">
        <v>13</v>
      </c>
      <c r="C1138" t="s">
        <v>314</v>
      </c>
      <c r="E1138" t="s">
        <v>11</v>
      </c>
    </row>
    <row r="1139" spans="1:6" hidden="1" x14ac:dyDescent="0.3">
      <c r="A1139" t="s">
        <v>2164</v>
      </c>
      <c r="B1139" t="s">
        <v>11</v>
      </c>
      <c r="E1139" t="s">
        <v>11</v>
      </c>
    </row>
    <row r="1140" spans="1:6" hidden="1" x14ac:dyDescent="0.3">
      <c r="A1140" t="s">
        <v>2165</v>
      </c>
      <c r="B1140" t="s">
        <v>9</v>
      </c>
      <c r="C1140" t="s">
        <v>2166</v>
      </c>
      <c r="D1140" t="s">
        <v>15</v>
      </c>
      <c r="E1140" t="s">
        <v>11</v>
      </c>
    </row>
    <row r="1141" spans="1:6" hidden="1" x14ac:dyDescent="0.3">
      <c r="A1141" t="s">
        <v>2167</v>
      </c>
      <c r="B1141" t="s">
        <v>11</v>
      </c>
      <c r="E1141" t="s">
        <v>11</v>
      </c>
    </row>
    <row r="1142" spans="1:6" hidden="1" x14ac:dyDescent="0.3">
      <c r="A1142" t="s">
        <v>2168</v>
      </c>
      <c r="B1142" t="s">
        <v>13</v>
      </c>
      <c r="C1142" t="s">
        <v>245</v>
      </c>
      <c r="D1142" t="s">
        <v>15</v>
      </c>
      <c r="E1142" t="s">
        <v>11</v>
      </c>
    </row>
    <row r="1143" spans="1:6" hidden="1" x14ac:dyDescent="0.3">
      <c r="A1143" t="s">
        <v>2169</v>
      </c>
      <c r="B1143" t="s">
        <v>9</v>
      </c>
      <c r="C1143" t="s">
        <v>28</v>
      </c>
      <c r="E1143" t="s">
        <v>11</v>
      </c>
    </row>
    <row r="1144" spans="1:6" hidden="1" x14ac:dyDescent="0.3">
      <c r="A1144" t="s">
        <v>2170</v>
      </c>
      <c r="B1144" t="s">
        <v>13</v>
      </c>
      <c r="C1144" t="s">
        <v>231</v>
      </c>
      <c r="E1144" t="s">
        <v>11</v>
      </c>
    </row>
    <row r="1145" spans="1:6" hidden="1" x14ac:dyDescent="0.3">
      <c r="A1145" t="s">
        <v>2171</v>
      </c>
      <c r="B1145" t="s">
        <v>13</v>
      </c>
      <c r="C1145" t="s">
        <v>245</v>
      </c>
      <c r="D1145" t="s">
        <v>15</v>
      </c>
      <c r="E1145" t="s">
        <v>11</v>
      </c>
    </row>
    <row r="1146" spans="1:6" hidden="1" x14ac:dyDescent="0.3">
      <c r="A1146" t="s">
        <v>2172</v>
      </c>
      <c r="B1146" t="s">
        <v>9</v>
      </c>
      <c r="C1146" t="s">
        <v>28</v>
      </c>
      <c r="E1146" t="s">
        <v>11</v>
      </c>
    </row>
    <row r="1147" spans="1:6" hidden="1" x14ac:dyDescent="0.3">
      <c r="A1147" t="s">
        <v>2173</v>
      </c>
      <c r="B1147" t="s">
        <v>11</v>
      </c>
      <c r="E1147" t="s">
        <v>11</v>
      </c>
    </row>
    <row r="1148" spans="1:6" hidden="1" x14ac:dyDescent="0.3">
      <c r="A1148" t="s">
        <v>2174</v>
      </c>
      <c r="B1148" t="s">
        <v>11</v>
      </c>
      <c r="E1148" t="s">
        <v>11</v>
      </c>
    </row>
    <row r="1149" spans="1:6" hidden="1" x14ac:dyDescent="0.3">
      <c r="A1149" t="s">
        <v>2175</v>
      </c>
      <c r="B1149" t="s">
        <v>11</v>
      </c>
      <c r="E1149" t="s">
        <v>11</v>
      </c>
    </row>
    <row r="1150" spans="1:6" hidden="1" x14ac:dyDescent="0.3">
      <c r="A1150" t="s">
        <v>2176</v>
      </c>
      <c r="B1150" t="s">
        <v>9</v>
      </c>
      <c r="C1150" t="s">
        <v>28</v>
      </c>
      <c r="E1150" t="s">
        <v>11</v>
      </c>
    </row>
    <row r="1151" spans="1:6" x14ac:dyDescent="0.3">
      <c r="A1151" t="s">
        <v>2177</v>
      </c>
      <c r="B1151" t="s">
        <v>9</v>
      </c>
      <c r="C1151" t="s">
        <v>28</v>
      </c>
      <c r="E1151" t="s">
        <v>20</v>
      </c>
      <c r="F1151" t="s">
        <v>2178</v>
      </c>
    </row>
    <row r="1152" spans="1:6" x14ac:dyDescent="0.3">
      <c r="A1152" t="s">
        <v>2179</v>
      </c>
      <c r="B1152" t="s">
        <v>9</v>
      </c>
      <c r="C1152" t="s">
        <v>28</v>
      </c>
      <c r="E1152" t="s">
        <v>20</v>
      </c>
      <c r="F1152" t="s">
        <v>21</v>
      </c>
    </row>
    <row r="1153" spans="1:6" x14ac:dyDescent="0.3">
      <c r="A1153" t="s">
        <v>2180</v>
      </c>
      <c r="B1153" t="s">
        <v>9</v>
      </c>
      <c r="C1153" t="s">
        <v>2181</v>
      </c>
      <c r="D1153" t="s">
        <v>15</v>
      </c>
      <c r="E1153" t="s">
        <v>20</v>
      </c>
      <c r="F1153" t="s">
        <v>2182</v>
      </c>
    </row>
    <row r="1154" spans="1:6" hidden="1" x14ac:dyDescent="0.3">
      <c r="A1154" t="s">
        <v>2183</v>
      </c>
      <c r="B1154" t="s">
        <v>11</v>
      </c>
      <c r="E1154" t="s">
        <v>11</v>
      </c>
    </row>
    <row r="1155" spans="1:6" x14ac:dyDescent="0.3">
      <c r="A1155" t="s">
        <v>2184</v>
      </c>
      <c r="B1155" t="s">
        <v>9</v>
      </c>
      <c r="C1155" t="s">
        <v>28</v>
      </c>
      <c r="D1155" t="s">
        <v>15</v>
      </c>
      <c r="E1155" t="s">
        <v>20</v>
      </c>
      <c r="F1155" t="s">
        <v>421</v>
      </c>
    </row>
    <row r="1156" spans="1:6" x14ac:dyDescent="0.3">
      <c r="A1156" t="s">
        <v>2185</v>
      </c>
      <c r="B1156" t="s">
        <v>9</v>
      </c>
      <c r="C1156" t="s">
        <v>28</v>
      </c>
      <c r="D1156" t="s">
        <v>15</v>
      </c>
      <c r="E1156" t="s">
        <v>20</v>
      </c>
      <c r="F1156" t="s">
        <v>2186</v>
      </c>
    </row>
    <row r="1157" spans="1:6" hidden="1" x14ac:dyDescent="0.3">
      <c r="A1157" t="s">
        <v>2187</v>
      </c>
      <c r="B1157" t="s">
        <v>9</v>
      </c>
      <c r="C1157" t="s">
        <v>841</v>
      </c>
      <c r="E1157" t="s">
        <v>11</v>
      </c>
    </row>
    <row r="1158" spans="1:6" hidden="1" x14ac:dyDescent="0.3">
      <c r="A1158" t="s">
        <v>2188</v>
      </c>
      <c r="B1158" t="s">
        <v>9</v>
      </c>
      <c r="C1158" t="s">
        <v>2189</v>
      </c>
      <c r="E1158" t="s">
        <v>11</v>
      </c>
    </row>
    <row r="1159" spans="1:6" x14ac:dyDescent="0.3">
      <c r="A1159" t="s">
        <v>2190</v>
      </c>
      <c r="B1159" t="s">
        <v>13</v>
      </c>
      <c r="C1159" t="s">
        <v>245</v>
      </c>
      <c r="D1159" t="s">
        <v>15</v>
      </c>
      <c r="E1159" t="s">
        <v>20</v>
      </c>
      <c r="F1159" t="s">
        <v>2191</v>
      </c>
    </row>
    <row r="1160" spans="1:6" hidden="1" x14ac:dyDescent="0.3">
      <c r="A1160" t="s">
        <v>2192</v>
      </c>
      <c r="B1160" t="s">
        <v>9</v>
      </c>
      <c r="C1160" t="s">
        <v>2193</v>
      </c>
      <c r="D1160" t="s">
        <v>15</v>
      </c>
      <c r="E1160" t="s">
        <v>11</v>
      </c>
    </row>
    <row r="1161" spans="1:6" hidden="1" x14ac:dyDescent="0.3">
      <c r="A1161" t="s">
        <v>2194</v>
      </c>
      <c r="B1161" t="s">
        <v>9</v>
      </c>
      <c r="C1161" t="s">
        <v>28</v>
      </c>
      <c r="D1161" t="s">
        <v>15</v>
      </c>
      <c r="E1161" t="s">
        <v>11</v>
      </c>
    </row>
    <row r="1162" spans="1:6" hidden="1" x14ac:dyDescent="0.3">
      <c r="A1162" t="s">
        <v>2195</v>
      </c>
      <c r="B1162" t="s">
        <v>9</v>
      </c>
      <c r="C1162" t="s">
        <v>28</v>
      </c>
      <c r="E1162" t="s">
        <v>11</v>
      </c>
    </row>
    <row r="1163" spans="1:6" hidden="1" x14ac:dyDescent="0.3">
      <c r="A1163" t="s">
        <v>2196</v>
      </c>
      <c r="B1163" t="s">
        <v>9</v>
      </c>
      <c r="C1163" t="s">
        <v>28</v>
      </c>
      <c r="E1163" t="s">
        <v>11</v>
      </c>
    </row>
    <row r="1164" spans="1:6" hidden="1" x14ac:dyDescent="0.3">
      <c r="A1164" t="s">
        <v>2197</v>
      </c>
      <c r="B1164" t="s">
        <v>13</v>
      </c>
      <c r="C1164" t="s">
        <v>2198</v>
      </c>
      <c r="E1164" t="s">
        <v>11</v>
      </c>
    </row>
    <row r="1165" spans="1:6" hidden="1" x14ac:dyDescent="0.3">
      <c r="A1165" t="s">
        <v>2199</v>
      </c>
      <c r="B1165" t="s">
        <v>197</v>
      </c>
      <c r="C1165" t="s">
        <v>2200</v>
      </c>
      <c r="E1165" t="s">
        <v>11</v>
      </c>
    </row>
    <row r="1166" spans="1:6" hidden="1" x14ac:dyDescent="0.3">
      <c r="A1166" t="s">
        <v>2201</v>
      </c>
      <c r="B1166" t="s">
        <v>9</v>
      </c>
      <c r="C1166" t="s">
        <v>1680</v>
      </c>
      <c r="D1166" t="s">
        <v>15</v>
      </c>
      <c r="E1166" t="s">
        <v>16</v>
      </c>
      <c r="F1166" t="s">
        <v>1681</v>
      </c>
    </row>
    <row r="1167" spans="1:6" hidden="1" x14ac:dyDescent="0.3">
      <c r="A1167" t="s">
        <v>2202</v>
      </c>
      <c r="B1167" t="s">
        <v>11</v>
      </c>
      <c r="E1167" t="s">
        <v>11</v>
      </c>
    </row>
    <row r="1168" spans="1:6" hidden="1" x14ac:dyDescent="0.3">
      <c r="A1168" t="s">
        <v>2203</v>
      </c>
      <c r="B1168" t="s">
        <v>9</v>
      </c>
      <c r="C1168" t="s">
        <v>28</v>
      </c>
      <c r="E1168" t="s">
        <v>11</v>
      </c>
    </row>
    <row r="1169" spans="1:6" hidden="1" x14ac:dyDescent="0.3">
      <c r="A1169" t="s">
        <v>2204</v>
      </c>
      <c r="B1169" t="s">
        <v>9</v>
      </c>
      <c r="C1169" t="s">
        <v>2205</v>
      </c>
      <c r="E1169" t="s">
        <v>11</v>
      </c>
    </row>
    <row r="1170" spans="1:6" hidden="1" x14ac:dyDescent="0.3">
      <c r="A1170" t="s">
        <v>2206</v>
      </c>
      <c r="B1170" t="s">
        <v>11</v>
      </c>
      <c r="E1170" t="s">
        <v>11</v>
      </c>
    </row>
    <row r="1171" spans="1:6" hidden="1" x14ac:dyDescent="0.3">
      <c r="A1171" t="s">
        <v>2207</v>
      </c>
      <c r="B1171" t="s">
        <v>11</v>
      </c>
      <c r="E1171" t="s">
        <v>11</v>
      </c>
    </row>
    <row r="1172" spans="1:6" x14ac:dyDescent="0.3">
      <c r="A1172" t="s">
        <v>2208</v>
      </c>
      <c r="B1172" t="s">
        <v>9</v>
      </c>
      <c r="C1172" t="s">
        <v>28</v>
      </c>
      <c r="D1172" t="s">
        <v>15</v>
      </c>
      <c r="E1172" t="s">
        <v>20</v>
      </c>
      <c r="F1172" t="s">
        <v>2209</v>
      </c>
    </row>
    <row r="1173" spans="1:6" x14ac:dyDescent="0.3">
      <c r="A1173" t="s">
        <v>2210</v>
      </c>
      <c r="B1173" t="s">
        <v>9</v>
      </c>
      <c r="C1173" t="s">
        <v>28</v>
      </c>
      <c r="E1173" t="s">
        <v>20</v>
      </c>
      <c r="F1173" t="s">
        <v>21</v>
      </c>
    </row>
    <row r="1174" spans="1:6" x14ac:dyDescent="0.3">
      <c r="A1174" t="s">
        <v>2211</v>
      </c>
      <c r="B1174" t="s">
        <v>9</v>
      </c>
      <c r="C1174" t="s">
        <v>2212</v>
      </c>
      <c r="E1174" t="s">
        <v>20</v>
      </c>
      <c r="F1174" t="s">
        <v>21</v>
      </c>
    </row>
    <row r="1175" spans="1:6" hidden="1" x14ac:dyDescent="0.3">
      <c r="A1175" t="s">
        <v>2213</v>
      </c>
      <c r="B1175" t="s">
        <v>13</v>
      </c>
      <c r="C1175" t="s">
        <v>2214</v>
      </c>
      <c r="D1175" t="s">
        <v>15</v>
      </c>
      <c r="E1175" t="s">
        <v>11</v>
      </c>
    </row>
    <row r="1176" spans="1:6" hidden="1" x14ac:dyDescent="0.3">
      <c r="A1176" t="s">
        <v>2215</v>
      </c>
      <c r="B1176" t="s">
        <v>11</v>
      </c>
      <c r="D1176" t="s">
        <v>15</v>
      </c>
      <c r="E1176" t="s">
        <v>11</v>
      </c>
    </row>
    <row r="1177" spans="1:6" hidden="1" x14ac:dyDescent="0.3">
      <c r="A1177" t="s">
        <v>2216</v>
      </c>
      <c r="B1177" t="s">
        <v>9</v>
      </c>
      <c r="C1177" t="s">
        <v>2217</v>
      </c>
      <c r="D1177" t="s">
        <v>15</v>
      </c>
      <c r="E1177" t="s">
        <v>54</v>
      </c>
      <c r="F1177" t="s">
        <v>2218</v>
      </c>
    </row>
    <row r="1178" spans="1:6" hidden="1" x14ac:dyDescent="0.3">
      <c r="A1178" t="s">
        <v>2219</v>
      </c>
      <c r="B1178" t="s">
        <v>13</v>
      </c>
      <c r="C1178" t="s">
        <v>245</v>
      </c>
      <c r="E1178" t="s">
        <v>11</v>
      </c>
    </row>
    <row r="1179" spans="1:6" hidden="1" x14ac:dyDescent="0.3">
      <c r="A1179" t="s">
        <v>2220</v>
      </c>
      <c r="B1179" t="s">
        <v>9</v>
      </c>
      <c r="C1179" t="s">
        <v>2221</v>
      </c>
      <c r="E1179" t="s">
        <v>11</v>
      </c>
    </row>
    <row r="1180" spans="1:6" x14ac:dyDescent="0.3">
      <c r="A1180" t="s">
        <v>2222</v>
      </c>
      <c r="B1180" t="s">
        <v>9</v>
      </c>
      <c r="C1180" t="s">
        <v>28</v>
      </c>
      <c r="E1180" t="s">
        <v>20</v>
      </c>
      <c r="F1180" t="s">
        <v>36</v>
      </c>
    </row>
    <row r="1181" spans="1:6" hidden="1" x14ac:dyDescent="0.3">
      <c r="A1181" t="s">
        <v>2223</v>
      </c>
      <c r="B1181" t="s">
        <v>11</v>
      </c>
      <c r="E1181" t="s">
        <v>11</v>
      </c>
    </row>
    <row r="1182" spans="1:6" hidden="1" x14ac:dyDescent="0.3">
      <c r="A1182" t="s">
        <v>2224</v>
      </c>
      <c r="B1182" t="s">
        <v>9</v>
      </c>
      <c r="C1182" t="s">
        <v>2225</v>
      </c>
      <c r="D1182" t="s">
        <v>15</v>
      </c>
      <c r="E1182" t="s">
        <v>16</v>
      </c>
      <c r="F1182" t="s">
        <v>138</v>
      </c>
    </row>
    <row r="1183" spans="1:6" hidden="1" x14ac:dyDescent="0.3">
      <c r="A1183" t="s">
        <v>2226</v>
      </c>
      <c r="B1183" t="s">
        <v>9</v>
      </c>
      <c r="C1183" t="s">
        <v>2227</v>
      </c>
      <c r="D1183" t="s">
        <v>15</v>
      </c>
      <c r="E1183" t="s">
        <v>54</v>
      </c>
      <c r="F1183" t="s">
        <v>2228</v>
      </c>
    </row>
    <row r="1184" spans="1:6" hidden="1" x14ac:dyDescent="0.3">
      <c r="A1184" t="s">
        <v>2229</v>
      </c>
      <c r="B1184" t="s">
        <v>9</v>
      </c>
      <c r="C1184" t="s">
        <v>2230</v>
      </c>
      <c r="D1184" t="s">
        <v>15</v>
      </c>
      <c r="E1184" t="s">
        <v>16</v>
      </c>
      <c r="F1184" t="s">
        <v>2231</v>
      </c>
    </row>
    <row r="1185" spans="1:6" hidden="1" x14ac:dyDescent="0.3">
      <c r="A1185" t="s">
        <v>2232</v>
      </c>
      <c r="B1185" t="s">
        <v>9</v>
      </c>
      <c r="C1185" t="s">
        <v>2233</v>
      </c>
      <c r="D1185" t="s">
        <v>15</v>
      </c>
      <c r="E1185" t="s">
        <v>11</v>
      </c>
    </row>
    <row r="1186" spans="1:6" hidden="1" x14ac:dyDescent="0.3">
      <c r="A1186" t="s">
        <v>2234</v>
      </c>
      <c r="B1186" t="s">
        <v>9</v>
      </c>
      <c r="C1186" t="s">
        <v>2235</v>
      </c>
      <c r="E1186" t="s">
        <v>11</v>
      </c>
    </row>
    <row r="1187" spans="1:6" hidden="1" x14ac:dyDescent="0.3">
      <c r="A1187" t="s">
        <v>2236</v>
      </c>
      <c r="B1187" t="s">
        <v>13</v>
      </c>
      <c r="C1187" t="s">
        <v>2237</v>
      </c>
      <c r="D1187" t="s">
        <v>15</v>
      </c>
      <c r="E1187" t="s">
        <v>54</v>
      </c>
      <c r="F1187" t="s">
        <v>2238</v>
      </c>
    </row>
    <row r="1188" spans="1:6" x14ac:dyDescent="0.3">
      <c r="A1188" t="s">
        <v>2239</v>
      </c>
      <c r="B1188" t="s">
        <v>9</v>
      </c>
      <c r="C1188" t="s">
        <v>442</v>
      </c>
      <c r="D1188" t="s">
        <v>15</v>
      </c>
      <c r="E1188" t="s">
        <v>20</v>
      </c>
      <c r="F1188" t="s">
        <v>2240</v>
      </c>
    </row>
    <row r="1189" spans="1:6" x14ac:dyDescent="0.3">
      <c r="A1189" t="s">
        <v>2241</v>
      </c>
      <c r="B1189" t="s">
        <v>9</v>
      </c>
      <c r="C1189" t="s">
        <v>1602</v>
      </c>
      <c r="D1189" t="s">
        <v>15</v>
      </c>
      <c r="E1189" t="s">
        <v>20</v>
      </c>
      <c r="F1189" t="s">
        <v>1603</v>
      </c>
    </row>
    <row r="1190" spans="1:6" hidden="1" x14ac:dyDescent="0.3">
      <c r="A1190" t="s">
        <v>2242</v>
      </c>
      <c r="B1190" t="s">
        <v>9</v>
      </c>
      <c r="C1190" t="s">
        <v>28</v>
      </c>
      <c r="D1190" t="s">
        <v>15</v>
      </c>
      <c r="E1190" t="s">
        <v>54</v>
      </c>
      <c r="F1190" t="s">
        <v>2243</v>
      </c>
    </row>
    <row r="1191" spans="1:6" hidden="1" x14ac:dyDescent="0.3">
      <c r="A1191" t="s">
        <v>2244</v>
      </c>
      <c r="B1191" t="s">
        <v>9</v>
      </c>
      <c r="C1191" t="s">
        <v>2245</v>
      </c>
      <c r="D1191" t="s">
        <v>15</v>
      </c>
      <c r="E1191" t="s">
        <v>54</v>
      </c>
      <c r="F1191" t="s">
        <v>2246</v>
      </c>
    </row>
    <row r="1192" spans="1:6" x14ac:dyDescent="0.3">
      <c r="A1192" t="s">
        <v>2247</v>
      </c>
      <c r="B1192" t="s">
        <v>13</v>
      </c>
      <c r="C1192" t="s">
        <v>2248</v>
      </c>
      <c r="D1192" t="s">
        <v>15</v>
      </c>
      <c r="E1192" t="s">
        <v>20</v>
      </c>
      <c r="F1192" t="s">
        <v>2249</v>
      </c>
    </row>
    <row r="1193" spans="1:6" x14ac:dyDescent="0.3">
      <c r="A1193" t="s">
        <v>2250</v>
      </c>
      <c r="B1193" t="s">
        <v>9</v>
      </c>
      <c r="C1193" t="s">
        <v>2251</v>
      </c>
      <c r="D1193" t="s">
        <v>15</v>
      </c>
      <c r="E1193" t="s">
        <v>20</v>
      </c>
      <c r="F1193" t="s">
        <v>2252</v>
      </c>
    </row>
    <row r="1194" spans="1:6" hidden="1" x14ac:dyDescent="0.3">
      <c r="A1194" t="s">
        <v>2253</v>
      </c>
      <c r="B1194" t="s">
        <v>13</v>
      </c>
      <c r="C1194" t="s">
        <v>2254</v>
      </c>
      <c r="D1194" t="s">
        <v>15</v>
      </c>
      <c r="E1194" t="s">
        <v>16</v>
      </c>
      <c r="F1194" t="s">
        <v>2255</v>
      </c>
    </row>
    <row r="1195" spans="1:6" hidden="1" x14ac:dyDescent="0.3">
      <c r="A1195" t="s">
        <v>2256</v>
      </c>
      <c r="B1195" t="s">
        <v>9</v>
      </c>
      <c r="C1195" t="s">
        <v>2257</v>
      </c>
      <c r="E1195" t="s">
        <v>11</v>
      </c>
    </row>
    <row r="1196" spans="1:6" hidden="1" x14ac:dyDescent="0.3">
      <c r="A1196" t="s">
        <v>2258</v>
      </c>
      <c r="B1196" t="s">
        <v>13</v>
      </c>
      <c r="C1196" t="s">
        <v>2259</v>
      </c>
      <c r="D1196" t="s">
        <v>15</v>
      </c>
      <c r="E1196" t="s">
        <v>11</v>
      </c>
    </row>
    <row r="1197" spans="1:6" hidden="1" x14ac:dyDescent="0.3">
      <c r="A1197" t="s">
        <v>2260</v>
      </c>
      <c r="B1197" t="s">
        <v>13</v>
      </c>
      <c r="C1197" t="s">
        <v>2261</v>
      </c>
      <c r="E1197" t="s">
        <v>11</v>
      </c>
    </row>
    <row r="1198" spans="1:6" hidden="1" x14ac:dyDescent="0.3">
      <c r="A1198" t="s">
        <v>2262</v>
      </c>
      <c r="B1198" t="s">
        <v>417</v>
      </c>
      <c r="C1198" t="s">
        <v>2263</v>
      </c>
      <c r="E1198" t="s">
        <v>16</v>
      </c>
      <c r="F1198" t="s">
        <v>2264</v>
      </c>
    </row>
    <row r="1199" spans="1:6" x14ac:dyDescent="0.3">
      <c r="A1199" t="s">
        <v>2265</v>
      </c>
      <c r="B1199" t="s">
        <v>9</v>
      </c>
      <c r="C1199" t="s">
        <v>2266</v>
      </c>
      <c r="D1199" t="s">
        <v>15</v>
      </c>
      <c r="E1199" t="s">
        <v>20</v>
      </c>
      <c r="F1199" t="s">
        <v>1222</v>
      </c>
    </row>
    <row r="1200" spans="1:6" hidden="1" x14ac:dyDescent="0.3">
      <c r="A1200" t="s">
        <v>2267</v>
      </c>
      <c r="B1200" t="s">
        <v>13</v>
      </c>
      <c r="C1200" t="s">
        <v>2268</v>
      </c>
      <c r="D1200" t="s">
        <v>15</v>
      </c>
      <c r="E1200" t="s">
        <v>11</v>
      </c>
    </row>
    <row r="1201" spans="1:6" hidden="1" x14ac:dyDescent="0.3">
      <c r="A1201" t="s">
        <v>2269</v>
      </c>
      <c r="B1201" t="s">
        <v>9</v>
      </c>
      <c r="C1201" t="s">
        <v>2270</v>
      </c>
      <c r="E1201" t="s">
        <v>54</v>
      </c>
      <c r="F1201" t="s">
        <v>450</v>
      </c>
    </row>
    <row r="1202" spans="1:6" hidden="1" x14ac:dyDescent="0.3">
      <c r="A1202" t="s">
        <v>2271</v>
      </c>
      <c r="B1202" t="s">
        <v>11</v>
      </c>
      <c r="E1202" t="s">
        <v>11</v>
      </c>
    </row>
    <row r="1203" spans="1:6" x14ac:dyDescent="0.3">
      <c r="A1203" t="s">
        <v>2272</v>
      </c>
      <c r="B1203" t="s">
        <v>13</v>
      </c>
      <c r="C1203" t="s">
        <v>2273</v>
      </c>
      <c r="D1203" t="s">
        <v>15</v>
      </c>
      <c r="E1203" t="s">
        <v>20</v>
      </c>
      <c r="F1203" t="s">
        <v>2274</v>
      </c>
    </row>
    <row r="1204" spans="1:6" hidden="1" x14ac:dyDescent="0.3">
      <c r="A1204" t="s">
        <v>2275</v>
      </c>
      <c r="B1204" t="s">
        <v>9</v>
      </c>
      <c r="C1204" t="s">
        <v>28</v>
      </c>
      <c r="E1204" t="s">
        <v>11</v>
      </c>
    </row>
    <row r="1205" spans="1:6" hidden="1" x14ac:dyDescent="0.3">
      <c r="A1205" t="s">
        <v>2276</v>
      </c>
      <c r="B1205" t="s">
        <v>9</v>
      </c>
      <c r="C1205" t="s">
        <v>2277</v>
      </c>
      <c r="D1205" t="s">
        <v>15</v>
      </c>
      <c r="E1205" t="s">
        <v>54</v>
      </c>
      <c r="F1205" t="s">
        <v>2278</v>
      </c>
    </row>
    <row r="1206" spans="1:6" hidden="1" x14ac:dyDescent="0.3">
      <c r="A1206" t="s">
        <v>2279</v>
      </c>
      <c r="B1206" t="s">
        <v>9</v>
      </c>
      <c r="C1206" t="s">
        <v>2280</v>
      </c>
      <c r="D1206" t="s">
        <v>15</v>
      </c>
      <c r="E1206" t="s">
        <v>11</v>
      </c>
    </row>
    <row r="1207" spans="1:6" x14ac:dyDescent="0.3">
      <c r="A1207" t="s">
        <v>2281</v>
      </c>
      <c r="B1207" t="s">
        <v>9</v>
      </c>
      <c r="C1207" t="s">
        <v>2282</v>
      </c>
      <c r="E1207" t="s">
        <v>20</v>
      </c>
      <c r="F1207" t="s">
        <v>2283</v>
      </c>
    </row>
    <row r="1208" spans="1:6" hidden="1" x14ac:dyDescent="0.3">
      <c r="A1208" t="s">
        <v>2284</v>
      </c>
      <c r="B1208" t="s">
        <v>13</v>
      </c>
      <c r="C1208" t="s">
        <v>573</v>
      </c>
      <c r="E1208" t="s">
        <v>11</v>
      </c>
    </row>
    <row r="1209" spans="1:6" hidden="1" x14ac:dyDescent="0.3">
      <c r="A1209" t="s">
        <v>2285</v>
      </c>
      <c r="B1209" t="s">
        <v>9</v>
      </c>
      <c r="C1209" t="s">
        <v>2286</v>
      </c>
      <c r="D1209" t="s">
        <v>15</v>
      </c>
      <c r="E1209" t="s">
        <v>54</v>
      </c>
      <c r="F1209" t="s">
        <v>2287</v>
      </c>
    </row>
    <row r="1210" spans="1:6" hidden="1" x14ac:dyDescent="0.3">
      <c r="A1210" t="s">
        <v>2288</v>
      </c>
      <c r="B1210" t="s">
        <v>9</v>
      </c>
      <c r="C1210" t="s">
        <v>51</v>
      </c>
      <c r="E1210" t="s">
        <v>54</v>
      </c>
      <c r="F1210" t="s">
        <v>2289</v>
      </c>
    </row>
    <row r="1211" spans="1:6" hidden="1" x14ac:dyDescent="0.3">
      <c r="A1211" t="s">
        <v>2290</v>
      </c>
      <c r="B1211" t="s">
        <v>9</v>
      </c>
      <c r="C1211" t="s">
        <v>2291</v>
      </c>
      <c r="D1211" t="s">
        <v>15</v>
      </c>
      <c r="E1211" t="s">
        <v>16</v>
      </c>
      <c r="F1211" t="s">
        <v>2292</v>
      </c>
    </row>
    <row r="1212" spans="1:6" x14ac:dyDescent="0.3">
      <c r="A1212" t="s">
        <v>2293</v>
      </c>
      <c r="B1212" t="s">
        <v>9</v>
      </c>
      <c r="C1212" t="s">
        <v>2294</v>
      </c>
      <c r="D1212" t="s">
        <v>15</v>
      </c>
      <c r="E1212" t="s">
        <v>20</v>
      </c>
      <c r="F1212" t="s">
        <v>2295</v>
      </c>
    </row>
    <row r="1213" spans="1:6" x14ac:dyDescent="0.3">
      <c r="A1213" t="s">
        <v>2296</v>
      </c>
      <c r="B1213" t="s">
        <v>9</v>
      </c>
      <c r="C1213" t="s">
        <v>2297</v>
      </c>
      <c r="D1213" t="s">
        <v>15</v>
      </c>
      <c r="E1213" t="s">
        <v>20</v>
      </c>
      <c r="F1213" t="s">
        <v>2298</v>
      </c>
    </row>
    <row r="1214" spans="1:6" x14ac:dyDescent="0.3">
      <c r="A1214" t="s">
        <v>2299</v>
      </c>
      <c r="B1214" t="s">
        <v>9</v>
      </c>
      <c r="C1214" t="s">
        <v>2300</v>
      </c>
      <c r="E1214" t="s">
        <v>20</v>
      </c>
      <c r="F1214" t="s">
        <v>135</v>
      </c>
    </row>
    <row r="1215" spans="1:6" hidden="1" x14ac:dyDescent="0.3">
      <c r="A1215" t="s">
        <v>2301</v>
      </c>
      <c r="B1215" t="s">
        <v>9</v>
      </c>
      <c r="C1215" t="s">
        <v>2302</v>
      </c>
      <c r="D1215" t="s">
        <v>15</v>
      </c>
      <c r="E1215" t="s">
        <v>16</v>
      </c>
      <c r="F1215" t="s">
        <v>2303</v>
      </c>
    </row>
    <row r="1216" spans="1:6" hidden="1" x14ac:dyDescent="0.3">
      <c r="A1216" t="s">
        <v>2304</v>
      </c>
      <c r="B1216" t="s">
        <v>9</v>
      </c>
      <c r="C1216" t="s">
        <v>442</v>
      </c>
      <c r="D1216" t="s">
        <v>15</v>
      </c>
      <c r="E1216" t="s">
        <v>11</v>
      </c>
    </row>
    <row r="1217" spans="1:8" hidden="1" x14ac:dyDescent="0.3">
      <c r="A1217" t="s">
        <v>2305</v>
      </c>
      <c r="B1217" t="s">
        <v>9</v>
      </c>
      <c r="C1217" t="s">
        <v>51</v>
      </c>
      <c r="D1217" t="s">
        <v>15</v>
      </c>
      <c r="E1217" t="s">
        <v>11</v>
      </c>
    </row>
    <row r="1218" spans="1:8" hidden="1" x14ac:dyDescent="0.3">
      <c r="A1218" t="s">
        <v>2306</v>
      </c>
      <c r="B1218" t="s">
        <v>9</v>
      </c>
      <c r="C1218" t="s">
        <v>2307</v>
      </c>
      <c r="D1218" t="s">
        <v>15</v>
      </c>
      <c r="E1218" t="s">
        <v>11</v>
      </c>
    </row>
    <row r="1219" spans="1:8" x14ac:dyDescent="0.3">
      <c r="A1219" t="s">
        <v>2308</v>
      </c>
      <c r="B1219" t="s">
        <v>9</v>
      </c>
      <c r="C1219" t="s">
        <v>2309</v>
      </c>
      <c r="D1219" t="s">
        <v>15</v>
      </c>
      <c r="E1219" t="s">
        <v>20</v>
      </c>
      <c r="F1219" t="s">
        <v>2310</v>
      </c>
    </row>
    <row r="1220" spans="1:8" x14ac:dyDescent="0.3">
      <c r="A1220" t="s">
        <v>2311</v>
      </c>
      <c r="B1220" t="s">
        <v>13</v>
      </c>
      <c r="C1220" t="s">
        <v>2312</v>
      </c>
      <c r="D1220" t="s">
        <v>15</v>
      </c>
      <c r="E1220" t="s">
        <v>20</v>
      </c>
      <c r="F1220" t="s">
        <v>135</v>
      </c>
    </row>
    <row r="1221" spans="1:8" hidden="1" x14ac:dyDescent="0.3">
      <c r="A1221" t="s">
        <v>2313</v>
      </c>
      <c r="B1221" t="s">
        <v>9</v>
      </c>
      <c r="C1221" t="s">
        <v>2314</v>
      </c>
      <c r="D1221" t="s">
        <v>15</v>
      </c>
      <c r="E1221" t="s">
        <v>16</v>
      </c>
      <c r="F1221" t="s">
        <v>360</v>
      </c>
    </row>
    <row r="1222" spans="1:8" x14ac:dyDescent="0.3">
      <c r="A1222" t="s">
        <v>2315</v>
      </c>
      <c r="B1222" t="s">
        <v>9</v>
      </c>
      <c r="C1222" t="s">
        <v>2316</v>
      </c>
      <c r="D1222" t="s">
        <v>15</v>
      </c>
      <c r="E1222" t="s">
        <v>20</v>
      </c>
      <c r="F1222" t="s">
        <v>21</v>
      </c>
    </row>
    <row r="1223" spans="1:8" hidden="1" x14ac:dyDescent="0.3">
      <c r="A1223" t="s">
        <v>2317</v>
      </c>
      <c r="B1223" t="s">
        <v>9</v>
      </c>
      <c r="C1223" t="s">
        <v>2318</v>
      </c>
      <c r="D1223" t="s">
        <v>15</v>
      </c>
      <c r="E1223" t="s">
        <v>54</v>
      </c>
      <c r="F1223" t="s">
        <v>2319</v>
      </c>
      <c r="G1223" t="s">
        <v>15</v>
      </c>
      <c r="H1223" t="s">
        <v>2320</v>
      </c>
    </row>
    <row r="1224" spans="1:8" hidden="1" x14ac:dyDescent="0.3">
      <c r="A1224" t="s">
        <v>2321</v>
      </c>
      <c r="B1224" t="s">
        <v>9</v>
      </c>
      <c r="C1224" t="s">
        <v>2322</v>
      </c>
      <c r="D1224" t="s">
        <v>15</v>
      </c>
      <c r="E1224" t="s">
        <v>11</v>
      </c>
    </row>
    <row r="1225" spans="1:8" x14ac:dyDescent="0.3">
      <c r="A1225" t="s">
        <v>2323</v>
      </c>
      <c r="B1225" t="s">
        <v>9</v>
      </c>
      <c r="C1225" t="s">
        <v>2324</v>
      </c>
      <c r="D1225" t="s">
        <v>15</v>
      </c>
      <c r="E1225" t="s">
        <v>20</v>
      </c>
      <c r="F1225" t="s">
        <v>21</v>
      </c>
    </row>
    <row r="1226" spans="1:8" hidden="1" x14ac:dyDescent="0.3">
      <c r="A1226" t="s">
        <v>2325</v>
      </c>
      <c r="B1226" t="s">
        <v>9</v>
      </c>
      <c r="C1226" t="s">
        <v>2326</v>
      </c>
      <c r="D1226" t="s">
        <v>15</v>
      </c>
      <c r="E1226" t="s">
        <v>16</v>
      </c>
      <c r="F1226" t="s">
        <v>2327</v>
      </c>
    </row>
    <row r="1227" spans="1:8" hidden="1" x14ac:dyDescent="0.3">
      <c r="A1227" t="s">
        <v>2328</v>
      </c>
      <c r="B1227" t="s">
        <v>197</v>
      </c>
      <c r="C1227" t="s">
        <v>2329</v>
      </c>
      <c r="D1227" t="s">
        <v>15</v>
      </c>
      <c r="E1227" t="s">
        <v>54</v>
      </c>
      <c r="F1227" t="s">
        <v>1069</v>
      </c>
    </row>
    <row r="1228" spans="1:8" hidden="1" x14ac:dyDescent="0.3">
      <c r="A1228" t="s">
        <v>2330</v>
      </c>
      <c r="B1228" t="s">
        <v>13</v>
      </c>
      <c r="C1228" t="s">
        <v>314</v>
      </c>
      <c r="E1228" t="s">
        <v>11</v>
      </c>
    </row>
    <row r="1229" spans="1:8" hidden="1" x14ac:dyDescent="0.3">
      <c r="A1229" t="s">
        <v>2331</v>
      </c>
      <c r="B1229" t="s">
        <v>11</v>
      </c>
      <c r="E1229" t="s">
        <v>11</v>
      </c>
    </row>
    <row r="1230" spans="1:8" hidden="1" x14ac:dyDescent="0.3">
      <c r="A1230" t="s">
        <v>2332</v>
      </c>
      <c r="B1230" t="s">
        <v>197</v>
      </c>
      <c r="C1230" t="s">
        <v>2333</v>
      </c>
      <c r="D1230" t="s">
        <v>15</v>
      </c>
      <c r="E1230" t="s">
        <v>54</v>
      </c>
      <c r="F1230" t="s">
        <v>2334</v>
      </c>
    </row>
    <row r="1231" spans="1:8" hidden="1" x14ac:dyDescent="0.3">
      <c r="A1231" t="s">
        <v>2335</v>
      </c>
      <c r="B1231" t="s">
        <v>13</v>
      </c>
      <c r="C1231" t="s">
        <v>2336</v>
      </c>
      <c r="D1231" t="s">
        <v>15</v>
      </c>
      <c r="E1231" t="s">
        <v>54</v>
      </c>
      <c r="F1231" t="s">
        <v>2337</v>
      </c>
    </row>
    <row r="1232" spans="1:8" x14ac:dyDescent="0.3">
      <c r="A1232" t="s">
        <v>2338</v>
      </c>
      <c r="B1232" t="s">
        <v>13</v>
      </c>
      <c r="C1232" t="s">
        <v>2339</v>
      </c>
      <c r="D1232" t="s">
        <v>15</v>
      </c>
      <c r="E1232" t="s">
        <v>20</v>
      </c>
      <c r="F1232" t="s">
        <v>2340</v>
      </c>
    </row>
    <row r="1233" spans="1:6" x14ac:dyDescent="0.3">
      <c r="A1233" t="s">
        <v>2341</v>
      </c>
      <c r="B1233" t="s">
        <v>13</v>
      </c>
      <c r="C1233" t="s">
        <v>112</v>
      </c>
      <c r="D1233" t="s">
        <v>15</v>
      </c>
      <c r="E1233" t="s">
        <v>20</v>
      </c>
      <c r="F1233" t="s">
        <v>1423</v>
      </c>
    </row>
    <row r="1234" spans="1:6" hidden="1" x14ac:dyDescent="0.3">
      <c r="A1234" t="s">
        <v>2342</v>
      </c>
      <c r="B1234" t="s">
        <v>9</v>
      </c>
      <c r="C1234" t="s">
        <v>28</v>
      </c>
      <c r="D1234" t="s">
        <v>15</v>
      </c>
      <c r="E1234" t="s">
        <v>11</v>
      </c>
    </row>
    <row r="1235" spans="1:6" hidden="1" x14ac:dyDescent="0.3">
      <c r="A1235" t="s">
        <v>2343</v>
      </c>
      <c r="B1235" t="s">
        <v>9</v>
      </c>
      <c r="C1235" t="s">
        <v>2344</v>
      </c>
      <c r="E1235" t="s">
        <v>11</v>
      </c>
    </row>
    <row r="1236" spans="1:6" x14ac:dyDescent="0.3">
      <c r="A1236" t="s">
        <v>2345</v>
      </c>
      <c r="B1236" t="s">
        <v>9</v>
      </c>
      <c r="C1236" t="s">
        <v>2346</v>
      </c>
      <c r="D1236" t="s">
        <v>15</v>
      </c>
      <c r="E1236" t="s">
        <v>20</v>
      </c>
      <c r="F1236" t="s">
        <v>2347</v>
      </c>
    </row>
    <row r="1237" spans="1:6" x14ac:dyDescent="0.3">
      <c r="A1237" t="s">
        <v>2348</v>
      </c>
      <c r="B1237" t="s">
        <v>13</v>
      </c>
      <c r="C1237" t="s">
        <v>2349</v>
      </c>
      <c r="E1237" t="s">
        <v>20</v>
      </c>
      <c r="F1237" t="s">
        <v>2350</v>
      </c>
    </row>
    <row r="1238" spans="1:6" hidden="1" x14ac:dyDescent="0.3">
      <c r="A1238" t="s">
        <v>2351</v>
      </c>
      <c r="B1238" t="s">
        <v>9</v>
      </c>
      <c r="C1238" t="s">
        <v>2352</v>
      </c>
      <c r="D1238" t="s">
        <v>15</v>
      </c>
      <c r="E1238" t="s">
        <v>16</v>
      </c>
      <c r="F1238" t="s">
        <v>2353</v>
      </c>
    </row>
    <row r="1239" spans="1:6" hidden="1" x14ac:dyDescent="0.3">
      <c r="A1239" t="s">
        <v>2354</v>
      </c>
      <c r="B1239" t="s">
        <v>9</v>
      </c>
      <c r="C1239" t="s">
        <v>2355</v>
      </c>
      <c r="E1239" t="s">
        <v>11</v>
      </c>
    </row>
    <row r="1240" spans="1:6" hidden="1" x14ac:dyDescent="0.3">
      <c r="A1240" t="s">
        <v>2356</v>
      </c>
      <c r="B1240" t="s">
        <v>11</v>
      </c>
      <c r="E1240" t="s">
        <v>11</v>
      </c>
    </row>
    <row r="1241" spans="1:6" hidden="1" x14ac:dyDescent="0.3">
      <c r="A1241" t="s">
        <v>2357</v>
      </c>
      <c r="B1241" t="s">
        <v>11</v>
      </c>
      <c r="E1241" t="s">
        <v>11</v>
      </c>
    </row>
    <row r="1242" spans="1:6" hidden="1" x14ac:dyDescent="0.3">
      <c r="A1242" t="s">
        <v>2358</v>
      </c>
      <c r="B1242" t="s">
        <v>11</v>
      </c>
      <c r="E1242" t="s">
        <v>11</v>
      </c>
    </row>
    <row r="1243" spans="1:6" x14ac:dyDescent="0.3">
      <c r="A1243" t="s">
        <v>2359</v>
      </c>
      <c r="B1243" t="s">
        <v>13</v>
      </c>
      <c r="C1243" t="s">
        <v>2360</v>
      </c>
      <c r="D1243" t="s">
        <v>15</v>
      </c>
      <c r="E1243" t="s">
        <v>20</v>
      </c>
      <c r="F1243" t="s">
        <v>21</v>
      </c>
    </row>
    <row r="1244" spans="1:6" hidden="1" x14ac:dyDescent="0.3">
      <c r="A1244" t="s">
        <v>2361</v>
      </c>
      <c r="B1244" t="s">
        <v>9</v>
      </c>
      <c r="C1244" t="s">
        <v>28</v>
      </c>
      <c r="D1244" t="s">
        <v>15</v>
      </c>
      <c r="E1244" t="s">
        <v>11</v>
      </c>
    </row>
    <row r="1245" spans="1:6" x14ac:dyDescent="0.3">
      <c r="A1245" t="s">
        <v>2362</v>
      </c>
      <c r="B1245" t="s">
        <v>13</v>
      </c>
      <c r="C1245" t="s">
        <v>2363</v>
      </c>
      <c r="D1245" t="s">
        <v>15</v>
      </c>
      <c r="E1245" t="s">
        <v>20</v>
      </c>
      <c r="F1245" t="s">
        <v>2364</v>
      </c>
    </row>
    <row r="1246" spans="1:6" hidden="1" x14ac:dyDescent="0.3">
      <c r="A1246" t="s">
        <v>2365</v>
      </c>
      <c r="B1246" t="s">
        <v>9</v>
      </c>
      <c r="C1246" t="s">
        <v>914</v>
      </c>
      <c r="E1246" t="s">
        <v>11</v>
      </c>
    </row>
    <row r="1247" spans="1:6" hidden="1" x14ac:dyDescent="0.3">
      <c r="A1247" t="s">
        <v>2366</v>
      </c>
      <c r="B1247" t="s">
        <v>9</v>
      </c>
      <c r="C1247" t="s">
        <v>1650</v>
      </c>
      <c r="E1247" t="s">
        <v>11</v>
      </c>
    </row>
    <row r="1248" spans="1:6" hidden="1" x14ac:dyDescent="0.3">
      <c r="A1248" t="s">
        <v>2367</v>
      </c>
      <c r="B1248" t="s">
        <v>13</v>
      </c>
      <c r="C1248" t="s">
        <v>2368</v>
      </c>
      <c r="D1248" t="s">
        <v>15</v>
      </c>
      <c r="E1248" t="s">
        <v>54</v>
      </c>
      <c r="F1248" t="s">
        <v>2369</v>
      </c>
    </row>
    <row r="1249" spans="1:6" hidden="1" x14ac:dyDescent="0.3">
      <c r="A1249" t="s">
        <v>2370</v>
      </c>
      <c r="B1249" t="s">
        <v>9</v>
      </c>
      <c r="C1249" t="s">
        <v>129</v>
      </c>
      <c r="E1249" t="s">
        <v>11</v>
      </c>
    </row>
    <row r="1250" spans="1:6" hidden="1" x14ac:dyDescent="0.3">
      <c r="A1250" t="s">
        <v>2371</v>
      </c>
      <c r="B1250" t="s">
        <v>9</v>
      </c>
      <c r="C1250" t="s">
        <v>28</v>
      </c>
      <c r="E1250" t="s">
        <v>11</v>
      </c>
    </row>
    <row r="1251" spans="1:6" x14ac:dyDescent="0.3">
      <c r="A1251" t="s">
        <v>2372</v>
      </c>
      <c r="B1251" t="s">
        <v>13</v>
      </c>
      <c r="C1251" t="s">
        <v>2373</v>
      </c>
      <c r="D1251" t="s">
        <v>15</v>
      </c>
      <c r="E1251" t="s">
        <v>20</v>
      </c>
      <c r="F1251" t="s">
        <v>21</v>
      </c>
    </row>
    <row r="1252" spans="1:6" x14ac:dyDescent="0.3">
      <c r="A1252" t="s">
        <v>2374</v>
      </c>
      <c r="B1252" t="s">
        <v>13</v>
      </c>
      <c r="C1252" t="s">
        <v>2375</v>
      </c>
      <c r="E1252" t="s">
        <v>20</v>
      </c>
      <c r="F1252" t="s">
        <v>1423</v>
      </c>
    </row>
    <row r="1253" spans="1:6" hidden="1" x14ac:dyDescent="0.3">
      <c r="A1253" t="s">
        <v>2376</v>
      </c>
      <c r="B1253" t="s">
        <v>9</v>
      </c>
      <c r="C1253" t="s">
        <v>2377</v>
      </c>
      <c r="D1253" t="s">
        <v>15</v>
      </c>
      <c r="E1253" t="s">
        <v>16</v>
      </c>
      <c r="F1253" t="s">
        <v>45</v>
      </c>
    </row>
    <row r="1254" spans="1:6" hidden="1" x14ac:dyDescent="0.3">
      <c r="A1254" t="s">
        <v>2378</v>
      </c>
      <c r="B1254" t="s">
        <v>13</v>
      </c>
      <c r="C1254" t="s">
        <v>314</v>
      </c>
      <c r="E1254" t="s">
        <v>11</v>
      </c>
    </row>
    <row r="1255" spans="1:6" hidden="1" x14ac:dyDescent="0.3">
      <c r="A1255" t="s">
        <v>2379</v>
      </c>
      <c r="B1255" t="s">
        <v>11</v>
      </c>
      <c r="E1255" t="s">
        <v>11</v>
      </c>
    </row>
    <row r="1256" spans="1:6" hidden="1" x14ac:dyDescent="0.3">
      <c r="A1256" t="s">
        <v>2380</v>
      </c>
      <c r="B1256" t="s">
        <v>11</v>
      </c>
      <c r="E1256" t="s">
        <v>11</v>
      </c>
    </row>
    <row r="1257" spans="1:6" hidden="1" x14ac:dyDescent="0.3">
      <c r="A1257" t="s">
        <v>2381</v>
      </c>
      <c r="B1257" t="s">
        <v>11</v>
      </c>
      <c r="E1257" t="s">
        <v>11</v>
      </c>
    </row>
    <row r="1258" spans="1:6" hidden="1" x14ac:dyDescent="0.3">
      <c r="A1258" t="s">
        <v>2382</v>
      </c>
      <c r="B1258" t="s">
        <v>11</v>
      </c>
      <c r="E1258" t="s">
        <v>11</v>
      </c>
    </row>
    <row r="1259" spans="1:6" hidden="1" x14ac:dyDescent="0.3">
      <c r="A1259" t="s">
        <v>2383</v>
      </c>
      <c r="B1259" t="s">
        <v>9</v>
      </c>
      <c r="C1259" t="s">
        <v>28</v>
      </c>
      <c r="E1259" t="s">
        <v>11</v>
      </c>
    </row>
    <row r="1260" spans="1:6" hidden="1" x14ac:dyDescent="0.3">
      <c r="A1260" t="s">
        <v>2384</v>
      </c>
      <c r="B1260" t="s">
        <v>9</v>
      </c>
      <c r="C1260" t="s">
        <v>28</v>
      </c>
      <c r="E1260" t="s">
        <v>11</v>
      </c>
    </row>
    <row r="1261" spans="1:6" hidden="1" x14ac:dyDescent="0.3">
      <c r="A1261" t="s">
        <v>2385</v>
      </c>
      <c r="B1261" t="s">
        <v>9</v>
      </c>
      <c r="C1261" t="s">
        <v>2386</v>
      </c>
      <c r="D1261" t="s">
        <v>15</v>
      </c>
      <c r="E1261" t="s">
        <v>16</v>
      </c>
      <c r="F1261" t="s">
        <v>88</v>
      </c>
    </row>
    <row r="1262" spans="1:6" hidden="1" x14ac:dyDescent="0.3">
      <c r="A1262" t="s">
        <v>2387</v>
      </c>
      <c r="B1262" t="s">
        <v>13</v>
      </c>
      <c r="C1262" t="s">
        <v>2388</v>
      </c>
      <c r="E1262" t="s">
        <v>11</v>
      </c>
    </row>
    <row r="1263" spans="1:6" hidden="1" x14ac:dyDescent="0.3">
      <c r="A1263" t="s">
        <v>2389</v>
      </c>
      <c r="B1263" t="s">
        <v>9</v>
      </c>
      <c r="C1263" t="s">
        <v>2390</v>
      </c>
      <c r="E1263" t="s">
        <v>11</v>
      </c>
    </row>
    <row r="1264" spans="1:6" hidden="1" x14ac:dyDescent="0.3">
      <c r="A1264" t="s">
        <v>2391</v>
      </c>
      <c r="B1264" t="s">
        <v>13</v>
      </c>
      <c r="C1264" t="s">
        <v>2392</v>
      </c>
      <c r="D1264" t="s">
        <v>15</v>
      </c>
      <c r="E1264" t="s">
        <v>54</v>
      </c>
      <c r="F1264" t="s">
        <v>2393</v>
      </c>
    </row>
    <row r="1265" spans="1:8" x14ac:dyDescent="0.3">
      <c r="A1265" t="s">
        <v>2394</v>
      </c>
      <c r="B1265" t="s">
        <v>9</v>
      </c>
      <c r="C1265" t="s">
        <v>2395</v>
      </c>
      <c r="D1265" t="s">
        <v>15</v>
      </c>
      <c r="E1265" t="s">
        <v>20</v>
      </c>
      <c r="F1265" t="s">
        <v>2396</v>
      </c>
    </row>
    <row r="1266" spans="1:8" hidden="1" x14ac:dyDescent="0.3">
      <c r="A1266" t="s">
        <v>2397</v>
      </c>
      <c r="B1266" t="s">
        <v>197</v>
      </c>
      <c r="C1266" t="s">
        <v>2398</v>
      </c>
      <c r="D1266" t="s">
        <v>15</v>
      </c>
      <c r="E1266" t="s">
        <v>54</v>
      </c>
      <c r="F1266" t="s">
        <v>2399</v>
      </c>
      <c r="G1266" t="s">
        <v>15</v>
      </c>
      <c r="H1266" t="s">
        <v>2400</v>
      </c>
    </row>
    <row r="1267" spans="1:8" hidden="1" x14ac:dyDescent="0.3">
      <c r="A1267" t="s">
        <v>2401</v>
      </c>
      <c r="B1267" t="s">
        <v>9</v>
      </c>
      <c r="C1267" t="s">
        <v>2402</v>
      </c>
      <c r="D1267" t="s">
        <v>15</v>
      </c>
      <c r="E1267" t="s">
        <v>54</v>
      </c>
      <c r="F1267" t="s">
        <v>2403</v>
      </c>
    </row>
    <row r="1268" spans="1:8" hidden="1" x14ac:dyDescent="0.3">
      <c r="A1268" t="s">
        <v>2404</v>
      </c>
      <c r="B1268" t="s">
        <v>9</v>
      </c>
      <c r="C1268" t="s">
        <v>28</v>
      </c>
      <c r="E1268" t="s">
        <v>11</v>
      </c>
    </row>
    <row r="1269" spans="1:8" hidden="1" x14ac:dyDescent="0.3">
      <c r="A1269" t="s">
        <v>2405</v>
      </c>
      <c r="B1269" t="s">
        <v>13</v>
      </c>
      <c r="C1269" t="s">
        <v>2406</v>
      </c>
      <c r="D1269" t="s">
        <v>15</v>
      </c>
      <c r="E1269" t="s">
        <v>16</v>
      </c>
      <c r="F1269" t="s">
        <v>2407</v>
      </c>
    </row>
    <row r="1270" spans="1:8" hidden="1" x14ac:dyDescent="0.3">
      <c r="A1270" t="s">
        <v>2408</v>
      </c>
      <c r="B1270" t="s">
        <v>9</v>
      </c>
      <c r="C1270" t="s">
        <v>1640</v>
      </c>
      <c r="E1270" t="s">
        <v>11</v>
      </c>
    </row>
    <row r="1271" spans="1:8" hidden="1" x14ac:dyDescent="0.3">
      <c r="A1271" t="s">
        <v>2409</v>
      </c>
      <c r="B1271" t="s">
        <v>13</v>
      </c>
      <c r="C1271" t="s">
        <v>771</v>
      </c>
      <c r="D1271" t="s">
        <v>15</v>
      </c>
      <c r="E1271" t="s">
        <v>11</v>
      </c>
    </row>
    <row r="1272" spans="1:8" x14ac:dyDescent="0.3">
      <c r="A1272" t="s">
        <v>2410</v>
      </c>
      <c r="B1272" t="s">
        <v>13</v>
      </c>
      <c r="C1272" t="s">
        <v>2411</v>
      </c>
      <c r="D1272" t="s">
        <v>15</v>
      </c>
      <c r="E1272" t="s">
        <v>20</v>
      </c>
      <c r="F1272" t="s">
        <v>2412</v>
      </c>
    </row>
    <row r="1273" spans="1:8" hidden="1" x14ac:dyDescent="0.3">
      <c r="A1273" t="s">
        <v>2413</v>
      </c>
      <c r="B1273" t="s">
        <v>9</v>
      </c>
      <c r="C1273" t="s">
        <v>2414</v>
      </c>
      <c r="D1273" t="s">
        <v>15</v>
      </c>
      <c r="E1273" t="s">
        <v>54</v>
      </c>
      <c r="F1273" t="s">
        <v>2415</v>
      </c>
    </row>
    <row r="1274" spans="1:8" hidden="1" x14ac:dyDescent="0.3">
      <c r="A1274" t="s">
        <v>2416</v>
      </c>
      <c r="B1274" t="s">
        <v>9</v>
      </c>
      <c r="C1274" t="s">
        <v>2417</v>
      </c>
      <c r="E1274" t="s">
        <v>54</v>
      </c>
      <c r="F1274" t="s">
        <v>2418</v>
      </c>
    </row>
    <row r="1275" spans="1:8" hidden="1" x14ac:dyDescent="0.3">
      <c r="A1275" t="s">
        <v>2419</v>
      </c>
      <c r="B1275" t="s">
        <v>13</v>
      </c>
      <c r="C1275" t="s">
        <v>231</v>
      </c>
      <c r="E1275" t="s">
        <v>11</v>
      </c>
    </row>
    <row r="1276" spans="1:8" x14ac:dyDescent="0.3">
      <c r="A1276" t="s">
        <v>2420</v>
      </c>
      <c r="B1276" t="s">
        <v>9</v>
      </c>
      <c r="C1276" t="s">
        <v>28</v>
      </c>
      <c r="D1276" t="s">
        <v>15</v>
      </c>
      <c r="E1276" t="s">
        <v>20</v>
      </c>
      <c r="F1276" t="s">
        <v>21</v>
      </c>
    </row>
    <row r="1277" spans="1:8" hidden="1" x14ac:dyDescent="0.3">
      <c r="A1277" t="s">
        <v>2421</v>
      </c>
      <c r="B1277" t="s">
        <v>11</v>
      </c>
      <c r="E1277" t="s">
        <v>11</v>
      </c>
    </row>
    <row r="1278" spans="1:8" x14ac:dyDescent="0.3">
      <c r="A1278" t="s">
        <v>2422</v>
      </c>
      <c r="B1278" t="s">
        <v>13</v>
      </c>
      <c r="C1278" t="s">
        <v>2423</v>
      </c>
      <c r="E1278" t="s">
        <v>20</v>
      </c>
      <c r="F1278" t="s">
        <v>2424</v>
      </c>
    </row>
    <row r="1279" spans="1:8" hidden="1" x14ac:dyDescent="0.3">
      <c r="A1279" t="s">
        <v>2425</v>
      </c>
      <c r="B1279" t="s">
        <v>9</v>
      </c>
      <c r="C1279" t="s">
        <v>2426</v>
      </c>
      <c r="D1279" t="s">
        <v>15</v>
      </c>
      <c r="E1279" t="s">
        <v>54</v>
      </c>
      <c r="F1279" t="s">
        <v>2427</v>
      </c>
    </row>
    <row r="1280" spans="1:8" x14ac:dyDescent="0.3">
      <c r="A1280" t="s">
        <v>2428</v>
      </c>
      <c r="B1280" t="s">
        <v>9</v>
      </c>
      <c r="C1280" t="s">
        <v>2429</v>
      </c>
      <c r="E1280" t="s">
        <v>20</v>
      </c>
      <c r="F1280" t="s">
        <v>135</v>
      </c>
    </row>
    <row r="1281" spans="1:6" hidden="1" x14ac:dyDescent="0.3">
      <c r="A1281" t="s">
        <v>2430</v>
      </c>
      <c r="B1281" t="s">
        <v>11</v>
      </c>
      <c r="E1281" t="s">
        <v>11</v>
      </c>
    </row>
    <row r="1282" spans="1:6" x14ac:dyDescent="0.3">
      <c r="A1282" t="s">
        <v>2431</v>
      </c>
      <c r="B1282" t="s">
        <v>9</v>
      </c>
      <c r="C1282" t="s">
        <v>2432</v>
      </c>
      <c r="D1282" t="s">
        <v>15</v>
      </c>
      <c r="E1282" t="s">
        <v>20</v>
      </c>
      <c r="F1282" t="s">
        <v>2433</v>
      </c>
    </row>
    <row r="1283" spans="1:6" hidden="1" x14ac:dyDescent="0.3">
      <c r="A1283" t="s">
        <v>2434</v>
      </c>
      <c r="B1283" t="s">
        <v>9</v>
      </c>
      <c r="C1283" t="s">
        <v>2435</v>
      </c>
      <c r="D1283" t="s">
        <v>15</v>
      </c>
      <c r="E1283" t="s">
        <v>54</v>
      </c>
      <c r="F1283" t="s">
        <v>1419</v>
      </c>
    </row>
    <row r="1284" spans="1:6" hidden="1" x14ac:dyDescent="0.3">
      <c r="A1284" t="s">
        <v>2436</v>
      </c>
      <c r="B1284" t="s">
        <v>9</v>
      </c>
      <c r="C1284" t="s">
        <v>2437</v>
      </c>
      <c r="E1284" t="s">
        <v>11</v>
      </c>
    </row>
    <row r="1285" spans="1:6" hidden="1" x14ac:dyDescent="0.3">
      <c r="A1285" t="s">
        <v>2438</v>
      </c>
      <c r="B1285" t="s">
        <v>9</v>
      </c>
      <c r="C1285" t="s">
        <v>28</v>
      </c>
      <c r="E1285" t="s">
        <v>11</v>
      </c>
    </row>
    <row r="1286" spans="1:6" hidden="1" x14ac:dyDescent="0.3">
      <c r="A1286" t="s">
        <v>2439</v>
      </c>
      <c r="B1286" t="s">
        <v>11</v>
      </c>
      <c r="E1286" t="s">
        <v>11</v>
      </c>
    </row>
    <row r="1287" spans="1:6" hidden="1" x14ac:dyDescent="0.3">
      <c r="A1287" t="s">
        <v>2440</v>
      </c>
      <c r="B1287" t="s">
        <v>11</v>
      </c>
      <c r="E1287" t="s">
        <v>11</v>
      </c>
    </row>
    <row r="1288" spans="1:6" x14ac:dyDescent="0.3">
      <c r="A1288" t="s">
        <v>2441</v>
      </c>
      <c r="B1288" t="s">
        <v>197</v>
      </c>
      <c r="C1288" t="s">
        <v>2442</v>
      </c>
      <c r="E1288" t="s">
        <v>20</v>
      </c>
      <c r="F1288" t="s">
        <v>2443</v>
      </c>
    </row>
    <row r="1289" spans="1:6" x14ac:dyDescent="0.3">
      <c r="A1289" t="s">
        <v>2444</v>
      </c>
      <c r="B1289" t="s">
        <v>9</v>
      </c>
      <c r="C1289" t="s">
        <v>2445</v>
      </c>
      <c r="D1289" t="s">
        <v>15</v>
      </c>
      <c r="E1289" t="s">
        <v>20</v>
      </c>
      <c r="F1289" t="s">
        <v>21</v>
      </c>
    </row>
    <row r="1290" spans="1:6" hidden="1" x14ac:dyDescent="0.3">
      <c r="A1290" t="s">
        <v>2446</v>
      </c>
      <c r="B1290" t="s">
        <v>11</v>
      </c>
      <c r="E1290" t="s">
        <v>11</v>
      </c>
    </row>
    <row r="1291" spans="1:6" x14ac:dyDescent="0.3">
      <c r="A1291" t="s">
        <v>2447</v>
      </c>
      <c r="B1291" t="s">
        <v>9</v>
      </c>
      <c r="C1291" t="s">
        <v>28</v>
      </c>
      <c r="D1291" t="s">
        <v>15</v>
      </c>
      <c r="E1291" t="s">
        <v>20</v>
      </c>
      <c r="F1291" t="s">
        <v>36</v>
      </c>
    </row>
    <row r="1292" spans="1:6" x14ac:dyDescent="0.3">
      <c r="A1292" t="s">
        <v>2448</v>
      </c>
      <c r="B1292" t="s">
        <v>9</v>
      </c>
      <c r="C1292" t="s">
        <v>2449</v>
      </c>
      <c r="D1292" t="s">
        <v>15</v>
      </c>
      <c r="E1292" t="s">
        <v>20</v>
      </c>
      <c r="F1292" t="s">
        <v>21</v>
      </c>
    </row>
    <row r="1293" spans="1:6" hidden="1" x14ac:dyDescent="0.3">
      <c r="A1293" t="s">
        <v>2450</v>
      </c>
      <c r="B1293" t="s">
        <v>9</v>
      </c>
      <c r="C1293" t="s">
        <v>2451</v>
      </c>
      <c r="D1293" t="s">
        <v>15</v>
      </c>
      <c r="E1293" t="s">
        <v>11</v>
      </c>
    </row>
    <row r="1294" spans="1:6" hidden="1" x14ac:dyDescent="0.3">
      <c r="A1294" t="s">
        <v>2452</v>
      </c>
      <c r="B1294" t="s">
        <v>9</v>
      </c>
      <c r="C1294" t="s">
        <v>2453</v>
      </c>
      <c r="D1294" t="s">
        <v>15</v>
      </c>
      <c r="E1294" t="s">
        <v>16</v>
      </c>
      <c r="F1294" t="s">
        <v>1298</v>
      </c>
    </row>
    <row r="1295" spans="1:6" hidden="1" x14ac:dyDescent="0.3">
      <c r="A1295" t="s">
        <v>2454</v>
      </c>
      <c r="B1295" t="s">
        <v>9</v>
      </c>
      <c r="C1295" t="s">
        <v>2455</v>
      </c>
      <c r="E1295" t="s">
        <v>11</v>
      </c>
    </row>
    <row r="1296" spans="1:6" hidden="1" x14ac:dyDescent="0.3">
      <c r="A1296" t="s">
        <v>2456</v>
      </c>
      <c r="B1296" t="s">
        <v>13</v>
      </c>
      <c r="C1296" t="s">
        <v>2457</v>
      </c>
      <c r="D1296" t="s">
        <v>15</v>
      </c>
      <c r="E1296" t="s">
        <v>16</v>
      </c>
      <c r="F1296" t="s">
        <v>138</v>
      </c>
    </row>
    <row r="1297" spans="1:6" hidden="1" x14ac:dyDescent="0.3">
      <c r="A1297" t="s">
        <v>2458</v>
      </c>
      <c r="B1297" t="s">
        <v>11</v>
      </c>
      <c r="D1297" t="s">
        <v>15</v>
      </c>
      <c r="E1297" t="s">
        <v>11</v>
      </c>
    </row>
    <row r="1298" spans="1:6" hidden="1" x14ac:dyDescent="0.3">
      <c r="A1298" t="s">
        <v>2459</v>
      </c>
      <c r="B1298" t="s">
        <v>13</v>
      </c>
      <c r="C1298" t="s">
        <v>2460</v>
      </c>
      <c r="D1298" t="s">
        <v>15</v>
      </c>
      <c r="E1298" t="s">
        <v>11</v>
      </c>
    </row>
    <row r="1299" spans="1:6" hidden="1" x14ac:dyDescent="0.3">
      <c r="A1299" t="s">
        <v>2461</v>
      </c>
      <c r="B1299" t="s">
        <v>13</v>
      </c>
      <c r="C1299" t="s">
        <v>2462</v>
      </c>
      <c r="D1299" t="s">
        <v>15</v>
      </c>
      <c r="E1299" t="s">
        <v>11</v>
      </c>
    </row>
    <row r="1300" spans="1:6" hidden="1" x14ac:dyDescent="0.3">
      <c r="A1300" t="s">
        <v>2463</v>
      </c>
      <c r="B1300" t="s">
        <v>9</v>
      </c>
      <c r="C1300" t="s">
        <v>2464</v>
      </c>
      <c r="E1300" t="s">
        <v>16</v>
      </c>
      <c r="F1300" t="s">
        <v>2465</v>
      </c>
    </row>
    <row r="1301" spans="1:6" hidden="1" x14ac:dyDescent="0.3">
      <c r="A1301" t="s">
        <v>2466</v>
      </c>
      <c r="B1301" t="s">
        <v>13</v>
      </c>
      <c r="C1301" t="s">
        <v>2467</v>
      </c>
      <c r="D1301" t="s">
        <v>15</v>
      </c>
      <c r="E1301" t="s">
        <v>54</v>
      </c>
      <c r="F1301" t="s">
        <v>2468</v>
      </c>
    </row>
    <row r="1302" spans="1:6" hidden="1" x14ac:dyDescent="0.3">
      <c r="A1302" t="s">
        <v>2469</v>
      </c>
      <c r="B1302" t="s">
        <v>11</v>
      </c>
      <c r="E1302" t="s">
        <v>11</v>
      </c>
    </row>
    <row r="1303" spans="1:6" hidden="1" x14ac:dyDescent="0.3">
      <c r="A1303" t="s">
        <v>2470</v>
      </c>
      <c r="B1303" t="s">
        <v>197</v>
      </c>
      <c r="C1303" t="s">
        <v>2471</v>
      </c>
      <c r="D1303" t="s">
        <v>15</v>
      </c>
      <c r="E1303" t="s">
        <v>54</v>
      </c>
      <c r="F1303" t="s">
        <v>2472</v>
      </c>
    </row>
    <row r="1304" spans="1:6" hidden="1" x14ac:dyDescent="0.3">
      <c r="A1304" t="s">
        <v>2473</v>
      </c>
      <c r="B1304" t="s">
        <v>9</v>
      </c>
      <c r="C1304" t="s">
        <v>2474</v>
      </c>
      <c r="E1304" t="s">
        <v>11</v>
      </c>
    </row>
    <row r="1305" spans="1:6" hidden="1" x14ac:dyDescent="0.3">
      <c r="A1305" t="s">
        <v>2475</v>
      </c>
      <c r="B1305" t="s">
        <v>9</v>
      </c>
      <c r="C1305" t="s">
        <v>51</v>
      </c>
      <c r="D1305" t="s">
        <v>15</v>
      </c>
      <c r="E1305" t="s">
        <v>11</v>
      </c>
    </row>
    <row r="1306" spans="1:6" hidden="1" x14ac:dyDescent="0.3">
      <c r="A1306" t="s">
        <v>2476</v>
      </c>
      <c r="B1306" t="s">
        <v>9</v>
      </c>
      <c r="C1306" t="s">
        <v>2477</v>
      </c>
      <c r="D1306" t="s">
        <v>15</v>
      </c>
      <c r="E1306" t="s">
        <v>16</v>
      </c>
      <c r="F1306" t="s">
        <v>2478</v>
      </c>
    </row>
    <row r="1307" spans="1:6" hidden="1" x14ac:dyDescent="0.3">
      <c r="A1307" t="s">
        <v>2479</v>
      </c>
      <c r="B1307" t="s">
        <v>13</v>
      </c>
      <c r="C1307" t="s">
        <v>231</v>
      </c>
      <c r="E1307" t="s">
        <v>11</v>
      </c>
    </row>
    <row r="1308" spans="1:6" hidden="1" x14ac:dyDescent="0.3">
      <c r="A1308" t="s">
        <v>2480</v>
      </c>
      <c r="B1308" t="s">
        <v>13</v>
      </c>
      <c r="C1308" t="s">
        <v>2481</v>
      </c>
      <c r="D1308" t="s">
        <v>15</v>
      </c>
      <c r="E1308" t="s">
        <v>54</v>
      </c>
      <c r="F1308" t="s">
        <v>2482</v>
      </c>
    </row>
    <row r="1309" spans="1:6" x14ac:dyDescent="0.3">
      <c r="A1309" t="s">
        <v>2483</v>
      </c>
      <c r="B1309" t="s">
        <v>9</v>
      </c>
      <c r="C1309" t="s">
        <v>2484</v>
      </c>
      <c r="E1309" t="s">
        <v>20</v>
      </c>
      <c r="F1309" t="s">
        <v>21</v>
      </c>
    </row>
    <row r="1310" spans="1:6" hidden="1" x14ac:dyDescent="0.3">
      <c r="A1310" t="s">
        <v>2485</v>
      </c>
      <c r="B1310" t="s">
        <v>11</v>
      </c>
      <c r="E1310" t="s">
        <v>11</v>
      </c>
    </row>
    <row r="1311" spans="1:6" hidden="1" x14ac:dyDescent="0.3">
      <c r="A1311" t="s">
        <v>2486</v>
      </c>
      <c r="B1311" t="s">
        <v>13</v>
      </c>
      <c r="C1311" t="s">
        <v>2487</v>
      </c>
      <c r="D1311" t="s">
        <v>15</v>
      </c>
      <c r="E1311" t="s">
        <v>16</v>
      </c>
      <c r="F1311" t="s">
        <v>45</v>
      </c>
    </row>
    <row r="1312" spans="1:6" x14ac:dyDescent="0.3">
      <c r="A1312" t="s">
        <v>2488</v>
      </c>
      <c r="B1312" t="s">
        <v>13</v>
      </c>
      <c r="C1312" t="s">
        <v>2489</v>
      </c>
      <c r="D1312" t="s">
        <v>15</v>
      </c>
      <c r="E1312" t="s">
        <v>20</v>
      </c>
      <c r="F1312" t="s">
        <v>117</v>
      </c>
    </row>
    <row r="1313" spans="1:6" hidden="1" x14ac:dyDescent="0.3">
      <c r="A1313" t="s">
        <v>2490</v>
      </c>
      <c r="B1313" t="s">
        <v>13</v>
      </c>
      <c r="C1313" t="s">
        <v>2491</v>
      </c>
      <c r="D1313" t="s">
        <v>15</v>
      </c>
      <c r="E1313" t="s">
        <v>16</v>
      </c>
      <c r="F1313" t="s">
        <v>138</v>
      </c>
    </row>
    <row r="1314" spans="1:6" x14ac:dyDescent="0.3">
      <c r="A1314" t="s">
        <v>2492</v>
      </c>
      <c r="B1314" t="s">
        <v>13</v>
      </c>
      <c r="C1314" t="s">
        <v>2493</v>
      </c>
      <c r="D1314" t="s">
        <v>15</v>
      </c>
      <c r="E1314" t="s">
        <v>20</v>
      </c>
      <c r="F1314" t="s">
        <v>2494</v>
      </c>
    </row>
    <row r="1315" spans="1:6" hidden="1" x14ac:dyDescent="0.3">
      <c r="A1315" t="s">
        <v>2495</v>
      </c>
      <c r="B1315" t="s">
        <v>13</v>
      </c>
      <c r="C1315" t="s">
        <v>2496</v>
      </c>
      <c r="E1315" t="s">
        <v>11</v>
      </c>
    </row>
    <row r="1316" spans="1:6" x14ac:dyDescent="0.3">
      <c r="A1316" t="s">
        <v>2497</v>
      </c>
      <c r="B1316" t="s">
        <v>13</v>
      </c>
      <c r="C1316" t="s">
        <v>2498</v>
      </c>
      <c r="E1316" t="s">
        <v>20</v>
      </c>
      <c r="F1316" t="s">
        <v>21</v>
      </c>
    </row>
    <row r="1317" spans="1:6" hidden="1" x14ac:dyDescent="0.3">
      <c r="A1317" t="s">
        <v>2499</v>
      </c>
      <c r="B1317" t="s">
        <v>13</v>
      </c>
      <c r="C1317" t="s">
        <v>2500</v>
      </c>
      <c r="D1317" t="s">
        <v>15</v>
      </c>
      <c r="E1317" t="s">
        <v>16</v>
      </c>
      <c r="F1317" t="s">
        <v>2501</v>
      </c>
    </row>
    <row r="1318" spans="1:6" x14ac:dyDescent="0.3">
      <c r="A1318" t="s">
        <v>2502</v>
      </c>
      <c r="B1318" t="s">
        <v>9</v>
      </c>
      <c r="C1318" t="s">
        <v>2503</v>
      </c>
      <c r="D1318" t="s">
        <v>15</v>
      </c>
      <c r="E1318" t="s">
        <v>20</v>
      </c>
      <c r="F1318" t="s">
        <v>2504</v>
      </c>
    </row>
    <row r="1319" spans="1:6" x14ac:dyDescent="0.3">
      <c r="A1319" t="s">
        <v>2505</v>
      </c>
      <c r="B1319" t="s">
        <v>13</v>
      </c>
      <c r="C1319" t="s">
        <v>2506</v>
      </c>
      <c r="D1319" t="s">
        <v>15</v>
      </c>
      <c r="E1319" t="s">
        <v>20</v>
      </c>
      <c r="F1319" t="s">
        <v>21</v>
      </c>
    </row>
    <row r="1320" spans="1:6" hidden="1" x14ac:dyDescent="0.3">
      <c r="A1320" t="s">
        <v>2507</v>
      </c>
      <c r="B1320" t="s">
        <v>9</v>
      </c>
      <c r="C1320" t="s">
        <v>28</v>
      </c>
      <c r="D1320" t="s">
        <v>15</v>
      </c>
      <c r="E1320" t="s">
        <v>11</v>
      </c>
    </row>
    <row r="1321" spans="1:6" hidden="1" x14ac:dyDescent="0.3">
      <c r="A1321" t="s">
        <v>2508</v>
      </c>
      <c r="B1321" t="s">
        <v>11</v>
      </c>
      <c r="D1321" t="s">
        <v>15</v>
      </c>
      <c r="E1321" t="s">
        <v>11</v>
      </c>
    </row>
    <row r="1322" spans="1:6" hidden="1" x14ac:dyDescent="0.3">
      <c r="A1322" t="s">
        <v>2509</v>
      </c>
      <c r="B1322" t="s">
        <v>11</v>
      </c>
      <c r="E1322" t="s">
        <v>11</v>
      </c>
    </row>
    <row r="1323" spans="1:6" x14ac:dyDescent="0.3">
      <c r="A1323" t="s">
        <v>2510</v>
      </c>
      <c r="B1323" t="s">
        <v>9</v>
      </c>
      <c r="C1323" t="s">
        <v>2511</v>
      </c>
      <c r="E1323" t="s">
        <v>20</v>
      </c>
      <c r="F1323" t="s">
        <v>2512</v>
      </c>
    </row>
    <row r="1324" spans="1:6" hidden="1" x14ac:dyDescent="0.3">
      <c r="A1324" t="s">
        <v>2513</v>
      </c>
      <c r="B1324" t="s">
        <v>9</v>
      </c>
      <c r="C1324" t="s">
        <v>28</v>
      </c>
      <c r="D1324" t="s">
        <v>15</v>
      </c>
      <c r="E1324" t="s">
        <v>11</v>
      </c>
    </row>
    <row r="1325" spans="1:6" x14ac:dyDescent="0.3">
      <c r="A1325" t="s">
        <v>2514</v>
      </c>
      <c r="B1325" t="s">
        <v>9</v>
      </c>
      <c r="C1325" t="s">
        <v>2515</v>
      </c>
      <c r="D1325" t="s">
        <v>15</v>
      </c>
      <c r="E1325" t="s">
        <v>20</v>
      </c>
      <c r="F1325" t="s">
        <v>21</v>
      </c>
    </row>
    <row r="1326" spans="1:6" hidden="1" x14ac:dyDescent="0.3">
      <c r="A1326" t="s">
        <v>2516</v>
      </c>
      <c r="B1326" t="s">
        <v>11</v>
      </c>
      <c r="E1326" t="s">
        <v>11</v>
      </c>
    </row>
    <row r="1327" spans="1:6" hidden="1" x14ac:dyDescent="0.3">
      <c r="A1327" t="s">
        <v>2517</v>
      </c>
      <c r="B1327" t="s">
        <v>13</v>
      </c>
      <c r="C1327" t="s">
        <v>2518</v>
      </c>
      <c r="D1327" t="s">
        <v>15</v>
      </c>
      <c r="E1327" t="s">
        <v>11</v>
      </c>
    </row>
    <row r="1328" spans="1:6" x14ac:dyDescent="0.3">
      <c r="A1328" t="s">
        <v>2519</v>
      </c>
      <c r="B1328" t="s">
        <v>9</v>
      </c>
      <c r="C1328" t="s">
        <v>2520</v>
      </c>
      <c r="D1328" t="s">
        <v>15</v>
      </c>
      <c r="E1328" t="s">
        <v>20</v>
      </c>
      <c r="F1328" t="s">
        <v>21</v>
      </c>
    </row>
    <row r="1329" spans="1:6" x14ac:dyDescent="0.3">
      <c r="A1329" t="s">
        <v>2521</v>
      </c>
      <c r="B1329" t="s">
        <v>13</v>
      </c>
      <c r="C1329" t="s">
        <v>2522</v>
      </c>
      <c r="E1329" t="s">
        <v>20</v>
      </c>
      <c r="F1329" t="s">
        <v>2523</v>
      </c>
    </row>
    <row r="1330" spans="1:6" hidden="1" x14ac:dyDescent="0.3">
      <c r="A1330" t="s">
        <v>2524</v>
      </c>
      <c r="B1330" t="s">
        <v>13</v>
      </c>
      <c r="C1330" t="s">
        <v>2525</v>
      </c>
      <c r="D1330" t="s">
        <v>15</v>
      </c>
      <c r="E1330" t="s">
        <v>11</v>
      </c>
    </row>
    <row r="1331" spans="1:6" hidden="1" x14ac:dyDescent="0.3">
      <c r="A1331" t="s">
        <v>2526</v>
      </c>
      <c r="B1331" t="s">
        <v>9</v>
      </c>
      <c r="C1331" t="s">
        <v>28</v>
      </c>
      <c r="E1331" t="s">
        <v>11</v>
      </c>
    </row>
    <row r="1332" spans="1:6" x14ac:dyDescent="0.3">
      <c r="A1332" t="s">
        <v>2527</v>
      </c>
      <c r="B1332" t="s">
        <v>9</v>
      </c>
      <c r="C1332" t="s">
        <v>2528</v>
      </c>
      <c r="E1332" t="s">
        <v>20</v>
      </c>
      <c r="F1332" t="s">
        <v>135</v>
      </c>
    </row>
    <row r="1333" spans="1:6" x14ac:dyDescent="0.3">
      <c r="A1333" t="s">
        <v>2529</v>
      </c>
      <c r="B1333" t="s">
        <v>13</v>
      </c>
      <c r="C1333" t="s">
        <v>2530</v>
      </c>
      <c r="D1333" t="s">
        <v>15</v>
      </c>
      <c r="E1333" t="s">
        <v>20</v>
      </c>
      <c r="F1333" t="s">
        <v>21</v>
      </c>
    </row>
    <row r="1334" spans="1:6" hidden="1" x14ac:dyDescent="0.3">
      <c r="A1334" t="s">
        <v>2531</v>
      </c>
      <c r="B1334" t="s">
        <v>11</v>
      </c>
      <c r="E1334" t="s">
        <v>11</v>
      </c>
    </row>
    <row r="1335" spans="1:6" hidden="1" x14ac:dyDescent="0.3">
      <c r="A1335" t="s">
        <v>2532</v>
      </c>
      <c r="B1335" t="s">
        <v>13</v>
      </c>
      <c r="C1335" t="s">
        <v>2533</v>
      </c>
      <c r="D1335" t="s">
        <v>15</v>
      </c>
      <c r="E1335" t="s">
        <v>16</v>
      </c>
      <c r="F1335" t="s">
        <v>2534</v>
      </c>
    </row>
    <row r="1336" spans="1:6" hidden="1" x14ac:dyDescent="0.3">
      <c r="A1336" t="s">
        <v>2535</v>
      </c>
      <c r="B1336" t="s">
        <v>9</v>
      </c>
      <c r="C1336" t="s">
        <v>2536</v>
      </c>
      <c r="E1336" t="s">
        <v>11</v>
      </c>
    </row>
    <row r="1337" spans="1:6" hidden="1" x14ac:dyDescent="0.3">
      <c r="A1337" t="s">
        <v>2537</v>
      </c>
      <c r="B1337" t="s">
        <v>11</v>
      </c>
      <c r="E1337" t="s">
        <v>11</v>
      </c>
    </row>
    <row r="1338" spans="1:6" hidden="1" x14ac:dyDescent="0.3">
      <c r="A1338" t="s">
        <v>2538</v>
      </c>
      <c r="B1338" t="s">
        <v>11</v>
      </c>
      <c r="E1338" t="s">
        <v>11</v>
      </c>
    </row>
    <row r="1339" spans="1:6" hidden="1" x14ac:dyDescent="0.3">
      <c r="A1339" t="s">
        <v>2539</v>
      </c>
      <c r="B1339" t="s">
        <v>11</v>
      </c>
      <c r="E1339" t="s">
        <v>11</v>
      </c>
    </row>
    <row r="1340" spans="1:6" hidden="1" x14ac:dyDescent="0.3">
      <c r="A1340" t="s">
        <v>2540</v>
      </c>
      <c r="B1340" t="s">
        <v>9</v>
      </c>
      <c r="C1340" t="s">
        <v>2541</v>
      </c>
      <c r="D1340" t="s">
        <v>15</v>
      </c>
      <c r="E1340" t="s">
        <v>16</v>
      </c>
      <c r="F1340" t="s">
        <v>2542</v>
      </c>
    </row>
    <row r="1341" spans="1:6" hidden="1" x14ac:dyDescent="0.3">
      <c r="A1341" t="s">
        <v>2543</v>
      </c>
      <c r="B1341" t="s">
        <v>9</v>
      </c>
      <c r="C1341" t="s">
        <v>2544</v>
      </c>
      <c r="D1341" t="s">
        <v>15</v>
      </c>
      <c r="E1341" t="s">
        <v>16</v>
      </c>
      <c r="F1341" t="s">
        <v>2545</v>
      </c>
    </row>
    <row r="1342" spans="1:6" x14ac:dyDescent="0.3">
      <c r="A1342" t="s">
        <v>2546</v>
      </c>
      <c r="B1342" t="s">
        <v>13</v>
      </c>
      <c r="C1342" t="s">
        <v>2547</v>
      </c>
      <c r="E1342" t="s">
        <v>20</v>
      </c>
      <c r="F1342" t="s">
        <v>42</v>
      </c>
    </row>
    <row r="1343" spans="1:6" hidden="1" x14ac:dyDescent="0.3">
      <c r="A1343" t="s">
        <v>2548</v>
      </c>
      <c r="B1343" t="s">
        <v>9</v>
      </c>
      <c r="C1343" t="s">
        <v>2549</v>
      </c>
      <c r="D1343" t="s">
        <v>15</v>
      </c>
      <c r="E1343" t="s">
        <v>16</v>
      </c>
      <c r="F1343" t="s">
        <v>2550</v>
      </c>
    </row>
    <row r="1344" spans="1:6" x14ac:dyDescent="0.3">
      <c r="A1344" t="s">
        <v>2551</v>
      </c>
      <c r="B1344" t="s">
        <v>9</v>
      </c>
      <c r="C1344" t="s">
        <v>28</v>
      </c>
      <c r="D1344" t="s">
        <v>15</v>
      </c>
      <c r="E1344" t="s">
        <v>20</v>
      </c>
      <c r="F1344" t="s">
        <v>2552</v>
      </c>
    </row>
    <row r="1345" spans="1:6" hidden="1" x14ac:dyDescent="0.3">
      <c r="A1345" t="s">
        <v>2553</v>
      </c>
      <c r="B1345" t="s">
        <v>13</v>
      </c>
      <c r="C1345" t="s">
        <v>576</v>
      </c>
      <c r="D1345" t="s">
        <v>15</v>
      </c>
      <c r="E1345" t="s">
        <v>16</v>
      </c>
      <c r="F1345" t="s">
        <v>2554</v>
      </c>
    </row>
    <row r="1346" spans="1:6" hidden="1" x14ac:dyDescent="0.3">
      <c r="A1346" t="s">
        <v>2555</v>
      </c>
      <c r="B1346" t="s">
        <v>11</v>
      </c>
      <c r="E1346" t="s">
        <v>11</v>
      </c>
    </row>
    <row r="1347" spans="1:6" x14ac:dyDescent="0.3">
      <c r="A1347" t="s">
        <v>2556</v>
      </c>
      <c r="B1347" t="s">
        <v>9</v>
      </c>
      <c r="C1347" t="s">
        <v>2557</v>
      </c>
      <c r="D1347" t="s">
        <v>15</v>
      </c>
      <c r="E1347" t="s">
        <v>20</v>
      </c>
      <c r="F1347" t="s">
        <v>21</v>
      </c>
    </row>
    <row r="1348" spans="1:6" hidden="1" x14ac:dyDescent="0.3">
      <c r="A1348" t="s">
        <v>2558</v>
      </c>
      <c r="B1348" t="s">
        <v>9</v>
      </c>
      <c r="C1348" t="s">
        <v>28</v>
      </c>
      <c r="D1348" t="s">
        <v>15</v>
      </c>
      <c r="E1348" t="s">
        <v>16</v>
      </c>
      <c r="F1348" t="s">
        <v>2559</v>
      </c>
    </row>
    <row r="1349" spans="1:6" hidden="1" x14ac:dyDescent="0.3">
      <c r="A1349" t="s">
        <v>2560</v>
      </c>
      <c r="B1349" t="s">
        <v>9</v>
      </c>
      <c r="C1349" t="s">
        <v>28</v>
      </c>
      <c r="E1349" t="s">
        <v>11</v>
      </c>
    </row>
    <row r="1350" spans="1:6" hidden="1" x14ac:dyDescent="0.3">
      <c r="A1350" t="s">
        <v>2561</v>
      </c>
      <c r="B1350" t="s">
        <v>9</v>
      </c>
      <c r="C1350" t="s">
        <v>2562</v>
      </c>
      <c r="E1350" t="s">
        <v>11</v>
      </c>
    </row>
    <row r="1351" spans="1:6" hidden="1" x14ac:dyDescent="0.3">
      <c r="A1351" t="s">
        <v>2563</v>
      </c>
      <c r="B1351" t="s">
        <v>13</v>
      </c>
      <c r="C1351" t="s">
        <v>2564</v>
      </c>
      <c r="D1351" t="s">
        <v>15</v>
      </c>
      <c r="E1351" t="s">
        <v>11</v>
      </c>
    </row>
    <row r="1352" spans="1:6" hidden="1" x14ac:dyDescent="0.3">
      <c r="A1352" t="s">
        <v>2565</v>
      </c>
      <c r="B1352" t="s">
        <v>9</v>
      </c>
      <c r="C1352" t="s">
        <v>28</v>
      </c>
      <c r="D1352" t="s">
        <v>15</v>
      </c>
      <c r="E1352" t="s">
        <v>16</v>
      </c>
      <c r="F1352" t="s">
        <v>45</v>
      </c>
    </row>
    <row r="1353" spans="1:6" hidden="1" x14ac:dyDescent="0.3">
      <c r="A1353" t="s">
        <v>2566</v>
      </c>
      <c r="B1353" t="s">
        <v>9</v>
      </c>
      <c r="C1353" t="s">
        <v>2567</v>
      </c>
      <c r="E1353" t="s">
        <v>11</v>
      </c>
    </row>
    <row r="1354" spans="1:6" hidden="1" x14ac:dyDescent="0.3">
      <c r="A1354" t="s">
        <v>2568</v>
      </c>
      <c r="B1354" t="s">
        <v>9</v>
      </c>
      <c r="C1354" t="s">
        <v>2569</v>
      </c>
      <c r="D1354" t="s">
        <v>15</v>
      </c>
      <c r="E1354" t="s">
        <v>54</v>
      </c>
      <c r="F1354" t="s">
        <v>2570</v>
      </c>
    </row>
    <row r="1355" spans="1:6" hidden="1" x14ac:dyDescent="0.3">
      <c r="A1355" t="s">
        <v>2571</v>
      </c>
      <c r="B1355" t="s">
        <v>9</v>
      </c>
      <c r="C1355" t="s">
        <v>28</v>
      </c>
      <c r="D1355" t="s">
        <v>15</v>
      </c>
      <c r="E1355" t="s">
        <v>11</v>
      </c>
    </row>
    <row r="1356" spans="1:6" x14ac:dyDescent="0.3">
      <c r="A1356" t="s">
        <v>2572</v>
      </c>
      <c r="B1356" t="s">
        <v>13</v>
      </c>
      <c r="C1356" t="s">
        <v>2573</v>
      </c>
      <c r="D1356" t="s">
        <v>15</v>
      </c>
      <c r="E1356" t="s">
        <v>20</v>
      </c>
      <c r="F1356" t="s">
        <v>2574</v>
      </c>
    </row>
    <row r="1357" spans="1:6" hidden="1" x14ac:dyDescent="0.3">
      <c r="A1357" t="s">
        <v>2575</v>
      </c>
      <c r="B1357" t="s">
        <v>9</v>
      </c>
      <c r="C1357" t="s">
        <v>28</v>
      </c>
      <c r="D1357" t="s">
        <v>15</v>
      </c>
      <c r="E1357" t="s">
        <v>11</v>
      </c>
    </row>
    <row r="1358" spans="1:6" hidden="1" x14ac:dyDescent="0.3">
      <c r="A1358" t="s">
        <v>2576</v>
      </c>
      <c r="B1358" t="s">
        <v>11</v>
      </c>
      <c r="E1358" t="s">
        <v>11</v>
      </c>
    </row>
    <row r="1359" spans="1:6" x14ac:dyDescent="0.3">
      <c r="A1359" t="s">
        <v>2577</v>
      </c>
      <c r="B1359" t="s">
        <v>9</v>
      </c>
      <c r="C1359" t="s">
        <v>1896</v>
      </c>
      <c r="D1359" t="s">
        <v>15</v>
      </c>
      <c r="E1359" t="s">
        <v>20</v>
      </c>
      <c r="F1359" t="s">
        <v>2578</v>
      </c>
    </row>
    <row r="1360" spans="1:6" hidden="1" x14ac:dyDescent="0.3">
      <c r="A1360" t="s">
        <v>2579</v>
      </c>
      <c r="B1360" t="s">
        <v>9</v>
      </c>
      <c r="C1360" t="s">
        <v>2580</v>
      </c>
      <c r="D1360" t="s">
        <v>15</v>
      </c>
      <c r="E1360" t="s">
        <v>11</v>
      </c>
    </row>
    <row r="1361" spans="1:6" hidden="1" x14ac:dyDescent="0.3">
      <c r="A1361" t="s">
        <v>2581</v>
      </c>
      <c r="B1361" t="s">
        <v>9</v>
      </c>
      <c r="C1361" t="s">
        <v>2582</v>
      </c>
      <c r="D1361" t="s">
        <v>15</v>
      </c>
      <c r="E1361" t="s">
        <v>16</v>
      </c>
      <c r="F1361" t="s">
        <v>2583</v>
      </c>
    </row>
    <row r="1362" spans="1:6" x14ac:dyDescent="0.3">
      <c r="A1362" t="s">
        <v>2584</v>
      </c>
      <c r="B1362" t="s">
        <v>9</v>
      </c>
      <c r="C1362" t="s">
        <v>28</v>
      </c>
      <c r="D1362" t="s">
        <v>15</v>
      </c>
      <c r="E1362" t="s">
        <v>20</v>
      </c>
      <c r="F1362" t="s">
        <v>42</v>
      </c>
    </row>
    <row r="1363" spans="1:6" hidden="1" x14ac:dyDescent="0.3">
      <c r="A1363" t="s">
        <v>2585</v>
      </c>
      <c r="B1363" t="s">
        <v>9</v>
      </c>
      <c r="C1363" t="s">
        <v>2586</v>
      </c>
      <c r="D1363" t="s">
        <v>15</v>
      </c>
      <c r="E1363" t="s">
        <v>16</v>
      </c>
      <c r="F1363" t="s">
        <v>2587</v>
      </c>
    </row>
    <row r="1364" spans="1:6" hidden="1" x14ac:dyDescent="0.3">
      <c r="A1364" t="s">
        <v>2588</v>
      </c>
      <c r="B1364" t="s">
        <v>9</v>
      </c>
      <c r="C1364" t="s">
        <v>2589</v>
      </c>
      <c r="D1364" t="s">
        <v>15</v>
      </c>
      <c r="E1364" t="s">
        <v>16</v>
      </c>
      <c r="F1364" t="s">
        <v>2590</v>
      </c>
    </row>
    <row r="1365" spans="1:6" x14ac:dyDescent="0.3">
      <c r="A1365" t="s">
        <v>2591</v>
      </c>
      <c r="B1365" t="s">
        <v>9</v>
      </c>
      <c r="C1365" t="s">
        <v>2592</v>
      </c>
      <c r="D1365" t="s">
        <v>15</v>
      </c>
      <c r="E1365" t="s">
        <v>20</v>
      </c>
      <c r="F1365" t="s">
        <v>2593</v>
      </c>
    </row>
    <row r="1366" spans="1:6" x14ac:dyDescent="0.3">
      <c r="A1366" t="s">
        <v>2594</v>
      </c>
      <c r="B1366" t="s">
        <v>9</v>
      </c>
      <c r="C1366" t="s">
        <v>2595</v>
      </c>
      <c r="D1366" t="s">
        <v>15</v>
      </c>
      <c r="E1366" t="s">
        <v>20</v>
      </c>
      <c r="F1366" t="s">
        <v>2596</v>
      </c>
    </row>
    <row r="1367" spans="1:6" hidden="1" x14ac:dyDescent="0.3">
      <c r="A1367" t="s">
        <v>2597</v>
      </c>
      <c r="B1367" t="s">
        <v>9</v>
      </c>
      <c r="C1367" t="s">
        <v>2598</v>
      </c>
      <c r="D1367" t="s">
        <v>15</v>
      </c>
      <c r="E1367" t="s">
        <v>54</v>
      </c>
      <c r="F1367" t="s">
        <v>2599</v>
      </c>
    </row>
    <row r="1368" spans="1:6" hidden="1" x14ac:dyDescent="0.3">
      <c r="A1368" t="s">
        <v>2600</v>
      </c>
      <c r="B1368" t="s">
        <v>11</v>
      </c>
      <c r="E1368" t="s">
        <v>11</v>
      </c>
    </row>
    <row r="1369" spans="1:6" hidden="1" x14ac:dyDescent="0.3">
      <c r="A1369" t="s">
        <v>2601</v>
      </c>
      <c r="B1369" t="s">
        <v>11</v>
      </c>
      <c r="E1369" t="s">
        <v>11</v>
      </c>
    </row>
    <row r="1370" spans="1:6" hidden="1" x14ac:dyDescent="0.3">
      <c r="A1370" t="s">
        <v>2602</v>
      </c>
      <c r="B1370" t="s">
        <v>11</v>
      </c>
      <c r="E1370" t="s">
        <v>11</v>
      </c>
    </row>
    <row r="1371" spans="1:6" hidden="1" x14ac:dyDescent="0.3">
      <c r="A1371" t="s">
        <v>2603</v>
      </c>
      <c r="B1371" t="s">
        <v>9</v>
      </c>
      <c r="C1371" t="s">
        <v>2212</v>
      </c>
      <c r="E1371" t="s">
        <v>11</v>
      </c>
    </row>
    <row r="1372" spans="1:6" hidden="1" x14ac:dyDescent="0.3">
      <c r="A1372" t="s">
        <v>2604</v>
      </c>
      <c r="B1372" t="s">
        <v>9</v>
      </c>
      <c r="C1372" t="s">
        <v>1680</v>
      </c>
      <c r="E1372" t="s">
        <v>16</v>
      </c>
      <c r="F1372" t="s">
        <v>1681</v>
      </c>
    </row>
    <row r="1373" spans="1:6" hidden="1" x14ac:dyDescent="0.3">
      <c r="A1373" t="s">
        <v>2605</v>
      </c>
      <c r="B1373" t="s">
        <v>9</v>
      </c>
      <c r="C1373" t="s">
        <v>28</v>
      </c>
      <c r="E1373" t="s">
        <v>11</v>
      </c>
    </row>
    <row r="1374" spans="1:6" hidden="1" x14ac:dyDescent="0.3">
      <c r="A1374" t="s">
        <v>2606</v>
      </c>
      <c r="B1374" t="s">
        <v>9</v>
      </c>
      <c r="C1374" t="s">
        <v>301</v>
      </c>
      <c r="E1374" t="s">
        <v>11</v>
      </c>
    </row>
    <row r="1375" spans="1:6" hidden="1" x14ac:dyDescent="0.3">
      <c r="A1375" t="s">
        <v>2607</v>
      </c>
      <c r="B1375" t="s">
        <v>13</v>
      </c>
      <c r="C1375" t="s">
        <v>2608</v>
      </c>
      <c r="E1375" t="s">
        <v>11</v>
      </c>
    </row>
    <row r="1376" spans="1:6" hidden="1" x14ac:dyDescent="0.3">
      <c r="A1376" t="s">
        <v>2609</v>
      </c>
      <c r="B1376" t="s">
        <v>9</v>
      </c>
      <c r="C1376" t="s">
        <v>28</v>
      </c>
      <c r="E1376" t="s">
        <v>11</v>
      </c>
    </row>
    <row r="1377" spans="1:6" hidden="1" x14ac:dyDescent="0.3">
      <c r="A1377" t="s">
        <v>2610</v>
      </c>
      <c r="B1377" t="s">
        <v>9</v>
      </c>
      <c r="C1377" t="s">
        <v>2611</v>
      </c>
      <c r="D1377" t="s">
        <v>15</v>
      </c>
      <c r="E1377" t="s">
        <v>16</v>
      </c>
      <c r="F1377" t="s">
        <v>2612</v>
      </c>
    </row>
    <row r="1378" spans="1:6" x14ac:dyDescent="0.3">
      <c r="A1378" t="s">
        <v>2613</v>
      </c>
      <c r="B1378" t="s">
        <v>13</v>
      </c>
      <c r="C1378" t="s">
        <v>2614</v>
      </c>
      <c r="D1378" t="s">
        <v>15</v>
      </c>
      <c r="E1378" t="s">
        <v>20</v>
      </c>
      <c r="F1378" t="s">
        <v>1423</v>
      </c>
    </row>
    <row r="1379" spans="1:6" hidden="1" x14ac:dyDescent="0.3">
      <c r="A1379" t="s">
        <v>2615</v>
      </c>
      <c r="B1379" t="s">
        <v>13</v>
      </c>
      <c r="C1379" t="s">
        <v>2616</v>
      </c>
      <c r="D1379" t="s">
        <v>15</v>
      </c>
      <c r="E1379" t="s">
        <v>16</v>
      </c>
      <c r="F1379" t="s">
        <v>2617</v>
      </c>
    </row>
    <row r="1380" spans="1:6" hidden="1" x14ac:dyDescent="0.3">
      <c r="A1380" t="s">
        <v>2618</v>
      </c>
      <c r="B1380" t="s">
        <v>9</v>
      </c>
      <c r="C1380" t="s">
        <v>2619</v>
      </c>
      <c r="D1380" t="s">
        <v>15</v>
      </c>
      <c r="E1380" t="s">
        <v>16</v>
      </c>
      <c r="F1380" t="s">
        <v>2620</v>
      </c>
    </row>
    <row r="1381" spans="1:6" x14ac:dyDescent="0.3">
      <c r="A1381" t="s">
        <v>2621</v>
      </c>
      <c r="B1381" t="s">
        <v>9</v>
      </c>
      <c r="C1381" t="s">
        <v>2622</v>
      </c>
      <c r="D1381" t="s">
        <v>15</v>
      </c>
      <c r="E1381" t="s">
        <v>20</v>
      </c>
      <c r="F1381" t="s">
        <v>2623</v>
      </c>
    </row>
    <row r="1382" spans="1:6" hidden="1" x14ac:dyDescent="0.3">
      <c r="A1382" t="s">
        <v>2624</v>
      </c>
      <c r="B1382" t="s">
        <v>9</v>
      </c>
      <c r="C1382" t="s">
        <v>2625</v>
      </c>
      <c r="D1382" t="s">
        <v>15</v>
      </c>
      <c r="E1382" t="s">
        <v>16</v>
      </c>
      <c r="F1382" t="s">
        <v>2626</v>
      </c>
    </row>
    <row r="1383" spans="1:6" hidden="1" x14ac:dyDescent="0.3">
      <c r="A1383" t="s">
        <v>2627</v>
      </c>
      <c r="B1383" t="s">
        <v>9</v>
      </c>
      <c r="C1383" t="s">
        <v>28</v>
      </c>
      <c r="E1383" t="s">
        <v>11</v>
      </c>
    </row>
    <row r="1384" spans="1:6" hidden="1" x14ac:dyDescent="0.3">
      <c r="A1384" t="s">
        <v>2628</v>
      </c>
      <c r="B1384" t="s">
        <v>13</v>
      </c>
      <c r="C1384" t="s">
        <v>2629</v>
      </c>
      <c r="D1384" t="s">
        <v>15</v>
      </c>
      <c r="E1384" t="s">
        <v>16</v>
      </c>
      <c r="F1384" t="s">
        <v>2630</v>
      </c>
    </row>
    <row r="1385" spans="1:6" hidden="1" x14ac:dyDescent="0.3">
      <c r="A1385" t="s">
        <v>2631</v>
      </c>
      <c r="B1385" t="s">
        <v>9</v>
      </c>
      <c r="C1385" t="s">
        <v>2632</v>
      </c>
      <c r="E1385" t="s">
        <v>11</v>
      </c>
    </row>
    <row r="1386" spans="1:6" hidden="1" x14ac:dyDescent="0.3">
      <c r="A1386" t="s">
        <v>2633</v>
      </c>
      <c r="B1386" t="s">
        <v>13</v>
      </c>
      <c r="C1386" t="s">
        <v>2634</v>
      </c>
      <c r="D1386" t="s">
        <v>15</v>
      </c>
      <c r="E1386" t="s">
        <v>11</v>
      </c>
    </row>
    <row r="1387" spans="1:6" hidden="1" x14ac:dyDescent="0.3">
      <c r="A1387" t="s">
        <v>2635</v>
      </c>
      <c r="B1387" t="s">
        <v>9</v>
      </c>
      <c r="C1387" t="s">
        <v>2166</v>
      </c>
      <c r="D1387" t="s">
        <v>15</v>
      </c>
      <c r="E1387" t="s">
        <v>11</v>
      </c>
    </row>
    <row r="1388" spans="1:6" hidden="1" x14ac:dyDescent="0.3">
      <c r="A1388" t="s">
        <v>2636</v>
      </c>
      <c r="B1388" t="s">
        <v>13</v>
      </c>
      <c r="C1388" t="s">
        <v>65</v>
      </c>
      <c r="E1388" t="s">
        <v>11</v>
      </c>
    </row>
    <row r="1389" spans="1:6" hidden="1" x14ac:dyDescent="0.3">
      <c r="A1389" t="s">
        <v>2637</v>
      </c>
      <c r="B1389" t="s">
        <v>13</v>
      </c>
      <c r="C1389" t="s">
        <v>573</v>
      </c>
      <c r="E1389" t="s">
        <v>11</v>
      </c>
    </row>
    <row r="1390" spans="1:6" hidden="1" x14ac:dyDescent="0.3">
      <c r="A1390" t="s">
        <v>2638</v>
      </c>
      <c r="B1390" t="s">
        <v>11</v>
      </c>
      <c r="E1390" t="s">
        <v>11</v>
      </c>
    </row>
    <row r="1391" spans="1:6" hidden="1" x14ac:dyDescent="0.3">
      <c r="A1391" t="s">
        <v>2639</v>
      </c>
      <c r="B1391" t="s">
        <v>13</v>
      </c>
      <c r="C1391" t="s">
        <v>2640</v>
      </c>
      <c r="E1391" t="s">
        <v>11</v>
      </c>
    </row>
    <row r="1392" spans="1:6" x14ac:dyDescent="0.3">
      <c r="A1392" t="s">
        <v>2641</v>
      </c>
      <c r="B1392" t="s">
        <v>13</v>
      </c>
      <c r="C1392" t="s">
        <v>2642</v>
      </c>
      <c r="D1392" t="s">
        <v>15</v>
      </c>
      <c r="E1392" t="s">
        <v>20</v>
      </c>
      <c r="F1392" t="s">
        <v>893</v>
      </c>
    </row>
    <row r="1393" spans="1:6" hidden="1" x14ac:dyDescent="0.3">
      <c r="A1393" t="s">
        <v>2643</v>
      </c>
      <c r="B1393" t="s">
        <v>11</v>
      </c>
      <c r="E1393" t="s">
        <v>11</v>
      </c>
    </row>
    <row r="1394" spans="1:6" hidden="1" x14ac:dyDescent="0.3">
      <c r="A1394" t="s">
        <v>2644</v>
      </c>
      <c r="B1394" t="s">
        <v>13</v>
      </c>
      <c r="C1394" t="s">
        <v>2645</v>
      </c>
      <c r="D1394" t="s">
        <v>15</v>
      </c>
      <c r="E1394" t="s">
        <v>11</v>
      </c>
    </row>
    <row r="1395" spans="1:6" x14ac:dyDescent="0.3">
      <c r="A1395" t="s">
        <v>2646</v>
      </c>
      <c r="B1395" t="s">
        <v>9</v>
      </c>
      <c r="C1395" t="s">
        <v>28</v>
      </c>
      <c r="D1395" t="s">
        <v>15</v>
      </c>
      <c r="E1395" t="s">
        <v>20</v>
      </c>
      <c r="F1395" t="s">
        <v>135</v>
      </c>
    </row>
    <row r="1396" spans="1:6" x14ac:dyDescent="0.3">
      <c r="A1396" t="s">
        <v>2647</v>
      </c>
      <c r="B1396" t="s">
        <v>13</v>
      </c>
      <c r="C1396" t="s">
        <v>2648</v>
      </c>
      <c r="E1396" t="s">
        <v>20</v>
      </c>
      <c r="F1396" t="s">
        <v>21</v>
      </c>
    </row>
    <row r="1397" spans="1:6" x14ac:dyDescent="0.3">
      <c r="A1397" t="s">
        <v>2649</v>
      </c>
      <c r="B1397" t="s">
        <v>13</v>
      </c>
      <c r="C1397" t="s">
        <v>346</v>
      </c>
      <c r="D1397" t="s">
        <v>15</v>
      </c>
      <c r="E1397" t="s">
        <v>20</v>
      </c>
      <c r="F1397" t="s">
        <v>330</v>
      </c>
    </row>
    <row r="1398" spans="1:6" hidden="1" x14ac:dyDescent="0.3">
      <c r="A1398" t="s">
        <v>2650</v>
      </c>
      <c r="B1398" t="s">
        <v>11</v>
      </c>
      <c r="E1398" t="s">
        <v>11</v>
      </c>
    </row>
    <row r="1399" spans="1:6" x14ac:dyDescent="0.3">
      <c r="A1399" t="s">
        <v>2651</v>
      </c>
      <c r="B1399" t="s">
        <v>9</v>
      </c>
      <c r="C1399" t="s">
        <v>2652</v>
      </c>
      <c r="E1399" t="s">
        <v>20</v>
      </c>
      <c r="F1399" t="s">
        <v>330</v>
      </c>
    </row>
    <row r="1400" spans="1:6" hidden="1" x14ac:dyDescent="0.3">
      <c r="A1400" t="s">
        <v>2653</v>
      </c>
      <c r="B1400" t="s">
        <v>9</v>
      </c>
      <c r="C1400" t="s">
        <v>2654</v>
      </c>
      <c r="D1400" t="s">
        <v>15</v>
      </c>
      <c r="E1400" t="s">
        <v>54</v>
      </c>
      <c r="F1400" t="s">
        <v>2655</v>
      </c>
    </row>
    <row r="1401" spans="1:6" hidden="1" x14ac:dyDescent="0.3">
      <c r="A1401" t="s">
        <v>2656</v>
      </c>
      <c r="B1401" t="s">
        <v>9</v>
      </c>
      <c r="C1401" t="s">
        <v>2657</v>
      </c>
      <c r="E1401" t="s">
        <v>11</v>
      </c>
    </row>
    <row r="1402" spans="1:6" hidden="1" x14ac:dyDescent="0.3">
      <c r="A1402" t="s">
        <v>2658</v>
      </c>
      <c r="B1402" t="s">
        <v>9</v>
      </c>
      <c r="C1402" t="s">
        <v>2659</v>
      </c>
      <c r="D1402" t="s">
        <v>15</v>
      </c>
      <c r="E1402" t="s">
        <v>16</v>
      </c>
      <c r="F1402" t="s">
        <v>2660</v>
      </c>
    </row>
    <row r="1403" spans="1:6" x14ac:dyDescent="0.3">
      <c r="A1403" t="s">
        <v>2661</v>
      </c>
      <c r="B1403" t="s">
        <v>9</v>
      </c>
      <c r="C1403" t="s">
        <v>339</v>
      </c>
      <c r="E1403" t="s">
        <v>20</v>
      </c>
      <c r="F1403" t="s">
        <v>21</v>
      </c>
    </row>
    <row r="1404" spans="1:6" x14ac:dyDescent="0.3">
      <c r="A1404" t="s">
        <v>2662</v>
      </c>
      <c r="B1404" t="s">
        <v>9</v>
      </c>
      <c r="C1404" t="s">
        <v>28</v>
      </c>
      <c r="D1404" t="s">
        <v>15</v>
      </c>
      <c r="E1404" t="s">
        <v>20</v>
      </c>
      <c r="F1404" t="s">
        <v>21</v>
      </c>
    </row>
    <row r="1405" spans="1:6" hidden="1" x14ac:dyDescent="0.3">
      <c r="A1405" t="s">
        <v>2663</v>
      </c>
      <c r="B1405" t="s">
        <v>9</v>
      </c>
      <c r="C1405" t="s">
        <v>2664</v>
      </c>
      <c r="E1405" t="s">
        <v>11</v>
      </c>
    </row>
    <row r="1406" spans="1:6" hidden="1" x14ac:dyDescent="0.3">
      <c r="A1406" t="s">
        <v>2665</v>
      </c>
      <c r="B1406" t="s">
        <v>9</v>
      </c>
      <c r="C1406" t="s">
        <v>2666</v>
      </c>
      <c r="D1406" t="s">
        <v>15</v>
      </c>
      <c r="E1406" t="s">
        <v>16</v>
      </c>
      <c r="F1406" t="s">
        <v>138</v>
      </c>
    </row>
    <row r="1407" spans="1:6" x14ac:dyDescent="0.3">
      <c r="A1407" t="s">
        <v>2667</v>
      </c>
      <c r="B1407" t="s">
        <v>9</v>
      </c>
      <c r="C1407" t="s">
        <v>2668</v>
      </c>
      <c r="D1407" t="s">
        <v>15</v>
      </c>
      <c r="E1407" t="s">
        <v>20</v>
      </c>
      <c r="F1407" t="s">
        <v>2669</v>
      </c>
    </row>
    <row r="1408" spans="1:6" hidden="1" x14ac:dyDescent="0.3">
      <c r="A1408" t="s">
        <v>2670</v>
      </c>
      <c r="B1408" t="s">
        <v>13</v>
      </c>
      <c r="C1408" t="s">
        <v>2671</v>
      </c>
      <c r="E1408" t="s">
        <v>11</v>
      </c>
    </row>
    <row r="1409" spans="1:6" hidden="1" x14ac:dyDescent="0.3">
      <c r="A1409" t="s">
        <v>2672</v>
      </c>
      <c r="B1409" t="s">
        <v>9</v>
      </c>
      <c r="C1409" t="s">
        <v>2673</v>
      </c>
      <c r="D1409" t="s">
        <v>15</v>
      </c>
      <c r="E1409" t="s">
        <v>11</v>
      </c>
    </row>
    <row r="1410" spans="1:6" hidden="1" x14ac:dyDescent="0.3">
      <c r="A1410" t="s">
        <v>2674</v>
      </c>
      <c r="B1410" t="s">
        <v>9</v>
      </c>
      <c r="C1410" t="s">
        <v>2675</v>
      </c>
      <c r="E1410" t="s">
        <v>11</v>
      </c>
    </row>
    <row r="1411" spans="1:6" hidden="1" x14ac:dyDescent="0.3">
      <c r="A1411" t="s">
        <v>2676</v>
      </c>
      <c r="B1411" t="s">
        <v>13</v>
      </c>
      <c r="C1411" t="s">
        <v>2677</v>
      </c>
      <c r="D1411" t="s">
        <v>15</v>
      </c>
      <c r="E1411" t="s">
        <v>54</v>
      </c>
      <c r="F1411" t="s">
        <v>1103</v>
      </c>
    </row>
    <row r="1412" spans="1:6" hidden="1" x14ac:dyDescent="0.3">
      <c r="A1412" t="s">
        <v>2678</v>
      </c>
      <c r="B1412" t="s">
        <v>11</v>
      </c>
      <c r="E1412" t="s">
        <v>11</v>
      </c>
    </row>
    <row r="1413" spans="1:6" hidden="1" x14ac:dyDescent="0.3">
      <c r="A1413" t="s">
        <v>2679</v>
      </c>
      <c r="B1413" t="s">
        <v>9</v>
      </c>
      <c r="C1413" t="s">
        <v>2680</v>
      </c>
      <c r="D1413" t="s">
        <v>15</v>
      </c>
      <c r="E1413" t="s">
        <v>54</v>
      </c>
      <c r="F1413" t="s">
        <v>2681</v>
      </c>
    </row>
    <row r="1414" spans="1:6" hidden="1" x14ac:dyDescent="0.3">
      <c r="A1414" t="s">
        <v>2682</v>
      </c>
      <c r="B1414" t="s">
        <v>9</v>
      </c>
      <c r="C1414" t="s">
        <v>28</v>
      </c>
      <c r="D1414" t="s">
        <v>15</v>
      </c>
      <c r="E1414" t="s">
        <v>11</v>
      </c>
    </row>
    <row r="1415" spans="1:6" x14ac:dyDescent="0.3">
      <c r="A1415" t="s">
        <v>2683</v>
      </c>
      <c r="B1415" t="s">
        <v>9</v>
      </c>
      <c r="C1415" t="s">
        <v>2684</v>
      </c>
      <c r="D1415" t="s">
        <v>15</v>
      </c>
      <c r="E1415" t="s">
        <v>20</v>
      </c>
      <c r="F1415" t="s">
        <v>2685</v>
      </c>
    </row>
    <row r="1416" spans="1:6" hidden="1" x14ac:dyDescent="0.3">
      <c r="A1416" t="s">
        <v>2686</v>
      </c>
      <c r="B1416" t="s">
        <v>11</v>
      </c>
      <c r="E1416" t="s">
        <v>11</v>
      </c>
    </row>
    <row r="1417" spans="1:6" hidden="1" x14ac:dyDescent="0.3">
      <c r="A1417" t="s">
        <v>2687</v>
      </c>
      <c r="B1417" t="s">
        <v>9</v>
      </c>
      <c r="C1417" t="s">
        <v>2414</v>
      </c>
      <c r="E1417" t="s">
        <v>11</v>
      </c>
    </row>
    <row r="1418" spans="1:6" hidden="1" x14ac:dyDescent="0.3">
      <c r="A1418" t="s">
        <v>2688</v>
      </c>
      <c r="B1418" t="s">
        <v>9</v>
      </c>
      <c r="C1418" t="s">
        <v>2689</v>
      </c>
      <c r="D1418" t="s">
        <v>15</v>
      </c>
      <c r="E1418" t="s">
        <v>54</v>
      </c>
      <c r="F1418" t="s">
        <v>2690</v>
      </c>
    </row>
    <row r="1419" spans="1:6" x14ac:dyDescent="0.3">
      <c r="A1419" t="s">
        <v>2691</v>
      </c>
      <c r="B1419" t="s">
        <v>9</v>
      </c>
      <c r="C1419" t="s">
        <v>2692</v>
      </c>
      <c r="E1419" t="s">
        <v>20</v>
      </c>
      <c r="F1419" t="s">
        <v>2693</v>
      </c>
    </row>
    <row r="1420" spans="1:6" hidden="1" x14ac:dyDescent="0.3">
      <c r="A1420" t="s">
        <v>2694</v>
      </c>
      <c r="B1420" t="s">
        <v>9</v>
      </c>
      <c r="C1420" t="s">
        <v>28</v>
      </c>
      <c r="D1420" t="s">
        <v>15</v>
      </c>
      <c r="E1420" t="s">
        <v>11</v>
      </c>
    </row>
    <row r="1421" spans="1:6" x14ac:dyDescent="0.3">
      <c r="A1421" t="s">
        <v>2695</v>
      </c>
      <c r="B1421" t="s">
        <v>9</v>
      </c>
      <c r="C1421" t="s">
        <v>2696</v>
      </c>
      <c r="D1421" t="s">
        <v>15</v>
      </c>
      <c r="E1421" t="s">
        <v>20</v>
      </c>
      <c r="F1421" t="s">
        <v>2697</v>
      </c>
    </row>
    <row r="1422" spans="1:6" hidden="1" x14ac:dyDescent="0.3">
      <c r="A1422" t="s">
        <v>2698</v>
      </c>
      <c r="B1422" t="s">
        <v>11</v>
      </c>
      <c r="E1422" t="s">
        <v>11</v>
      </c>
    </row>
    <row r="1423" spans="1:6" hidden="1" x14ac:dyDescent="0.3">
      <c r="A1423" t="s">
        <v>2699</v>
      </c>
      <c r="B1423" t="s">
        <v>11</v>
      </c>
      <c r="E1423" t="s">
        <v>11</v>
      </c>
    </row>
    <row r="1424" spans="1:6" hidden="1" x14ac:dyDescent="0.3">
      <c r="A1424" t="s">
        <v>2700</v>
      </c>
      <c r="B1424" t="s">
        <v>9</v>
      </c>
      <c r="C1424" t="s">
        <v>2701</v>
      </c>
      <c r="E1424" t="s">
        <v>11</v>
      </c>
    </row>
    <row r="1425" spans="1:6" x14ac:dyDescent="0.3">
      <c r="A1425" t="s">
        <v>2702</v>
      </c>
      <c r="B1425" t="s">
        <v>13</v>
      </c>
      <c r="C1425" t="s">
        <v>2703</v>
      </c>
      <c r="D1425" t="s">
        <v>15</v>
      </c>
      <c r="E1425" t="s">
        <v>20</v>
      </c>
      <c r="F1425" t="s">
        <v>2574</v>
      </c>
    </row>
    <row r="1426" spans="1:6" hidden="1" x14ac:dyDescent="0.3">
      <c r="A1426" t="s">
        <v>2704</v>
      </c>
      <c r="B1426" t="s">
        <v>197</v>
      </c>
      <c r="C1426" t="s">
        <v>2705</v>
      </c>
      <c r="D1426" t="s">
        <v>15</v>
      </c>
      <c r="E1426" t="s">
        <v>16</v>
      </c>
      <c r="F1426" t="s">
        <v>2706</v>
      </c>
    </row>
    <row r="1427" spans="1:6" hidden="1" x14ac:dyDescent="0.3">
      <c r="A1427" t="s">
        <v>2707</v>
      </c>
      <c r="B1427" t="s">
        <v>11</v>
      </c>
      <c r="E1427" t="s">
        <v>11</v>
      </c>
    </row>
    <row r="1428" spans="1:6" hidden="1" x14ac:dyDescent="0.3">
      <c r="A1428" t="s">
        <v>2708</v>
      </c>
      <c r="B1428" t="s">
        <v>9</v>
      </c>
      <c r="C1428" t="s">
        <v>28</v>
      </c>
      <c r="D1428" t="s">
        <v>15</v>
      </c>
      <c r="E1428" t="s">
        <v>16</v>
      </c>
      <c r="F1428" t="s">
        <v>45</v>
      </c>
    </row>
    <row r="1429" spans="1:6" hidden="1" x14ac:dyDescent="0.3">
      <c r="A1429" t="s">
        <v>2709</v>
      </c>
      <c r="B1429" t="s">
        <v>9</v>
      </c>
      <c r="C1429" t="s">
        <v>2710</v>
      </c>
      <c r="D1429" t="s">
        <v>15</v>
      </c>
      <c r="E1429" t="s">
        <v>197</v>
      </c>
      <c r="F1429" t="s">
        <v>2711</v>
      </c>
    </row>
    <row r="1430" spans="1:6" x14ac:dyDescent="0.3">
      <c r="A1430" t="s">
        <v>2712</v>
      </c>
      <c r="B1430" t="s">
        <v>13</v>
      </c>
      <c r="C1430" t="s">
        <v>2713</v>
      </c>
      <c r="D1430" t="s">
        <v>15</v>
      </c>
      <c r="E1430" t="s">
        <v>20</v>
      </c>
      <c r="F1430" t="s">
        <v>2714</v>
      </c>
    </row>
    <row r="1431" spans="1:6" hidden="1" x14ac:dyDescent="0.3">
      <c r="A1431" t="s">
        <v>2715</v>
      </c>
      <c r="B1431" t="s">
        <v>13</v>
      </c>
      <c r="C1431" t="s">
        <v>2716</v>
      </c>
      <c r="D1431" t="s">
        <v>15</v>
      </c>
      <c r="E1431" t="s">
        <v>11</v>
      </c>
    </row>
    <row r="1432" spans="1:6" x14ac:dyDescent="0.3">
      <c r="A1432" t="s">
        <v>2717</v>
      </c>
      <c r="B1432" t="s">
        <v>13</v>
      </c>
      <c r="C1432" t="s">
        <v>2718</v>
      </c>
      <c r="D1432" t="s">
        <v>15</v>
      </c>
      <c r="E1432" t="s">
        <v>20</v>
      </c>
      <c r="F1432" t="s">
        <v>2719</v>
      </c>
    </row>
    <row r="1433" spans="1:6" hidden="1" x14ac:dyDescent="0.3">
      <c r="A1433" t="s">
        <v>2720</v>
      </c>
      <c r="B1433" t="s">
        <v>9</v>
      </c>
      <c r="C1433" t="s">
        <v>28</v>
      </c>
      <c r="E1433" t="s">
        <v>16</v>
      </c>
      <c r="F1433" t="s">
        <v>2721</v>
      </c>
    </row>
    <row r="1434" spans="1:6" hidden="1" x14ac:dyDescent="0.3">
      <c r="A1434" t="s">
        <v>2722</v>
      </c>
      <c r="B1434" t="s">
        <v>11</v>
      </c>
      <c r="E1434" t="s">
        <v>11</v>
      </c>
    </row>
    <row r="1435" spans="1:6" x14ac:dyDescent="0.3">
      <c r="A1435" t="s">
        <v>2723</v>
      </c>
      <c r="B1435" t="s">
        <v>13</v>
      </c>
      <c r="C1435" t="s">
        <v>2724</v>
      </c>
      <c r="D1435" t="s">
        <v>15</v>
      </c>
      <c r="E1435" t="s">
        <v>20</v>
      </c>
      <c r="F1435" t="s">
        <v>135</v>
      </c>
    </row>
    <row r="1436" spans="1:6" x14ac:dyDescent="0.3">
      <c r="A1436" t="s">
        <v>2725</v>
      </c>
      <c r="B1436" t="s">
        <v>13</v>
      </c>
      <c r="C1436" t="s">
        <v>2726</v>
      </c>
      <c r="D1436" t="s">
        <v>15</v>
      </c>
      <c r="E1436" t="s">
        <v>20</v>
      </c>
      <c r="F1436" t="s">
        <v>135</v>
      </c>
    </row>
    <row r="1437" spans="1:6" hidden="1" x14ac:dyDescent="0.3">
      <c r="A1437" t="s">
        <v>2727</v>
      </c>
      <c r="B1437" t="s">
        <v>13</v>
      </c>
      <c r="C1437" t="s">
        <v>2728</v>
      </c>
      <c r="D1437" t="s">
        <v>15</v>
      </c>
      <c r="E1437" t="s">
        <v>16</v>
      </c>
      <c r="F1437" t="s">
        <v>2729</v>
      </c>
    </row>
    <row r="1438" spans="1:6" hidden="1" x14ac:dyDescent="0.3">
      <c r="A1438" t="s">
        <v>2730</v>
      </c>
      <c r="B1438" t="s">
        <v>9</v>
      </c>
      <c r="C1438" t="s">
        <v>301</v>
      </c>
      <c r="D1438" t="s">
        <v>15</v>
      </c>
      <c r="E1438" t="s">
        <v>16</v>
      </c>
      <c r="F1438" t="s">
        <v>2731</v>
      </c>
    </row>
    <row r="1439" spans="1:6" hidden="1" x14ac:dyDescent="0.3">
      <c r="A1439" t="s">
        <v>2732</v>
      </c>
      <c r="B1439" t="s">
        <v>9</v>
      </c>
      <c r="C1439" t="s">
        <v>841</v>
      </c>
      <c r="E1439" t="s">
        <v>11</v>
      </c>
    </row>
    <row r="1440" spans="1:6" hidden="1" x14ac:dyDescent="0.3">
      <c r="A1440" t="s">
        <v>2733</v>
      </c>
      <c r="B1440" t="s">
        <v>13</v>
      </c>
      <c r="C1440" t="s">
        <v>2734</v>
      </c>
      <c r="D1440" t="s">
        <v>15</v>
      </c>
      <c r="E1440" t="s">
        <v>54</v>
      </c>
      <c r="F1440" t="s">
        <v>2735</v>
      </c>
    </row>
    <row r="1441" spans="1:6" hidden="1" x14ac:dyDescent="0.3">
      <c r="A1441" t="s">
        <v>2736</v>
      </c>
      <c r="B1441" t="s">
        <v>9</v>
      </c>
      <c r="C1441" t="s">
        <v>28</v>
      </c>
      <c r="D1441" t="s">
        <v>15</v>
      </c>
      <c r="E1441" t="s">
        <v>11</v>
      </c>
    </row>
    <row r="1442" spans="1:6" hidden="1" x14ac:dyDescent="0.3">
      <c r="A1442" t="s">
        <v>2737</v>
      </c>
      <c r="B1442" t="s">
        <v>9</v>
      </c>
      <c r="C1442" t="s">
        <v>28</v>
      </c>
      <c r="E1442" t="s">
        <v>11</v>
      </c>
    </row>
    <row r="1443" spans="1:6" hidden="1" x14ac:dyDescent="0.3">
      <c r="A1443" t="s">
        <v>2738</v>
      </c>
      <c r="B1443" t="s">
        <v>9</v>
      </c>
      <c r="C1443" t="s">
        <v>2739</v>
      </c>
      <c r="D1443" t="s">
        <v>15</v>
      </c>
      <c r="E1443" t="s">
        <v>16</v>
      </c>
      <c r="F1443" t="s">
        <v>45</v>
      </c>
    </row>
    <row r="1444" spans="1:6" hidden="1" x14ac:dyDescent="0.3">
      <c r="A1444" t="s">
        <v>2740</v>
      </c>
      <c r="B1444" t="s">
        <v>13</v>
      </c>
      <c r="C1444" t="s">
        <v>245</v>
      </c>
      <c r="D1444" t="s">
        <v>15</v>
      </c>
      <c r="E1444" t="s">
        <v>54</v>
      </c>
      <c r="F1444" t="s">
        <v>2741</v>
      </c>
    </row>
    <row r="1445" spans="1:6" hidden="1" x14ac:dyDescent="0.3">
      <c r="A1445" t="s">
        <v>2742</v>
      </c>
      <c r="B1445" t="s">
        <v>9</v>
      </c>
      <c r="C1445" t="s">
        <v>2743</v>
      </c>
      <c r="D1445" t="s">
        <v>15</v>
      </c>
      <c r="E1445" t="s">
        <v>54</v>
      </c>
      <c r="F1445" t="s">
        <v>2744</v>
      </c>
    </row>
    <row r="1446" spans="1:6" hidden="1" x14ac:dyDescent="0.3">
      <c r="A1446" t="s">
        <v>2745</v>
      </c>
      <c r="B1446" t="s">
        <v>13</v>
      </c>
      <c r="C1446" t="s">
        <v>314</v>
      </c>
      <c r="E1446" t="s">
        <v>11</v>
      </c>
    </row>
    <row r="1447" spans="1:6" hidden="1" x14ac:dyDescent="0.3">
      <c r="A1447" t="s">
        <v>2746</v>
      </c>
      <c r="B1447" t="s">
        <v>9</v>
      </c>
      <c r="C1447" t="s">
        <v>2747</v>
      </c>
      <c r="E1447" t="s">
        <v>54</v>
      </c>
      <c r="F1447" t="s">
        <v>588</v>
      </c>
    </row>
    <row r="1448" spans="1:6" x14ac:dyDescent="0.3">
      <c r="A1448" t="s">
        <v>2748</v>
      </c>
      <c r="B1448" t="s">
        <v>9</v>
      </c>
      <c r="C1448" t="s">
        <v>28</v>
      </c>
      <c r="D1448" t="s">
        <v>15</v>
      </c>
      <c r="E1448" t="s">
        <v>20</v>
      </c>
      <c r="F1448" t="s">
        <v>2749</v>
      </c>
    </row>
    <row r="1449" spans="1:6" x14ac:dyDescent="0.3">
      <c r="A1449" t="s">
        <v>2750</v>
      </c>
      <c r="B1449" t="s">
        <v>9</v>
      </c>
      <c r="C1449" t="s">
        <v>28</v>
      </c>
      <c r="D1449" t="s">
        <v>15</v>
      </c>
      <c r="E1449" t="s">
        <v>20</v>
      </c>
      <c r="F1449" t="s">
        <v>2751</v>
      </c>
    </row>
    <row r="1450" spans="1:6" hidden="1" x14ac:dyDescent="0.3">
      <c r="A1450" t="s">
        <v>2752</v>
      </c>
      <c r="B1450" t="s">
        <v>11</v>
      </c>
      <c r="E1450" t="s">
        <v>11</v>
      </c>
    </row>
    <row r="1451" spans="1:6" hidden="1" x14ac:dyDescent="0.3">
      <c r="A1451" t="s">
        <v>2753</v>
      </c>
      <c r="B1451" t="s">
        <v>13</v>
      </c>
      <c r="C1451" t="s">
        <v>2754</v>
      </c>
      <c r="D1451" t="s">
        <v>15</v>
      </c>
      <c r="E1451" t="s">
        <v>11</v>
      </c>
    </row>
    <row r="1452" spans="1:6" hidden="1" x14ac:dyDescent="0.3">
      <c r="A1452" t="s">
        <v>2755</v>
      </c>
      <c r="B1452" t="s">
        <v>9</v>
      </c>
      <c r="C1452" t="s">
        <v>1339</v>
      </c>
      <c r="D1452" t="s">
        <v>15</v>
      </c>
      <c r="E1452" t="s">
        <v>11</v>
      </c>
    </row>
    <row r="1453" spans="1:6" hidden="1" x14ac:dyDescent="0.3">
      <c r="A1453" t="s">
        <v>2756</v>
      </c>
      <c r="B1453" t="s">
        <v>9</v>
      </c>
      <c r="C1453" t="s">
        <v>2757</v>
      </c>
      <c r="E1453" t="s">
        <v>11</v>
      </c>
    </row>
    <row r="1454" spans="1:6" hidden="1" x14ac:dyDescent="0.3">
      <c r="A1454" t="s">
        <v>2758</v>
      </c>
      <c r="B1454" t="s">
        <v>9</v>
      </c>
      <c r="C1454" t="s">
        <v>2759</v>
      </c>
      <c r="E1454" t="s">
        <v>11</v>
      </c>
    </row>
    <row r="1455" spans="1:6" x14ac:dyDescent="0.3">
      <c r="A1455" t="s">
        <v>2760</v>
      </c>
      <c r="B1455" t="s">
        <v>9</v>
      </c>
      <c r="C1455" t="s">
        <v>2761</v>
      </c>
      <c r="E1455" t="s">
        <v>20</v>
      </c>
      <c r="F1455" t="s">
        <v>21</v>
      </c>
    </row>
    <row r="1456" spans="1:6" hidden="1" x14ac:dyDescent="0.3">
      <c r="A1456" t="s">
        <v>2762</v>
      </c>
      <c r="B1456" t="s">
        <v>9</v>
      </c>
      <c r="C1456" t="s">
        <v>28</v>
      </c>
      <c r="D1456" t="s">
        <v>15</v>
      </c>
      <c r="E1456" t="s">
        <v>16</v>
      </c>
      <c r="F1456" t="s">
        <v>2763</v>
      </c>
    </row>
    <row r="1457" spans="1:6" hidden="1" x14ac:dyDescent="0.3">
      <c r="A1457" t="s">
        <v>2764</v>
      </c>
      <c r="B1457" t="s">
        <v>9</v>
      </c>
      <c r="C1457" t="s">
        <v>2765</v>
      </c>
      <c r="D1457" t="s">
        <v>15</v>
      </c>
      <c r="E1457" t="s">
        <v>54</v>
      </c>
      <c r="F1457" t="s">
        <v>2766</v>
      </c>
    </row>
    <row r="1458" spans="1:6" x14ac:dyDescent="0.3">
      <c r="A1458" t="s">
        <v>2767</v>
      </c>
      <c r="B1458" t="s">
        <v>13</v>
      </c>
      <c r="C1458" t="s">
        <v>2768</v>
      </c>
      <c r="E1458" t="s">
        <v>20</v>
      </c>
      <c r="F1458" t="s">
        <v>21</v>
      </c>
    </row>
    <row r="1459" spans="1:6" hidden="1" x14ac:dyDescent="0.3">
      <c r="A1459" t="s">
        <v>2769</v>
      </c>
      <c r="B1459" t="s">
        <v>9</v>
      </c>
      <c r="C1459" t="s">
        <v>841</v>
      </c>
      <c r="E1459" t="s">
        <v>11</v>
      </c>
    </row>
    <row r="1460" spans="1:6" hidden="1" x14ac:dyDescent="0.3">
      <c r="A1460" t="s">
        <v>2770</v>
      </c>
      <c r="B1460" t="s">
        <v>9</v>
      </c>
      <c r="C1460" t="s">
        <v>28</v>
      </c>
      <c r="E1460" t="s">
        <v>11</v>
      </c>
    </row>
    <row r="1461" spans="1:6" hidden="1" x14ac:dyDescent="0.3">
      <c r="A1461" t="s">
        <v>2771</v>
      </c>
      <c r="B1461" t="s">
        <v>13</v>
      </c>
      <c r="C1461" t="s">
        <v>2772</v>
      </c>
      <c r="D1461" t="s">
        <v>15</v>
      </c>
      <c r="E1461" t="s">
        <v>16</v>
      </c>
      <c r="F1461" t="s">
        <v>138</v>
      </c>
    </row>
    <row r="1462" spans="1:6" hidden="1" x14ac:dyDescent="0.3">
      <c r="A1462" t="s">
        <v>2773</v>
      </c>
      <c r="B1462" t="s">
        <v>9</v>
      </c>
      <c r="C1462" t="s">
        <v>2774</v>
      </c>
      <c r="D1462" t="s">
        <v>15</v>
      </c>
      <c r="E1462" t="s">
        <v>11</v>
      </c>
    </row>
    <row r="1463" spans="1:6" hidden="1" x14ac:dyDescent="0.3">
      <c r="A1463" t="s">
        <v>2775</v>
      </c>
      <c r="B1463" t="s">
        <v>9</v>
      </c>
      <c r="C1463" t="s">
        <v>2776</v>
      </c>
      <c r="E1463" t="s">
        <v>11</v>
      </c>
    </row>
    <row r="1464" spans="1:6" hidden="1" x14ac:dyDescent="0.3">
      <c r="A1464" t="s">
        <v>2777</v>
      </c>
      <c r="B1464" t="s">
        <v>197</v>
      </c>
      <c r="C1464" t="s">
        <v>2778</v>
      </c>
      <c r="D1464" t="s">
        <v>15</v>
      </c>
      <c r="E1464" t="s">
        <v>16</v>
      </c>
      <c r="F1464" t="s">
        <v>2779</v>
      </c>
    </row>
    <row r="1465" spans="1:6" hidden="1" x14ac:dyDescent="0.3">
      <c r="A1465" t="s">
        <v>2780</v>
      </c>
      <c r="B1465" t="s">
        <v>13</v>
      </c>
      <c r="C1465" t="s">
        <v>2781</v>
      </c>
      <c r="E1465" t="s">
        <v>11</v>
      </c>
    </row>
    <row r="1466" spans="1:6" hidden="1" x14ac:dyDescent="0.3">
      <c r="A1466" t="s">
        <v>2782</v>
      </c>
      <c r="B1466" t="s">
        <v>11</v>
      </c>
      <c r="E1466" t="s">
        <v>11</v>
      </c>
    </row>
    <row r="1467" spans="1:6" hidden="1" x14ac:dyDescent="0.3">
      <c r="A1467" t="s">
        <v>2783</v>
      </c>
      <c r="B1467" t="s">
        <v>9</v>
      </c>
      <c r="C1467" t="s">
        <v>2784</v>
      </c>
      <c r="E1467" t="s">
        <v>11</v>
      </c>
    </row>
    <row r="1468" spans="1:6" x14ac:dyDescent="0.3">
      <c r="A1468" t="s">
        <v>2785</v>
      </c>
      <c r="B1468" t="s">
        <v>9</v>
      </c>
      <c r="C1468" t="s">
        <v>2786</v>
      </c>
      <c r="E1468" t="s">
        <v>20</v>
      </c>
      <c r="F1468" t="s">
        <v>2787</v>
      </c>
    </row>
    <row r="1469" spans="1:6" hidden="1" x14ac:dyDescent="0.3">
      <c r="A1469" t="s">
        <v>2788</v>
      </c>
      <c r="B1469" t="s">
        <v>9</v>
      </c>
      <c r="C1469" t="s">
        <v>2789</v>
      </c>
      <c r="D1469" t="s">
        <v>15</v>
      </c>
      <c r="E1469" t="s">
        <v>54</v>
      </c>
      <c r="F1469" t="s">
        <v>2790</v>
      </c>
    </row>
    <row r="1470" spans="1:6" hidden="1" x14ac:dyDescent="0.3">
      <c r="A1470" t="s">
        <v>2791</v>
      </c>
      <c r="B1470" t="s">
        <v>9</v>
      </c>
      <c r="C1470" t="s">
        <v>51</v>
      </c>
      <c r="E1470" t="s">
        <v>54</v>
      </c>
      <c r="F1470" t="s">
        <v>2792</v>
      </c>
    </row>
    <row r="1471" spans="1:6" x14ac:dyDescent="0.3">
      <c r="A1471" t="s">
        <v>2793</v>
      </c>
      <c r="B1471" t="s">
        <v>9</v>
      </c>
      <c r="C1471" t="s">
        <v>28</v>
      </c>
      <c r="D1471" t="s">
        <v>15</v>
      </c>
      <c r="E1471" t="s">
        <v>20</v>
      </c>
      <c r="F1471" t="s">
        <v>2794</v>
      </c>
    </row>
    <row r="1472" spans="1:6" hidden="1" x14ac:dyDescent="0.3">
      <c r="A1472" t="s">
        <v>2795</v>
      </c>
      <c r="B1472" t="s">
        <v>9</v>
      </c>
      <c r="C1472" t="s">
        <v>2796</v>
      </c>
      <c r="D1472" t="s">
        <v>15</v>
      </c>
      <c r="E1472" t="s">
        <v>11</v>
      </c>
    </row>
    <row r="1473" spans="1:6" hidden="1" x14ac:dyDescent="0.3">
      <c r="A1473" t="s">
        <v>2797</v>
      </c>
      <c r="B1473" t="s">
        <v>13</v>
      </c>
      <c r="C1473" t="s">
        <v>2798</v>
      </c>
      <c r="E1473" t="s">
        <v>11</v>
      </c>
    </row>
    <row r="1474" spans="1:6" hidden="1" x14ac:dyDescent="0.3">
      <c r="A1474" t="s">
        <v>2799</v>
      </c>
      <c r="B1474" t="s">
        <v>13</v>
      </c>
      <c r="C1474" t="s">
        <v>2800</v>
      </c>
      <c r="D1474" t="s">
        <v>15</v>
      </c>
      <c r="E1474" t="s">
        <v>16</v>
      </c>
      <c r="F1474" t="s">
        <v>1955</v>
      </c>
    </row>
    <row r="1475" spans="1:6" x14ac:dyDescent="0.3">
      <c r="A1475" t="s">
        <v>2801</v>
      </c>
      <c r="B1475" t="s">
        <v>9</v>
      </c>
      <c r="C1475" t="s">
        <v>2802</v>
      </c>
      <c r="E1475" t="s">
        <v>20</v>
      </c>
      <c r="F1475" t="s">
        <v>21</v>
      </c>
    </row>
    <row r="1476" spans="1:6" hidden="1" x14ac:dyDescent="0.3">
      <c r="A1476" t="s">
        <v>2803</v>
      </c>
      <c r="B1476" t="s">
        <v>13</v>
      </c>
      <c r="C1476" t="s">
        <v>2804</v>
      </c>
      <c r="E1476" t="s">
        <v>11</v>
      </c>
    </row>
    <row r="1477" spans="1:6" hidden="1" x14ac:dyDescent="0.3">
      <c r="A1477" t="s">
        <v>2805</v>
      </c>
      <c r="B1477" t="s">
        <v>11</v>
      </c>
      <c r="E1477" t="s">
        <v>11</v>
      </c>
    </row>
    <row r="1478" spans="1:6" hidden="1" x14ac:dyDescent="0.3">
      <c r="A1478" t="s">
        <v>2806</v>
      </c>
      <c r="B1478" t="s">
        <v>9</v>
      </c>
      <c r="C1478" t="s">
        <v>2807</v>
      </c>
      <c r="D1478" t="s">
        <v>15</v>
      </c>
      <c r="E1478" t="s">
        <v>54</v>
      </c>
      <c r="F1478" t="s">
        <v>2808</v>
      </c>
    </row>
    <row r="1479" spans="1:6" hidden="1" x14ac:dyDescent="0.3">
      <c r="A1479" t="s">
        <v>2809</v>
      </c>
      <c r="B1479" t="s">
        <v>9</v>
      </c>
      <c r="C1479" t="s">
        <v>1473</v>
      </c>
      <c r="E1479" t="s">
        <v>11</v>
      </c>
    </row>
    <row r="1480" spans="1:6" hidden="1" x14ac:dyDescent="0.3">
      <c r="A1480" t="s">
        <v>2810</v>
      </c>
      <c r="B1480" t="s">
        <v>9</v>
      </c>
      <c r="C1480" t="s">
        <v>28</v>
      </c>
      <c r="E1480" t="s">
        <v>11</v>
      </c>
    </row>
    <row r="1481" spans="1:6" hidden="1" x14ac:dyDescent="0.3">
      <c r="A1481" t="s">
        <v>2811</v>
      </c>
      <c r="B1481" t="s">
        <v>9</v>
      </c>
      <c r="C1481" t="s">
        <v>2812</v>
      </c>
      <c r="E1481" t="s">
        <v>11</v>
      </c>
    </row>
    <row r="1482" spans="1:6" hidden="1" x14ac:dyDescent="0.3">
      <c r="A1482" t="s">
        <v>2813</v>
      </c>
      <c r="B1482" t="s">
        <v>13</v>
      </c>
      <c r="C1482" t="s">
        <v>65</v>
      </c>
      <c r="E1482" t="s">
        <v>11</v>
      </c>
    </row>
    <row r="1483" spans="1:6" hidden="1" x14ac:dyDescent="0.3">
      <c r="A1483" t="s">
        <v>2814</v>
      </c>
      <c r="B1483" t="s">
        <v>9</v>
      </c>
      <c r="C1483" t="s">
        <v>2815</v>
      </c>
      <c r="E1483" t="s">
        <v>11</v>
      </c>
    </row>
    <row r="1484" spans="1:6" hidden="1" x14ac:dyDescent="0.3">
      <c r="A1484" t="s">
        <v>2816</v>
      </c>
      <c r="B1484" t="s">
        <v>9</v>
      </c>
      <c r="C1484" t="s">
        <v>2817</v>
      </c>
      <c r="D1484" t="s">
        <v>15</v>
      </c>
      <c r="E1484" t="s">
        <v>54</v>
      </c>
      <c r="F1484" t="s">
        <v>801</v>
      </c>
    </row>
    <row r="1485" spans="1:6" hidden="1" x14ac:dyDescent="0.3">
      <c r="A1485" t="s">
        <v>2818</v>
      </c>
      <c r="B1485" t="s">
        <v>13</v>
      </c>
      <c r="C1485" t="s">
        <v>2819</v>
      </c>
      <c r="D1485" t="s">
        <v>15</v>
      </c>
      <c r="E1485" t="s">
        <v>54</v>
      </c>
      <c r="F1485" t="s">
        <v>2820</v>
      </c>
    </row>
    <row r="1486" spans="1:6" hidden="1" x14ac:dyDescent="0.3">
      <c r="A1486" t="s">
        <v>2821</v>
      </c>
      <c r="B1486" t="s">
        <v>9</v>
      </c>
      <c r="C1486" t="s">
        <v>2822</v>
      </c>
      <c r="D1486" t="s">
        <v>15</v>
      </c>
      <c r="E1486" t="s">
        <v>54</v>
      </c>
      <c r="F1486" t="s">
        <v>526</v>
      </c>
    </row>
    <row r="1487" spans="1:6" x14ac:dyDescent="0.3">
      <c r="A1487" t="s">
        <v>2823</v>
      </c>
      <c r="B1487" t="s">
        <v>9</v>
      </c>
      <c r="C1487" t="s">
        <v>28</v>
      </c>
      <c r="D1487" t="s">
        <v>15</v>
      </c>
      <c r="E1487" t="s">
        <v>20</v>
      </c>
      <c r="F1487" t="s">
        <v>21</v>
      </c>
    </row>
    <row r="1488" spans="1:6" hidden="1" x14ac:dyDescent="0.3">
      <c r="A1488" t="s">
        <v>2824</v>
      </c>
      <c r="B1488" t="s">
        <v>11</v>
      </c>
      <c r="E1488" t="s">
        <v>11</v>
      </c>
    </row>
    <row r="1489" spans="1:6" hidden="1" x14ac:dyDescent="0.3">
      <c r="A1489" t="s">
        <v>2825</v>
      </c>
      <c r="B1489" t="s">
        <v>9</v>
      </c>
      <c r="C1489" t="s">
        <v>28</v>
      </c>
      <c r="D1489" t="s">
        <v>15</v>
      </c>
      <c r="E1489" t="s">
        <v>11</v>
      </c>
    </row>
    <row r="1490" spans="1:6" hidden="1" x14ac:dyDescent="0.3">
      <c r="A1490" t="s">
        <v>2826</v>
      </c>
      <c r="B1490" t="s">
        <v>11</v>
      </c>
      <c r="E1490" t="s">
        <v>11</v>
      </c>
    </row>
    <row r="1491" spans="1:6" x14ac:dyDescent="0.3">
      <c r="A1491" t="s">
        <v>2827</v>
      </c>
      <c r="B1491" t="s">
        <v>13</v>
      </c>
      <c r="C1491" t="s">
        <v>2828</v>
      </c>
      <c r="D1491" t="s">
        <v>15</v>
      </c>
      <c r="E1491" t="s">
        <v>20</v>
      </c>
      <c r="F1491" t="s">
        <v>117</v>
      </c>
    </row>
    <row r="1492" spans="1:6" hidden="1" x14ac:dyDescent="0.3">
      <c r="A1492" t="s">
        <v>2829</v>
      </c>
      <c r="B1492" t="s">
        <v>11</v>
      </c>
      <c r="E1492" t="s">
        <v>11</v>
      </c>
    </row>
    <row r="1493" spans="1:6" hidden="1" x14ac:dyDescent="0.3">
      <c r="A1493" t="s">
        <v>2830</v>
      </c>
      <c r="B1493" t="s">
        <v>11</v>
      </c>
      <c r="E1493" t="s">
        <v>11</v>
      </c>
    </row>
    <row r="1494" spans="1:6" x14ac:dyDescent="0.3">
      <c r="A1494" t="s">
        <v>2831</v>
      </c>
      <c r="B1494" t="s">
        <v>9</v>
      </c>
      <c r="C1494" t="s">
        <v>2832</v>
      </c>
      <c r="E1494" t="s">
        <v>20</v>
      </c>
      <c r="F1494" t="s">
        <v>135</v>
      </c>
    </row>
    <row r="1495" spans="1:6" x14ac:dyDescent="0.3">
      <c r="A1495" t="s">
        <v>2833</v>
      </c>
      <c r="B1495" t="s">
        <v>13</v>
      </c>
      <c r="C1495" t="s">
        <v>2834</v>
      </c>
      <c r="E1495" t="s">
        <v>20</v>
      </c>
      <c r="F1495" t="s">
        <v>21</v>
      </c>
    </row>
    <row r="1496" spans="1:6" x14ac:dyDescent="0.3">
      <c r="A1496" t="s">
        <v>2835</v>
      </c>
      <c r="B1496" t="s">
        <v>9</v>
      </c>
      <c r="C1496" t="s">
        <v>2836</v>
      </c>
      <c r="E1496" t="s">
        <v>20</v>
      </c>
      <c r="F1496" t="s">
        <v>2837</v>
      </c>
    </row>
    <row r="1497" spans="1:6" hidden="1" x14ac:dyDescent="0.3">
      <c r="A1497" t="s">
        <v>2838</v>
      </c>
      <c r="B1497" t="s">
        <v>11</v>
      </c>
      <c r="E1497" t="s">
        <v>11</v>
      </c>
    </row>
    <row r="1498" spans="1:6" hidden="1" x14ac:dyDescent="0.3">
      <c r="A1498" t="s">
        <v>2839</v>
      </c>
      <c r="B1498" t="s">
        <v>13</v>
      </c>
      <c r="C1498" t="s">
        <v>2840</v>
      </c>
      <c r="E1498" t="s">
        <v>11</v>
      </c>
    </row>
    <row r="1499" spans="1:6" hidden="1" x14ac:dyDescent="0.3">
      <c r="A1499" t="s">
        <v>2841</v>
      </c>
      <c r="B1499" t="s">
        <v>197</v>
      </c>
      <c r="C1499" t="s">
        <v>2842</v>
      </c>
      <c r="E1499" t="s">
        <v>11</v>
      </c>
    </row>
    <row r="1500" spans="1:6" x14ac:dyDescent="0.3">
      <c r="A1500" t="s">
        <v>2843</v>
      </c>
      <c r="B1500" t="s">
        <v>13</v>
      </c>
      <c r="C1500" t="s">
        <v>2844</v>
      </c>
      <c r="E1500" t="s">
        <v>20</v>
      </c>
      <c r="F1500" t="s">
        <v>135</v>
      </c>
    </row>
    <row r="1501" spans="1:6" hidden="1" x14ac:dyDescent="0.3">
      <c r="A1501" t="s">
        <v>2845</v>
      </c>
      <c r="B1501" t="s">
        <v>11</v>
      </c>
      <c r="E1501" t="s">
        <v>11</v>
      </c>
    </row>
    <row r="1502" spans="1:6" hidden="1" x14ac:dyDescent="0.3">
      <c r="A1502" t="s">
        <v>2846</v>
      </c>
      <c r="B1502" t="s">
        <v>13</v>
      </c>
      <c r="C1502" t="s">
        <v>2847</v>
      </c>
      <c r="D1502" t="s">
        <v>15</v>
      </c>
      <c r="E1502" t="s">
        <v>16</v>
      </c>
      <c r="F1502" t="s">
        <v>2848</v>
      </c>
    </row>
    <row r="1503" spans="1:6" hidden="1" x14ac:dyDescent="0.3">
      <c r="A1503" t="s">
        <v>2849</v>
      </c>
      <c r="B1503" t="s">
        <v>13</v>
      </c>
      <c r="C1503" t="s">
        <v>2850</v>
      </c>
      <c r="D1503" t="s">
        <v>15</v>
      </c>
      <c r="E1503" t="s">
        <v>11</v>
      </c>
    </row>
    <row r="1504" spans="1:6" x14ac:dyDescent="0.3">
      <c r="A1504" t="s">
        <v>2851</v>
      </c>
      <c r="B1504" t="s">
        <v>9</v>
      </c>
      <c r="C1504" t="s">
        <v>2852</v>
      </c>
      <c r="D1504" t="s">
        <v>15</v>
      </c>
      <c r="E1504" t="s">
        <v>20</v>
      </c>
      <c r="F1504" t="s">
        <v>2853</v>
      </c>
    </row>
    <row r="1505" spans="1:6" hidden="1" x14ac:dyDescent="0.3">
      <c r="A1505" t="s">
        <v>2854</v>
      </c>
      <c r="B1505" t="s">
        <v>9</v>
      </c>
      <c r="C1505" t="s">
        <v>2855</v>
      </c>
      <c r="D1505" t="s">
        <v>15</v>
      </c>
      <c r="E1505" t="s">
        <v>16</v>
      </c>
      <c r="F1505" t="s">
        <v>286</v>
      </c>
    </row>
    <row r="1506" spans="1:6" hidden="1" x14ac:dyDescent="0.3">
      <c r="A1506" t="s">
        <v>2856</v>
      </c>
      <c r="B1506" t="s">
        <v>9</v>
      </c>
      <c r="C1506" t="s">
        <v>2857</v>
      </c>
      <c r="E1506" t="s">
        <v>54</v>
      </c>
      <c r="F1506" t="s">
        <v>2858</v>
      </c>
    </row>
    <row r="1507" spans="1:6" hidden="1" x14ac:dyDescent="0.3">
      <c r="A1507" t="s">
        <v>2859</v>
      </c>
      <c r="B1507" t="s">
        <v>9</v>
      </c>
      <c r="C1507" t="s">
        <v>841</v>
      </c>
      <c r="E1507" t="s">
        <v>11</v>
      </c>
    </row>
    <row r="1508" spans="1:6" hidden="1" x14ac:dyDescent="0.3">
      <c r="A1508" t="s">
        <v>2860</v>
      </c>
      <c r="B1508" t="s">
        <v>13</v>
      </c>
      <c r="C1508" t="s">
        <v>2861</v>
      </c>
      <c r="D1508" t="s">
        <v>15</v>
      </c>
      <c r="E1508" t="s">
        <v>11</v>
      </c>
    </row>
    <row r="1509" spans="1:6" hidden="1" x14ac:dyDescent="0.3">
      <c r="A1509" t="s">
        <v>2862</v>
      </c>
      <c r="B1509" t="s">
        <v>9</v>
      </c>
      <c r="C1509" t="s">
        <v>2863</v>
      </c>
      <c r="E1509" t="s">
        <v>11</v>
      </c>
    </row>
    <row r="1510" spans="1:6" hidden="1" x14ac:dyDescent="0.3">
      <c r="A1510" t="s">
        <v>2864</v>
      </c>
      <c r="B1510" t="s">
        <v>9</v>
      </c>
      <c r="C1510" t="s">
        <v>2865</v>
      </c>
      <c r="D1510" t="s">
        <v>15</v>
      </c>
      <c r="E1510" t="s">
        <v>16</v>
      </c>
      <c r="F1510" t="s">
        <v>2866</v>
      </c>
    </row>
    <row r="1511" spans="1:6" hidden="1" x14ac:dyDescent="0.3">
      <c r="A1511" t="s">
        <v>2867</v>
      </c>
      <c r="B1511" t="s">
        <v>9</v>
      </c>
      <c r="C1511" t="s">
        <v>2868</v>
      </c>
      <c r="D1511" t="s">
        <v>15</v>
      </c>
      <c r="E1511" t="s">
        <v>11</v>
      </c>
    </row>
    <row r="1512" spans="1:6" hidden="1" x14ac:dyDescent="0.3">
      <c r="A1512" t="s">
        <v>2869</v>
      </c>
      <c r="B1512" t="s">
        <v>9</v>
      </c>
      <c r="C1512" t="s">
        <v>51</v>
      </c>
      <c r="D1512" t="s">
        <v>15</v>
      </c>
      <c r="E1512" t="s">
        <v>11</v>
      </c>
    </row>
    <row r="1513" spans="1:6" hidden="1" x14ac:dyDescent="0.3">
      <c r="A1513" t="s">
        <v>2870</v>
      </c>
      <c r="B1513" t="s">
        <v>13</v>
      </c>
      <c r="C1513" t="s">
        <v>2871</v>
      </c>
      <c r="E1513" t="s">
        <v>11</v>
      </c>
    </row>
    <row r="1514" spans="1:6" hidden="1" x14ac:dyDescent="0.3">
      <c r="A1514" t="s">
        <v>2872</v>
      </c>
      <c r="B1514" t="s">
        <v>13</v>
      </c>
      <c r="C1514" t="s">
        <v>2873</v>
      </c>
      <c r="D1514" t="s">
        <v>15</v>
      </c>
      <c r="E1514" t="s">
        <v>54</v>
      </c>
      <c r="F1514" t="s">
        <v>2874</v>
      </c>
    </row>
    <row r="1515" spans="1:6" hidden="1" x14ac:dyDescent="0.3">
      <c r="A1515" t="s">
        <v>2875</v>
      </c>
      <c r="B1515" t="s">
        <v>9</v>
      </c>
      <c r="C1515" t="s">
        <v>2876</v>
      </c>
      <c r="D1515" t="s">
        <v>15</v>
      </c>
      <c r="E1515" t="s">
        <v>16</v>
      </c>
      <c r="F1515" t="s">
        <v>2877</v>
      </c>
    </row>
    <row r="1516" spans="1:6" hidden="1" x14ac:dyDescent="0.3">
      <c r="A1516" t="s">
        <v>2878</v>
      </c>
      <c r="B1516" t="s">
        <v>9</v>
      </c>
      <c r="C1516" t="s">
        <v>2879</v>
      </c>
      <c r="E1516" t="s">
        <v>11</v>
      </c>
    </row>
    <row r="1517" spans="1:6" x14ac:dyDescent="0.3">
      <c r="A1517" t="s">
        <v>2880</v>
      </c>
      <c r="B1517" t="s">
        <v>9</v>
      </c>
      <c r="C1517" t="s">
        <v>317</v>
      </c>
      <c r="D1517" t="s">
        <v>15</v>
      </c>
      <c r="E1517" t="s">
        <v>20</v>
      </c>
      <c r="F1517" t="s">
        <v>425</v>
      </c>
    </row>
    <row r="1518" spans="1:6" hidden="1" x14ac:dyDescent="0.3">
      <c r="A1518" t="s">
        <v>2881</v>
      </c>
      <c r="B1518" t="s">
        <v>9</v>
      </c>
      <c r="C1518" t="s">
        <v>28</v>
      </c>
      <c r="D1518" t="s">
        <v>15</v>
      </c>
      <c r="E1518" t="s">
        <v>16</v>
      </c>
      <c r="F1518" t="s">
        <v>1298</v>
      </c>
    </row>
    <row r="1519" spans="1:6" hidden="1" x14ac:dyDescent="0.3">
      <c r="A1519" t="s">
        <v>2882</v>
      </c>
      <c r="B1519" t="s">
        <v>13</v>
      </c>
      <c r="C1519" t="s">
        <v>2883</v>
      </c>
      <c r="E1519" t="s">
        <v>11</v>
      </c>
    </row>
    <row r="1520" spans="1:6" hidden="1" x14ac:dyDescent="0.3">
      <c r="A1520" t="s">
        <v>2884</v>
      </c>
      <c r="B1520" t="s">
        <v>9</v>
      </c>
      <c r="C1520" t="s">
        <v>2885</v>
      </c>
      <c r="D1520" t="s">
        <v>15</v>
      </c>
      <c r="E1520" t="s">
        <v>16</v>
      </c>
      <c r="F1520" t="s">
        <v>88</v>
      </c>
    </row>
    <row r="1521" spans="1:6" x14ac:dyDescent="0.3">
      <c r="A1521" t="s">
        <v>2886</v>
      </c>
      <c r="B1521" t="s">
        <v>9</v>
      </c>
      <c r="C1521" t="s">
        <v>2887</v>
      </c>
      <c r="D1521" t="s">
        <v>15</v>
      </c>
      <c r="E1521" t="s">
        <v>20</v>
      </c>
      <c r="F1521" t="s">
        <v>2888</v>
      </c>
    </row>
    <row r="1522" spans="1:6" hidden="1" x14ac:dyDescent="0.3">
      <c r="A1522" t="s">
        <v>2889</v>
      </c>
      <c r="B1522" t="s">
        <v>9</v>
      </c>
      <c r="C1522" t="s">
        <v>2890</v>
      </c>
      <c r="D1522" t="s">
        <v>15</v>
      </c>
      <c r="E1522" t="s">
        <v>16</v>
      </c>
      <c r="F1522" t="s">
        <v>2891</v>
      </c>
    </row>
    <row r="1523" spans="1:6" hidden="1" x14ac:dyDescent="0.3">
      <c r="A1523" t="s">
        <v>2892</v>
      </c>
      <c r="B1523" t="s">
        <v>9</v>
      </c>
      <c r="C1523" t="s">
        <v>2893</v>
      </c>
      <c r="D1523" t="s">
        <v>15</v>
      </c>
      <c r="E1523" t="s">
        <v>16</v>
      </c>
      <c r="F1523" t="s">
        <v>2894</v>
      </c>
    </row>
    <row r="1524" spans="1:6" hidden="1" x14ac:dyDescent="0.3">
      <c r="A1524" t="s">
        <v>2895</v>
      </c>
      <c r="B1524" t="s">
        <v>9</v>
      </c>
      <c r="C1524" t="s">
        <v>28</v>
      </c>
      <c r="E1524" t="s">
        <v>11</v>
      </c>
    </row>
    <row r="1525" spans="1:6" hidden="1" x14ac:dyDescent="0.3">
      <c r="A1525" t="s">
        <v>2896</v>
      </c>
      <c r="B1525" t="s">
        <v>13</v>
      </c>
      <c r="C1525" t="s">
        <v>2897</v>
      </c>
      <c r="E1525" t="s">
        <v>11</v>
      </c>
    </row>
    <row r="1526" spans="1:6" hidden="1" x14ac:dyDescent="0.3">
      <c r="A1526" t="s">
        <v>2898</v>
      </c>
      <c r="B1526" t="s">
        <v>11</v>
      </c>
      <c r="E1526" t="s">
        <v>11</v>
      </c>
    </row>
    <row r="1527" spans="1:6" hidden="1" x14ac:dyDescent="0.3">
      <c r="A1527" t="s">
        <v>2899</v>
      </c>
      <c r="B1527" t="s">
        <v>13</v>
      </c>
      <c r="C1527" t="s">
        <v>2900</v>
      </c>
      <c r="E1527" t="s">
        <v>11</v>
      </c>
    </row>
    <row r="1528" spans="1:6" hidden="1" x14ac:dyDescent="0.3">
      <c r="A1528" t="s">
        <v>2901</v>
      </c>
      <c r="B1528" t="s">
        <v>9</v>
      </c>
      <c r="C1528" t="s">
        <v>2902</v>
      </c>
      <c r="D1528" t="s">
        <v>15</v>
      </c>
      <c r="E1528" t="s">
        <v>11</v>
      </c>
    </row>
    <row r="1529" spans="1:6" hidden="1" x14ac:dyDescent="0.3">
      <c r="A1529" t="s">
        <v>2903</v>
      </c>
      <c r="B1529" t="s">
        <v>11</v>
      </c>
      <c r="E1529" t="s">
        <v>11</v>
      </c>
    </row>
    <row r="1530" spans="1:6" hidden="1" x14ac:dyDescent="0.3">
      <c r="A1530" t="s">
        <v>2904</v>
      </c>
      <c r="B1530" t="s">
        <v>9</v>
      </c>
      <c r="C1530" t="s">
        <v>2905</v>
      </c>
      <c r="D1530" t="s">
        <v>15</v>
      </c>
      <c r="E1530" t="s">
        <v>54</v>
      </c>
      <c r="F1530" t="s">
        <v>145</v>
      </c>
    </row>
    <row r="1531" spans="1:6" x14ac:dyDescent="0.3">
      <c r="A1531" t="s">
        <v>2906</v>
      </c>
      <c r="B1531" t="s">
        <v>13</v>
      </c>
      <c r="C1531" t="s">
        <v>112</v>
      </c>
      <c r="E1531" t="s">
        <v>20</v>
      </c>
      <c r="F1531" t="s">
        <v>2907</v>
      </c>
    </row>
    <row r="1532" spans="1:6" hidden="1" x14ac:dyDescent="0.3">
      <c r="A1532" t="s">
        <v>2908</v>
      </c>
      <c r="B1532" t="s">
        <v>9</v>
      </c>
      <c r="C1532" t="s">
        <v>28</v>
      </c>
      <c r="D1532" t="s">
        <v>15</v>
      </c>
      <c r="E1532" t="s">
        <v>54</v>
      </c>
      <c r="F1532" t="s">
        <v>2909</v>
      </c>
    </row>
    <row r="1533" spans="1:6" hidden="1" x14ac:dyDescent="0.3">
      <c r="A1533" t="s">
        <v>2910</v>
      </c>
      <c r="B1533" t="s">
        <v>11</v>
      </c>
      <c r="E1533" t="s">
        <v>11</v>
      </c>
    </row>
    <row r="1534" spans="1:6" x14ac:dyDescent="0.3">
      <c r="A1534" t="s">
        <v>2911</v>
      </c>
      <c r="B1534" t="s">
        <v>9</v>
      </c>
      <c r="C1534" t="s">
        <v>2912</v>
      </c>
      <c r="D1534" t="s">
        <v>15</v>
      </c>
      <c r="E1534" t="s">
        <v>20</v>
      </c>
      <c r="F1534" t="s">
        <v>425</v>
      </c>
    </row>
    <row r="1535" spans="1:6" hidden="1" x14ac:dyDescent="0.3">
      <c r="A1535" t="s">
        <v>2913</v>
      </c>
      <c r="B1535" t="s">
        <v>13</v>
      </c>
      <c r="C1535" t="s">
        <v>2388</v>
      </c>
      <c r="E1535" t="s">
        <v>11</v>
      </c>
    </row>
    <row r="1536" spans="1:6" x14ac:dyDescent="0.3">
      <c r="A1536" t="s">
        <v>2914</v>
      </c>
      <c r="B1536" t="s">
        <v>13</v>
      </c>
      <c r="C1536" t="s">
        <v>2915</v>
      </c>
      <c r="D1536" t="s">
        <v>15</v>
      </c>
      <c r="E1536" t="s">
        <v>20</v>
      </c>
      <c r="F1536" t="s">
        <v>42</v>
      </c>
    </row>
    <row r="1537" spans="1:6" hidden="1" x14ac:dyDescent="0.3">
      <c r="A1537" t="s">
        <v>2916</v>
      </c>
      <c r="B1537" t="s">
        <v>13</v>
      </c>
      <c r="C1537" t="s">
        <v>2917</v>
      </c>
      <c r="D1537" t="s">
        <v>15</v>
      </c>
      <c r="E1537" t="s">
        <v>11</v>
      </c>
    </row>
    <row r="1538" spans="1:6" hidden="1" x14ac:dyDescent="0.3">
      <c r="A1538" t="s">
        <v>2918</v>
      </c>
      <c r="B1538" t="s">
        <v>9</v>
      </c>
      <c r="C1538" t="s">
        <v>2919</v>
      </c>
      <c r="E1538" t="s">
        <v>11</v>
      </c>
    </row>
    <row r="1539" spans="1:6" x14ac:dyDescent="0.3">
      <c r="A1539" t="s">
        <v>2920</v>
      </c>
      <c r="B1539" t="s">
        <v>13</v>
      </c>
      <c r="C1539" t="s">
        <v>2921</v>
      </c>
      <c r="D1539" t="s">
        <v>15</v>
      </c>
      <c r="E1539" t="s">
        <v>20</v>
      </c>
      <c r="F1539" t="s">
        <v>135</v>
      </c>
    </row>
    <row r="1540" spans="1:6" hidden="1" x14ac:dyDescent="0.3">
      <c r="A1540" t="s">
        <v>2922</v>
      </c>
      <c r="B1540" t="s">
        <v>9</v>
      </c>
      <c r="C1540" t="s">
        <v>28</v>
      </c>
      <c r="D1540" t="s">
        <v>15</v>
      </c>
      <c r="E1540" t="s">
        <v>16</v>
      </c>
      <c r="F1540" t="s">
        <v>2923</v>
      </c>
    </row>
    <row r="1541" spans="1:6" hidden="1" x14ac:dyDescent="0.3">
      <c r="A1541" t="s">
        <v>2924</v>
      </c>
      <c r="B1541" t="s">
        <v>11</v>
      </c>
      <c r="D1541" t="s">
        <v>15</v>
      </c>
      <c r="E1541" t="s">
        <v>11</v>
      </c>
    </row>
    <row r="1542" spans="1:6" hidden="1" x14ac:dyDescent="0.3">
      <c r="A1542" t="s">
        <v>2925</v>
      </c>
      <c r="B1542" t="s">
        <v>11</v>
      </c>
      <c r="E1542" t="s">
        <v>11</v>
      </c>
    </row>
    <row r="1543" spans="1:6" x14ac:dyDescent="0.3">
      <c r="A1543" t="s">
        <v>2926</v>
      </c>
      <c r="B1543" t="s">
        <v>9</v>
      </c>
      <c r="C1543" t="s">
        <v>2927</v>
      </c>
      <c r="D1543" t="s">
        <v>15</v>
      </c>
      <c r="E1543" t="s">
        <v>20</v>
      </c>
      <c r="F1543" t="s">
        <v>383</v>
      </c>
    </row>
    <row r="1544" spans="1:6" x14ac:dyDescent="0.3">
      <c r="A1544" t="s">
        <v>2928</v>
      </c>
      <c r="B1544" t="s">
        <v>9</v>
      </c>
      <c r="C1544" t="s">
        <v>2929</v>
      </c>
      <c r="D1544" t="s">
        <v>15</v>
      </c>
      <c r="E1544" t="s">
        <v>20</v>
      </c>
      <c r="F1544" t="s">
        <v>21</v>
      </c>
    </row>
    <row r="1545" spans="1:6" x14ac:dyDescent="0.3">
      <c r="A1545" t="s">
        <v>2930</v>
      </c>
      <c r="B1545" t="s">
        <v>9</v>
      </c>
      <c r="C1545" t="s">
        <v>2931</v>
      </c>
      <c r="D1545" t="s">
        <v>15</v>
      </c>
      <c r="E1545" t="s">
        <v>20</v>
      </c>
      <c r="F1545" t="s">
        <v>2932</v>
      </c>
    </row>
    <row r="1546" spans="1:6" hidden="1" x14ac:dyDescent="0.3">
      <c r="A1546" t="s">
        <v>2933</v>
      </c>
      <c r="B1546" t="s">
        <v>11</v>
      </c>
      <c r="E1546" t="s">
        <v>11</v>
      </c>
    </row>
    <row r="1547" spans="1:6" hidden="1" x14ac:dyDescent="0.3">
      <c r="A1547" t="s">
        <v>2934</v>
      </c>
      <c r="B1547" t="s">
        <v>9</v>
      </c>
      <c r="C1547" t="s">
        <v>2935</v>
      </c>
      <c r="D1547" t="s">
        <v>15</v>
      </c>
      <c r="E1547" t="s">
        <v>16</v>
      </c>
      <c r="F1547" t="s">
        <v>2936</v>
      </c>
    </row>
    <row r="1548" spans="1:6" hidden="1" x14ac:dyDescent="0.3">
      <c r="A1548" t="s">
        <v>2937</v>
      </c>
      <c r="B1548" t="s">
        <v>9</v>
      </c>
      <c r="C1548" t="s">
        <v>2938</v>
      </c>
      <c r="D1548" t="s">
        <v>15</v>
      </c>
      <c r="E1548" t="s">
        <v>16</v>
      </c>
      <c r="F1548" t="s">
        <v>138</v>
      </c>
    </row>
    <row r="1549" spans="1:6" hidden="1" x14ac:dyDescent="0.3">
      <c r="A1549" t="s">
        <v>2939</v>
      </c>
      <c r="B1549" t="s">
        <v>9</v>
      </c>
      <c r="C1549" t="s">
        <v>2940</v>
      </c>
      <c r="D1549" t="s">
        <v>15</v>
      </c>
      <c r="E1549" t="s">
        <v>197</v>
      </c>
      <c r="F1549" t="s">
        <v>2941</v>
      </c>
    </row>
    <row r="1550" spans="1:6" hidden="1" x14ac:dyDescent="0.3">
      <c r="A1550" t="s">
        <v>2942</v>
      </c>
      <c r="B1550" t="s">
        <v>9</v>
      </c>
      <c r="C1550" t="s">
        <v>2943</v>
      </c>
      <c r="D1550" t="s">
        <v>15</v>
      </c>
      <c r="E1550" t="s">
        <v>54</v>
      </c>
      <c r="F1550" t="s">
        <v>2944</v>
      </c>
    </row>
    <row r="1551" spans="1:6" x14ac:dyDescent="0.3">
      <c r="A1551" t="s">
        <v>2945</v>
      </c>
      <c r="B1551" t="s">
        <v>9</v>
      </c>
      <c r="C1551" t="s">
        <v>2946</v>
      </c>
      <c r="D1551" t="s">
        <v>15</v>
      </c>
      <c r="E1551" t="s">
        <v>20</v>
      </c>
      <c r="F1551" t="s">
        <v>117</v>
      </c>
    </row>
    <row r="1552" spans="1:6" x14ac:dyDescent="0.3">
      <c r="A1552" t="s">
        <v>2947</v>
      </c>
      <c r="B1552" t="s">
        <v>9</v>
      </c>
      <c r="C1552" t="s">
        <v>2948</v>
      </c>
      <c r="D1552" t="s">
        <v>15</v>
      </c>
      <c r="E1552" t="s">
        <v>20</v>
      </c>
      <c r="F1552" t="s">
        <v>2949</v>
      </c>
    </row>
    <row r="1553" spans="1:6" hidden="1" x14ac:dyDescent="0.3">
      <c r="A1553" t="s">
        <v>2950</v>
      </c>
      <c r="B1553" t="s">
        <v>9</v>
      </c>
      <c r="C1553" t="s">
        <v>2951</v>
      </c>
      <c r="E1553" t="s">
        <v>16</v>
      </c>
      <c r="F1553" t="s">
        <v>2952</v>
      </c>
    </row>
    <row r="1554" spans="1:6" x14ac:dyDescent="0.3">
      <c r="A1554" t="s">
        <v>2953</v>
      </c>
      <c r="B1554" t="s">
        <v>9</v>
      </c>
      <c r="C1554" t="s">
        <v>2954</v>
      </c>
      <c r="D1554" t="s">
        <v>15</v>
      </c>
      <c r="E1554" t="s">
        <v>20</v>
      </c>
      <c r="F1554" t="s">
        <v>2955</v>
      </c>
    </row>
    <row r="1555" spans="1:6" hidden="1" x14ac:dyDescent="0.3">
      <c r="A1555" t="s">
        <v>2956</v>
      </c>
      <c r="B1555" t="s">
        <v>11</v>
      </c>
      <c r="D1555" t="s">
        <v>15</v>
      </c>
      <c r="E1555" t="s">
        <v>11</v>
      </c>
    </row>
    <row r="1556" spans="1:6" hidden="1" x14ac:dyDescent="0.3">
      <c r="A1556" t="s">
        <v>2957</v>
      </c>
      <c r="B1556" t="s">
        <v>13</v>
      </c>
      <c r="C1556" t="s">
        <v>2958</v>
      </c>
      <c r="E1556" t="s">
        <v>11</v>
      </c>
    </row>
    <row r="1557" spans="1:6" hidden="1" x14ac:dyDescent="0.3">
      <c r="A1557" t="s">
        <v>2959</v>
      </c>
      <c r="B1557" t="s">
        <v>9</v>
      </c>
      <c r="C1557" t="s">
        <v>28</v>
      </c>
      <c r="E1557" t="s">
        <v>11</v>
      </c>
    </row>
    <row r="1558" spans="1:6" hidden="1" x14ac:dyDescent="0.3">
      <c r="A1558" t="s">
        <v>2960</v>
      </c>
      <c r="B1558" t="s">
        <v>9</v>
      </c>
      <c r="C1558" t="s">
        <v>2961</v>
      </c>
      <c r="D1558" t="s">
        <v>15</v>
      </c>
      <c r="E1558" t="s">
        <v>11</v>
      </c>
    </row>
    <row r="1559" spans="1:6" hidden="1" x14ac:dyDescent="0.3">
      <c r="A1559" t="s">
        <v>2962</v>
      </c>
      <c r="B1559" t="s">
        <v>9</v>
      </c>
      <c r="C1559" t="s">
        <v>51</v>
      </c>
      <c r="E1559" t="s">
        <v>54</v>
      </c>
      <c r="F1559" t="s">
        <v>2963</v>
      </c>
    </row>
    <row r="1560" spans="1:6" hidden="1" x14ac:dyDescent="0.3">
      <c r="A1560" t="s">
        <v>2964</v>
      </c>
      <c r="B1560" t="s">
        <v>9</v>
      </c>
      <c r="C1560" t="s">
        <v>2965</v>
      </c>
      <c r="E1560" t="s">
        <v>11</v>
      </c>
    </row>
    <row r="1561" spans="1:6" hidden="1" x14ac:dyDescent="0.3">
      <c r="A1561" t="s">
        <v>2966</v>
      </c>
      <c r="B1561" t="s">
        <v>9</v>
      </c>
      <c r="C1561" t="s">
        <v>2967</v>
      </c>
      <c r="D1561" t="s">
        <v>15</v>
      </c>
      <c r="E1561" t="s">
        <v>16</v>
      </c>
      <c r="F1561" t="s">
        <v>2968</v>
      </c>
    </row>
    <row r="1562" spans="1:6" hidden="1" x14ac:dyDescent="0.3">
      <c r="A1562" t="s">
        <v>2969</v>
      </c>
      <c r="B1562" t="s">
        <v>9</v>
      </c>
      <c r="C1562" t="s">
        <v>28</v>
      </c>
      <c r="D1562" t="s">
        <v>15</v>
      </c>
      <c r="E1562" t="s">
        <v>54</v>
      </c>
      <c r="F1562" t="s">
        <v>2970</v>
      </c>
    </row>
    <row r="1563" spans="1:6" hidden="1" x14ac:dyDescent="0.3">
      <c r="A1563" t="s">
        <v>2971</v>
      </c>
      <c r="B1563" t="s">
        <v>13</v>
      </c>
      <c r="C1563" t="s">
        <v>2972</v>
      </c>
      <c r="D1563" t="s">
        <v>15</v>
      </c>
      <c r="E1563" t="s">
        <v>16</v>
      </c>
      <c r="F1563" t="s">
        <v>1298</v>
      </c>
    </row>
    <row r="1564" spans="1:6" hidden="1" x14ac:dyDescent="0.3">
      <c r="A1564" t="s">
        <v>2973</v>
      </c>
      <c r="B1564" t="s">
        <v>9</v>
      </c>
      <c r="C1564" t="s">
        <v>28</v>
      </c>
      <c r="D1564" t="s">
        <v>15</v>
      </c>
      <c r="E1564" t="s">
        <v>54</v>
      </c>
      <c r="F1564" t="s">
        <v>2974</v>
      </c>
    </row>
    <row r="1565" spans="1:6" hidden="1" x14ac:dyDescent="0.3">
      <c r="A1565" t="s">
        <v>2975</v>
      </c>
      <c r="B1565" t="s">
        <v>9</v>
      </c>
      <c r="C1565" t="s">
        <v>2976</v>
      </c>
      <c r="D1565" t="s">
        <v>15</v>
      </c>
      <c r="E1565" t="s">
        <v>54</v>
      </c>
      <c r="F1565" t="s">
        <v>2977</v>
      </c>
    </row>
    <row r="1566" spans="1:6" x14ac:dyDescent="0.3">
      <c r="A1566" t="s">
        <v>2978</v>
      </c>
      <c r="B1566" t="s">
        <v>9</v>
      </c>
      <c r="C1566" t="s">
        <v>2979</v>
      </c>
      <c r="E1566" t="s">
        <v>20</v>
      </c>
      <c r="F1566" t="s">
        <v>21</v>
      </c>
    </row>
    <row r="1567" spans="1:6" x14ac:dyDescent="0.3">
      <c r="A1567" t="s">
        <v>2980</v>
      </c>
      <c r="B1567" t="s">
        <v>13</v>
      </c>
      <c r="C1567" t="s">
        <v>2981</v>
      </c>
      <c r="E1567" t="s">
        <v>20</v>
      </c>
      <c r="F1567" t="s">
        <v>2982</v>
      </c>
    </row>
    <row r="1568" spans="1:6" x14ac:dyDescent="0.3">
      <c r="A1568" t="s">
        <v>2983</v>
      </c>
      <c r="B1568" t="s">
        <v>13</v>
      </c>
      <c r="C1568" t="s">
        <v>2984</v>
      </c>
      <c r="D1568" t="s">
        <v>15</v>
      </c>
      <c r="E1568" t="s">
        <v>20</v>
      </c>
      <c r="F1568" t="s">
        <v>117</v>
      </c>
    </row>
    <row r="1569" spans="1:6" hidden="1" x14ac:dyDescent="0.3">
      <c r="A1569" t="s">
        <v>2985</v>
      </c>
      <c r="B1569" t="s">
        <v>11</v>
      </c>
      <c r="E1569" t="s">
        <v>11</v>
      </c>
    </row>
    <row r="1570" spans="1:6" hidden="1" x14ac:dyDescent="0.3">
      <c r="A1570" t="s">
        <v>2986</v>
      </c>
      <c r="B1570" t="s">
        <v>9</v>
      </c>
      <c r="C1570" t="s">
        <v>51</v>
      </c>
      <c r="E1570" t="s">
        <v>54</v>
      </c>
      <c r="F1570" t="s">
        <v>588</v>
      </c>
    </row>
    <row r="1571" spans="1:6" hidden="1" x14ac:dyDescent="0.3">
      <c r="A1571" t="s">
        <v>2987</v>
      </c>
      <c r="B1571" t="s">
        <v>13</v>
      </c>
      <c r="C1571" t="s">
        <v>2988</v>
      </c>
      <c r="D1571" t="s">
        <v>15</v>
      </c>
      <c r="E1571" t="s">
        <v>54</v>
      </c>
      <c r="F1571" t="s">
        <v>2989</v>
      </c>
    </row>
    <row r="1572" spans="1:6" hidden="1" x14ac:dyDescent="0.3">
      <c r="A1572" t="s">
        <v>2990</v>
      </c>
      <c r="B1572" t="s">
        <v>9</v>
      </c>
      <c r="C1572" t="s">
        <v>2991</v>
      </c>
      <c r="D1572" t="s">
        <v>15</v>
      </c>
      <c r="E1572" t="s">
        <v>16</v>
      </c>
      <c r="F1572" t="s">
        <v>2992</v>
      </c>
    </row>
    <row r="1573" spans="1:6" hidden="1" x14ac:dyDescent="0.3">
      <c r="A1573" t="s">
        <v>2993</v>
      </c>
      <c r="B1573" t="s">
        <v>11</v>
      </c>
      <c r="E1573" t="s">
        <v>11</v>
      </c>
    </row>
    <row r="1574" spans="1:6" hidden="1" x14ac:dyDescent="0.3">
      <c r="A1574" t="s">
        <v>2994</v>
      </c>
      <c r="B1574" t="s">
        <v>9</v>
      </c>
      <c r="C1574" t="s">
        <v>28</v>
      </c>
      <c r="E1574" t="s">
        <v>11</v>
      </c>
    </row>
    <row r="1575" spans="1:6" hidden="1" x14ac:dyDescent="0.3">
      <c r="A1575" t="s">
        <v>2995</v>
      </c>
      <c r="B1575" t="s">
        <v>9</v>
      </c>
      <c r="C1575" t="s">
        <v>2996</v>
      </c>
      <c r="D1575" t="s">
        <v>15</v>
      </c>
      <c r="E1575" t="s">
        <v>16</v>
      </c>
      <c r="F1575" t="s">
        <v>2997</v>
      </c>
    </row>
    <row r="1576" spans="1:6" hidden="1" x14ac:dyDescent="0.3">
      <c r="A1576" t="s">
        <v>2998</v>
      </c>
      <c r="B1576" t="s">
        <v>11</v>
      </c>
      <c r="E1576" t="s">
        <v>11</v>
      </c>
    </row>
    <row r="1577" spans="1:6" hidden="1" x14ac:dyDescent="0.3">
      <c r="A1577" t="s">
        <v>2999</v>
      </c>
      <c r="B1577" t="s">
        <v>11</v>
      </c>
      <c r="E1577" t="s">
        <v>11</v>
      </c>
    </row>
    <row r="1578" spans="1:6" hidden="1" x14ac:dyDescent="0.3">
      <c r="A1578" t="s">
        <v>3000</v>
      </c>
      <c r="B1578" t="s">
        <v>13</v>
      </c>
      <c r="C1578" t="s">
        <v>3001</v>
      </c>
      <c r="D1578" t="s">
        <v>15</v>
      </c>
      <c r="E1578" t="s">
        <v>11</v>
      </c>
    </row>
    <row r="1579" spans="1:6" hidden="1" x14ac:dyDescent="0.3">
      <c r="A1579" t="s">
        <v>3002</v>
      </c>
      <c r="B1579" t="s">
        <v>13</v>
      </c>
      <c r="C1579" t="s">
        <v>3003</v>
      </c>
      <c r="D1579" t="s">
        <v>15</v>
      </c>
      <c r="E1579" t="s">
        <v>11</v>
      </c>
    </row>
    <row r="1580" spans="1:6" x14ac:dyDescent="0.3">
      <c r="A1580" t="s">
        <v>3004</v>
      </c>
      <c r="B1580" t="s">
        <v>9</v>
      </c>
      <c r="C1580" t="s">
        <v>28</v>
      </c>
      <c r="D1580" t="s">
        <v>15</v>
      </c>
      <c r="E1580" t="s">
        <v>20</v>
      </c>
      <c r="F1580" t="s">
        <v>3005</v>
      </c>
    </row>
    <row r="1581" spans="1:6" hidden="1" x14ac:dyDescent="0.3">
      <c r="A1581" t="s">
        <v>3006</v>
      </c>
      <c r="B1581" t="s">
        <v>9</v>
      </c>
      <c r="C1581" t="s">
        <v>3007</v>
      </c>
      <c r="D1581" t="s">
        <v>15</v>
      </c>
      <c r="E1581" t="s">
        <v>54</v>
      </c>
      <c r="F1581" t="s">
        <v>3008</v>
      </c>
    </row>
    <row r="1582" spans="1:6" hidden="1" x14ac:dyDescent="0.3">
      <c r="A1582" t="s">
        <v>3009</v>
      </c>
      <c r="B1582" t="s">
        <v>9</v>
      </c>
      <c r="C1582" t="s">
        <v>28</v>
      </c>
      <c r="E1582" t="s">
        <v>11</v>
      </c>
    </row>
    <row r="1583" spans="1:6" hidden="1" x14ac:dyDescent="0.3">
      <c r="A1583" t="s">
        <v>3010</v>
      </c>
      <c r="B1583" t="s">
        <v>13</v>
      </c>
      <c r="C1583" t="s">
        <v>245</v>
      </c>
      <c r="E1583" t="s">
        <v>11</v>
      </c>
    </row>
    <row r="1584" spans="1:6" x14ac:dyDescent="0.3">
      <c r="A1584" t="s">
        <v>3011</v>
      </c>
      <c r="B1584" t="s">
        <v>9</v>
      </c>
      <c r="C1584" t="s">
        <v>28</v>
      </c>
      <c r="E1584" t="s">
        <v>20</v>
      </c>
      <c r="F1584" t="s">
        <v>3012</v>
      </c>
    </row>
    <row r="1585" spans="1:6" hidden="1" x14ac:dyDescent="0.3">
      <c r="A1585" t="s">
        <v>3013</v>
      </c>
      <c r="B1585" t="s">
        <v>13</v>
      </c>
      <c r="C1585" t="s">
        <v>231</v>
      </c>
      <c r="E1585" t="s">
        <v>11</v>
      </c>
    </row>
    <row r="1586" spans="1:6" x14ac:dyDescent="0.3">
      <c r="A1586" t="s">
        <v>3014</v>
      </c>
      <c r="B1586" t="s">
        <v>9</v>
      </c>
      <c r="C1586" t="s">
        <v>3015</v>
      </c>
      <c r="D1586" t="s">
        <v>15</v>
      </c>
      <c r="E1586" t="s">
        <v>20</v>
      </c>
      <c r="F1586" t="s">
        <v>425</v>
      </c>
    </row>
    <row r="1587" spans="1:6" x14ac:dyDescent="0.3">
      <c r="A1587" t="s">
        <v>3016</v>
      </c>
      <c r="B1587" t="s">
        <v>9</v>
      </c>
      <c r="C1587" t="s">
        <v>301</v>
      </c>
      <c r="E1587" t="s">
        <v>20</v>
      </c>
      <c r="F1587" t="s">
        <v>1414</v>
      </c>
    </row>
    <row r="1588" spans="1:6" hidden="1" x14ac:dyDescent="0.3">
      <c r="A1588" t="s">
        <v>3017</v>
      </c>
      <c r="B1588" t="s">
        <v>13</v>
      </c>
      <c r="C1588" t="s">
        <v>3018</v>
      </c>
      <c r="E1588" t="s">
        <v>11</v>
      </c>
    </row>
    <row r="1589" spans="1:6" x14ac:dyDescent="0.3">
      <c r="A1589" t="s">
        <v>3019</v>
      </c>
      <c r="B1589" t="s">
        <v>9</v>
      </c>
      <c r="C1589" t="s">
        <v>3020</v>
      </c>
      <c r="D1589" t="s">
        <v>15</v>
      </c>
      <c r="E1589" t="s">
        <v>20</v>
      </c>
      <c r="F1589" t="s">
        <v>3021</v>
      </c>
    </row>
    <row r="1590" spans="1:6" hidden="1" x14ac:dyDescent="0.3">
      <c r="A1590" t="s">
        <v>3022</v>
      </c>
      <c r="B1590" t="s">
        <v>197</v>
      </c>
      <c r="C1590" t="s">
        <v>3023</v>
      </c>
      <c r="E1590" t="s">
        <v>11</v>
      </c>
    </row>
    <row r="1591" spans="1:6" hidden="1" x14ac:dyDescent="0.3">
      <c r="A1591" t="s">
        <v>3024</v>
      </c>
      <c r="B1591" t="s">
        <v>11</v>
      </c>
      <c r="E1591" t="s">
        <v>54</v>
      </c>
      <c r="F1591" t="s">
        <v>3025</v>
      </c>
    </row>
    <row r="1592" spans="1:6" hidden="1" x14ac:dyDescent="0.3">
      <c r="A1592" t="s">
        <v>3026</v>
      </c>
      <c r="B1592" t="s">
        <v>9</v>
      </c>
      <c r="C1592" t="s">
        <v>3027</v>
      </c>
      <c r="E1592" t="s">
        <v>11</v>
      </c>
    </row>
    <row r="1593" spans="1:6" x14ac:dyDescent="0.3">
      <c r="A1593" t="s">
        <v>3028</v>
      </c>
      <c r="B1593" t="s">
        <v>9</v>
      </c>
      <c r="C1593" t="s">
        <v>3029</v>
      </c>
      <c r="E1593" t="s">
        <v>20</v>
      </c>
      <c r="F1593" t="s">
        <v>135</v>
      </c>
    </row>
    <row r="1594" spans="1:6" x14ac:dyDescent="0.3">
      <c r="A1594" t="s">
        <v>3030</v>
      </c>
      <c r="B1594" t="s">
        <v>13</v>
      </c>
      <c r="C1594" t="s">
        <v>3031</v>
      </c>
      <c r="E1594" t="s">
        <v>20</v>
      </c>
      <c r="F1594" t="s">
        <v>21</v>
      </c>
    </row>
    <row r="1595" spans="1:6" hidden="1" x14ac:dyDescent="0.3">
      <c r="A1595" t="s">
        <v>3032</v>
      </c>
      <c r="B1595" t="s">
        <v>13</v>
      </c>
      <c r="C1595" t="s">
        <v>3033</v>
      </c>
      <c r="D1595" t="s">
        <v>15</v>
      </c>
      <c r="E1595" t="s">
        <v>11</v>
      </c>
    </row>
    <row r="1596" spans="1:6" x14ac:dyDescent="0.3">
      <c r="A1596" t="s">
        <v>3034</v>
      </c>
      <c r="B1596" t="s">
        <v>9</v>
      </c>
      <c r="C1596" t="s">
        <v>3035</v>
      </c>
      <c r="D1596" t="s">
        <v>15</v>
      </c>
      <c r="E1596" t="s">
        <v>20</v>
      </c>
      <c r="F1596" t="s">
        <v>3036</v>
      </c>
    </row>
    <row r="1597" spans="1:6" x14ac:dyDescent="0.3">
      <c r="A1597" t="s">
        <v>3037</v>
      </c>
      <c r="B1597" t="s">
        <v>9</v>
      </c>
      <c r="C1597" t="s">
        <v>3038</v>
      </c>
      <c r="D1597" t="s">
        <v>15</v>
      </c>
      <c r="E1597" t="s">
        <v>20</v>
      </c>
      <c r="F1597" t="s">
        <v>3039</v>
      </c>
    </row>
    <row r="1598" spans="1:6" x14ac:dyDescent="0.3">
      <c r="A1598" t="s">
        <v>3040</v>
      </c>
      <c r="B1598" t="s">
        <v>9</v>
      </c>
      <c r="C1598" t="s">
        <v>28</v>
      </c>
      <c r="E1598" t="s">
        <v>20</v>
      </c>
      <c r="F1598" t="s">
        <v>21</v>
      </c>
    </row>
    <row r="1599" spans="1:6" hidden="1" x14ac:dyDescent="0.3">
      <c r="A1599" t="s">
        <v>3041</v>
      </c>
      <c r="B1599" t="s">
        <v>9</v>
      </c>
      <c r="C1599" t="s">
        <v>3042</v>
      </c>
      <c r="D1599" t="s">
        <v>15</v>
      </c>
      <c r="E1599" t="s">
        <v>11</v>
      </c>
    </row>
    <row r="1600" spans="1:6" hidden="1" x14ac:dyDescent="0.3">
      <c r="A1600" t="s">
        <v>3043</v>
      </c>
      <c r="B1600" t="s">
        <v>9</v>
      </c>
      <c r="C1600" t="s">
        <v>3044</v>
      </c>
      <c r="D1600" t="s">
        <v>15</v>
      </c>
      <c r="E1600" t="s">
        <v>16</v>
      </c>
      <c r="F1600" t="s">
        <v>138</v>
      </c>
    </row>
    <row r="1601" spans="1:6" hidden="1" x14ac:dyDescent="0.3">
      <c r="A1601" t="s">
        <v>3045</v>
      </c>
      <c r="B1601" t="s">
        <v>13</v>
      </c>
      <c r="C1601" t="s">
        <v>3046</v>
      </c>
      <c r="D1601" t="s">
        <v>15</v>
      </c>
      <c r="E1601" t="s">
        <v>54</v>
      </c>
      <c r="F1601" t="s">
        <v>3047</v>
      </c>
    </row>
    <row r="1602" spans="1:6" hidden="1" x14ac:dyDescent="0.3">
      <c r="A1602" t="s">
        <v>3048</v>
      </c>
      <c r="B1602" t="s">
        <v>13</v>
      </c>
      <c r="C1602" t="s">
        <v>112</v>
      </c>
      <c r="D1602" t="s">
        <v>15</v>
      </c>
      <c r="E1602" t="s">
        <v>54</v>
      </c>
      <c r="F1602" t="s">
        <v>588</v>
      </c>
    </row>
    <row r="1603" spans="1:6" hidden="1" x14ac:dyDescent="0.3">
      <c r="A1603" t="s">
        <v>3049</v>
      </c>
      <c r="B1603" t="s">
        <v>9</v>
      </c>
      <c r="C1603" t="s">
        <v>3050</v>
      </c>
      <c r="E1603" t="s">
        <v>11</v>
      </c>
    </row>
    <row r="1604" spans="1:6" hidden="1" x14ac:dyDescent="0.3">
      <c r="A1604" t="s">
        <v>3051</v>
      </c>
      <c r="B1604" t="s">
        <v>13</v>
      </c>
      <c r="C1604" t="s">
        <v>3052</v>
      </c>
      <c r="D1604" t="s">
        <v>15</v>
      </c>
      <c r="E1604" t="s">
        <v>11</v>
      </c>
    </row>
    <row r="1605" spans="1:6" hidden="1" x14ac:dyDescent="0.3">
      <c r="A1605" t="s">
        <v>3053</v>
      </c>
      <c r="B1605" t="s">
        <v>9</v>
      </c>
      <c r="C1605" t="s">
        <v>3054</v>
      </c>
      <c r="D1605" t="s">
        <v>15</v>
      </c>
      <c r="E1605" t="s">
        <v>54</v>
      </c>
      <c r="F1605" t="s">
        <v>3055</v>
      </c>
    </row>
    <row r="1606" spans="1:6" hidden="1" x14ac:dyDescent="0.3">
      <c r="A1606" t="s">
        <v>3056</v>
      </c>
      <c r="B1606" t="s">
        <v>9</v>
      </c>
      <c r="C1606" t="s">
        <v>3057</v>
      </c>
      <c r="D1606" t="s">
        <v>15</v>
      </c>
      <c r="E1606" t="s">
        <v>16</v>
      </c>
      <c r="F1606" t="s">
        <v>3058</v>
      </c>
    </row>
    <row r="1607" spans="1:6" hidden="1" x14ac:dyDescent="0.3">
      <c r="A1607" t="s">
        <v>3059</v>
      </c>
      <c r="B1607" t="s">
        <v>11</v>
      </c>
      <c r="E1607" t="s">
        <v>11</v>
      </c>
    </row>
    <row r="1608" spans="1:6" hidden="1" x14ac:dyDescent="0.3">
      <c r="A1608" t="s">
        <v>3060</v>
      </c>
      <c r="B1608" t="s">
        <v>9</v>
      </c>
      <c r="C1608" t="s">
        <v>3061</v>
      </c>
      <c r="E1608" t="s">
        <v>11</v>
      </c>
    </row>
    <row r="1609" spans="1:6" hidden="1" x14ac:dyDescent="0.3">
      <c r="A1609" t="s">
        <v>3062</v>
      </c>
      <c r="B1609" t="s">
        <v>9</v>
      </c>
      <c r="C1609" t="s">
        <v>3063</v>
      </c>
      <c r="D1609" t="s">
        <v>15</v>
      </c>
      <c r="E1609" t="s">
        <v>54</v>
      </c>
      <c r="F1609" t="s">
        <v>3064</v>
      </c>
    </row>
    <row r="1610" spans="1:6" hidden="1" x14ac:dyDescent="0.3">
      <c r="A1610" t="s">
        <v>3065</v>
      </c>
      <c r="B1610" t="s">
        <v>13</v>
      </c>
      <c r="C1610" t="s">
        <v>3066</v>
      </c>
      <c r="D1610" t="s">
        <v>15</v>
      </c>
      <c r="E1610" t="s">
        <v>54</v>
      </c>
      <c r="F1610" t="s">
        <v>3067</v>
      </c>
    </row>
    <row r="1611" spans="1:6" hidden="1" x14ac:dyDescent="0.3">
      <c r="A1611" t="s">
        <v>3068</v>
      </c>
      <c r="B1611" t="s">
        <v>9</v>
      </c>
      <c r="C1611" t="s">
        <v>28</v>
      </c>
      <c r="D1611" t="s">
        <v>15</v>
      </c>
      <c r="E1611" t="s">
        <v>11</v>
      </c>
    </row>
    <row r="1612" spans="1:6" hidden="1" x14ac:dyDescent="0.3">
      <c r="A1612" t="s">
        <v>3069</v>
      </c>
      <c r="B1612" t="s">
        <v>9</v>
      </c>
      <c r="C1612" t="s">
        <v>28</v>
      </c>
      <c r="E1612" t="s">
        <v>11</v>
      </c>
    </row>
    <row r="1613" spans="1:6" hidden="1" x14ac:dyDescent="0.3">
      <c r="A1613" t="s">
        <v>3070</v>
      </c>
      <c r="B1613" t="s">
        <v>13</v>
      </c>
      <c r="C1613" t="s">
        <v>245</v>
      </c>
      <c r="D1613" t="s">
        <v>15</v>
      </c>
      <c r="E1613" t="s">
        <v>11</v>
      </c>
    </row>
    <row r="1614" spans="1:6" hidden="1" x14ac:dyDescent="0.3">
      <c r="A1614" t="s">
        <v>3071</v>
      </c>
      <c r="B1614" t="s">
        <v>13</v>
      </c>
      <c r="C1614" t="s">
        <v>3072</v>
      </c>
      <c r="D1614" t="s">
        <v>15</v>
      </c>
      <c r="E1614" t="s">
        <v>54</v>
      </c>
      <c r="F1614" t="s">
        <v>2369</v>
      </c>
    </row>
    <row r="1615" spans="1:6" hidden="1" x14ac:dyDescent="0.3">
      <c r="A1615" t="s">
        <v>3073</v>
      </c>
      <c r="B1615" t="s">
        <v>9</v>
      </c>
      <c r="C1615" t="s">
        <v>3074</v>
      </c>
      <c r="D1615" t="s">
        <v>15</v>
      </c>
      <c r="E1615" t="s">
        <v>54</v>
      </c>
      <c r="F1615" t="s">
        <v>3075</v>
      </c>
    </row>
    <row r="1616" spans="1:6" hidden="1" x14ac:dyDescent="0.3">
      <c r="A1616" t="s">
        <v>3076</v>
      </c>
      <c r="B1616" t="s">
        <v>9</v>
      </c>
      <c r="C1616" t="s">
        <v>3077</v>
      </c>
      <c r="E1616" t="s">
        <v>11</v>
      </c>
    </row>
    <row r="1617" spans="1:6" hidden="1" x14ac:dyDescent="0.3">
      <c r="A1617" t="s">
        <v>3078</v>
      </c>
      <c r="B1617" t="s">
        <v>9</v>
      </c>
      <c r="C1617" t="s">
        <v>3079</v>
      </c>
      <c r="D1617" t="s">
        <v>15</v>
      </c>
      <c r="E1617" t="s">
        <v>16</v>
      </c>
      <c r="F1617" t="s">
        <v>138</v>
      </c>
    </row>
    <row r="1618" spans="1:6" hidden="1" x14ac:dyDescent="0.3">
      <c r="A1618" t="s">
        <v>3080</v>
      </c>
      <c r="B1618" t="s">
        <v>11</v>
      </c>
      <c r="D1618" t="s">
        <v>15</v>
      </c>
      <c r="E1618" t="s">
        <v>11</v>
      </c>
    </row>
    <row r="1619" spans="1:6" x14ac:dyDescent="0.3">
      <c r="A1619" t="s">
        <v>3081</v>
      </c>
      <c r="B1619" t="s">
        <v>9</v>
      </c>
      <c r="C1619" t="s">
        <v>3082</v>
      </c>
      <c r="D1619" t="s">
        <v>15</v>
      </c>
      <c r="E1619" t="s">
        <v>20</v>
      </c>
      <c r="F1619" t="s">
        <v>3083</v>
      </c>
    </row>
    <row r="1620" spans="1:6" hidden="1" x14ac:dyDescent="0.3">
      <c r="A1620" t="s">
        <v>3084</v>
      </c>
      <c r="B1620" t="s">
        <v>9</v>
      </c>
      <c r="C1620" t="s">
        <v>3085</v>
      </c>
      <c r="D1620" t="s">
        <v>15</v>
      </c>
      <c r="E1620" t="s">
        <v>16</v>
      </c>
      <c r="F1620" t="s">
        <v>3086</v>
      </c>
    </row>
    <row r="1621" spans="1:6" hidden="1" x14ac:dyDescent="0.3">
      <c r="A1621" t="s">
        <v>3087</v>
      </c>
      <c r="B1621" t="s">
        <v>9</v>
      </c>
      <c r="C1621" t="s">
        <v>3088</v>
      </c>
      <c r="D1621" t="s">
        <v>15</v>
      </c>
      <c r="E1621" t="s">
        <v>16</v>
      </c>
      <c r="F1621" t="s">
        <v>3089</v>
      </c>
    </row>
    <row r="1622" spans="1:6" hidden="1" x14ac:dyDescent="0.3">
      <c r="A1622" t="s">
        <v>3090</v>
      </c>
      <c r="B1622" t="s">
        <v>9</v>
      </c>
      <c r="C1622" t="s">
        <v>28</v>
      </c>
      <c r="E1622" t="s">
        <v>11</v>
      </c>
    </row>
    <row r="1623" spans="1:6" hidden="1" x14ac:dyDescent="0.3">
      <c r="A1623" t="s">
        <v>3091</v>
      </c>
      <c r="B1623" t="s">
        <v>13</v>
      </c>
      <c r="C1623" t="s">
        <v>3092</v>
      </c>
      <c r="D1623" t="s">
        <v>15</v>
      </c>
      <c r="E1623" t="s">
        <v>54</v>
      </c>
      <c r="F1623" t="s">
        <v>588</v>
      </c>
    </row>
    <row r="1624" spans="1:6" x14ac:dyDescent="0.3">
      <c r="A1624" t="s">
        <v>3093</v>
      </c>
      <c r="B1624" t="s">
        <v>9</v>
      </c>
      <c r="C1624" t="s">
        <v>28</v>
      </c>
      <c r="E1624" t="s">
        <v>20</v>
      </c>
      <c r="F1624" t="s">
        <v>21</v>
      </c>
    </row>
    <row r="1625" spans="1:6" hidden="1" x14ac:dyDescent="0.3">
      <c r="A1625" t="s">
        <v>3094</v>
      </c>
      <c r="B1625" t="s">
        <v>197</v>
      </c>
      <c r="C1625" t="s">
        <v>3095</v>
      </c>
      <c r="D1625" t="s">
        <v>15</v>
      </c>
      <c r="E1625" t="s">
        <v>54</v>
      </c>
      <c r="F1625" t="s">
        <v>3096</v>
      </c>
    </row>
    <row r="1626" spans="1:6" hidden="1" x14ac:dyDescent="0.3">
      <c r="A1626" t="s">
        <v>3097</v>
      </c>
      <c r="B1626" t="s">
        <v>11</v>
      </c>
      <c r="E1626" t="s">
        <v>11</v>
      </c>
    </row>
    <row r="1627" spans="1:6" hidden="1" x14ac:dyDescent="0.3">
      <c r="A1627" t="s">
        <v>3098</v>
      </c>
      <c r="B1627" t="s">
        <v>197</v>
      </c>
      <c r="C1627" t="s">
        <v>707</v>
      </c>
      <c r="E1627" t="s">
        <v>11</v>
      </c>
    </row>
    <row r="1628" spans="1:6" hidden="1" x14ac:dyDescent="0.3">
      <c r="A1628" t="s">
        <v>3099</v>
      </c>
      <c r="B1628" t="s">
        <v>9</v>
      </c>
      <c r="C1628" t="s">
        <v>28</v>
      </c>
      <c r="E1628" t="s">
        <v>11</v>
      </c>
    </row>
    <row r="1629" spans="1:6" hidden="1" x14ac:dyDescent="0.3">
      <c r="A1629" t="s">
        <v>3100</v>
      </c>
      <c r="B1629" t="s">
        <v>11</v>
      </c>
      <c r="E1629" t="s">
        <v>11</v>
      </c>
    </row>
    <row r="1630" spans="1:6" hidden="1" x14ac:dyDescent="0.3">
      <c r="A1630" t="s">
        <v>3101</v>
      </c>
      <c r="B1630" t="s">
        <v>9</v>
      </c>
      <c r="C1630" t="s">
        <v>3102</v>
      </c>
      <c r="D1630" t="s">
        <v>15</v>
      </c>
      <c r="E1630" t="s">
        <v>11</v>
      </c>
    </row>
    <row r="1631" spans="1:6" hidden="1" x14ac:dyDescent="0.3">
      <c r="A1631" t="s">
        <v>3103</v>
      </c>
      <c r="B1631" t="s">
        <v>13</v>
      </c>
      <c r="C1631" t="s">
        <v>112</v>
      </c>
      <c r="E1631" t="s">
        <v>54</v>
      </c>
      <c r="F1631" t="s">
        <v>588</v>
      </c>
    </row>
    <row r="1632" spans="1:6" hidden="1" x14ac:dyDescent="0.3">
      <c r="A1632" t="s">
        <v>3104</v>
      </c>
      <c r="B1632" t="s">
        <v>417</v>
      </c>
      <c r="C1632" t="s">
        <v>3105</v>
      </c>
      <c r="E1632" t="s">
        <v>11</v>
      </c>
    </row>
    <row r="1633" spans="1:8" hidden="1" x14ac:dyDescent="0.3">
      <c r="A1633" t="s">
        <v>3106</v>
      </c>
      <c r="B1633" t="s">
        <v>13</v>
      </c>
      <c r="C1633" t="s">
        <v>3107</v>
      </c>
      <c r="D1633" t="s">
        <v>15</v>
      </c>
      <c r="E1633" t="s">
        <v>11</v>
      </c>
    </row>
    <row r="1634" spans="1:8" x14ac:dyDescent="0.3">
      <c r="A1634" t="s">
        <v>3108</v>
      </c>
      <c r="B1634" t="s">
        <v>9</v>
      </c>
      <c r="C1634" t="s">
        <v>3109</v>
      </c>
      <c r="D1634" t="s">
        <v>15</v>
      </c>
      <c r="E1634" t="s">
        <v>20</v>
      </c>
      <c r="F1634" t="s">
        <v>3110</v>
      </c>
    </row>
    <row r="1635" spans="1:8" x14ac:dyDescent="0.3">
      <c r="A1635" t="s">
        <v>3111</v>
      </c>
      <c r="B1635" t="s">
        <v>13</v>
      </c>
      <c r="C1635" t="s">
        <v>3112</v>
      </c>
      <c r="D1635" t="s">
        <v>15</v>
      </c>
      <c r="E1635" t="s">
        <v>20</v>
      </c>
      <c r="F1635" t="s">
        <v>3113</v>
      </c>
    </row>
    <row r="1636" spans="1:8" x14ac:dyDescent="0.3">
      <c r="A1636" t="s">
        <v>3114</v>
      </c>
      <c r="B1636" t="s">
        <v>13</v>
      </c>
      <c r="C1636" t="s">
        <v>3115</v>
      </c>
      <c r="D1636" t="s">
        <v>15</v>
      </c>
      <c r="E1636" t="s">
        <v>20</v>
      </c>
      <c r="F1636" t="s">
        <v>135</v>
      </c>
    </row>
    <row r="1637" spans="1:8" hidden="1" x14ac:dyDescent="0.3">
      <c r="A1637" t="s">
        <v>3116</v>
      </c>
      <c r="B1637" t="s">
        <v>9</v>
      </c>
      <c r="C1637" t="s">
        <v>3117</v>
      </c>
      <c r="D1637" t="s">
        <v>15</v>
      </c>
      <c r="E1637" t="s">
        <v>54</v>
      </c>
      <c r="F1637" t="s">
        <v>3118</v>
      </c>
    </row>
    <row r="1638" spans="1:8" x14ac:dyDescent="0.3">
      <c r="A1638" t="s">
        <v>3119</v>
      </c>
      <c r="B1638" t="s">
        <v>9</v>
      </c>
      <c r="C1638" t="s">
        <v>3120</v>
      </c>
      <c r="D1638" t="s">
        <v>15</v>
      </c>
      <c r="E1638" t="s">
        <v>20</v>
      </c>
      <c r="F1638" t="s">
        <v>3121</v>
      </c>
    </row>
    <row r="1639" spans="1:8" x14ac:dyDescent="0.3">
      <c r="A1639" t="s">
        <v>3122</v>
      </c>
      <c r="B1639" t="s">
        <v>9</v>
      </c>
      <c r="C1639" t="s">
        <v>3123</v>
      </c>
      <c r="D1639" t="s">
        <v>15</v>
      </c>
      <c r="E1639" t="s">
        <v>20</v>
      </c>
      <c r="F1639" t="s">
        <v>135</v>
      </c>
    </row>
    <row r="1640" spans="1:8" x14ac:dyDescent="0.3">
      <c r="A1640" t="s">
        <v>3124</v>
      </c>
      <c r="B1640" t="s">
        <v>9</v>
      </c>
      <c r="C1640" t="s">
        <v>3125</v>
      </c>
      <c r="D1640" t="s">
        <v>15</v>
      </c>
      <c r="E1640" t="s">
        <v>20</v>
      </c>
      <c r="F1640" t="s">
        <v>185</v>
      </c>
      <c r="G1640" t="s">
        <v>15</v>
      </c>
      <c r="H1640" t="s">
        <v>3126</v>
      </c>
    </row>
    <row r="1641" spans="1:8" hidden="1" x14ac:dyDescent="0.3">
      <c r="A1641" t="s">
        <v>3127</v>
      </c>
      <c r="B1641" t="s">
        <v>9</v>
      </c>
      <c r="C1641" t="s">
        <v>3128</v>
      </c>
      <c r="E1641" t="s">
        <v>11</v>
      </c>
    </row>
    <row r="1642" spans="1:8" hidden="1" x14ac:dyDescent="0.3">
      <c r="A1642" t="s">
        <v>3129</v>
      </c>
      <c r="B1642" t="s">
        <v>9</v>
      </c>
      <c r="C1642" t="s">
        <v>3130</v>
      </c>
      <c r="D1642" t="s">
        <v>15</v>
      </c>
      <c r="E1642" t="s">
        <v>16</v>
      </c>
      <c r="F1642" t="s">
        <v>3131</v>
      </c>
    </row>
    <row r="1643" spans="1:8" hidden="1" x14ac:dyDescent="0.3">
      <c r="A1643" t="s">
        <v>3132</v>
      </c>
      <c r="B1643" t="s">
        <v>13</v>
      </c>
      <c r="C1643" t="s">
        <v>3133</v>
      </c>
      <c r="D1643" t="s">
        <v>15</v>
      </c>
      <c r="E1643" t="s">
        <v>11</v>
      </c>
    </row>
    <row r="1644" spans="1:8" hidden="1" x14ac:dyDescent="0.3">
      <c r="A1644" t="s">
        <v>3134</v>
      </c>
      <c r="B1644" t="s">
        <v>9</v>
      </c>
      <c r="C1644" t="s">
        <v>3135</v>
      </c>
      <c r="E1644" t="s">
        <v>11</v>
      </c>
    </row>
    <row r="1645" spans="1:8" x14ac:dyDescent="0.3">
      <c r="A1645" t="s">
        <v>3136</v>
      </c>
      <c r="B1645" t="s">
        <v>13</v>
      </c>
      <c r="C1645" t="s">
        <v>3137</v>
      </c>
      <c r="E1645" t="s">
        <v>20</v>
      </c>
      <c r="F1645" t="s">
        <v>3138</v>
      </c>
    </row>
    <row r="1646" spans="1:8" x14ac:dyDescent="0.3">
      <c r="A1646" t="s">
        <v>3139</v>
      </c>
      <c r="B1646" t="s">
        <v>13</v>
      </c>
      <c r="C1646" t="s">
        <v>3140</v>
      </c>
      <c r="D1646" t="s">
        <v>15</v>
      </c>
      <c r="E1646" t="s">
        <v>20</v>
      </c>
      <c r="F1646" t="s">
        <v>21</v>
      </c>
    </row>
    <row r="1647" spans="1:8" hidden="1" x14ac:dyDescent="0.3">
      <c r="A1647" t="s">
        <v>3141</v>
      </c>
      <c r="B1647" t="s">
        <v>13</v>
      </c>
      <c r="C1647" t="s">
        <v>3142</v>
      </c>
      <c r="D1647" t="s">
        <v>15</v>
      </c>
      <c r="E1647" t="s">
        <v>11</v>
      </c>
    </row>
    <row r="1648" spans="1:8" hidden="1" x14ac:dyDescent="0.3">
      <c r="A1648" t="s">
        <v>3143</v>
      </c>
      <c r="B1648" t="s">
        <v>9</v>
      </c>
      <c r="C1648" t="s">
        <v>3144</v>
      </c>
      <c r="D1648" t="s">
        <v>15</v>
      </c>
      <c r="E1648" t="s">
        <v>11</v>
      </c>
    </row>
    <row r="1649" spans="1:6" x14ac:dyDescent="0.3">
      <c r="A1649" t="s">
        <v>3145</v>
      </c>
      <c r="B1649" t="s">
        <v>9</v>
      </c>
      <c r="C1649" t="s">
        <v>3146</v>
      </c>
      <c r="D1649" t="s">
        <v>15</v>
      </c>
      <c r="E1649" t="s">
        <v>20</v>
      </c>
      <c r="F1649" t="s">
        <v>21</v>
      </c>
    </row>
    <row r="1650" spans="1:6" hidden="1" x14ac:dyDescent="0.3">
      <c r="A1650" t="s">
        <v>3147</v>
      </c>
      <c r="B1650" t="s">
        <v>9</v>
      </c>
      <c r="C1650" t="s">
        <v>3148</v>
      </c>
      <c r="D1650" t="s">
        <v>15</v>
      </c>
      <c r="E1650" t="s">
        <v>16</v>
      </c>
      <c r="F1650" t="s">
        <v>3149</v>
      </c>
    </row>
    <row r="1651" spans="1:6" x14ac:dyDescent="0.3">
      <c r="A1651" t="s">
        <v>3150</v>
      </c>
      <c r="B1651" t="s">
        <v>13</v>
      </c>
      <c r="C1651" t="s">
        <v>3151</v>
      </c>
      <c r="D1651" t="s">
        <v>15</v>
      </c>
      <c r="E1651" t="s">
        <v>20</v>
      </c>
      <c r="F1651" t="s">
        <v>3152</v>
      </c>
    </row>
    <row r="1652" spans="1:6" hidden="1" x14ac:dyDescent="0.3">
      <c r="A1652" t="s">
        <v>3153</v>
      </c>
      <c r="B1652" t="s">
        <v>13</v>
      </c>
      <c r="C1652" t="s">
        <v>576</v>
      </c>
      <c r="E1652" t="s">
        <v>54</v>
      </c>
      <c r="F1652" t="s">
        <v>3154</v>
      </c>
    </row>
    <row r="1653" spans="1:6" hidden="1" x14ac:dyDescent="0.3">
      <c r="A1653" t="s">
        <v>3155</v>
      </c>
      <c r="B1653" t="s">
        <v>13</v>
      </c>
      <c r="C1653" t="s">
        <v>3156</v>
      </c>
      <c r="E1653" t="s">
        <v>11</v>
      </c>
    </row>
    <row r="1654" spans="1:6" hidden="1" x14ac:dyDescent="0.3">
      <c r="A1654" t="s">
        <v>3157</v>
      </c>
      <c r="B1654" t="s">
        <v>13</v>
      </c>
      <c r="C1654" t="s">
        <v>3158</v>
      </c>
      <c r="E1654" t="s">
        <v>11</v>
      </c>
    </row>
    <row r="1655" spans="1:6" hidden="1" x14ac:dyDescent="0.3">
      <c r="A1655" t="s">
        <v>3159</v>
      </c>
      <c r="B1655" t="s">
        <v>9</v>
      </c>
      <c r="C1655" t="s">
        <v>3160</v>
      </c>
      <c r="D1655" t="s">
        <v>15</v>
      </c>
      <c r="E1655" t="s">
        <v>54</v>
      </c>
      <c r="F1655" t="s">
        <v>588</v>
      </c>
    </row>
    <row r="1656" spans="1:6" hidden="1" x14ac:dyDescent="0.3">
      <c r="A1656" t="s">
        <v>3161</v>
      </c>
      <c r="B1656" t="s">
        <v>13</v>
      </c>
      <c r="C1656" t="s">
        <v>3162</v>
      </c>
      <c r="E1656" t="s">
        <v>11</v>
      </c>
    </row>
    <row r="1657" spans="1:6" hidden="1" x14ac:dyDescent="0.3">
      <c r="A1657" t="s">
        <v>3163</v>
      </c>
      <c r="B1657" t="s">
        <v>9</v>
      </c>
      <c r="C1657" t="s">
        <v>3164</v>
      </c>
      <c r="D1657" t="s">
        <v>15</v>
      </c>
      <c r="E1657" t="s">
        <v>16</v>
      </c>
      <c r="F1657" t="s">
        <v>3165</v>
      </c>
    </row>
    <row r="1658" spans="1:6" hidden="1" x14ac:dyDescent="0.3">
      <c r="A1658" t="s">
        <v>3166</v>
      </c>
      <c r="B1658" t="s">
        <v>13</v>
      </c>
      <c r="C1658" t="s">
        <v>3167</v>
      </c>
      <c r="E1658" t="s">
        <v>11</v>
      </c>
    </row>
    <row r="1659" spans="1:6" hidden="1" x14ac:dyDescent="0.3">
      <c r="A1659" t="s">
        <v>3168</v>
      </c>
      <c r="B1659" t="s">
        <v>9</v>
      </c>
      <c r="C1659" t="s">
        <v>28</v>
      </c>
      <c r="E1659" t="s">
        <v>11</v>
      </c>
    </row>
    <row r="1660" spans="1:6" hidden="1" x14ac:dyDescent="0.3">
      <c r="A1660" t="s">
        <v>3169</v>
      </c>
      <c r="B1660" t="s">
        <v>197</v>
      </c>
      <c r="C1660" t="s">
        <v>707</v>
      </c>
      <c r="E1660" t="s">
        <v>11</v>
      </c>
    </row>
    <row r="1661" spans="1:6" hidden="1" x14ac:dyDescent="0.3">
      <c r="A1661" t="s">
        <v>3170</v>
      </c>
      <c r="B1661" t="s">
        <v>9</v>
      </c>
      <c r="C1661" t="s">
        <v>3171</v>
      </c>
      <c r="D1661" t="s">
        <v>15</v>
      </c>
      <c r="E1661" t="s">
        <v>54</v>
      </c>
      <c r="F1661" t="s">
        <v>3172</v>
      </c>
    </row>
    <row r="1662" spans="1:6" x14ac:dyDescent="0.3">
      <c r="A1662" t="s">
        <v>3173</v>
      </c>
      <c r="B1662" t="s">
        <v>9</v>
      </c>
      <c r="C1662" t="s">
        <v>3174</v>
      </c>
      <c r="E1662" t="s">
        <v>20</v>
      </c>
      <c r="F1662" t="s">
        <v>3175</v>
      </c>
    </row>
    <row r="1663" spans="1:6" hidden="1" x14ac:dyDescent="0.3">
      <c r="A1663" t="s">
        <v>3176</v>
      </c>
      <c r="B1663" t="s">
        <v>13</v>
      </c>
      <c r="C1663" t="s">
        <v>3177</v>
      </c>
      <c r="D1663" t="s">
        <v>15</v>
      </c>
      <c r="E1663" t="s">
        <v>16</v>
      </c>
      <c r="F1663" t="s">
        <v>3178</v>
      </c>
    </row>
    <row r="1664" spans="1:6" hidden="1" x14ac:dyDescent="0.3">
      <c r="A1664" t="s">
        <v>3179</v>
      </c>
      <c r="B1664" t="s">
        <v>9</v>
      </c>
      <c r="C1664" t="s">
        <v>3180</v>
      </c>
      <c r="D1664" t="s">
        <v>15</v>
      </c>
      <c r="E1664" t="s">
        <v>54</v>
      </c>
      <c r="F1664" t="s">
        <v>3181</v>
      </c>
    </row>
    <row r="1665" spans="1:6" hidden="1" x14ac:dyDescent="0.3">
      <c r="A1665" t="s">
        <v>3182</v>
      </c>
      <c r="B1665" t="s">
        <v>9</v>
      </c>
      <c r="C1665" t="s">
        <v>3183</v>
      </c>
      <c r="E1665" t="s">
        <v>16</v>
      </c>
      <c r="F1665" t="s">
        <v>3184</v>
      </c>
    </row>
    <row r="1666" spans="1:6" x14ac:dyDescent="0.3">
      <c r="A1666" t="s">
        <v>3185</v>
      </c>
      <c r="B1666" t="s">
        <v>13</v>
      </c>
      <c r="C1666" t="s">
        <v>3186</v>
      </c>
      <c r="D1666" t="s">
        <v>15</v>
      </c>
      <c r="E1666" t="s">
        <v>20</v>
      </c>
      <c r="F1666" t="s">
        <v>3187</v>
      </c>
    </row>
    <row r="1667" spans="1:6" hidden="1" x14ac:dyDescent="0.3">
      <c r="A1667" t="s">
        <v>3188</v>
      </c>
      <c r="B1667" t="s">
        <v>13</v>
      </c>
      <c r="C1667" t="s">
        <v>3189</v>
      </c>
      <c r="E1667" t="s">
        <v>16</v>
      </c>
      <c r="F1667" t="s">
        <v>3190</v>
      </c>
    </row>
    <row r="1668" spans="1:6" x14ac:dyDescent="0.3">
      <c r="A1668" t="s">
        <v>3191</v>
      </c>
      <c r="B1668" t="s">
        <v>13</v>
      </c>
      <c r="C1668" t="s">
        <v>369</v>
      </c>
      <c r="E1668" t="s">
        <v>20</v>
      </c>
      <c r="F1668" t="s">
        <v>3192</v>
      </c>
    </row>
    <row r="1669" spans="1:6" x14ac:dyDescent="0.3">
      <c r="A1669" t="s">
        <v>3193</v>
      </c>
      <c r="B1669" t="s">
        <v>13</v>
      </c>
      <c r="C1669" t="s">
        <v>3186</v>
      </c>
      <c r="D1669" t="s">
        <v>15</v>
      </c>
      <c r="E1669" t="s">
        <v>20</v>
      </c>
      <c r="F1669" t="s">
        <v>3194</v>
      </c>
    </row>
    <row r="1670" spans="1:6" hidden="1" x14ac:dyDescent="0.3">
      <c r="A1670" t="s">
        <v>3195</v>
      </c>
      <c r="B1670" t="s">
        <v>13</v>
      </c>
      <c r="C1670" t="s">
        <v>3196</v>
      </c>
      <c r="D1670" t="s">
        <v>15</v>
      </c>
      <c r="E1670" t="s">
        <v>16</v>
      </c>
      <c r="F1670" t="s">
        <v>3197</v>
      </c>
    </row>
    <row r="1671" spans="1:6" x14ac:dyDescent="0.3">
      <c r="A1671" t="s">
        <v>3198</v>
      </c>
      <c r="B1671" t="s">
        <v>9</v>
      </c>
      <c r="C1671" t="s">
        <v>3199</v>
      </c>
      <c r="D1671" t="s">
        <v>15</v>
      </c>
      <c r="E1671" t="s">
        <v>20</v>
      </c>
      <c r="F1671" t="s">
        <v>1222</v>
      </c>
    </row>
    <row r="1672" spans="1:6" hidden="1" x14ac:dyDescent="0.3">
      <c r="A1672" t="s">
        <v>3200</v>
      </c>
      <c r="B1672" t="s">
        <v>197</v>
      </c>
      <c r="C1672" t="s">
        <v>3201</v>
      </c>
      <c r="D1672" t="s">
        <v>15</v>
      </c>
      <c r="E1672" t="s">
        <v>54</v>
      </c>
      <c r="F1672" t="s">
        <v>3202</v>
      </c>
    </row>
    <row r="1673" spans="1:6" hidden="1" x14ac:dyDescent="0.3">
      <c r="A1673" t="s">
        <v>3203</v>
      </c>
      <c r="B1673" t="s">
        <v>9</v>
      </c>
      <c r="C1673" t="s">
        <v>3204</v>
      </c>
      <c r="D1673" t="s">
        <v>15</v>
      </c>
      <c r="E1673" t="s">
        <v>11</v>
      </c>
    </row>
    <row r="1674" spans="1:6" hidden="1" x14ac:dyDescent="0.3">
      <c r="A1674" t="s">
        <v>3205</v>
      </c>
      <c r="B1674" t="s">
        <v>9</v>
      </c>
      <c r="C1674" t="s">
        <v>3206</v>
      </c>
      <c r="D1674" t="s">
        <v>15</v>
      </c>
      <c r="E1674" t="s">
        <v>54</v>
      </c>
      <c r="F1674" t="s">
        <v>801</v>
      </c>
    </row>
    <row r="1675" spans="1:6" hidden="1" x14ac:dyDescent="0.3">
      <c r="A1675" t="s">
        <v>3207</v>
      </c>
      <c r="B1675" t="s">
        <v>9</v>
      </c>
      <c r="C1675" t="s">
        <v>3208</v>
      </c>
      <c r="E1675" t="s">
        <v>11</v>
      </c>
    </row>
    <row r="1676" spans="1:6" hidden="1" x14ac:dyDescent="0.3">
      <c r="A1676" t="s">
        <v>3209</v>
      </c>
      <c r="B1676" t="s">
        <v>9</v>
      </c>
      <c r="C1676" t="s">
        <v>28</v>
      </c>
      <c r="E1676" t="s">
        <v>11</v>
      </c>
    </row>
    <row r="1677" spans="1:6" x14ac:dyDescent="0.3">
      <c r="A1677" t="s">
        <v>3210</v>
      </c>
      <c r="B1677" t="s">
        <v>9</v>
      </c>
      <c r="C1677" t="s">
        <v>3211</v>
      </c>
      <c r="D1677" t="s">
        <v>15</v>
      </c>
      <c r="E1677" t="s">
        <v>20</v>
      </c>
      <c r="F1677" t="s">
        <v>21</v>
      </c>
    </row>
    <row r="1678" spans="1:6" hidden="1" x14ac:dyDescent="0.3">
      <c r="A1678" t="s">
        <v>3212</v>
      </c>
      <c r="B1678" t="s">
        <v>9</v>
      </c>
      <c r="C1678" t="s">
        <v>3213</v>
      </c>
      <c r="E1678" t="s">
        <v>54</v>
      </c>
      <c r="F1678" t="s">
        <v>3214</v>
      </c>
    </row>
    <row r="1679" spans="1:6" x14ac:dyDescent="0.3">
      <c r="A1679" t="s">
        <v>3215</v>
      </c>
      <c r="B1679" t="s">
        <v>9</v>
      </c>
      <c r="C1679" t="s">
        <v>3216</v>
      </c>
      <c r="D1679" t="s">
        <v>15</v>
      </c>
      <c r="E1679" t="s">
        <v>20</v>
      </c>
      <c r="F1679" t="s">
        <v>21</v>
      </c>
    </row>
    <row r="1680" spans="1:6" hidden="1" x14ac:dyDescent="0.3">
      <c r="A1680" t="s">
        <v>3217</v>
      </c>
      <c r="B1680" t="s">
        <v>11</v>
      </c>
      <c r="E1680" t="s">
        <v>11</v>
      </c>
    </row>
    <row r="1681" spans="1:8" hidden="1" x14ac:dyDescent="0.3">
      <c r="A1681" t="s">
        <v>3218</v>
      </c>
      <c r="B1681" t="s">
        <v>13</v>
      </c>
      <c r="C1681" t="s">
        <v>3219</v>
      </c>
      <c r="D1681" t="s">
        <v>15</v>
      </c>
      <c r="E1681" t="s">
        <v>54</v>
      </c>
      <c r="F1681" t="s">
        <v>3220</v>
      </c>
    </row>
    <row r="1682" spans="1:8" hidden="1" x14ac:dyDescent="0.3">
      <c r="A1682" t="s">
        <v>3221</v>
      </c>
      <c r="B1682" t="s">
        <v>13</v>
      </c>
      <c r="C1682" t="s">
        <v>3222</v>
      </c>
      <c r="D1682" t="s">
        <v>15</v>
      </c>
      <c r="E1682" t="s">
        <v>16</v>
      </c>
      <c r="F1682" t="s">
        <v>3223</v>
      </c>
    </row>
    <row r="1683" spans="1:8" hidden="1" x14ac:dyDescent="0.3">
      <c r="A1683" t="s">
        <v>3224</v>
      </c>
      <c r="B1683" t="s">
        <v>13</v>
      </c>
      <c r="C1683" t="s">
        <v>3225</v>
      </c>
      <c r="D1683" t="s">
        <v>15</v>
      </c>
      <c r="E1683" t="s">
        <v>54</v>
      </c>
      <c r="F1683" t="s">
        <v>3226</v>
      </c>
    </row>
    <row r="1684" spans="1:8" x14ac:dyDescent="0.3">
      <c r="A1684" t="s">
        <v>3227</v>
      </c>
      <c r="B1684" t="s">
        <v>9</v>
      </c>
      <c r="C1684" t="s">
        <v>3228</v>
      </c>
      <c r="E1684" t="s">
        <v>20</v>
      </c>
      <c r="F1684" t="s">
        <v>135</v>
      </c>
    </row>
    <row r="1685" spans="1:8" x14ac:dyDescent="0.3">
      <c r="A1685" t="s">
        <v>3229</v>
      </c>
      <c r="B1685" t="s">
        <v>13</v>
      </c>
      <c r="C1685" t="s">
        <v>3230</v>
      </c>
      <c r="D1685" t="s">
        <v>15</v>
      </c>
      <c r="E1685" t="s">
        <v>20</v>
      </c>
      <c r="F1685" t="s">
        <v>21</v>
      </c>
    </row>
    <row r="1686" spans="1:8" hidden="1" x14ac:dyDescent="0.3">
      <c r="A1686" t="s">
        <v>3231</v>
      </c>
      <c r="B1686" t="s">
        <v>11</v>
      </c>
      <c r="E1686" t="s">
        <v>11</v>
      </c>
    </row>
    <row r="1687" spans="1:8" x14ac:dyDescent="0.3">
      <c r="A1687" t="s">
        <v>3232</v>
      </c>
      <c r="B1687" t="s">
        <v>13</v>
      </c>
      <c r="C1687" t="s">
        <v>3233</v>
      </c>
      <c r="D1687" t="s">
        <v>15</v>
      </c>
      <c r="E1687" t="s">
        <v>20</v>
      </c>
      <c r="F1687" t="s">
        <v>3234</v>
      </c>
    </row>
    <row r="1688" spans="1:8" hidden="1" x14ac:dyDescent="0.3">
      <c r="A1688" t="s">
        <v>3235</v>
      </c>
      <c r="B1688" t="s">
        <v>9</v>
      </c>
      <c r="C1688" t="s">
        <v>3236</v>
      </c>
      <c r="E1688" t="s">
        <v>11</v>
      </c>
    </row>
    <row r="1689" spans="1:8" hidden="1" x14ac:dyDescent="0.3">
      <c r="A1689" t="s">
        <v>3237</v>
      </c>
      <c r="B1689" t="s">
        <v>9</v>
      </c>
      <c r="C1689" t="s">
        <v>3238</v>
      </c>
      <c r="D1689" t="s">
        <v>15</v>
      </c>
      <c r="E1689" t="s">
        <v>16</v>
      </c>
      <c r="F1689" t="s">
        <v>3239</v>
      </c>
    </row>
    <row r="1690" spans="1:8" hidden="1" x14ac:dyDescent="0.3">
      <c r="A1690" t="s">
        <v>3240</v>
      </c>
      <c r="B1690" t="s">
        <v>11</v>
      </c>
      <c r="E1690" t="s">
        <v>11</v>
      </c>
    </row>
    <row r="1691" spans="1:8" hidden="1" x14ac:dyDescent="0.3">
      <c r="A1691" t="s">
        <v>3241</v>
      </c>
      <c r="B1691" t="s">
        <v>9</v>
      </c>
      <c r="C1691" t="s">
        <v>3242</v>
      </c>
      <c r="D1691" t="s">
        <v>15</v>
      </c>
      <c r="E1691" t="s">
        <v>16</v>
      </c>
      <c r="F1691" t="s">
        <v>88</v>
      </c>
    </row>
    <row r="1692" spans="1:8" hidden="1" x14ac:dyDescent="0.3">
      <c r="A1692" t="s">
        <v>3243</v>
      </c>
      <c r="B1692" t="s">
        <v>13</v>
      </c>
      <c r="C1692" t="s">
        <v>2050</v>
      </c>
      <c r="D1692" t="s">
        <v>15</v>
      </c>
      <c r="E1692" t="s">
        <v>54</v>
      </c>
      <c r="F1692" t="s">
        <v>1036</v>
      </c>
      <c r="G1692" t="s">
        <v>15</v>
      </c>
      <c r="H1692" t="s">
        <v>3244</v>
      </c>
    </row>
    <row r="1693" spans="1:8" hidden="1" x14ac:dyDescent="0.3">
      <c r="A1693" t="s">
        <v>3245</v>
      </c>
      <c r="B1693" t="s">
        <v>13</v>
      </c>
      <c r="C1693" t="s">
        <v>3246</v>
      </c>
      <c r="E1693" t="s">
        <v>11</v>
      </c>
    </row>
    <row r="1694" spans="1:8" hidden="1" x14ac:dyDescent="0.3">
      <c r="A1694" t="s">
        <v>3247</v>
      </c>
      <c r="B1694" t="s">
        <v>11</v>
      </c>
      <c r="E1694" t="s">
        <v>11</v>
      </c>
    </row>
    <row r="1695" spans="1:8" hidden="1" x14ac:dyDescent="0.3">
      <c r="A1695" t="s">
        <v>3248</v>
      </c>
      <c r="B1695" t="s">
        <v>9</v>
      </c>
      <c r="C1695" t="s">
        <v>3249</v>
      </c>
      <c r="D1695" t="s">
        <v>15</v>
      </c>
      <c r="E1695" t="s">
        <v>16</v>
      </c>
      <c r="F1695" t="s">
        <v>3250</v>
      </c>
    </row>
    <row r="1696" spans="1:8" x14ac:dyDescent="0.3">
      <c r="A1696" t="s">
        <v>3251</v>
      </c>
      <c r="B1696" t="s">
        <v>13</v>
      </c>
      <c r="C1696" t="s">
        <v>3252</v>
      </c>
      <c r="D1696" t="s">
        <v>15</v>
      </c>
      <c r="E1696" t="s">
        <v>20</v>
      </c>
      <c r="F1696" t="s">
        <v>3253</v>
      </c>
    </row>
    <row r="1697" spans="1:6" hidden="1" x14ac:dyDescent="0.3">
      <c r="A1697" t="s">
        <v>3254</v>
      </c>
      <c r="B1697" t="s">
        <v>9</v>
      </c>
      <c r="C1697" t="s">
        <v>51</v>
      </c>
      <c r="E1697" t="s">
        <v>11</v>
      </c>
    </row>
    <row r="1698" spans="1:6" hidden="1" x14ac:dyDescent="0.3">
      <c r="A1698" t="s">
        <v>3255</v>
      </c>
      <c r="B1698" t="s">
        <v>13</v>
      </c>
      <c r="C1698" t="s">
        <v>3256</v>
      </c>
      <c r="E1698" t="s">
        <v>11</v>
      </c>
    </row>
    <row r="1699" spans="1:6" hidden="1" x14ac:dyDescent="0.3">
      <c r="A1699" t="s">
        <v>3257</v>
      </c>
      <c r="B1699" t="s">
        <v>11</v>
      </c>
      <c r="E1699" t="s">
        <v>11</v>
      </c>
    </row>
    <row r="1700" spans="1:6" hidden="1" x14ac:dyDescent="0.3">
      <c r="A1700" t="s">
        <v>3258</v>
      </c>
      <c r="B1700" t="s">
        <v>13</v>
      </c>
      <c r="C1700" t="s">
        <v>3259</v>
      </c>
      <c r="D1700" t="s">
        <v>15</v>
      </c>
      <c r="E1700" t="s">
        <v>16</v>
      </c>
      <c r="F1700" t="s">
        <v>3260</v>
      </c>
    </row>
    <row r="1701" spans="1:6" x14ac:dyDescent="0.3">
      <c r="A1701" t="s">
        <v>3261</v>
      </c>
      <c r="B1701" t="s">
        <v>13</v>
      </c>
      <c r="C1701" t="s">
        <v>3262</v>
      </c>
      <c r="D1701" t="s">
        <v>15</v>
      </c>
      <c r="E1701" t="s">
        <v>20</v>
      </c>
      <c r="F1701" t="s">
        <v>3263</v>
      </c>
    </row>
    <row r="1702" spans="1:6" x14ac:dyDescent="0.3">
      <c r="A1702" t="s">
        <v>3264</v>
      </c>
      <c r="B1702" t="s">
        <v>13</v>
      </c>
      <c r="C1702" t="s">
        <v>3265</v>
      </c>
      <c r="D1702" t="s">
        <v>15</v>
      </c>
      <c r="E1702" t="s">
        <v>20</v>
      </c>
      <c r="F1702" t="s">
        <v>3266</v>
      </c>
    </row>
    <row r="1703" spans="1:6" hidden="1" x14ac:dyDescent="0.3">
      <c r="A1703" t="s">
        <v>3267</v>
      </c>
      <c r="B1703" t="s">
        <v>13</v>
      </c>
      <c r="C1703" t="s">
        <v>3268</v>
      </c>
      <c r="E1703" t="s">
        <v>54</v>
      </c>
      <c r="F1703" t="s">
        <v>218</v>
      </c>
    </row>
    <row r="1704" spans="1:6" x14ac:dyDescent="0.3">
      <c r="A1704" t="s">
        <v>3269</v>
      </c>
      <c r="B1704" t="s">
        <v>13</v>
      </c>
      <c r="C1704" t="s">
        <v>3270</v>
      </c>
      <c r="D1704" t="s">
        <v>15</v>
      </c>
      <c r="E1704" t="s">
        <v>20</v>
      </c>
      <c r="F1704" t="s">
        <v>3271</v>
      </c>
    </row>
    <row r="1705" spans="1:6" hidden="1" x14ac:dyDescent="0.3">
      <c r="A1705" t="s">
        <v>3272</v>
      </c>
      <c r="B1705" t="s">
        <v>11</v>
      </c>
      <c r="D1705" t="s">
        <v>15</v>
      </c>
      <c r="E1705" t="s">
        <v>11</v>
      </c>
    </row>
    <row r="1706" spans="1:6" hidden="1" x14ac:dyDescent="0.3">
      <c r="A1706" t="s">
        <v>3273</v>
      </c>
      <c r="B1706" t="s">
        <v>13</v>
      </c>
      <c r="C1706" t="s">
        <v>3274</v>
      </c>
      <c r="D1706" t="s">
        <v>15</v>
      </c>
      <c r="E1706" t="s">
        <v>54</v>
      </c>
      <c r="F1706" t="s">
        <v>971</v>
      </c>
    </row>
    <row r="1707" spans="1:6" hidden="1" x14ac:dyDescent="0.3">
      <c r="A1707" t="s">
        <v>3275</v>
      </c>
      <c r="B1707" t="s">
        <v>9</v>
      </c>
      <c r="C1707" t="s">
        <v>28</v>
      </c>
      <c r="E1707" t="s">
        <v>11</v>
      </c>
    </row>
    <row r="1708" spans="1:6" hidden="1" x14ac:dyDescent="0.3">
      <c r="A1708" t="s">
        <v>3276</v>
      </c>
      <c r="B1708" t="s">
        <v>13</v>
      </c>
      <c r="C1708" t="s">
        <v>3277</v>
      </c>
      <c r="D1708" t="s">
        <v>15</v>
      </c>
      <c r="E1708" t="s">
        <v>16</v>
      </c>
      <c r="F1708" t="s">
        <v>3278</v>
      </c>
    </row>
    <row r="1709" spans="1:6" hidden="1" x14ac:dyDescent="0.3">
      <c r="A1709" t="s">
        <v>3279</v>
      </c>
      <c r="B1709" t="s">
        <v>9</v>
      </c>
      <c r="C1709" t="s">
        <v>28</v>
      </c>
      <c r="D1709" t="s">
        <v>15</v>
      </c>
      <c r="E1709" t="s">
        <v>11</v>
      </c>
    </row>
    <row r="1710" spans="1:6" hidden="1" x14ac:dyDescent="0.3">
      <c r="A1710" t="s">
        <v>3280</v>
      </c>
      <c r="B1710" t="s">
        <v>9</v>
      </c>
      <c r="C1710" t="s">
        <v>2166</v>
      </c>
      <c r="D1710" t="s">
        <v>15</v>
      </c>
      <c r="E1710" t="s">
        <v>11</v>
      </c>
    </row>
    <row r="1711" spans="1:6" hidden="1" x14ac:dyDescent="0.3">
      <c r="A1711" t="s">
        <v>3281</v>
      </c>
      <c r="B1711" t="s">
        <v>9</v>
      </c>
      <c r="C1711" t="s">
        <v>3282</v>
      </c>
      <c r="E1711" t="s">
        <v>11</v>
      </c>
    </row>
    <row r="1712" spans="1:6" hidden="1" x14ac:dyDescent="0.3">
      <c r="A1712" t="s">
        <v>3283</v>
      </c>
      <c r="B1712" t="s">
        <v>9</v>
      </c>
      <c r="C1712" t="s">
        <v>28</v>
      </c>
      <c r="E1712" t="s">
        <v>11</v>
      </c>
    </row>
    <row r="1713" spans="1:6" hidden="1" x14ac:dyDescent="0.3">
      <c r="A1713" t="s">
        <v>3284</v>
      </c>
      <c r="B1713" t="s">
        <v>9</v>
      </c>
      <c r="C1713" t="s">
        <v>28</v>
      </c>
      <c r="D1713" t="s">
        <v>15</v>
      </c>
      <c r="E1713" t="s">
        <v>11</v>
      </c>
    </row>
    <row r="1714" spans="1:6" hidden="1" x14ac:dyDescent="0.3">
      <c r="A1714" t="s">
        <v>3285</v>
      </c>
      <c r="B1714" t="s">
        <v>13</v>
      </c>
      <c r="C1714" t="s">
        <v>3286</v>
      </c>
      <c r="E1714" t="s">
        <v>11</v>
      </c>
    </row>
    <row r="1715" spans="1:6" hidden="1" x14ac:dyDescent="0.3">
      <c r="A1715" t="s">
        <v>3287</v>
      </c>
      <c r="B1715" t="s">
        <v>13</v>
      </c>
      <c r="C1715" t="s">
        <v>3288</v>
      </c>
      <c r="E1715" t="s">
        <v>11</v>
      </c>
    </row>
    <row r="1716" spans="1:6" hidden="1" x14ac:dyDescent="0.3">
      <c r="A1716" t="s">
        <v>3289</v>
      </c>
      <c r="B1716" t="s">
        <v>9</v>
      </c>
      <c r="C1716" t="s">
        <v>224</v>
      </c>
      <c r="D1716" t="s">
        <v>15</v>
      </c>
      <c r="E1716" t="s">
        <v>11</v>
      </c>
    </row>
    <row r="1717" spans="1:6" hidden="1" x14ac:dyDescent="0.3">
      <c r="A1717" t="s">
        <v>3290</v>
      </c>
      <c r="B1717" t="s">
        <v>13</v>
      </c>
      <c r="C1717" t="s">
        <v>245</v>
      </c>
      <c r="D1717" t="s">
        <v>15</v>
      </c>
      <c r="E1717" t="s">
        <v>11</v>
      </c>
    </row>
    <row r="1718" spans="1:6" hidden="1" x14ac:dyDescent="0.3">
      <c r="A1718" t="s">
        <v>3291</v>
      </c>
      <c r="B1718" t="s">
        <v>11</v>
      </c>
      <c r="E1718" t="s">
        <v>11</v>
      </c>
    </row>
    <row r="1719" spans="1:6" x14ac:dyDescent="0.3">
      <c r="A1719" t="s">
        <v>3292</v>
      </c>
      <c r="B1719" t="s">
        <v>13</v>
      </c>
      <c r="C1719" t="s">
        <v>3293</v>
      </c>
      <c r="D1719" t="s">
        <v>15</v>
      </c>
      <c r="E1719" t="s">
        <v>20</v>
      </c>
      <c r="F1719" t="s">
        <v>2574</v>
      </c>
    </row>
    <row r="1720" spans="1:6" hidden="1" x14ac:dyDescent="0.3">
      <c r="A1720" t="s">
        <v>3294</v>
      </c>
      <c r="B1720" t="s">
        <v>11</v>
      </c>
      <c r="E1720" t="s">
        <v>11</v>
      </c>
    </row>
    <row r="1721" spans="1:6" x14ac:dyDescent="0.3">
      <c r="A1721" t="s">
        <v>3295</v>
      </c>
      <c r="B1721" t="s">
        <v>9</v>
      </c>
      <c r="C1721" t="s">
        <v>28</v>
      </c>
      <c r="D1721" t="s">
        <v>15</v>
      </c>
      <c r="E1721" t="s">
        <v>20</v>
      </c>
      <c r="F1721" t="s">
        <v>135</v>
      </c>
    </row>
    <row r="1722" spans="1:6" hidden="1" x14ac:dyDescent="0.3">
      <c r="A1722" t="s">
        <v>3296</v>
      </c>
      <c r="B1722" t="s">
        <v>13</v>
      </c>
      <c r="C1722" t="s">
        <v>245</v>
      </c>
      <c r="E1722" t="s">
        <v>11</v>
      </c>
    </row>
    <row r="1723" spans="1:6" hidden="1" x14ac:dyDescent="0.3">
      <c r="A1723" t="s">
        <v>3297</v>
      </c>
      <c r="B1723" t="s">
        <v>197</v>
      </c>
      <c r="C1723" t="s">
        <v>3298</v>
      </c>
      <c r="D1723" t="s">
        <v>15</v>
      </c>
      <c r="E1723" t="s">
        <v>54</v>
      </c>
      <c r="F1723" t="s">
        <v>3299</v>
      </c>
    </row>
    <row r="1724" spans="1:6" hidden="1" x14ac:dyDescent="0.3">
      <c r="A1724" t="s">
        <v>3300</v>
      </c>
      <c r="B1724" t="s">
        <v>9</v>
      </c>
      <c r="C1724" t="s">
        <v>3301</v>
      </c>
      <c r="E1724" t="s">
        <v>11</v>
      </c>
    </row>
    <row r="1725" spans="1:6" hidden="1" x14ac:dyDescent="0.3">
      <c r="A1725" t="s">
        <v>3302</v>
      </c>
      <c r="B1725" t="s">
        <v>13</v>
      </c>
      <c r="C1725" t="s">
        <v>3303</v>
      </c>
      <c r="D1725" t="s">
        <v>15</v>
      </c>
      <c r="E1725" t="s">
        <v>54</v>
      </c>
      <c r="F1725" t="s">
        <v>3304</v>
      </c>
    </row>
    <row r="1726" spans="1:6" x14ac:dyDescent="0.3">
      <c r="A1726" t="s">
        <v>3305</v>
      </c>
      <c r="B1726" t="s">
        <v>9</v>
      </c>
      <c r="C1726" t="s">
        <v>3306</v>
      </c>
      <c r="D1726" t="s">
        <v>15</v>
      </c>
      <c r="E1726" t="s">
        <v>20</v>
      </c>
      <c r="F1726" t="s">
        <v>3307</v>
      </c>
    </row>
    <row r="1727" spans="1:6" hidden="1" x14ac:dyDescent="0.3">
      <c r="A1727" t="s">
        <v>3308</v>
      </c>
      <c r="B1727" t="s">
        <v>9</v>
      </c>
      <c r="C1727" t="s">
        <v>28</v>
      </c>
      <c r="E1727" t="s">
        <v>11</v>
      </c>
    </row>
    <row r="1728" spans="1:6" hidden="1" x14ac:dyDescent="0.3">
      <c r="A1728" t="s">
        <v>3309</v>
      </c>
      <c r="B1728" t="s">
        <v>9</v>
      </c>
      <c r="C1728" t="s">
        <v>3310</v>
      </c>
      <c r="E1728" t="s">
        <v>11</v>
      </c>
    </row>
    <row r="1729" spans="1:6" x14ac:dyDescent="0.3">
      <c r="A1729" t="s">
        <v>3311</v>
      </c>
      <c r="B1729" t="s">
        <v>9</v>
      </c>
      <c r="C1729" t="s">
        <v>28</v>
      </c>
      <c r="E1729" t="s">
        <v>20</v>
      </c>
      <c r="F1729" t="s">
        <v>21</v>
      </c>
    </row>
    <row r="1730" spans="1:6" x14ac:dyDescent="0.3">
      <c r="A1730" t="s">
        <v>3312</v>
      </c>
      <c r="B1730" t="s">
        <v>13</v>
      </c>
      <c r="C1730" t="s">
        <v>3313</v>
      </c>
      <c r="D1730" t="s">
        <v>15</v>
      </c>
      <c r="E1730" t="s">
        <v>20</v>
      </c>
      <c r="F1730" t="s">
        <v>3021</v>
      </c>
    </row>
    <row r="1731" spans="1:6" hidden="1" x14ac:dyDescent="0.3">
      <c r="A1731" t="s">
        <v>3314</v>
      </c>
      <c r="B1731" t="s">
        <v>11</v>
      </c>
      <c r="E1731" t="s">
        <v>11</v>
      </c>
    </row>
    <row r="1732" spans="1:6" hidden="1" x14ac:dyDescent="0.3">
      <c r="A1732" t="s">
        <v>3315</v>
      </c>
      <c r="B1732" t="s">
        <v>11</v>
      </c>
      <c r="E1732" t="s">
        <v>11</v>
      </c>
    </row>
    <row r="1733" spans="1:6" hidden="1" x14ac:dyDescent="0.3">
      <c r="A1733" t="s">
        <v>3316</v>
      </c>
      <c r="B1733" t="s">
        <v>11</v>
      </c>
      <c r="E1733" t="s">
        <v>11</v>
      </c>
    </row>
    <row r="1734" spans="1:6" x14ac:dyDescent="0.3">
      <c r="A1734" t="s">
        <v>3317</v>
      </c>
      <c r="B1734" t="s">
        <v>9</v>
      </c>
      <c r="C1734" t="s">
        <v>28</v>
      </c>
      <c r="D1734" t="s">
        <v>15</v>
      </c>
      <c r="E1734" t="s">
        <v>20</v>
      </c>
      <c r="F1734" t="s">
        <v>3318</v>
      </c>
    </row>
    <row r="1735" spans="1:6" hidden="1" x14ac:dyDescent="0.3">
      <c r="A1735" t="s">
        <v>3319</v>
      </c>
      <c r="B1735" t="s">
        <v>11</v>
      </c>
      <c r="E1735" t="s">
        <v>11</v>
      </c>
    </row>
    <row r="1736" spans="1:6" x14ac:dyDescent="0.3">
      <c r="A1736" t="s">
        <v>3320</v>
      </c>
      <c r="B1736" t="s">
        <v>13</v>
      </c>
      <c r="C1736" t="s">
        <v>3321</v>
      </c>
      <c r="E1736" t="s">
        <v>20</v>
      </c>
      <c r="F1736" t="s">
        <v>135</v>
      </c>
    </row>
    <row r="1737" spans="1:6" hidden="1" x14ac:dyDescent="0.3">
      <c r="A1737" t="s">
        <v>3322</v>
      </c>
      <c r="B1737" t="s">
        <v>9</v>
      </c>
      <c r="C1737" t="s">
        <v>28</v>
      </c>
      <c r="E1737" t="s">
        <v>11</v>
      </c>
    </row>
    <row r="1738" spans="1:6" hidden="1" x14ac:dyDescent="0.3">
      <c r="A1738" t="s">
        <v>3323</v>
      </c>
      <c r="B1738" t="s">
        <v>9</v>
      </c>
      <c r="C1738" t="s">
        <v>3324</v>
      </c>
      <c r="D1738" t="s">
        <v>15</v>
      </c>
      <c r="E1738" t="s">
        <v>16</v>
      </c>
      <c r="F1738" t="s">
        <v>3325</v>
      </c>
    </row>
    <row r="1739" spans="1:6" hidden="1" x14ac:dyDescent="0.3">
      <c r="A1739" t="s">
        <v>3326</v>
      </c>
      <c r="B1739" t="s">
        <v>9</v>
      </c>
      <c r="C1739" t="s">
        <v>3327</v>
      </c>
      <c r="E1739" t="s">
        <v>16</v>
      </c>
      <c r="F1739" t="s">
        <v>360</v>
      </c>
    </row>
    <row r="1740" spans="1:6" x14ac:dyDescent="0.3">
      <c r="A1740" t="s">
        <v>3328</v>
      </c>
      <c r="B1740" t="s">
        <v>13</v>
      </c>
      <c r="C1740" t="s">
        <v>3329</v>
      </c>
      <c r="E1740" t="s">
        <v>20</v>
      </c>
      <c r="F1740" t="s">
        <v>3330</v>
      </c>
    </row>
    <row r="1741" spans="1:6" x14ac:dyDescent="0.3">
      <c r="A1741" t="s">
        <v>3331</v>
      </c>
      <c r="B1741" t="s">
        <v>9</v>
      </c>
      <c r="C1741" t="s">
        <v>3332</v>
      </c>
      <c r="D1741" t="s">
        <v>15</v>
      </c>
      <c r="E1741" t="s">
        <v>20</v>
      </c>
      <c r="F1741" t="s">
        <v>21</v>
      </c>
    </row>
    <row r="1742" spans="1:6" x14ac:dyDescent="0.3">
      <c r="A1742" t="s">
        <v>3333</v>
      </c>
      <c r="B1742" t="s">
        <v>9</v>
      </c>
      <c r="C1742" t="s">
        <v>3334</v>
      </c>
      <c r="E1742" t="s">
        <v>20</v>
      </c>
      <c r="F1742" t="s">
        <v>21</v>
      </c>
    </row>
    <row r="1743" spans="1:6" x14ac:dyDescent="0.3">
      <c r="A1743" t="s">
        <v>3335</v>
      </c>
      <c r="B1743" t="s">
        <v>9</v>
      </c>
      <c r="C1743" t="s">
        <v>3336</v>
      </c>
      <c r="D1743" t="s">
        <v>15</v>
      </c>
      <c r="E1743" t="s">
        <v>20</v>
      </c>
      <c r="F1743" t="s">
        <v>21</v>
      </c>
    </row>
    <row r="1744" spans="1:6" x14ac:dyDescent="0.3">
      <c r="A1744" t="s">
        <v>3337</v>
      </c>
      <c r="B1744" t="s">
        <v>9</v>
      </c>
      <c r="C1744" t="s">
        <v>3338</v>
      </c>
      <c r="E1744" t="s">
        <v>20</v>
      </c>
      <c r="F1744" t="s">
        <v>3339</v>
      </c>
    </row>
    <row r="1745" spans="1:6" hidden="1" x14ac:dyDescent="0.3">
      <c r="A1745" t="s">
        <v>3340</v>
      </c>
      <c r="B1745" t="s">
        <v>13</v>
      </c>
      <c r="C1745" t="s">
        <v>3341</v>
      </c>
      <c r="D1745" t="s">
        <v>15</v>
      </c>
      <c r="E1745" t="s">
        <v>11</v>
      </c>
    </row>
    <row r="1746" spans="1:6" hidden="1" x14ac:dyDescent="0.3">
      <c r="A1746" t="s">
        <v>3342</v>
      </c>
      <c r="B1746" t="s">
        <v>9</v>
      </c>
      <c r="C1746" t="s">
        <v>1033</v>
      </c>
      <c r="D1746" t="s">
        <v>15</v>
      </c>
      <c r="E1746" t="s">
        <v>54</v>
      </c>
      <c r="F1746" t="s">
        <v>1419</v>
      </c>
    </row>
    <row r="1747" spans="1:6" x14ac:dyDescent="0.3">
      <c r="A1747" t="s">
        <v>3343</v>
      </c>
      <c r="B1747" t="s">
        <v>9</v>
      </c>
      <c r="C1747" t="s">
        <v>3344</v>
      </c>
      <c r="D1747" t="s">
        <v>15</v>
      </c>
      <c r="E1747" t="s">
        <v>20</v>
      </c>
      <c r="F1747" t="s">
        <v>21</v>
      </c>
    </row>
    <row r="1748" spans="1:6" x14ac:dyDescent="0.3">
      <c r="A1748" t="s">
        <v>3345</v>
      </c>
      <c r="B1748" t="s">
        <v>9</v>
      </c>
      <c r="C1748" t="s">
        <v>3346</v>
      </c>
      <c r="D1748" t="s">
        <v>15</v>
      </c>
      <c r="E1748" t="s">
        <v>20</v>
      </c>
      <c r="F1748" t="s">
        <v>135</v>
      </c>
    </row>
    <row r="1749" spans="1:6" hidden="1" x14ac:dyDescent="0.3">
      <c r="A1749" t="s">
        <v>3347</v>
      </c>
      <c r="B1749" t="s">
        <v>13</v>
      </c>
      <c r="C1749" t="s">
        <v>3348</v>
      </c>
      <c r="E1749" t="s">
        <v>11</v>
      </c>
    </row>
    <row r="1750" spans="1:6" hidden="1" x14ac:dyDescent="0.3">
      <c r="A1750" t="s">
        <v>3349</v>
      </c>
      <c r="B1750" t="s">
        <v>9</v>
      </c>
      <c r="C1750" t="s">
        <v>3350</v>
      </c>
      <c r="D1750" t="s">
        <v>15</v>
      </c>
      <c r="E1750" t="s">
        <v>54</v>
      </c>
      <c r="F1750" t="s">
        <v>3351</v>
      </c>
    </row>
    <row r="1751" spans="1:6" x14ac:dyDescent="0.3">
      <c r="A1751" t="s">
        <v>3352</v>
      </c>
      <c r="B1751" t="s">
        <v>9</v>
      </c>
      <c r="C1751" t="s">
        <v>3353</v>
      </c>
      <c r="D1751" t="s">
        <v>15</v>
      </c>
      <c r="E1751" t="s">
        <v>20</v>
      </c>
      <c r="F1751" t="s">
        <v>3354</v>
      </c>
    </row>
    <row r="1752" spans="1:6" hidden="1" x14ac:dyDescent="0.3">
      <c r="A1752" t="s">
        <v>3355</v>
      </c>
      <c r="B1752" t="s">
        <v>9</v>
      </c>
      <c r="C1752" t="s">
        <v>3356</v>
      </c>
      <c r="E1752" t="s">
        <v>11</v>
      </c>
    </row>
    <row r="1753" spans="1:6" x14ac:dyDescent="0.3">
      <c r="A1753" t="s">
        <v>3357</v>
      </c>
      <c r="B1753" t="s">
        <v>13</v>
      </c>
      <c r="C1753" t="s">
        <v>3358</v>
      </c>
      <c r="E1753" t="s">
        <v>20</v>
      </c>
      <c r="F1753" t="s">
        <v>21</v>
      </c>
    </row>
    <row r="1754" spans="1:6" x14ac:dyDescent="0.3">
      <c r="A1754" t="s">
        <v>3359</v>
      </c>
      <c r="B1754" t="s">
        <v>13</v>
      </c>
      <c r="C1754" t="s">
        <v>3360</v>
      </c>
      <c r="E1754" t="s">
        <v>20</v>
      </c>
      <c r="F1754" t="s">
        <v>21</v>
      </c>
    </row>
    <row r="1755" spans="1:6" x14ac:dyDescent="0.3">
      <c r="A1755" t="s">
        <v>3361</v>
      </c>
      <c r="B1755" t="s">
        <v>197</v>
      </c>
      <c r="C1755" t="s">
        <v>3362</v>
      </c>
      <c r="D1755" t="s">
        <v>15</v>
      </c>
      <c r="E1755" t="s">
        <v>20</v>
      </c>
      <c r="F1755" t="s">
        <v>1423</v>
      </c>
    </row>
    <row r="1756" spans="1:6" hidden="1" x14ac:dyDescent="0.3">
      <c r="A1756" t="s">
        <v>3363</v>
      </c>
      <c r="B1756" t="s">
        <v>9</v>
      </c>
      <c r="C1756" t="s">
        <v>3364</v>
      </c>
      <c r="D1756" t="s">
        <v>15</v>
      </c>
      <c r="E1756" t="s">
        <v>54</v>
      </c>
      <c r="F1756" t="s">
        <v>1284</v>
      </c>
    </row>
    <row r="1757" spans="1:6" hidden="1" x14ac:dyDescent="0.3">
      <c r="A1757" t="s">
        <v>3365</v>
      </c>
      <c r="B1757" t="s">
        <v>9</v>
      </c>
      <c r="C1757" t="s">
        <v>3366</v>
      </c>
      <c r="D1757" t="s">
        <v>15</v>
      </c>
      <c r="E1757" t="s">
        <v>197</v>
      </c>
      <c r="F1757" t="s">
        <v>3367</v>
      </c>
    </row>
    <row r="1758" spans="1:6" hidden="1" x14ac:dyDescent="0.3">
      <c r="A1758" t="s">
        <v>3368</v>
      </c>
      <c r="B1758" t="s">
        <v>11</v>
      </c>
      <c r="E1758" t="s">
        <v>11</v>
      </c>
    </row>
    <row r="1759" spans="1:6" hidden="1" x14ac:dyDescent="0.3">
      <c r="A1759" t="s">
        <v>3369</v>
      </c>
      <c r="B1759" t="s">
        <v>9</v>
      </c>
      <c r="C1759" t="s">
        <v>3370</v>
      </c>
      <c r="D1759" t="s">
        <v>15</v>
      </c>
      <c r="E1759" t="s">
        <v>11</v>
      </c>
    </row>
    <row r="1760" spans="1:6" hidden="1" x14ac:dyDescent="0.3">
      <c r="A1760" t="s">
        <v>3371</v>
      </c>
      <c r="B1760" t="s">
        <v>13</v>
      </c>
      <c r="C1760" t="s">
        <v>3372</v>
      </c>
      <c r="E1760" t="s">
        <v>11</v>
      </c>
    </row>
    <row r="1761" spans="1:6" hidden="1" x14ac:dyDescent="0.3">
      <c r="A1761" t="s">
        <v>3373</v>
      </c>
      <c r="B1761" t="s">
        <v>9</v>
      </c>
      <c r="C1761" t="s">
        <v>51</v>
      </c>
      <c r="E1761" t="s">
        <v>11</v>
      </c>
    </row>
    <row r="1762" spans="1:6" x14ac:dyDescent="0.3">
      <c r="A1762" t="s">
        <v>3374</v>
      </c>
      <c r="B1762" t="s">
        <v>9</v>
      </c>
      <c r="C1762" t="s">
        <v>3375</v>
      </c>
      <c r="D1762" t="s">
        <v>15</v>
      </c>
      <c r="E1762" t="s">
        <v>20</v>
      </c>
      <c r="F1762" t="s">
        <v>3376</v>
      </c>
    </row>
    <row r="1763" spans="1:6" hidden="1" x14ac:dyDescent="0.3">
      <c r="A1763" t="s">
        <v>3377</v>
      </c>
      <c r="B1763" t="s">
        <v>11</v>
      </c>
      <c r="E1763" t="s">
        <v>11</v>
      </c>
    </row>
    <row r="1764" spans="1:6" hidden="1" x14ac:dyDescent="0.3">
      <c r="A1764" t="s">
        <v>3378</v>
      </c>
      <c r="B1764" t="s">
        <v>9</v>
      </c>
      <c r="C1764" t="s">
        <v>3379</v>
      </c>
      <c r="D1764" t="s">
        <v>15</v>
      </c>
      <c r="E1764" t="s">
        <v>16</v>
      </c>
      <c r="F1764" t="s">
        <v>3380</v>
      </c>
    </row>
    <row r="1765" spans="1:6" x14ac:dyDescent="0.3">
      <c r="A1765" t="s">
        <v>3381</v>
      </c>
      <c r="B1765" t="s">
        <v>9</v>
      </c>
      <c r="C1765" t="s">
        <v>3382</v>
      </c>
      <c r="D1765" t="s">
        <v>15</v>
      </c>
      <c r="E1765" t="s">
        <v>20</v>
      </c>
      <c r="F1765" t="s">
        <v>3383</v>
      </c>
    </row>
    <row r="1766" spans="1:6" x14ac:dyDescent="0.3">
      <c r="A1766" t="s">
        <v>3384</v>
      </c>
      <c r="B1766" t="s">
        <v>13</v>
      </c>
      <c r="C1766" t="s">
        <v>3385</v>
      </c>
      <c r="E1766" t="s">
        <v>20</v>
      </c>
      <c r="F1766" t="s">
        <v>1585</v>
      </c>
    </row>
    <row r="1767" spans="1:6" hidden="1" x14ac:dyDescent="0.3">
      <c r="A1767" t="s">
        <v>3386</v>
      </c>
      <c r="B1767" t="s">
        <v>417</v>
      </c>
      <c r="C1767" t="s">
        <v>3387</v>
      </c>
      <c r="E1767" t="s">
        <v>54</v>
      </c>
      <c r="F1767" t="s">
        <v>588</v>
      </c>
    </row>
    <row r="1768" spans="1:6" hidden="1" x14ac:dyDescent="0.3">
      <c r="A1768" t="s">
        <v>3388</v>
      </c>
      <c r="B1768" t="s">
        <v>197</v>
      </c>
      <c r="C1768" t="s">
        <v>3389</v>
      </c>
      <c r="D1768" t="s">
        <v>15</v>
      </c>
      <c r="E1768" t="s">
        <v>16</v>
      </c>
      <c r="F1768" t="s">
        <v>3390</v>
      </c>
    </row>
    <row r="1769" spans="1:6" hidden="1" x14ac:dyDescent="0.3">
      <c r="A1769" t="s">
        <v>3391</v>
      </c>
      <c r="B1769" t="s">
        <v>9</v>
      </c>
      <c r="C1769" t="s">
        <v>28</v>
      </c>
      <c r="D1769" t="s">
        <v>15</v>
      </c>
      <c r="E1769" t="s">
        <v>16</v>
      </c>
      <c r="F1769" t="s">
        <v>3392</v>
      </c>
    </row>
    <row r="1770" spans="1:6" hidden="1" x14ac:dyDescent="0.3">
      <c r="A1770" t="s">
        <v>3393</v>
      </c>
      <c r="B1770" t="s">
        <v>9</v>
      </c>
      <c r="C1770" t="s">
        <v>3394</v>
      </c>
      <c r="D1770" t="s">
        <v>15</v>
      </c>
      <c r="E1770" t="s">
        <v>54</v>
      </c>
      <c r="F1770" t="s">
        <v>3395</v>
      </c>
    </row>
    <row r="1771" spans="1:6" hidden="1" x14ac:dyDescent="0.3">
      <c r="A1771" t="s">
        <v>3396</v>
      </c>
      <c r="B1771" t="s">
        <v>9</v>
      </c>
      <c r="C1771" t="s">
        <v>3397</v>
      </c>
      <c r="D1771" t="s">
        <v>15</v>
      </c>
      <c r="E1771" t="s">
        <v>16</v>
      </c>
      <c r="F1771" t="s">
        <v>3398</v>
      </c>
    </row>
    <row r="1772" spans="1:6" hidden="1" x14ac:dyDescent="0.3">
      <c r="A1772" t="s">
        <v>3399</v>
      </c>
      <c r="B1772" t="s">
        <v>197</v>
      </c>
      <c r="C1772" t="s">
        <v>3400</v>
      </c>
      <c r="D1772" t="s">
        <v>15</v>
      </c>
      <c r="E1772" t="s">
        <v>54</v>
      </c>
      <c r="F1772" t="s">
        <v>3401</v>
      </c>
    </row>
    <row r="1773" spans="1:6" hidden="1" x14ac:dyDescent="0.3">
      <c r="A1773" t="s">
        <v>3402</v>
      </c>
      <c r="B1773" t="s">
        <v>13</v>
      </c>
      <c r="C1773" t="s">
        <v>576</v>
      </c>
      <c r="D1773" t="s">
        <v>15</v>
      </c>
      <c r="E1773" t="s">
        <v>16</v>
      </c>
      <c r="F1773" t="s">
        <v>2554</v>
      </c>
    </row>
    <row r="1774" spans="1:6" hidden="1" x14ac:dyDescent="0.3">
      <c r="A1774" t="s">
        <v>3403</v>
      </c>
      <c r="B1774" t="s">
        <v>9</v>
      </c>
      <c r="C1774" t="s">
        <v>28</v>
      </c>
      <c r="E1774" t="s">
        <v>11</v>
      </c>
    </row>
    <row r="1775" spans="1:6" hidden="1" x14ac:dyDescent="0.3">
      <c r="A1775" t="s">
        <v>3404</v>
      </c>
      <c r="B1775" t="s">
        <v>11</v>
      </c>
      <c r="E1775" t="s">
        <v>11</v>
      </c>
    </row>
    <row r="1776" spans="1:6" x14ac:dyDescent="0.3">
      <c r="A1776" t="s">
        <v>3405</v>
      </c>
      <c r="B1776" t="s">
        <v>9</v>
      </c>
      <c r="C1776" t="s">
        <v>3406</v>
      </c>
      <c r="D1776" t="s">
        <v>15</v>
      </c>
      <c r="E1776" t="s">
        <v>20</v>
      </c>
      <c r="F1776" t="s">
        <v>135</v>
      </c>
    </row>
    <row r="1777" spans="1:8" hidden="1" x14ac:dyDescent="0.3">
      <c r="A1777" t="s">
        <v>3407</v>
      </c>
      <c r="B1777" t="s">
        <v>9</v>
      </c>
      <c r="C1777" t="s">
        <v>3408</v>
      </c>
      <c r="D1777" t="s">
        <v>15</v>
      </c>
      <c r="E1777" t="s">
        <v>16</v>
      </c>
      <c r="F1777" t="s">
        <v>1701</v>
      </c>
    </row>
    <row r="1778" spans="1:8" hidden="1" x14ac:dyDescent="0.3">
      <c r="A1778" t="s">
        <v>3409</v>
      </c>
      <c r="B1778" t="s">
        <v>9</v>
      </c>
      <c r="C1778" t="s">
        <v>3410</v>
      </c>
      <c r="E1778" t="s">
        <v>11</v>
      </c>
    </row>
    <row r="1779" spans="1:8" hidden="1" x14ac:dyDescent="0.3">
      <c r="A1779" t="s">
        <v>3411</v>
      </c>
      <c r="B1779" t="s">
        <v>9</v>
      </c>
      <c r="C1779" t="s">
        <v>3412</v>
      </c>
      <c r="E1779" t="s">
        <v>11</v>
      </c>
    </row>
    <row r="1780" spans="1:8" hidden="1" x14ac:dyDescent="0.3">
      <c r="A1780" t="s">
        <v>3413</v>
      </c>
      <c r="B1780" t="s">
        <v>9</v>
      </c>
      <c r="C1780" t="s">
        <v>3414</v>
      </c>
      <c r="D1780" t="s">
        <v>15</v>
      </c>
      <c r="E1780" t="s">
        <v>16</v>
      </c>
      <c r="F1780" t="s">
        <v>3415</v>
      </c>
    </row>
    <row r="1781" spans="1:8" hidden="1" x14ac:dyDescent="0.3">
      <c r="A1781" t="s">
        <v>3416</v>
      </c>
      <c r="B1781" t="s">
        <v>9</v>
      </c>
      <c r="C1781" t="s">
        <v>3417</v>
      </c>
      <c r="D1781" t="s">
        <v>15</v>
      </c>
      <c r="E1781" t="s">
        <v>16</v>
      </c>
      <c r="F1781" t="s">
        <v>3418</v>
      </c>
    </row>
    <row r="1782" spans="1:8" x14ac:dyDescent="0.3">
      <c r="A1782" t="s">
        <v>3419</v>
      </c>
      <c r="B1782" t="s">
        <v>9</v>
      </c>
      <c r="C1782" t="s">
        <v>3420</v>
      </c>
      <c r="E1782" t="s">
        <v>20</v>
      </c>
      <c r="F1782" t="s">
        <v>3421</v>
      </c>
    </row>
    <row r="1783" spans="1:8" x14ac:dyDescent="0.3">
      <c r="A1783" t="s">
        <v>3422</v>
      </c>
      <c r="B1783" t="s">
        <v>9</v>
      </c>
      <c r="C1783" t="s">
        <v>28</v>
      </c>
      <c r="E1783" t="s">
        <v>20</v>
      </c>
      <c r="F1783" t="s">
        <v>21</v>
      </c>
    </row>
    <row r="1784" spans="1:8" x14ac:dyDescent="0.3">
      <c r="A1784" t="s">
        <v>3423</v>
      </c>
      <c r="B1784" t="s">
        <v>9</v>
      </c>
      <c r="C1784" t="s">
        <v>3424</v>
      </c>
      <c r="E1784" t="s">
        <v>20</v>
      </c>
      <c r="F1784" t="s">
        <v>21</v>
      </c>
    </row>
    <row r="1785" spans="1:8" hidden="1" x14ac:dyDescent="0.3">
      <c r="A1785" t="s">
        <v>3425</v>
      </c>
      <c r="B1785" t="s">
        <v>9</v>
      </c>
      <c r="C1785" t="s">
        <v>102</v>
      </c>
      <c r="E1785" t="s">
        <v>11</v>
      </c>
    </row>
    <row r="1786" spans="1:8" hidden="1" x14ac:dyDescent="0.3">
      <c r="A1786" t="s">
        <v>3426</v>
      </c>
      <c r="B1786" t="s">
        <v>9</v>
      </c>
      <c r="C1786" t="s">
        <v>691</v>
      </c>
      <c r="E1786" t="s">
        <v>54</v>
      </c>
      <c r="F1786" t="s">
        <v>588</v>
      </c>
    </row>
    <row r="1787" spans="1:8" x14ac:dyDescent="0.3">
      <c r="A1787" t="s">
        <v>3427</v>
      </c>
      <c r="B1787" t="s">
        <v>9</v>
      </c>
      <c r="C1787" t="s">
        <v>3428</v>
      </c>
      <c r="D1787" t="s">
        <v>15</v>
      </c>
      <c r="E1787" t="s">
        <v>20</v>
      </c>
      <c r="F1787" t="s">
        <v>3429</v>
      </c>
    </row>
    <row r="1788" spans="1:8" hidden="1" x14ac:dyDescent="0.3">
      <c r="A1788" t="s">
        <v>3430</v>
      </c>
      <c r="B1788" t="s">
        <v>9</v>
      </c>
      <c r="C1788" t="s">
        <v>3431</v>
      </c>
      <c r="E1788" t="s">
        <v>11</v>
      </c>
    </row>
    <row r="1789" spans="1:8" x14ac:dyDescent="0.3">
      <c r="A1789" t="s">
        <v>3432</v>
      </c>
      <c r="B1789" t="s">
        <v>9</v>
      </c>
      <c r="C1789" t="s">
        <v>3433</v>
      </c>
      <c r="E1789" t="s">
        <v>20</v>
      </c>
      <c r="F1789" t="s">
        <v>3434</v>
      </c>
    </row>
    <row r="1790" spans="1:8" hidden="1" x14ac:dyDescent="0.3">
      <c r="A1790" t="s">
        <v>3435</v>
      </c>
      <c r="B1790" t="s">
        <v>11</v>
      </c>
      <c r="E1790" t="s">
        <v>11</v>
      </c>
    </row>
    <row r="1791" spans="1:8" hidden="1" x14ac:dyDescent="0.3">
      <c r="A1791" t="s">
        <v>3436</v>
      </c>
      <c r="B1791" t="s">
        <v>13</v>
      </c>
      <c r="C1791" t="s">
        <v>576</v>
      </c>
      <c r="D1791" t="s">
        <v>15</v>
      </c>
      <c r="E1791" t="s">
        <v>54</v>
      </c>
      <c r="F1791" t="s">
        <v>3437</v>
      </c>
      <c r="G1791" t="s">
        <v>15</v>
      </c>
      <c r="H1791" t="s">
        <v>3438</v>
      </c>
    </row>
    <row r="1792" spans="1:8" x14ac:dyDescent="0.3">
      <c r="A1792" t="s">
        <v>3439</v>
      </c>
      <c r="B1792" t="s">
        <v>9</v>
      </c>
      <c r="C1792" t="s">
        <v>3440</v>
      </c>
      <c r="D1792" t="s">
        <v>15</v>
      </c>
      <c r="E1792" t="s">
        <v>20</v>
      </c>
      <c r="F1792" t="s">
        <v>135</v>
      </c>
    </row>
    <row r="1793" spans="1:6" hidden="1" x14ac:dyDescent="0.3">
      <c r="A1793" t="s">
        <v>3441</v>
      </c>
      <c r="B1793" t="s">
        <v>11</v>
      </c>
      <c r="E1793" t="s">
        <v>11</v>
      </c>
    </row>
    <row r="1794" spans="1:6" hidden="1" x14ac:dyDescent="0.3">
      <c r="A1794" t="s">
        <v>3442</v>
      </c>
      <c r="B1794" t="s">
        <v>9</v>
      </c>
      <c r="C1794" t="s">
        <v>28</v>
      </c>
      <c r="D1794" t="s">
        <v>15</v>
      </c>
      <c r="E1794" t="s">
        <v>16</v>
      </c>
      <c r="F1794" t="s">
        <v>3443</v>
      </c>
    </row>
    <row r="1795" spans="1:6" hidden="1" x14ac:dyDescent="0.3">
      <c r="A1795" t="s">
        <v>3444</v>
      </c>
      <c r="B1795" t="s">
        <v>11</v>
      </c>
      <c r="E1795" t="s">
        <v>11</v>
      </c>
    </row>
    <row r="1796" spans="1:6" hidden="1" x14ac:dyDescent="0.3">
      <c r="A1796" t="s">
        <v>3445</v>
      </c>
      <c r="B1796" t="s">
        <v>9</v>
      </c>
      <c r="C1796" t="s">
        <v>3446</v>
      </c>
      <c r="D1796" t="s">
        <v>15</v>
      </c>
      <c r="E1796" t="s">
        <v>16</v>
      </c>
      <c r="F1796" t="s">
        <v>45</v>
      </c>
    </row>
    <row r="1797" spans="1:6" hidden="1" x14ac:dyDescent="0.3">
      <c r="A1797" t="s">
        <v>3447</v>
      </c>
      <c r="B1797" t="s">
        <v>9</v>
      </c>
      <c r="C1797" t="s">
        <v>3448</v>
      </c>
      <c r="E1797" t="s">
        <v>11</v>
      </c>
    </row>
    <row r="1798" spans="1:6" hidden="1" x14ac:dyDescent="0.3">
      <c r="A1798" t="s">
        <v>3449</v>
      </c>
      <c r="B1798" t="s">
        <v>9</v>
      </c>
      <c r="C1798" t="s">
        <v>28</v>
      </c>
      <c r="D1798" t="s">
        <v>15</v>
      </c>
      <c r="E1798" t="s">
        <v>11</v>
      </c>
    </row>
    <row r="1799" spans="1:6" x14ac:dyDescent="0.3">
      <c r="A1799" t="s">
        <v>3450</v>
      </c>
      <c r="B1799" t="s">
        <v>13</v>
      </c>
      <c r="C1799" t="s">
        <v>3451</v>
      </c>
      <c r="D1799" t="s">
        <v>15</v>
      </c>
      <c r="E1799" t="s">
        <v>20</v>
      </c>
      <c r="F1799" t="s">
        <v>3452</v>
      </c>
    </row>
    <row r="1800" spans="1:6" hidden="1" x14ac:dyDescent="0.3">
      <c r="A1800" t="s">
        <v>3453</v>
      </c>
      <c r="B1800" t="s">
        <v>9</v>
      </c>
      <c r="C1800" t="s">
        <v>3454</v>
      </c>
      <c r="E1800" t="s">
        <v>11</v>
      </c>
    </row>
    <row r="1801" spans="1:6" hidden="1" x14ac:dyDescent="0.3">
      <c r="A1801" t="s">
        <v>3455</v>
      </c>
      <c r="B1801" t="s">
        <v>9</v>
      </c>
      <c r="C1801" t="s">
        <v>28</v>
      </c>
      <c r="E1801" t="s">
        <v>11</v>
      </c>
    </row>
    <row r="1802" spans="1:6" hidden="1" x14ac:dyDescent="0.3">
      <c r="A1802" t="s">
        <v>3456</v>
      </c>
      <c r="B1802" t="s">
        <v>9</v>
      </c>
      <c r="C1802" t="s">
        <v>3457</v>
      </c>
      <c r="E1802" t="s">
        <v>11</v>
      </c>
    </row>
    <row r="1803" spans="1:6" hidden="1" x14ac:dyDescent="0.3">
      <c r="A1803" t="s">
        <v>3458</v>
      </c>
      <c r="B1803" t="s">
        <v>11</v>
      </c>
      <c r="E1803" t="s">
        <v>11</v>
      </c>
    </row>
    <row r="1804" spans="1:6" hidden="1" x14ac:dyDescent="0.3">
      <c r="A1804" t="s">
        <v>3459</v>
      </c>
      <c r="B1804" t="s">
        <v>13</v>
      </c>
      <c r="C1804" t="s">
        <v>3460</v>
      </c>
      <c r="E1804" t="s">
        <v>11</v>
      </c>
    </row>
    <row r="1805" spans="1:6" hidden="1" x14ac:dyDescent="0.3">
      <c r="A1805" t="s">
        <v>3461</v>
      </c>
      <c r="B1805" t="s">
        <v>9</v>
      </c>
      <c r="C1805" t="s">
        <v>3462</v>
      </c>
      <c r="E1805" t="s">
        <v>11</v>
      </c>
    </row>
    <row r="1806" spans="1:6" x14ac:dyDescent="0.3">
      <c r="A1806" t="s">
        <v>3463</v>
      </c>
      <c r="B1806" t="s">
        <v>9</v>
      </c>
      <c r="C1806" t="s">
        <v>339</v>
      </c>
      <c r="D1806" t="s">
        <v>15</v>
      </c>
      <c r="E1806" t="s">
        <v>20</v>
      </c>
      <c r="F1806" t="s">
        <v>21</v>
      </c>
    </row>
    <row r="1807" spans="1:6" hidden="1" x14ac:dyDescent="0.3">
      <c r="A1807" t="s">
        <v>3464</v>
      </c>
      <c r="B1807" t="s">
        <v>197</v>
      </c>
      <c r="C1807" t="s">
        <v>3465</v>
      </c>
      <c r="D1807" t="s">
        <v>15</v>
      </c>
      <c r="E1807" t="s">
        <v>54</v>
      </c>
      <c r="F1807" t="s">
        <v>3466</v>
      </c>
    </row>
    <row r="1808" spans="1:6" hidden="1" x14ac:dyDescent="0.3">
      <c r="A1808" t="s">
        <v>3467</v>
      </c>
      <c r="B1808" t="s">
        <v>9</v>
      </c>
      <c r="C1808" t="s">
        <v>3468</v>
      </c>
      <c r="E1808" t="s">
        <v>11</v>
      </c>
    </row>
    <row r="1809" spans="1:6" hidden="1" x14ac:dyDescent="0.3">
      <c r="A1809" t="s">
        <v>3469</v>
      </c>
      <c r="B1809" t="s">
        <v>13</v>
      </c>
      <c r="C1809" t="s">
        <v>3470</v>
      </c>
      <c r="E1809" t="s">
        <v>11</v>
      </c>
    </row>
    <row r="1810" spans="1:6" hidden="1" x14ac:dyDescent="0.3">
      <c r="A1810" t="s">
        <v>3471</v>
      </c>
      <c r="B1810" t="s">
        <v>11</v>
      </c>
      <c r="E1810" t="s">
        <v>11</v>
      </c>
    </row>
    <row r="1811" spans="1:6" hidden="1" x14ac:dyDescent="0.3">
      <c r="A1811" t="s">
        <v>3472</v>
      </c>
      <c r="B1811" t="s">
        <v>11</v>
      </c>
      <c r="E1811" t="s">
        <v>11</v>
      </c>
    </row>
    <row r="1812" spans="1:6" x14ac:dyDescent="0.3">
      <c r="A1812" t="s">
        <v>3473</v>
      </c>
      <c r="B1812" t="s">
        <v>9</v>
      </c>
      <c r="C1812" t="s">
        <v>3474</v>
      </c>
      <c r="E1812" t="s">
        <v>20</v>
      </c>
      <c r="F1812" t="s">
        <v>330</v>
      </c>
    </row>
    <row r="1813" spans="1:6" hidden="1" x14ac:dyDescent="0.3">
      <c r="A1813" t="s">
        <v>3475</v>
      </c>
      <c r="B1813" t="s">
        <v>13</v>
      </c>
      <c r="C1813" t="s">
        <v>3476</v>
      </c>
      <c r="D1813" t="s">
        <v>15</v>
      </c>
      <c r="E1813" t="s">
        <v>16</v>
      </c>
      <c r="F1813" t="s">
        <v>3477</v>
      </c>
    </row>
    <row r="1814" spans="1:6" x14ac:dyDescent="0.3">
      <c r="A1814" t="s">
        <v>3478</v>
      </c>
      <c r="B1814" t="s">
        <v>9</v>
      </c>
      <c r="C1814" t="s">
        <v>317</v>
      </c>
      <c r="D1814" t="s">
        <v>15</v>
      </c>
      <c r="E1814" t="s">
        <v>20</v>
      </c>
      <c r="F1814" t="s">
        <v>425</v>
      </c>
    </row>
    <row r="1815" spans="1:6" hidden="1" x14ac:dyDescent="0.3">
      <c r="A1815" t="s">
        <v>3479</v>
      </c>
      <c r="B1815" t="s">
        <v>9</v>
      </c>
      <c r="C1815" t="s">
        <v>28</v>
      </c>
      <c r="E1815" t="s">
        <v>11</v>
      </c>
    </row>
    <row r="1816" spans="1:6" x14ac:dyDescent="0.3">
      <c r="A1816" t="s">
        <v>3480</v>
      </c>
      <c r="B1816" t="s">
        <v>9</v>
      </c>
      <c r="C1816" t="s">
        <v>3481</v>
      </c>
      <c r="D1816" t="s">
        <v>15</v>
      </c>
      <c r="E1816" t="s">
        <v>20</v>
      </c>
      <c r="F1816" t="s">
        <v>425</v>
      </c>
    </row>
    <row r="1817" spans="1:6" hidden="1" x14ac:dyDescent="0.3">
      <c r="A1817" t="s">
        <v>3482</v>
      </c>
      <c r="B1817" t="s">
        <v>9</v>
      </c>
      <c r="C1817" t="s">
        <v>3483</v>
      </c>
      <c r="D1817" t="s">
        <v>15</v>
      </c>
      <c r="E1817" t="s">
        <v>54</v>
      </c>
      <c r="F1817" t="s">
        <v>553</v>
      </c>
    </row>
    <row r="1818" spans="1:6" hidden="1" x14ac:dyDescent="0.3">
      <c r="A1818" t="s">
        <v>3484</v>
      </c>
      <c r="B1818" t="s">
        <v>9</v>
      </c>
      <c r="C1818" t="s">
        <v>3485</v>
      </c>
      <c r="E1818" t="s">
        <v>11</v>
      </c>
    </row>
    <row r="1819" spans="1:6" x14ac:dyDescent="0.3">
      <c r="A1819" t="s">
        <v>3486</v>
      </c>
      <c r="B1819" t="s">
        <v>9</v>
      </c>
      <c r="C1819" t="s">
        <v>3487</v>
      </c>
      <c r="D1819" t="s">
        <v>15</v>
      </c>
      <c r="E1819" t="s">
        <v>20</v>
      </c>
      <c r="F1819" t="s">
        <v>3488</v>
      </c>
    </row>
    <row r="1820" spans="1:6" hidden="1" x14ac:dyDescent="0.3">
      <c r="A1820" t="s">
        <v>3489</v>
      </c>
      <c r="B1820" t="s">
        <v>9</v>
      </c>
      <c r="C1820" t="s">
        <v>3490</v>
      </c>
      <c r="E1820" t="s">
        <v>16</v>
      </c>
      <c r="F1820" t="s">
        <v>3491</v>
      </c>
    </row>
    <row r="1821" spans="1:6" hidden="1" x14ac:dyDescent="0.3">
      <c r="A1821" t="s">
        <v>3492</v>
      </c>
      <c r="B1821" t="s">
        <v>9</v>
      </c>
      <c r="C1821" t="s">
        <v>28</v>
      </c>
      <c r="D1821" t="s">
        <v>15</v>
      </c>
      <c r="E1821" t="s">
        <v>16</v>
      </c>
      <c r="F1821" t="s">
        <v>3493</v>
      </c>
    </row>
    <row r="1822" spans="1:6" hidden="1" x14ac:dyDescent="0.3">
      <c r="A1822" t="s">
        <v>3494</v>
      </c>
      <c r="B1822" t="s">
        <v>13</v>
      </c>
      <c r="C1822" t="s">
        <v>3495</v>
      </c>
      <c r="E1822" t="s">
        <v>11</v>
      </c>
    </row>
    <row r="1823" spans="1:6" x14ac:dyDescent="0.3">
      <c r="A1823" t="s">
        <v>3496</v>
      </c>
      <c r="B1823" t="s">
        <v>9</v>
      </c>
      <c r="C1823" t="s">
        <v>3497</v>
      </c>
      <c r="D1823" t="s">
        <v>15</v>
      </c>
      <c r="E1823" t="s">
        <v>20</v>
      </c>
      <c r="F1823" t="s">
        <v>3498</v>
      </c>
    </row>
    <row r="1824" spans="1:6" hidden="1" x14ac:dyDescent="0.3">
      <c r="A1824" t="s">
        <v>3499</v>
      </c>
      <c r="B1824" t="s">
        <v>9</v>
      </c>
      <c r="C1824" t="s">
        <v>3500</v>
      </c>
      <c r="D1824" t="s">
        <v>15</v>
      </c>
      <c r="E1824" t="s">
        <v>16</v>
      </c>
      <c r="F1824" t="s">
        <v>3501</v>
      </c>
    </row>
    <row r="1825" spans="1:8" x14ac:dyDescent="0.3">
      <c r="A1825" t="s">
        <v>3502</v>
      </c>
      <c r="B1825" t="s">
        <v>9</v>
      </c>
      <c r="C1825" t="s">
        <v>3503</v>
      </c>
      <c r="D1825" t="s">
        <v>15</v>
      </c>
      <c r="E1825" t="s">
        <v>20</v>
      </c>
      <c r="F1825" t="s">
        <v>3504</v>
      </c>
    </row>
    <row r="1826" spans="1:8" hidden="1" x14ac:dyDescent="0.3">
      <c r="A1826" t="s">
        <v>3505</v>
      </c>
      <c r="B1826" t="s">
        <v>11</v>
      </c>
      <c r="E1826" t="s">
        <v>11</v>
      </c>
    </row>
    <row r="1827" spans="1:8" x14ac:dyDescent="0.3">
      <c r="A1827" t="s">
        <v>3506</v>
      </c>
      <c r="B1827" t="s">
        <v>13</v>
      </c>
      <c r="C1827" t="s">
        <v>3507</v>
      </c>
      <c r="D1827" t="s">
        <v>15</v>
      </c>
      <c r="E1827" t="s">
        <v>20</v>
      </c>
      <c r="F1827" t="s">
        <v>3508</v>
      </c>
    </row>
    <row r="1828" spans="1:8" hidden="1" x14ac:dyDescent="0.3">
      <c r="A1828" t="s">
        <v>3509</v>
      </c>
      <c r="B1828" t="s">
        <v>9</v>
      </c>
      <c r="C1828" t="s">
        <v>3510</v>
      </c>
      <c r="D1828" t="s">
        <v>15</v>
      </c>
      <c r="E1828" t="s">
        <v>16</v>
      </c>
      <c r="F1828" t="s">
        <v>3511</v>
      </c>
    </row>
    <row r="1829" spans="1:8" hidden="1" x14ac:dyDescent="0.3">
      <c r="A1829" t="s">
        <v>3512</v>
      </c>
      <c r="B1829" t="s">
        <v>13</v>
      </c>
      <c r="C1829" t="s">
        <v>231</v>
      </c>
      <c r="E1829" t="s">
        <v>11</v>
      </c>
    </row>
    <row r="1830" spans="1:8" hidden="1" x14ac:dyDescent="0.3">
      <c r="A1830" t="s">
        <v>3513</v>
      </c>
      <c r="B1830" t="s">
        <v>9</v>
      </c>
      <c r="C1830" t="s">
        <v>3514</v>
      </c>
      <c r="E1830" t="s">
        <v>11</v>
      </c>
    </row>
    <row r="1831" spans="1:8" hidden="1" x14ac:dyDescent="0.3">
      <c r="A1831" t="s">
        <v>3515</v>
      </c>
      <c r="B1831" t="s">
        <v>11</v>
      </c>
      <c r="E1831" t="s">
        <v>11</v>
      </c>
    </row>
    <row r="1832" spans="1:8" hidden="1" x14ac:dyDescent="0.3">
      <c r="A1832" t="s">
        <v>3516</v>
      </c>
      <c r="B1832" t="s">
        <v>9</v>
      </c>
      <c r="C1832" t="s">
        <v>28</v>
      </c>
      <c r="D1832" t="s">
        <v>15</v>
      </c>
      <c r="E1832" t="s">
        <v>54</v>
      </c>
      <c r="F1832" t="s">
        <v>3517</v>
      </c>
      <c r="G1832" t="s">
        <v>15</v>
      </c>
      <c r="H1832" t="s">
        <v>3518</v>
      </c>
    </row>
    <row r="1833" spans="1:8" x14ac:dyDescent="0.3">
      <c r="A1833" t="s">
        <v>3519</v>
      </c>
      <c r="B1833" t="s">
        <v>9</v>
      </c>
      <c r="C1833" t="s">
        <v>3520</v>
      </c>
      <c r="E1833" t="s">
        <v>20</v>
      </c>
      <c r="F1833" t="s">
        <v>135</v>
      </c>
    </row>
    <row r="1834" spans="1:8" hidden="1" x14ac:dyDescent="0.3">
      <c r="A1834" t="s">
        <v>3521</v>
      </c>
      <c r="B1834" t="s">
        <v>9</v>
      </c>
      <c r="C1834" t="s">
        <v>28</v>
      </c>
      <c r="E1834" t="s">
        <v>11</v>
      </c>
    </row>
    <row r="1835" spans="1:8" hidden="1" x14ac:dyDescent="0.3">
      <c r="A1835" t="s">
        <v>3522</v>
      </c>
      <c r="B1835" t="s">
        <v>13</v>
      </c>
      <c r="C1835" t="s">
        <v>3523</v>
      </c>
      <c r="D1835" t="s">
        <v>15</v>
      </c>
      <c r="E1835" t="s">
        <v>54</v>
      </c>
      <c r="F1835" t="s">
        <v>3524</v>
      </c>
    </row>
    <row r="1836" spans="1:8" hidden="1" x14ac:dyDescent="0.3">
      <c r="A1836" t="s">
        <v>3525</v>
      </c>
      <c r="B1836" t="s">
        <v>9</v>
      </c>
      <c r="C1836" t="s">
        <v>3526</v>
      </c>
      <c r="D1836" t="s">
        <v>15</v>
      </c>
      <c r="E1836" t="s">
        <v>11</v>
      </c>
    </row>
    <row r="1837" spans="1:8" hidden="1" x14ac:dyDescent="0.3">
      <c r="A1837" t="s">
        <v>3527</v>
      </c>
      <c r="B1837" t="s">
        <v>13</v>
      </c>
      <c r="C1837" t="s">
        <v>314</v>
      </c>
      <c r="E1837" t="s">
        <v>11</v>
      </c>
    </row>
    <row r="1838" spans="1:8" hidden="1" x14ac:dyDescent="0.3">
      <c r="A1838" t="s">
        <v>3528</v>
      </c>
      <c r="B1838" t="s">
        <v>9</v>
      </c>
      <c r="C1838" t="s">
        <v>3529</v>
      </c>
      <c r="D1838" t="s">
        <v>15</v>
      </c>
      <c r="E1838" t="s">
        <v>11</v>
      </c>
    </row>
    <row r="1839" spans="1:8" hidden="1" x14ac:dyDescent="0.3">
      <c r="A1839" t="s">
        <v>3530</v>
      </c>
      <c r="B1839" t="s">
        <v>9</v>
      </c>
      <c r="C1839" t="s">
        <v>691</v>
      </c>
      <c r="D1839" t="s">
        <v>15</v>
      </c>
      <c r="E1839" t="s">
        <v>54</v>
      </c>
      <c r="F1839" t="s">
        <v>3531</v>
      </c>
    </row>
    <row r="1840" spans="1:8" hidden="1" x14ac:dyDescent="0.3">
      <c r="A1840" t="s">
        <v>3532</v>
      </c>
      <c r="B1840" t="s">
        <v>11</v>
      </c>
      <c r="E1840" t="s">
        <v>11</v>
      </c>
    </row>
    <row r="1841" spans="1:6" hidden="1" x14ac:dyDescent="0.3">
      <c r="A1841" t="s">
        <v>3533</v>
      </c>
      <c r="B1841" t="s">
        <v>13</v>
      </c>
      <c r="C1841" t="s">
        <v>231</v>
      </c>
      <c r="E1841" t="s">
        <v>11</v>
      </c>
    </row>
    <row r="1842" spans="1:6" hidden="1" x14ac:dyDescent="0.3">
      <c r="A1842" t="s">
        <v>3534</v>
      </c>
      <c r="B1842" t="s">
        <v>9</v>
      </c>
      <c r="C1842" t="s">
        <v>3535</v>
      </c>
      <c r="D1842" t="s">
        <v>15</v>
      </c>
      <c r="E1842" t="s">
        <v>11</v>
      </c>
    </row>
    <row r="1843" spans="1:6" hidden="1" x14ac:dyDescent="0.3">
      <c r="A1843" t="s">
        <v>3536</v>
      </c>
      <c r="B1843" t="s">
        <v>9</v>
      </c>
      <c r="C1843" t="s">
        <v>3537</v>
      </c>
      <c r="E1843" t="s">
        <v>11</v>
      </c>
    </row>
    <row r="1844" spans="1:6" hidden="1" x14ac:dyDescent="0.3">
      <c r="A1844" t="s">
        <v>3538</v>
      </c>
      <c r="B1844" t="s">
        <v>9</v>
      </c>
      <c r="C1844" t="s">
        <v>3539</v>
      </c>
      <c r="E1844" t="s">
        <v>11</v>
      </c>
    </row>
    <row r="1845" spans="1:6" x14ac:dyDescent="0.3">
      <c r="A1845" t="s">
        <v>3540</v>
      </c>
      <c r="B1845" t="s">
        <v>9</v>
      </c>
      <c r="C1845" t="s">
        <v>28</v>
      </c>
      <c r="E1845" t="s">
        <v>20</v>
      </c>
      <c r="F1845" t="s">
        <v>135</v>
      </c>
    </row>
    <row r="1846" spans="1:6" hidden="1" x14ac:dyDescent="0.3">
      <c r="A1846" t="s">
        <v>3541</v>
      </c>
      <c r="B1846" t="s">
        <v>9</v>
      </c>
      <c r="C1846" t="s">
        <v>3542</v>
      </c>
      <c r="D1846" t="s">
        <v>15</v>
      </c>
      <c r="E1846" t="s">
        <v>54</v>
      </c>
      <c r="F1846" t="s">
        <v>3543</v>
      </c>
    </row>
    <row r="1847" spans="1:6" hidden="1" x14ac:dyDescent="0.3">
      <c r="A1847" t="s">
        <v>3544</v>
      </c>
      <c r="B1847" t="s">
        <v>9</v>
      </c>
      <c r="C1847" t="s">
        <v>3545</v>
      </c>
      <c r="D1847" t="s">
        <v>15</v>
      </c>
      <c r="E1847" t="s">
        <v>16</v>
      </c>
      <c r="F1847" t="s">
        <v>1567</v>
      </c>
    </row>
    <row r="1848" spans="1:6" hidden="1" x14ac:dyDescent="0.3">
      <c r="A1848" t="s">
        <v>3546</v>
      </c>
      <c r="B1848" t="s">
        <v>9</v>
      </c>
      <c r="C1848" t="s">
        <v>3547</v>
      </c>
      <c r="E1848" t="s">
        <v>11</v>
      </c>
    </row>
    <row r="1849" spans="1:6" hidden="1" x14ac:dyDescent="0.3">
      <c r="A1849" t="s">
        <v>3548</v>
      </c>
      <c r="B1849" t="s">
        <v>9</v>
      </c>
      <c r="C1849" t="s">
        <v>3549</v>
      </c>
      <c r="D1849" t="s">
        <v>15</v>
      </c>
      <c r="E1849" t="s">
        <v>54</v>
      </c>
      <c r="F1849" t="s">
        <v>3550</v>
      </c>
    </row>
    <row r="1850" spans="1:6" x14ac:dyDescent="0.3">
      <c r="A1850" t="s">
        <v>3551</v>
      </c>
      <c r="B1850" t="s">
        <v>13</v>
      </c>
      <c r="C1850" t="s">
        <v>3552</v>
      </c>
      <c r="D1850" t="s">
        <v>15</v>
      </c>
      <c r="E1850" t="s">
        <v>20</v>
      </c>
      <c r="F1850" t="s">
        <v>3553</v>
      </c>
    </row>
    <row r="1851" spans="1:6" x14ac:dyDescent="0.3">
      <c r="A1851" t="s">
        <v>3554</v>
      </c>
      <c r="B1851" t="s">
        <v>13</v>
      </c>
      <c r="C1851" t="s">
        <v>245</v>
      </c>
      <c r="E1851" t="s">
        <v>20</v>
      </c>
      <c r="F1851" t="s">
        <v>3555</v>
      </c>
    </row>
    <row r="1852" spans="1:6" hidden="1" x14ac:dyDescent="0.3">
      <c r="A1852" t="s">
        <v>3556</v>
      </c>
      <c r="B1852" t="s">
        <v>9</v>
      </c>
      <c r="C1852" t="s">
        <v>28</v>
      </c>
      <c r="E1852" t="s">
        <v>11</v>
      </c>
    </row>
    <row r="1853" spans="1:6" hidden="1" x14ac:dyDescent="0.3">
      <c r="A1853" t="s">
        <v>3557</v>
      </c>
      <c r="B1853" t="s">
        <v>11</v>
      </c>
      <c r="E1853" t="s">
        <v>11</v>
      </c>
    </row>
    <row r="1854" spans="1:6" x14ac:dyDescent="0.3">
      <c r="A1854" t="s">
        <v>3558</v>
      </c>
      <c r="B1854" t="s">
        <v>9</v>
      </c>
      <c r="C1854" t="s">
        <v>3559</v>
      </c>
      <c r="D1854" t="s">
        <v>15</v>
      </c>
      <c r="E1854" t="s">
        <v>20</v>
      </c>
      <c r="F1854" t="s">
        <v>21</v>
      </c>
    </row>
    <row r="1855" spans="1:6" hidden="1" x14ac:dyDescent="0.3">
      <c r="A1855" t="s">
        <v>3560</v>
      </c>
      <c r="B1855" t="s">
        <v>9</v>
      </c>
      <c r="C1855" t="s">
        <v>3561</v>
      </c>
      <c r="D1855" t="s">
        <v>15</v>
      </c>
      <c r="E1855" t="s">
        <v>11</v>
      </c>
    </row>
    <row r="1856" spans="1:6" hidden="1" x14ac:dyDescent="0.3">
      <c r="A1856" t="s">
        <v>3562</v>
      </c>
      <c r="B1856" t="s">
        <v>11</v>
      </c>
      <c r="E1856" t="s">
        <v>11</v>
      </c>
    </row>
    <row r="1857" spans="1:6" x14ac:dyDescent="0.3">
      <c r="A1857" t="s">
        <v>3563</v>
      </c>
      <c r="B1857" t="s">
        <v>9</v>
      </c>
      <c r="C1857" t="s">
        <v>3564</v>
      </c>
      <c r="E1857" t="s">
        <v>20</v>
      </c>
      <c r="F1857" t="s">
        <v>21</v>
      </c>
    </row>
    <row r="1858" spans="1:6" hidden="1" x14ac:dyDescent="0.3">
      <c r="A1858" t="s">
        <v>3565</v>
      </c>
      <c r="B1858" t="s">
        <v>197</v>
      </c>
      <c r="C1858" t="s">
        <v>3566</v>
      </c>
      <c r="D1858" t="s">
        <v>15</v>
      </c>
      <c r="E1858" t="s">
        <v>54</v>
      </c>
      <c r="F1858" t="s">
        <v>3567</v>
      </c>
    </row>
    <row r="1859" spans="1:6" x14ac:dyDescent="0.3">
      <c r="A1859" t="s">
        <v>3568</v>
      </c>
      <c r="B1859" t="s">
        <v>9</v>
      </c>
      <c r="C1859" t="s">
        <v>3569</v>
      </c>
      <c r="D1859" t="s">
        <v>15</v>
      </c>
      <c r="E1859" t="s">
        <v>20</v>
      </c>
      <c r="F1859" t="s">
        <v>21</v>
      </c>
    </row>
    <row r="1860" spans="1:6" hidden="1" x14ac:dyDescent="0.3">
      <c r="A1860" t="s">
        <v>3570</v>
      </c>
      <c r="B1860" t="s">
        <v>11</v>
      </c>
      <c r="E1860" t="s">
        <v>11</v>
      </c>
    </row>
    <row r="1861" spans="1:6" x14ac:dyDescent="0.3">
      <c r="A1861" t="s">
        <v>3571</v>
      </c>
      <c r="B1861" t="s">
        <v>9</v>
      </c>
      <c r="C1861" t="s">
        <v>3572</v>
      </c>
      <c r="D1861" t="s">
        <v>15</v>
      </c>
      <c r="E1861" t="s">
        <v>20</v>
      </c>
      <c r="F1861" t="s">
        <v>21</v>
      </c>
    </row>
    <row r="1862" spans="1:6" hidden="1" x14ac:dyDescent="0.3">
      <c r="A1862" t="s">
        <v>3573</v>
      </c>
      <c r="B1862" t="s">
        <v>9</v>
      </c>
      <c r="C1862" t="s">
        <v>3574</v>
      </c>
      <c r="D1862" t="s">
        <v>15</v>
      </c>
      <c r="E1862" t="s">
        <v>11</v>
      </c>
    </row>
    <row r="1863" spans="1:6" x14ac:dyDescent="0.3">
      <c r="A1863" t="s">
        <v>3575</v>
      </c>
      <c r="B1863" t="s">
        <v>13</v>
      </c>
      <c r="C1863" t="s">
        <v>3576</v>
      </c>
      <c r="D1863" t="s">
        <v>15</v>
      </c>
      <c r="E1863" t="s">
        <v>20</v>
      </c>
      <c r="F1863" t="s">
        <v>3577</v>
      </c>
    </row>
    <row r="1864" spans="1:6" hidden="1" x14ac:dyDescent="0.3">
      <c r="A1864" t="s">
        <v>3578</v>
      </c>
      <c r="B1864" t="s">
        <v>9</v>
      </c>
      <c r="C1864" t="s">
        <v>1848</v>
      </c>
      <c r="E1864" t="s">
        <v>11</v>
      </c>
    </row>
    <row r="1865" spans="1:6" x14ac:dyDescent="0.3">
      <c r="A1865" t="s">
        <v>3579</v>
      </c>
      <c r="B1865" t="s">
        <v>13</v>
      </c>
      <c r="C1865" t="s">
        <v>3580</v>
      </c>
      <c r="E1865" t="s">
        <v>20</v>
      </c>
      <c r="F1865" t="s">
        <v>21</v>
      </c>
    </row>
    <row r="1866" spans="1:6" hidden="1" x14ac:dyDescent="0.3">
      <c r="A1866" t="s">
        <v>3581</v>
      </c>
      <c r="B1866" t="s">
        <v>9</v>
      </c>
      <c r="C1866" t="s">
        <v>3582</v>
      </c>
      <c r="E1866" t="s">
        <v>11</v>
      </c>
    </row>
    <row r="1867" spans="1:6" x14ac:dyDescent="0.3">
      <c r="A1867" t="s">
        <v>3583</v>
      </c>
      <c r="B1867" t="s">
        <v>13</v>
      </c>
      <c r="C1867" t="s">
        <v>469</v>
      </c>
      <c r="E1867" t="s">
        <v>20</v>
      </c>
      <c r="F1867" t="s">
        <v>21</v>
      </c>
    </row>
    <row r="1868" spans="1:6" x14ac:dyDescent="0.3">
      <c r="A1868" t="s">
        <v>3584</v>
      </c>
      <c r="B1868" t="s">
        <v>9</v>
      </c>
      <c r="C1868" t="s">
        <v>3585</v>
      </c>
      <c r="D1868" t="s">
        <v>15</v>
      </c>
      <c r="E1868" t="s">
        <v>20</v>
      </c>
      <c r="F1868" t="s">
        <v>135</v>
      </c>
    </row>
    <row r="1869" spans="1:6" hidden="1" x14ac:dyDescent="0.3">
      <c r="A1869" t="s">
        <v>3586</v>
      </c>
      <c r="B1869" t="s">
        <v>9</v>
      </c>
      <c r="C1869" t="s">
        <v>51</v>
      </c>
      <c r="E1869" t="s">
        <v>54</v>
      </c>
      <c r="F1869" t="s">
        <v>3587</v>
      </c>
    </row>
    <row r="1870" spans="1:6" hidden="1" x14ac:dyDescent="0.3">
      <c r="A1870" t="s">
        <v>3588</v>
      </c>
      <c r="B1870" t="s">
        <v>13</v>
      </c>
      <c r="C1870" t="s">
        <v>3589</v>
      </c>
      <c r="D1870" t="s">
        <v>15</v>
      </c>
      <c r="E1870" t="s">
        <v>11</v>
      </c>
    </row>
    <row r="1871" spans="1:6" hidden="1" x14ac:dyDescent="0.3">
      <c r="A1871" t="s">
        <v>3590</v>
      </c>
      <c r="B1871" t="s">
        <v>11</v>
      </c>
      <c r="E1871" t="s">
        <v>11</v>
      </c>
    </row>
    <row r="1872" spans="1:6" hidden="1" x14ac:dyDescent="0.3">
      <c r="A1872" t="s">
        <v>3591</v>
      </c>
      <c r="B1872" t="s">
        <v>13</v>
      </c>
      <c r="C1872" t="s">
        <v>3592</v>
      </c>
      <c r="D1872" t="s">
        <v>15</v>
      </c>
      <c r="E1872" t="s">
        <v>16</v>
      </c>
      <c r="F1872" t="s">
        <v>3593</v>
      </c>
    </row>
    <row r="1873" spans="1:6" x14ac:dyDescent="0.3">
      <c r="A1873" t="s">
        <v>3594</v>
      </c>
      <c r="B1873" t="s">
        <v>13</v>
      </c>
      <c r="C1873" t="s">
        <v>3595</v>
      </c>
      <c r="D1873" t="s">
        <v>15</v>
      </c>
      <c r="E1873" t="s">
        <v>20</v>
      </c>
      <c r="F1873" t="s">
        <v>3596</v>
      </c>
    </row>
    <row r="1874" spans="1:6" hidden="1" x14ac:dyDescent="0.3">
      <c r="A1874" t="s">
        <v>3597</v>
      </c>
      <c r="B1874" t="s">
        <v>9</v>
      </c>
      <c r="C1874" t="s">
        <v>3598</v>
      </c>
      <c r="D1874" t="s">
        <v>15</v>
      </c>
      <c r="E1874" t="s">
        <v>16</v>
      </c>
      <c r="F1874" t="s">
        <v>3250</v>
      </c>
    </row>
    <row r="1875" spans="1:6" x14ac:dyDescent="0.3">
      <c r="A1875" t="s">
        <v>3599</v>
      </c>
      <c r="B1875" t="s">
        <v>9</v>
      </c>
      <c r="C1875" t="s">
        <v>3600</v>
      </c>
      <c r="D1875" t="s">
        <v>15</v>
      </c>
      <c r="E1875" t="s">
        <v>20</v>
      </c>
      <c r="F1875" t="s">
        <v>1414</v>
      </c>
    </row>
    <row r="1876" spans="1:6" hidden="1" x14ac:dyDescent="0.3">
      <c r="A1876" t="s">
        <v>3601</v>
      </c>
      <c r="B1876" t="s">
        <v>13</v>
      </c>
      <c r="C1876" t="s">
        <v>3602</v>
      </c>
      <c r="E1876" t="s">
        <v>11</v>
      </c>
    </row>
    <row r="1877" spans="1:6" hidden="1" x14ac:dyDescent="0.3">
      <c r="A1877" t="s">
        <v>3603</v>
      </c>
      <c r="B1877" t="s">
        <v>9</v>
      </c>
      <c r="C1877" t="s">
        <v>28</v>
      </c>
      <c r="E1877" t="s">
        <v>11</v>
      </c>
    </row>
    <row r="1878" spans="1:6" hidden="1" x14ac:dyDescent="0.3">
      <c r="A1878" t="s">
        <v>3604</v>
      </c>
      <c r="B1878" t="s">
        <v>9</v>
      </c>
      <c r="C1878" t="s">
        <v>3605</v>
      </c>
      <c r="D1878" t="s">
        <v>15</v>
      </c>
      <c r="E1878" t="s">
        <v>54</v>
      </c>
      <c r="F1878" t="s">
        <v>3606</v>
      </c>
    </row>
    <row r="1879" spans="1:6" hidden="1" x14ac:dyDescent="0.3">
      <c r="A1879" t="s">
        <v>3607</v>
      </c>
      <c r="B1879" t="s">
        <v>9</v>
      </c>
      <c r="C1879" t="s">
        <v>3608</v>
      </c>
      <c r="E1879" t="s">
        <v>11</v>
      </c>
    </row>
    <row r="1880" spans="1:6" x14ac:dyDescent="0.3">
      <c r="A1880" t="s">
        <v>3609</v>
      </c>
      <c r="B1880" t="s">
        <v>13</v>
      </c>
      <c r="C1880" t="s">
        <v>3610</v>
      </c>
      <c r="E1880" t="s">
        <v>20</v>
      </c>
      <c r="F1880" t="s">
        <v>21</v>
      </c>
    </row>
    <row r="1881" spans="1:6" hidden="1" x14ac:dyDescent="0.3">
      <c r="A1881" t="s">
        <v>3611</v>
      </c>
      <c r="B1881" t="s">
        <v>13</v>
      </c>
      <c r="C1881" t="s">
        <v>3612</v>
      </c>
      <c r="E1881" t="s">
        <v>11</v>
      </c>
    </row>
    <row r="1882" spans="1:6" hidden="1" x14ac:dyDescent="0.3">
      <c r="A1882" t="s">
        <v>3613</v>
      </c>
      <c r="B1882" t="s">
        <v>9</v>
      </c>
      <c r="C1882" t="s">
        <v>3614</v>
      </c>
      <c r="D1882" t="s">
        <v>15</v>
      </c>
      <c r="E1882" t="s">
        <v>11</v>
      </c>
    </row>
    <row r="1883" spans="1:6" x14ac:dyDescent="0.3">
      <c r="A1883" t="s">
        <v>3615</v>
      </c>
      <c r="B1883" t="s">
        <v>9</v>
      </c>
      <c r="C1883" t="s">
        <v>3616</v>
      </c>
      <c r="D1883" t="s">
        <v>15</v>
      </c>
      <c r="E1883" t="s">
        <v>20</v>
      </c>
      <c r="F1883" t="s">
        <v>3617</v>
      </c>
    </row>
    <row r="1884" spans="1:6" hidden="1" x14ac:dyDescent="0.3">
      <c r="A1884" t="s">
        <v>3618</v>
      </c>
      <c r="B1884" t="s">
        <v>9</v>
      </c>
      <c r="C1884" t="s">
        <v>3619</v>
      </c>
      <c r="D1884" t="s">
        <v>15</v>
      </c>
      <c r="E1884" t="s">
        <v>54</v>
      </c>
      <c r="F1884" t="s">
        <v>3620</v>
      </c>
    </row>
    <row r="1885" spans="1:6" x14ac:dyDescent="0.3">
      <c r="A1885" t="s">
        <v>3621</v>
      </c>
      <c r="B1885" t="s">
        <v>9</v>
      </c>
      <c r="C1885" t="s">
        <v>3622</v>
      </c>
      <c r="D1885" t="s">
        <v>15</v>
      </c>
      <c r="E1885" t="s">
        <v>20</v>
      </c>
      <c r="F1885" t="s">
        <v>3623</v>
      </c>
    </row>
    <row r="1886" spans="1:6" hidden="1" x14ac:dyDescent="0.3">
      <c r="A1886" t="s">
        <v>3624</v>
      </c>
      <c r="B1886" t="s">
        <v>13</v>
      </c>
      <c r="C1886" t="s">
        <v>1283</v>
      </c>
      <c r="E1886" t="s">
        <v>11</v>
      </c>
    </row>
    <row r="1887" spans="1:6" hidden="1" x14ac:dyDescent="0.3">
      <c r="A1887" t="s">
        <v>3625</v>
      </c>
      <c r="B1887" t="s">
        <v>11</v>
      </c>
      <c r="E1887" t="s">
        <v>11</v>
      </c>
    </row>
    <row r="1888" spans="1:6" hidden="1" x14ac:dyDescent="0.3">
      <c r="A1888" t="s">
        <v>3626</v>
      </c>
      <c r="B1888" t="s">
        <v>9</v>
      </c>
      <c r="C1888" t="s">
        <v>3627</v>
      </c>
      <c r="D1888" t="s">
        <v>15</v>
      </c>
      <c r="E1888" t="s">
        <v>16</v>
      </c>
      <c r="F1888" t="s">
        <v>3628</v>
      </c>
    </row>
    <row r="1889" spans="1:6" x14ac:dyDescent="0.3">
      <c r="A1889" t="s">
        <v>3629</v>
      </c>
      <c r="B1889" t="s">
        <v>13</v>
      </c>
      <c r="C1889" t="s">
        <v>112</v>
      </c>
      <c r="E1889" t="s">
        <v>20</v>
      </c>
      <c r="F1889" t="s">
        <v>1423</v>
      </c>
    </row>
    <row r="1890" spans="1:6" hidden="1" x14ac:dyDescent="0.3">
      <c r="A1890" t="s">
        <v>3630</v>
      </c>
      <c r="B1890" t="s">
        <v>13</v>
      </c>
      <c r="C1890" t="s">
        <v>3631</v>
      </c>
      <c r="D1890" t="s">
        <v>15</v>
      </c>
      <c r="E1890" t="s">
        <v>54</v>
      </c>
      <c r="F1890" t="s">
        <v>588</v>
      </c>
    </row>
    <row r="1891" spans="1:6" hidden="1" x14ac:dyDescent="0.3">
      <c r="A1891" t="s">
        <v>3632</v>
      </c>
      <c r="B1891" t="s">
        <v>9</v>
      </c>
      <c r="C1891" t="s">
        <v>3633</v>
      </c>
      <c r="D1891" t="s">
        <v>15</v>
      </c>
      <c r="E1891" t="s">
        <v>54</v>
      </c>
      <c r="F1891" t="s">
        <v>3634</v>
      </c>
    </row>
    <row r="1892" spans="1:6" hidden="1" x14ac:dyDescent="0.3">
      <c r="A1892" t="s">
        <v>3635</v>
      </c>
      <c r="B1892" t="s">
        <v>9</v>
      </c>
      <c r="C1892" t="s">
        <v>3636</v>
      </c>
      <c r="D1892" t="s">
        <v>15</v>
      </c>
      <c r="E1892" t="s">
        <v>54</v>
      </c>
      <c r="F1892" t="s">
        <v>3637</v>
      </c>
    </row>
    <row r="1893" spans="1:6" hidden="1" x14ac:dyDescent="0.3">
      <c r="A1893" t="s">
        <v>3638</v>
      </c>
      <c r="B1893" t="s">
        <v>9</v>
      </c>
      <c r="C1893" t="s">
        <v>28</v>
      </c>
      <c r="D1893" t="s">
        <v>15</v>
      </c>
      <c r="E1893" t="s">
        <v>11</v>
      </c>
    </row>
    <row r="1894" spans="1:6" hidden="1" x14ac:dyDescent="0.3">
      <c r="A1894" t="s">
        <v>3639</v>
      </c>
      <c r="B1894" t="s">
        <v>13</v>
      </c>
      <c r="C1894" t="s">
        <v>3640</v>
      </c>
      <c r="D1894" t="s">
        <v>15</v>
      </c>
      <c r="E1894" t="s">
        <v>11</v>
      </c>
    </row>
    <row r="1895" spans="1:6" hidden="1" x14ac:dyDescent="0.3">
      <c r="A1895" t="s">
        <v>3641</v>
      </c>
      <c r="B1895" t="s">
        <v>11</v>
      </c>
      <c r="E1895" t="s">
        <v>11</v>
      </c>
    </row>
    <row r="1896" spans="1:6" hidden="1" x14ac:dyDescent="0.3">
      <c r="A1896" t="s">
        <v>3642</v>
      </c>
      <c r="B1896" t="s">
        <v>9</v>
      </c>
      <c r="C1896" t="s">
        <v>3643</v>
      </c>
      <c r="D1896" t="s">
        <v>15</v>
      </c>
      <c r="E1896" t="s">
        <v>16</v>
      </c>
      <c r="F1896" t="s">
        <v>3644</v>
      </c>
    </row>
    <row r="1897" spans="1:6" x14ac:dyDescent="0.3">
      <c r="A1897" t="s">
        <v>3645</v>
      </c>
      <c r="B1897" t="s">
        <v>13</v>
      </c>
      <c r="C1897" t="s">
        <v>3646</v>
      </c>
      <c r="E1897" t="s">
        <v>20</v>
      </c>
      <c r="F1897" t="s">
        <v>3647</v>
      </c>
    </row>
    <row r="1898" spans="1:6" hidden="1" x14ac:dyDescent="0.3">
      <c r="A1898" t="s">
        <v>3648</v>
      </c>
      <c r="B1898" t="s">
        <v>9</v>
      </c>
      <c r="C1898" t="s">
        <v>3649</v>
      </c>
      <c r="D1898" t="s">
        <v>15</v>
      </c>
      <c r="E1898" t="s">
        <v>54</v>
      </c>
      <c r="F1898" t="s">
        <v>3650</v>
      </c>
    </row>
    <row r="1899" spans="1:6" hidden="1" x14ac:dyDescent="0.3">
      <c r="A1899" t="s">
        <v>3651</v>
      </c>
      <c r="B1899" t="s">
        <v>9</v>
      </c>
      <c r="C1899" t="s">
        <v>3652</v>
      </c>
      <c r="E1899" t="s">
        <v>11</v>
      </c>
    </row>
    <row r="1900" spans="1:6" hidden="1" x14ac:dyDescent="0.3">
      <c r="A1900" t="s">
        <v>3653</v>
      </c>
      <c r="B1900" t="s">
        <v>9</v>
      </c>
      <c r="C1900" t="s">
        <v>3654</v>
      </c>
      <c r="D1900" t="s">
        <v>15</v>
      </c>
      <c r="E1900" t="s">
        <v>16</v>
      </c>
      <c r="F1900" t="s">
        <v>3655</v>
      </c>
    </row>
    <row r="1901" spans="1:6" hidden="1" x14ac:dyDescent="0.3">
      <c r="A1901" t="s">
        <v>3656</v>
      </c>
      <c r="B1901" t="s">
        <v>11</v>
      </c>
      <c r="E1901" t="s">
        <v>11</v>
      </c>
    </row>
    <row r="1902" spans="1:6" hidden="1" x14ac:dyDescent="0.3">
      <c r="A1902" t="s">
        <v>3657</v>
      </c>
      <c r="B1902" t="s">
        <v>13</v>
      </c>
      <c r="C1902" t="s">
        <v>3658</v>
      </c>
      <c r="D1902" t="s">
        <v>15</v>
      </c>
      <c r="E1902" t="s">
        <v>54</v>
      </c>
      <c r="F1902" t="s">
        <v>3659</v>
      </c>
    </row>
    <row r="1903" spans="1:6" hidden="1" x14ac:dyDescent="0.3">
      <c r="A1903" t="s">
        <v>3660</v>
      </c>
      <c r="B1903" t="s">
        <v>9</v>
      </c>
      <c r="C1903" t="s">
        <v>3661</v>
      </c>
      <c r="E1903" t="s">
        <v>11</v>
      </c>
    </row>
    <row r="1904" spans="1:6" hidden="1" x14ac:dyDescent="0.3">
      <c r="A1904" t="s">
        <v>3662</v>
      </c>
      <c r="B1904" t="s">
        <v>13</v>
      </c>
      <c r="C1904" t="s">
        <v>3663</v>
      </c>
      <c r="D1904" t="s">
        <v>15</v>
      </c>
      <c r="E1904" t="s">
        <v>11</v>
      </c>
    </row>
    <row r="1905" spans="1:6" hidden="1" x14ac:dyDescent="0.3">
      <c r="A1905" t="s">
        <v>3664</v>
      </c>
      <c r="B1905" t="s">
        <v>13</v>
      </c>
      <c r="C1905" t="s">
        <v>3665</v>
      </c>
      <c r="E1905" t="s">
        <v>11</v>
      </c>
    </row>
    <row r="1906" spans="1:6" hidden="1" x14ac:dyDescent="0.3">
      <c r="A1906" t="s">
        <v>3666</v>
      </c>
      <c r="B1906" t="s">
        <v>13</v>
      </c>
      <c r="C1906" t="s">
        <v>3667</v>
      </c>
      <c r="E1906" t="s">
        <v>11</v>
      </c>
    </row>
    <row r="1907" spans="1:6" hidden="1" x14ac:dyDescent="0.3">
      <c r="A1907" t="s">
        <v>3668</v>
      </c>
      <c r="B1907" t="s">
        <v>9</v>
      </c>
      <c r="C1907" t="s">
        <v>3669</v>
      </c>
      <c r="E1907" t="s">
        <v>16</v>
      </c>
      <c r="F1907" t="s">
        <v>3670</v>
      </c>
    </row>
    <row r="1908" spans="1:6" x14ac:dyDescent="0.3">
      <c r="A1908" t="s">
        <v>3671</v>
      </c>
      <c r="B1908" t="s">
        <v>9</v>
      </c>
      <c r="C1908" t="s">
        <v>3672</v>
      </c>
      <c r="D1908" t="s">
        <v>15</v>
      </c>
      <c r="E1908" t="s">
        <v>20</v>
      </c>
      <c r="F1908" t="s">
        <v>3673</v>
      </c>
    </row>
    <row r="1909" spans="1:6" hidden="1" x14ac:dyDescent="0.3">
      <c r="A1909" t="s">
        <v>3674</v>
      </c>
      <c r="B1909" t="s">
        <v>11</v>
      </c>
      <c r="E1909" t="s">
        <v>11</v>
      </c>
    </row>
    <row r="1910" spans="1:6" hidden="1" x14ac:dyDescent="0.3">
      <c r="A1910" t="s">
        <v>3675</v>
      </c>
      <c r="B1910" t="s">
        <v>9</v>
      </c>
      <c r="C1910" t="s">
        <v>3545</v>
      </c>
      <c r="D1910" t="s">
        <v>15</v>
      </c>
      <c r="E1910" t="s">
        <v>16</v>
      </c>
      <c r="F1910" t="s">
        <v>1114</v>
      </c>
    </row>
    <row r="1911" spans="1:6" x14ac:dyDescent="0.3">
      <c r="A1911" t="s">
        <v>3676</v>
      </c>
      <c r="B1911" t="s">
        <v>11</v>
      </c>
      <c r="E1911" t="s">
        <v>20</v>
      </c>
      <c r="F1911" t="s">
        <v>3677</v>
      </c>
    </row>
    <row r="1912" spans="1:6" hidden="1" x14ac:dyDescent="0.3">
      <c r="A1912" t="s">
        <v>3678</v>
      </c>
      <c r="B1912" t="s">
        <v>11</v>
      </c>
      <c r="E1912" t="s">
        <v>11</v>
      </c>
    </row>
    <row r="1913" spans="1:6" hidden="1" x14ac:dyDescent="0.3">
      <c r="A1913" t="s">
        <v>3679</v>
      </c>
      <c r="B1913" t="s">
        <v>13</v>
      </c>
      <c r="C1913" t="s">
        <v>3680</v>
      </c>
      <c r="D1913" t="s">
        <v>15</v>
      </c>
      <c r="E1913" t="s">
        <v>11</v>
      </c>
    </row>
    <row r="1914" spans="1:6" hidden="1" x14ac:dyDescent="0.3">
      <c r="A1914" t="s">
        <v>3681</v>
      </c>
      <c r="B1914" t="s">
        <v>9</v>
      </c>
      <c r="C1914" t="s">
        <v>3682</v>
      </c>
      <c r="E1914" t="s">
        <v>54</v>
      </c>
      <c r="F1914" t="s">
        <v>3683</v>
      </c>
    </row>
    <row r="1915" spans="1:6" x14ac:dyDescent="0.3">
      <c r="A1915" t="s">
        <v>3684</v>
      </c>
      <c r="B1915" t="s">
        <v>9</v>
      </c>
      <c r="C1915" t="s">
        <v>3685</v>
      </c>
      <c r="E1915" t="s">
        <v>20</v>
      </c>
      <c r="F1915" t="s">
        <v>135</v>
      </c>
    </row>
    <row r="1916" spans="1:6" hidden="1" x14ac:dyDescent="0.3">
      <c r="A1916" t="s">
        <v>3686</v>
      </c>
      <c r="B1916" t="s">
        <v>13</v>
      </c>
      <c r="C1916" t="s">
        <v>3687</v>
      </c>
      <c r="D1916" t="s">
        <v>15</v>
      </c>
      <c r="E1916" t="s">
        <v>16</v>
      </c>
      <c r="F1916" t="s">
        <v>3688</v>
      </c>
    </row>
    <row r="1917" spans="1:6" hidden="1" x14ac:dyDescent="0.3">
      <c r="A1917" t="s">
        <v>3689</v>
      </c>
      <c r="B1917" t="s">
        <v>11</v>
      </c>
      <c r="E1917" t="s">
        <v>11</v>
      </c>
    </row>
    <row r="1918" spans="1:6" hidden="1" x14ac:dyDescent="0.3">
      <c r="A1918" t="s">
        <v>3690</v>
      </c>
      <c r="B1918" t="s">
        <v>11</v>
      </c>
      <c r="E1918" t="s">
        <v>11</v>
      </c>
    </row>
    <row r="1919" spans="1:6" hidden="1" x14ac:dyDescent="0.3">
      <c r="A1919" t="s">
        <v>3691</v>
      </c>
      <c r="B1919" t="s">
        <v>11</v>
      </c>
      <c r="E1919" t="s">
        <v>11</v>
      </c>
    </row>
    <row r="1920" spans="1:6" x14ac:dyDescent="0.3">
      <c r="A1920" t="s">
        <v>3692</v>
      </c>
      <c r="B1920" t="s">
        <v>13</v>
      </c>
      <c r="C1920" t="s">
        <v>3693</v>
      </c>
      <c r="D1920" t="s">
        <v>15</v>
      </c>
      <c r="E1920" t="s">
        <v>20</v>
      </c>
      <c r="F1920" t="s">
        <v>3694</v>
      </c>
    </row>
    <row r="1921" spans="1:6" hidden="1" x14ac:dyDescent="0.3">
      <c r="A1921" t="s">
        <v>3695</v>
      </c>
      <c r="B1921" t="s">
        <v>13</v>
      </c>
      <c r="C1921" t="s">
        <v>576</v>
      </c>
      <c r="D1921" t="s">
        <v>15</v>
      </c>
      <c r="E1921" t="s">
        <v>16</v>
      </c>
      <c r="F1921" t="s">
        <v>3696</v>
      </c>
    </row>
    <row r="1922" spans="1:6" hidden="1" x14ac:dyDescent="0.3">
      <c r="A1922" t="s">
        <v>3697</v>
      </c>
      <c r="B1922" t="s">
        <v>9</v>
      </c>
      <c r="C1922" t="s">
        <v>3698</v>
      </c>
      <c r="D1922" t="s">
        <v>15</v>
      </c>
      <c r="E1922" t="s">
        <v>11</v>
      </c>
    </row>
    <row r="1923" spans="1:6" x14ac:dyDescent="0.3">
      <c r="A1923" t="s">
        <v>3699</v>
      </c>
      <c r="B1923" t="s">
        <v>9</v>
      </c>
      <c r="C1923" t="s">
        <v>3700</v>
      </c>
      <c r="E1923" t="s">
        <v>20</v>
      </c>
      <c r="F1923" t="s">
        <v>3701</v>
      </c>
    </row>
    <row r="1924" spans="1:6" hidden="1" x14ac:dyDescent="0.3">
      <c r="A1924" t="s">
        <v>3702</v>
      </c>
      <c r="B1924" t="s">
        <v>13</v>
      </c>
      <c r="C1924" t="s">
        <v>3703</v>
      </c>
      <c r="D1924" t="s">
        <v>15</v>
      </c>
      <c r="E1924" t="s">
        <v>11</v>
      </c>
    </row>
    <row r="1925" spans="1:6" hidden="1" x14ac:dyDescent="0.3">
      <c r="A1925" t="s">
        <v>3704</v>
      </c>
      <c r="B1925" t="s">
        <v>9</v>
      </c>
      <c r="C1925" t="s">
        <v>3705</v>
      </c>
      <c r="D1925" t="s">
        <v>15</v>
      </c>
      <c r="E1925" t="s">
        <v>54</v>
      </c>
      <c r="F1925" t="s">
        <v>3706</v>
      </c>
    </row>
    <row r="1926" spans="1:6" hidden="1" x14ac:dyDescent="0.3">
      <c r="A1926" t="s">
        <v>3707</v>
      </c>
      <c r="B1926" t="s">
        <v>9</v>
      </c>
      <c r="C1926" t="s">
        <v>3708</v>
      </c>
      <c r="D1926" t="s">
        <v>15</v>
      </c>
      <c r="E1926" t="s">
        <v>16</v>
      </c>
      <c r="F1926" t="s">
        <v>3709</v>
      </c>
    </row>
    <row r="1927" spans="1:6" x14ac:dyDescent="0.3">
      <c r="A1927" t="s">
        <v>3710</v>
      </c>
      <c r="B1927" t="s">
        <v>13</v>
      </c>
      <c r="C1927" t="s">
        <v>3711</v>
      </c>
      <c r="D1927" t="s">
        <v>15</v>
      </c>
      <c r="E1927" t="s">
        <v>20</v>
      </c>
      <c r="F1927" t="s">
        <v>21</v>
      </c>
    </row>
    <row r="1928" spans="1:6" x14ac:dyDescent="0.3">
      <c r="A1928" t="s">
        <v>3712</v>
      </c>
      <c r="B1928" t="s">
        <v>9</v>
      </c>
      <c r="C1928" t="s">
        <v>3713</v>
      </c>
      <c r="D1928" t="s">
        <v>15</v>
      </c>
      <c r="E1928" t="s">
        <v>20</v>
      </c>
      <c r="F1928" t="s">
        <v>3714</v>
      </c>
    </row>
    <row r="1929" spans="1:6" hidden="1" x14ac:dyDescent="0.3">
      <c r="A1929" t="s">
        <v>3715</v>
      </c>
      <c r="B1929" t="s">
        <v>11</v>
      </c>
      <c r="E1929" t="s">
        <v>11</v>
      </c>
    </row>
    <row r="1930" spans="1:6" hidden="1" x14ac:dyDescent="0.3">
      <c r="A1930" t="s">
        <v>3716</v>
      </c>
      <c r="B1930" t="s">
        <v>13</v>
      </c>
      <c r="C1930" t="s">
        <v>3717</v>
      </c>
      <c r="E1930" t="s">
        <v>11</v>
      </c>
    </row>
    <row r="1931" spans="1:6" hidden="1" x14ac:dyDescent="0.3">
      <c r="A1931" t="s">
        <v>3718</v>
      </c>
      <c r="B1931" t="s">
        <v>9</v>
      </c>
      <c r="C1931" t="s">
        <v>3719</v>
      </c>
      <c r="D1931" t="s">
        <v>15</v>
      </c>
      <c r="E1931" t="s">
        <v>11</v>
      </c>
    </row>
    <row r="1932" spans="1:6" hidden="1" x14ac:dyDescent="0.3">
      <c r="A1932" t="s">
        <v>3720</v>
      </c>
      <c r="B1932" t="s">
        <v>11</v>
      </c>
      <c r="E1932" t="s">
        <v>11</v>
      </c>
    </row>
    <row r="1933" spans="1:6" x14ac:dyDescent="0.3">
      <c r="A1933" t="s">
        <v>3721</v>
      </c>
      <c r="B1933" t="s">
        <v>9</v>
      </c>
      <c r="C1933" t="s">
        <v>3722</v>
      </c>
      <c r="D1933" t="s">
        <v>15</v>
      </c>
      <c r="E1933" t="s">
        <v>20</v>
      </c>
      <c r="F1933" t="s">
        <v>1222</v>
      </c>
    </row>
    <row r="1934" spans="1:6" hidden="1" x14ac:dyDescent="0.3">
      <c r="A1934" t="s">
        <v>3723</v>
      </c>
      <c r="B1934" t="s">
        <v>9</v>
      </c>
      <c r="C1934" t="s">
        <v>3724</v>
      </c>
      <c r="E1934" t="s">
        <v>16</v>
      </c>
      <c r="F1934" t="s">
        <v>360</v>
      </c>
    </row>
    <row r="1935" spans="1:6" hidden="1" x14ac:dyDescent="0.3">
      <c r="A1935" t="s">
        <v>3725</v>
      </c>
      <c r="B1935" t="s">
        <v>9</v>
      </c>
      <c r="C1935" t="s">
        <v>3726</v>
      </c>
      <c r="E1935" t="s">
        <v>16</v>
      </c>
      <c r="F1935" t="s">
        <v>3727</v>
      </c>
    </row>
    <row r="1936" spans="1:6" hidden="1" x14ac:dyDescent="0.3">
      <c r="A1936" t="s">
        <v>3728</v>
      </c>
      <c r="B1936" t="s">
        <v>9</v>
      </c>
      <c r="C1936" t="s">
        <v>679</v>
      </c>
      <c r="D1936" t="s">
        <v>15</v>
      </c>
      <c r="E1936" t="s">
        <v>16</v>
      </c>
      <c r="F1936" t="s">
        <v>3729</v>
      </c>
    </row>
    <row r="1937" spans="1:6" hidden="1" x14ac:dyDescent="0.3">
      <c r="A1937" t="s">
        <v>3730</v>
      </c>
      <c r="B1937" t="s">
        <v>13</v>
      </c>
      <c r="C1937" t="s">
        <v>576</v>
      </c>
      <c r="D1937" t="s">
        <v>15</v>
      </c>
      <c r="E1937" t="s">
        <v>54</v>
      </c>
      <c r="F1937" t="s">
        <v>3731</v>
      </c>
    </row>
    <row r="1938" spans="1:6" hidden="1" x14ac:dyDescent="0.3">
      <c r="A1938" t="s">
        <v>3732</v>
      </c>
      <c r="B1938" t="s">
        <v>9</v>
      </c>
      <c r="C1938" t="s">
        <v>28</v>
      </c>
      <c r="D1938" t="s">
        <v>15</v>
      </c>
      <c r="E1938" t="s">
        <v>11</v>
      </c>
    </row>
    <row r="1939" spans="1:6" hidden="1" x14ac:dyDescent="0.3">
      <c r="A1939" t="s">
        <v>3733</v>
      </c>
      <c r="B1939" t="s">
        <v>13</v>
      </c>
      <c r="C1939" t="s">
        <v>3734</v>
      </c>
      <c r="D1939" t="s">
        <v>15</v>
      </c>
      <c r="E1939" t="s">
        <v>16</v>
      </c>
      <c r="F1939" t="s">
        <v>3735</v>
      </c>
    </row>
    <row r="1940" spans="1:6" hidden="1" x14ac:dyDescent="0.3">
      <c r="A1940" t="s">
        <v>3736</v>
      </c>
      <c r="B1940" t="s">
        <v>9</v>
      </c>
      <c r="C1940" t="s">
        <v>3737</v>
      </c>
      <c r="D1940" t="s">
        <v>15</v>
      </c>
      <c r="E1940" t="s">
        <v>11</v>
      </c>
    </row>
    <row r="1941" spans="1:6" hidden="1" x14ac:dyDescent="0.3">
      <c r="A1941" t="s">
        <v>3738</v>
      </c>
      <c r="B1941" t="s">
        <v>11</v>
      </c>
      <c r="E1941" t="s">
        <v>11</v>
      </c>
    </row>
    <row r="1942" spans="1:6" hidden="1" x14ac:dyDescent="0.3">
      <c r="A1942" t="s">
        <v>3739</v>
      </c>
      <c r="B1942" t="s">
        <v>9</v>
      </c>
      <c r="C1942" t="s">
        <v>3740</v>
      </c>
      <c r="D1942" t="s">
        <v>15</v>
      </c>
      <c r="E1942" t="s">
        <v>54</v>
      </c>
      <c r="F1942" t="s">
        <v>3741</v>
      </c>
    </row>
    <row r="1943" spans="1:6" hidden="1" x14ac:dyDescent="0.3">
      <c r="A1943" t="s">
        <v>3742</v>
      </c>
      <c r="B1943" t="s">
        <v>9</v>
      </c>
      <c r="C1943" t="s">
        <v>3743</v>
      </c>
      <c r="D1943" t="s">
        <v>15</v>
      </c>
      <c r="E1943" t="s">
        <v>16</v>
      </c>
      <c r="F1943" t="s">
        <v>528</v>
      </c>
    </row>
    <row r="1944" spans="1:6" hidden="1" x14ac:dyDescent="0.3">
      <c r="A1944" t="s">
        <v>3744</v>
      </c>
      <c r="B1944" t="s">
        <v>9</v>
      </c>
      <c r="C1944" t="s">
        <v>28</v>
      </c>
      <c r="D1944" t="s">
        <v>15</v>
      </c>
      <c r="E1944" t="s">
        <v>16</v>
      </c>
      <c r="F1944" t="s">
        <v>88</v>
      </c>
    </row>
    <row r="1945" spans="1:6" hidden="1" x14ac:dyDescent="0.3">
      <c r="A1945" t="s">
        <v>3745</v>
      </c>
      <c r="B1945" t="s">
        <v>9</v>
      </c>
      <c r="C1945" t="s">
        <v>874</v>
      </c>
      <c r="E1945" t="s">
        <v>11</v>
      </c>
    </row>
    <row r="1946" spans="1:6" hidden="1" x14ac:dyDescent="0.3">
      <c r="A1946" t="s">
        <v>3746</v>
      </c>
      <c r="B1946" t="s">
        <v>9</v>
      </c>
      <c r="C1946" t="s">
        <v>28</v>
      </c>
      <c r="E1946" t="s">
        <v>11</v>
      </c>
    </row>
    <row r="1947" spans="1:6" hidden="1" x14ac:dyDescent="0.3">
      <c r="A1947" t="s">
        <v>3747</v>
      </c>
      <c r="B1947" t="s">
        <v>9</v>
      </c>
      <c r="C1947" t="s">
        <v>3748</v>
      </c>
      <c r="E1947" t="s">
        <v>54</v>
      </c>
      <c r="F1947" t="s">
        <v>3749</v>
      </c>
    </row>
    <row r="1948" spans="1:6" hidden="1" x14ac:dyDescent="0.3">
      <c r="A1948" t="s">
        <v>3750</v>
      </c>
      <c r="B1948" t="s">
        <v>9</v>
      </c>
      <c r="C1948" t="s">
        <v>28</v>
      </c>
      <c r="D1948" t="s">
        <v>15</v>
      </c>
      <c r="E1948" t="s">
        <v>54</v>
      </c>
      <c r="F1948" t="s">
        <v>3751</v>
      </c>
    </row>
    <row r="1949" spans="1:6" hidden="1" x14ac:dyDescent="0.3">
      <c r="A1949" t="s">
        <v>3752</v>
      </c>
      <c r="B1949" t="s">
        <v>13</v>
      </c>
      <c r="C1949" t="s">
        <v>3753</v>
      </c>
      <c r="D1949" t="s">
        <v>15</v>
      </c>
      <c r="E1949" t="s">
        <v>16</v>
      </c>
      <c r="F1949" t="s">
        <v>3754</v>
      </c>
    </row>
    <row r="1950" spans="1:6" x14ac:dyDescent="0.3">
      <c r="A1950" t="s">
        <v>3755</v>
      </c>
      <c r="B1950" t="s">
        <v>9</v>
      </c>
      <c r="C1950" t="s">
        <v>847</v>
      </c>
      <c r="D1950" t="s">
        <v>15</v>
      </c>
      <c r="E1950" t="s">
        <v>20</v>
      </c>
      <c r="F1950" t="s">
        <v>21</v>
      </c>
    </row>
    <row r="1951" spans="1:6" hidden="1" x14ac:dyDescent="0.3">
      <c r="A1951" t="s">
        <v>3756</v>
      </c>
      <c r="B1951" t="s">
        <v>9</v>
      </c>
      <c r="C1951" t="s">
        <v>3757</v>
      </c>
      <c r="D1951" t="s">
        <v>15</v>
      </c>
      <c r="E1951" t="s">
        <v>54</v>
      </c>
      <c r="F1951" t="s">
        <v>3758</v>
      </c>
    </row>
    <row r="1952" spans="1:6" x14ac:dyDescent="0.3">
      <c r="A1952" t="s">
        <v>3759</v>
      </c>
      <c r="B1952" t="s">
        <v>9</v>
      </c>
      <c r="C1952" t="s">
        <v>3760</v>
      </c>
      <c r="D1952" t="s">
        <v>15</v>
      </c>
      <c r="E1952" t="s">
        <v>20</v>
      </c>
      <c r="F1952" t="s">
        <v>3761</v>
      </c>
    </row>
    <row r="1953" spans="1:8" hidden="1" x14ac:dyDescent="0.3">
      <c r="A1953" t="s">
        <v>3762</v>
      </c>
      <c r="B1953" t="s">
        <v>13</v>
      </c>
      <c r="C1953" t="s">
        <v>3763</v>
      </c>
      <c r="D1953" t="s">
        <v>15</v>
      </c>
      <c r="E1953" t="s">
        <v>11</v>
      </c>
    </row>
    <row r="1954" spans="1:8" hidden="1" x14ac:dyDescent="0.3">
      <c r="A1954" t="s">
        <v>3764</v>
      </c>
      <c r="B1954" t="s">
        <v>11</v>
      </c>
      <c r="E1954" t="s">
        <v>11</v>
      </c>
    </row>
    <row r="1955" spans="1:8" hidden="1" x14ac:dyDescent="0.3">
      <c r="A1955" t="s">
        <v>3765</v>
      </c>
      <c r="B1955" t="s">
        <v>9</v>
      </c>
      <c r="C1955" t="s">
        <v>3766</v>
      </c>
      <c r="D1955" t="s">
        <v>15</v>
      </c>
      <c r="E1955" t="s">
        <v>11</v>
      </c>
    </row>
    <row r="1956" spans="1:8" hidden="1" x14ac:dyDescent="0.3">
      <c r="A1956" t="s">
        <v>3767</v>
      </c>
      <c r="B1956" t="s">
        <v>11</v>
      </c>
      <c r="E1956" t="s">
        <v>11</v>
      </c>
    </row>
    <row r="1957" spans="1:8" hidden="1" x14ac:dyDescent="0.3">
      <c r="A1957" t="s">
        <v>3768</v>
      </c>
      <c r="B1957" t="s">
        <v>13</v>
      </c>
      <c r="C1957" t="s">
        <v>112</v>
      </c>
      <c r="D1957" t="s">
        <v>15</v>
      </c>
      <c r="E1957" t="s">
        <v>54</v>
      </c>
      <c r="F1957" t="s">
        <v>588</v>
      </c>
    </row>
    <row r="1958" spans="1:8" hidden="1" x14ac:dyDescent="0.3">
      <c r="A1958" t="s">
        <v>3769</v>
      </c>
      <c r="B1958" t="s">
        <v>9</v>
      </c>
      <c r="C1958" t="s">
        <v>3770</v>
      </c>
      <c r="E1958" t="s">
        <v>11</v>
      </c>
    </row>
    <row r="1959" spans="1:8" hidden="1" x14ac:dyDescent="0.3">
      <c r="A1959" t="s">
        <v>3771</v>
      </c>
      <c r="B1959" t="s">
        <v>13</v>
      </c>
      <c r="C1959" t="s">
        <v>3772</v>
      </c>
      <c r="D1959" t="s">
        <v>15</v>
      </c>
      <c r="E1959" t="s">
        <v>16</v>
      </c>
      <c r="F1959" t="s">
        <v>45</v>
      </c>
    </row>
    <row r="1960" spans="1:8" hidden="1" x14ac:dyDescent="0.3">
      <c r="A1960" t="s">
        <v>3773</v>
      </c>
      <c r="B1960" t="s">
        <v>9</v>
      </c>
      <c r="C1960" t="s">
        <v>3774</v>
      </c>
      <c r="E1960" t="s">
        <v>11</v>
      </c>
    </row>
    <row r="1961" spans="1:8" hidden="1" x14ac:dyDescent="0.3">
      <c r="A1961" t="s">
        <v>3775</v>
      </c>
      <c r="B1961" t="s">
        <v>9</v>
      </c>
      <c r="C1961" t="s">
        <v>3776</v>
      </c>
      <c r="D1961" t="s">
        <v>15</v>
      </c>
      <c r="E1961" t="s">
        <v>16</v>
      </c>
      <c r="F1961" t="s">
        <v>3777</v>
      </c>
    </row>
    <row r="1962" spans="1:8" hidden="1" x14ac:dyDescent="0.3">
      <c r="A1962" t="s">
        <v>3778</v>
      </c>
      <c r="B1962" t="s">
        <v>13</v>
      </c>
      <c r="C1962" t="s">
        <v>3779</v>
      </c>
      <c r="E1962" t="s">
        <v>54</v>
      </c>
      <c r="F1962" t="s">
        <v>3780</v>
      </c>
      <c r="G1962" t="s">
        <v>15</v>
      </c>
      <c r="H1962" t="s">
        <v>3781</v>
      </c>
    </row>
    <row r="1963" spans="1:8" hidden="1" x14ac:dyDescent="0.3">
      <c r="A1963" t="s">
        <v>3782</v>
      </c>
      <c r="B1963" t="s">
        <v>13</v>
      </c>
      <c r="C1963" t="s">
        <v>3783</v>
      </c>
      <c r="D1963" t="s">
        <v>15</v>
      </c>
      <c r="E1963" t="s">
        <v>54</v>
      </c>
      <c r="F1963" t="s">
        <v>3784</v>
      </c>
    </row>
    <row r="1964" spans="1:8" hidden="1" x14ac:dyDescent="0.3">
      <c r="A1964" t="s">
        <v>3785</v>
      </c>
      <c r="B1964" t="s">
        <v>11</v>
      </c>
      <c r="E1964" t="s">
        <v>11</v>
      </c>
    </row>
    <row r="1965" spans="1:8" x14ac:dyDescent="0.3">
      <c r="A1965" t="s">
        <v>3786</v>
      </c>
      <c r="B1965" t="s">
        <v>13</v>
      </c>
      <c r="C1965" t="s">
        <v>3787</v>
      </c>
      <c r="D1965" t="s">
        <v>15</v>
      </c>
      <c r="E1965" t="s">
        <v>20</v>
      </c>
      <c r="F1965" t="s">
        <v>3788</v>
      </c>
    </row>
    <row r="1966" spans="1:8" x14ac:dyDescent="0.3">
      <c r="A1966" t="s">
        <v>3789</v>
      </c>
      <c r="B1966" t="s">
        <v>13</v>
      </c>
      <c r="C1966" t="s">
        <v>3790</v>
      </c>
      <c r="D1966" t="s">
        <v>15</v>
      </c>
      <c r="E1966" t="s">
        <v>20</v>
      </c>
      <c r="F1966" t="s">
        <v>3791</v>
      </c>
    </row>
    <row r="1967" spans="1:8" hidden="1" x14ac:dyDescent="0.3">
      <c r="A1967" t="s">
        <v>3792</v>
      </c>
      <c r="B1967" t="s">
        <v>9</v>
      </c>
      <c r="C1967" t="s">
        <v>841</v>
      </c>
      <c r="E1967" t="s">
        <v>11</v>
      </c>
    </row>
    <row r="1968" spans="1:8" x14ac:dyDescent="0.3">
      <c r="A1968" t="s">
        <v>3793</v>
      </c>
      <c r="B1968" t="s">
        <v>9</v>
      </c>
      <c r="C1968" t="s">
        <v>3794</v>
      </c>
      <c r="D1968" t="s">
        <v>15</v>
      </c>
      <c r="E1968" t="s">
        <v>20</v>
      </c>
      <c r="F1968" t="s">
        <v>3795</v>
      </c>
    </row>
    <row r="1969" spans="1:6" hidden="1" x14ac:dyDescent="0.3">
      <c r="A1969" t="s">
        <v>3796</v>
      </c>
      <c r="B1969" t="s">
        <v>9</v>
      </c>
      <c r="C1969" t="s">
        <v>3797</v>
      </c>
      <c r="D1969" t="s">
        <v>15</v>
      </c>
      <c r="E1969" t="s">
        <v>16</v>
      </c>
      <c r="F1969" t="s">
        <v>3798</v>
      </c>
    </row>
    <row r="1970" spans="1:6" x14ac:dyDescent="0.3">
      <c r="A1970" t="s">
        <v>3799</v>
      </c>
      <c r="B1970" t="s">
        <v>9</v>
      </c>
      <c r="C1970" t="s">
        <v>3800</v>
      </c>
      <c r="D1970" t="s">
        <v>15</v>
      </c>
      <c r="E1970" t="s">
        <v>20</v>
      </c>
      <c r="F1970" t="s">
        <v>3801</v>
      </c>
    </row>
    <row r="1971" spans="1:6" x14ac:dyDescent="0.3">
      <c r="A1971" t="s">
        <v>3802</v>
      </c>
      <c r="B1971" t="s">
        <v>9</v>
      </c>
      <c r="C1971" t="s">
        <v>2039</v>
      </c>
      <c r="D1971" t="s">
        <v>15</v>
      </c>
      <c r="E1971" t="s">
        <v>20</v>
      </c>
      <c r="F1971" t="s">
        <v>3803</v>
      </c>
    </row>
    <row r="1972" spans="1:6" x14ac:dyDescent="0.3">
      <c r="A1972" t="s">
        <v>3804</v>
      </c>
      <c r="B1972" t="s">
        <v>9</v>
      </c>
      <c r="C1972" t="s">
        <v>3805</v>
      </c>
      <c r="D1972" t="s">
        <v>15</v>
      </c>
      <c r="E1972" t="s">
        <v>20</v>
      </c>
      <c r="F1972" t="s">
        <v>3806</v>
      </c>
    </row>
    <row r="1973" spans="1:6" hidden="1" x14ac:dyDescent="0.3">
      <c r="A1973" t="s">
        <v>3807</v>
      </c>
      <c r="B1973" t="s">
        <v>13</v>
      </c>
      <c r="C1973" t="s">
        <v>3808</v>
      </c>
      <c r="E1973" t="s">
        <v>11</v>
      </c>
    </row>
    <row r="1974" spans="1:6" hidden="1" x14ac:dyDescent="0.3">
      <c r="A1974" t="s">
        <v>3809</v>
      </c>
      <c r="B1974" t="s">
        <v>9</v>
      </c>
      <c r="C1974" t="s">
        <v>28</v>
      </c>
      <c r="E1974" t="s">
        <v>11</v>
      </c>
    </row>
    <row r="1975" spans="1:6" hidden="1" x14ac:dyDescent="0.3">
      <c r="A1975" t="s">
        <v>3810</v>
      </c>
      <c r="B1975" t="s">
        <v>9</v>
      </c>
      <c r="C1975" t="s">
        <v>876</v>
      </c>
      <c r="D1975" t="s">
        <v>15</v>
      </c>
      <c r="E1975" t="s">
        <v>11</v>
      </c>
    </row>
    <row r="1976" spans="1:6" x14ac:dyDescent="0.3">
      <c r="A1976" t="s">
        <v>3811</v>
      </c>
      <c r="B1976" t="s">
        <v>9</v>
      </c>
      <c r="C1976" t="s">
        <v>3812</v>
      </c>
      <c r="D1976" t="s">
        <v>15</v>
      </c>
      <c r="E1976" t="s">
        <v>20</v>
      </c>
      <c r="F1976" t="s">
        <v>3813</v>
      </c>
    </row>
    <row r="1977" spans="1:6" x14ac:dyDescent="0.3">
      <c r="A1977" t="s">
        <v>3814</v>
      </c>
      <c r="B1977" t="s">
        <v>9</v>
      </c>
      <c r="C1977" t="s">
        <v>3815</v>
      </c>
      <c r="E1977" t="s">
        <v>20</v>
      </c>
      <c r="F1977" t="s">
        <v>3816</v>
      </c>
    </row>
    <row r="1978" spans="1:6" hidden="1" x14ac:dyDescent="0.3">
      <c r="A1978" t="s">
        <v>3817</v>
      </c>
      <c r="B1978" t="s">
        <v>9</v>
      </c>
      <c r="C1978" t="s">
        <v>1680</v>
      </c>
      <c r="E1978" t="s">
        <v>16</v>
      </c>
      <c r="F1978" t="s">
        <v>1681</v>
      </c>
    </row>
    <row r="1979" spans="1:6" hidden="1" x14ac:dyDescent="0.3">
      <c r="A1979" t="s">
        <v>3818</v>
      </c>
      <c r="B1979" t="s">
        <v>9</v>
      </c>
      <c r="C1979" t="s">
        <v>3819</v>
      </c>
      <c r="E1979" t="s">
        <v>11</v>
      </c>
    </row>
    <row r="1980" spans="1:6" hidden="1" x14ac:dyDescent="0.3">
      <c r="A1980" t="s">
        <v>3820</v>
      </c>
      <c r="B1980" t="s">
        <v>13</v>
      </c>
      <c r="C1980" t="s">
        <v>3821</v>
      </c>
      <c r="D1980" t="s">
        <v>15</v>
      </c>
      <c r="E1980" t="s">
        <v>54</v>
      </c>
      <c r="F1980" t="s">
        <v>3822</v>
      </c>
    </row>
    <row r="1981" spans="1:6" x14ac:dyDescent="0.3">
      <c r="A1981" t="s">
        <v>3823</v>
      </c>
      <c r="B1981" t="s">
        <v>9</v>
      </c>
      <c r="C1981" t="s">
        <v>28</v>
      </c>
      <c r="E1981" t="s">
        <v>20</v>
      </c>
      <c r="F1981" t="s">
        <v>21</v>
      </c>
    </row>
    <row r="1982" spans="1:6" hidden="1" x14ac:dyDescent="0.3">
      <c r="A1982" t="s">
        <v>3824</v>
      </c>
      <c r="B1982" t="s">
        <v>13</v>
      </c>
      <c r="C1982" t="s">
        <v>3825</v>
      </c>
      <c r="D1982" t="s">
        <v>15</v>
      </c>
      <c r="E1982" t="s">
        <v>16</v>
      </c>
      <c r="F1982" t="s">
        <v>138</v>
      </c>
    </row>
    <row r="1983" spans="1:6" hidden="1" x14ac:dyDescent="0.3">
      <c r="A1983" t="s">
        <v>3826</v>
      </c>
      <c r="B1983" t="s">
        <v>9</v>
      </c>
      <c r="C1983" t="s">
        <v>3827</v>
      </c>
      <c r="E1983" t="s">
        <v>54</v>
      </c>
      <c r="F1983" t="s">
        <v>1069</v>
      </c>
    </row>
    <row r="1984" spans="1:6" hidden="1" x14ac:dyDescent="0.3">
      <c r="A1984" t="s">
        <v>3828</v>
      </c>
      <c r="B1984" t="s">
        <v>9</v>
      </c>
      <c r="C1984" t="s">
        <v>679</v>
      </c>
      <c r="E1984" t="s">
        <v>11</v>
      </c>
    </row>
    <row r="1985" spans="1:6" hidden="1" x14ac:dyDescent="0.3">
      <c r="A1985" t="s">
        <v>3829</v>
      </c>
      <c r="B1985" t="s">
        <v>11</v>
      </c>
      <c r="E1985" t="s">
        <v>11</v>
      </c>
    </row>
    <row r="1986" spans="1:6" hidden="1" x14ac:dyDescent="0.3">
      <c r="A1986" t="s">
        <v>3830</v>
      </c>
      <c r="B1986" t="s">
        <v>9</v>
      </c>
      <c r="C1986" t="s">
        <v>3831</v>
      </c>
      <c r="D1986" t="s">
        <v>15</v>
      </c>
      <c r="E1986" t="s">
        <v>16</v>
      </c>
      <c r="F1986" t="s">
        <v>3832</v>
      </c>
    </row>
    <row r="1987" spans="1:6" x14ac:dyDescent="0.3">
      <c r="A1987" t="s">
        <v>3833</v>
      </c>
      <c r="B1987" t="s">
        <v>13</v>
      </c>
      <c r="C1987" t="s">
        <v>3834</v>
      </c>
      <c r="E1987" t="s">
        <v>20</v>
      </c>
      <c r="F1987" t="s">
        <v>3835</v>
      </c>
    </row>
    <row r="1988" spans="1:6" x14ac:dyDescent="0.3">
      <c r="A1988" t="s">
        <v>3836</v>
      </c>
      <c r="B1988" t="s">
        <v>13</v>
      </c>
      <c r="C1988" t="s">
        <v>3837</v>
      </c>
      <c r="E1988" t="s">
        <v>20</v>
      </c>
      <c r="F1988" t="s">
        <v>3838</v>
      </c>
    </row>
    <row r="1989" spans="1:6" hidden="1" x14ac:dyDescent="0.3">
      <c r="A1989" t="s">
        <v>3839</v>
      </c>
      <c r="B1989" t="s">
        <v>13</v>
      </c>
      <c r="C1989" t="s">
        <v>3840</v>
      </c>
      <c r="E1989" t="s">
        <v>11</v>
      </c>
    </row>
    <row r="1990" spans="1:6" x14ac:dyDescent="0.3">
      <c r="A1990" t="s">
        <v>3841</v>
      </c>
      <c r="B1990" t="s">
        <v>9</v>
      </c>
      <c r="C1990" t="s">
        <v>3842</v>
      </c>
      <c r="E1990" t="s">
        <v>20</v>
      </c>
      <c r="F1990" t="s">
        <v>3843</v>
      </c>
    </row>
    <row r="1991" spans="1:6" x14ac:dyDescent="0.3">
      <c r="A1991" t="s">
        <v>3844</v>
      </c>
      <c r="B1991" t="s">
        <v>9</v>
      </c>
      <c r="C1991" t="s">
        <v>28</v>
      </c>
      <c r="D1991" t="s">
        <v>15</v>
      </c>
      <c r="E1991" t="s">
        <v>20</v>
      </c>
      <c r="F1991" t="s">
        <v>893</v>
      </c>
    </row>
    <row r="1992" spans="1:6" hidden="1" x14ac:dyDescent="0.3">
      <c r="A1992" t="s">
        <v>3845</v>
      </c>
      <c r="B1992" t="s">
        <v>13</v>
      </c>
      <c r="C1992" t="s">
        <v>3846</v>
      </c>
      <c r="E1992" t="s">
        <v>16</v>
      </c>
      <c r="F1992" t="s">
        <v>3847</v>
      </c>
    </row>
    <row r="1993" spans="1:6" hidden="1" x14ac:dyDescent="0.3">
      <c r="A1993" t="s">
        <v>3848</v>
      </c>
      <c r="B1993" t="s">
        <v>197</v>
      </c>
      <c r="C1993" t="s">
        <v>3849</v>
      </c>
      <c r="E1993" t="s">
        <v>11</v>
      </c>
    </row>
    <row r="1994" spans="1:6" hidden="1" x14ac:dyDescent="0.3">
      <c r="A1994" t="s">
        <v>3850</v>
      </c>
      <c r="B1994" t="s">
        <v>9</v>
      </c>
      <c r="C1994" t="s">
        <v>3851</v>
      </c>
      <c r="D1994" t="s">
        <v>15</v>
      </c>
      <c r="E1994" t="s">
        <v>11</v>
      </c>
    </row>
    <row r="1995" spans="1:6" hidden="1" x14ac:dyDescent="0.3">
      <c r="A1995" t="s">
        <v>3852</v>
      </c>
      <c r="B1995" t="s">
        <v>13</v>
      </c>
      <c r="C1995" t="s">
        <v>3853</v>
      </c>
      <c r="E1995" t="s">
        <v>11</v>
      </c>
    </row>
    <row r="1996" spans="1:6" hidden="1" x14ac:dyDescent="0.3">
      <c r="A1996" t="s">
        <v>3854</v>
      </c>
      <c r="B1996" t="s">
        <v>11</v>
      </c>
      <c r="E1996" t="s">
        <v>11</v>
      </c>
    </row>
    <row r="1997" spans="1:6" x14ac:dyDescent="0.3">
      <c r="A1997" t="s">
        <v>3855</v>
      </c>
      <c r="B1997" t="s">
        <v>9</v>
      </c>
      <c r="C1997" t="s">
        <v>3856</v>
      </c>
      <c r="E1997" t="s">
        <v>20</v>
      </c>
      <c r="F1997" t="s">
        <v>42</v>
      </c>
    </row>
    <row r="1998" spans="1:6" hidden="1" x14ac:dyDescent="0.3">
      <c r="A1998" t="s">
        <v>3857</v>
      </c>
      <c r="B1998" t="s">
        <v>9</v>
      </c>
      <c r="C1998" t="s">
        <v>28</v>
      </c>
      <c r="E1998" t="s">
        <v>11</v>
      </c>
    </row>
    <row r="1999" spans="1:6" hidden="1" x14ac:dyDescent="0.3">
      <c r="A1999" t="s">
        <v>3858</v>
      </c>
      <c r="B1999" t="s">
        <v>13</v>
      </c>
      <c r="C1999" t="s">
        <v>112</v>
      </c>
      <c r="E1999" t="s">
        <v>54</v>
      </c>
      <c r="F1999" t="s">
        <v>450</v>
      </c>
    </row>
    <row r="2000" spans="1:6" hidden="1" x14ac:dyDescent="0.3">
      <c r="A2000" t="s">
        <v>3859</v>
      </c>
      <c r="B2000" t="s">
        <v>13</v>
      </c>
      <c r="C2000" t="s">
        <v>3860</v>
      </c>
      <c r="E2000" t="s">
        <v>11</v>
      </c>
    </row>
    <row r="2001" spans="1:6" hidden="1" x14ac:dyDescent="0.3">
      <c r="A2001" t="s">
        <v>3861</v>
      </c>
      <c r="B2001" t="s">
        <v>11</v>
      </c>
      <c r="E2001" t="s">
        <v>11</v>
      </c>
    </row>
    <row r="2002" spans="1:6" hidden="1" x14ac:dyDescent="0.3">
      <c r="A2002" t="s">
        <v>3862</v>
      </c>
      <c r="B2002" t="s">
        <v>11</v>
      </c>
      <c r="E2002" t="s">
        <v>54</v>
      </c>
      <c r="F2002" t="s">
        <v>3863</v>
      </c>
    </row>
    <row r="2003" spans="1:6" hidden="1" x14ac:dyDescent="0.3">
      <c r="A2003" t="s">
        <v>3864</v>
      </c>
      <c r="B2003" t="s">
        <v>11</v>
      </c>
      <c r="E2003" t="s">
        <v>11</v>
      </c>
    </row>
    <row r="2004" spans="1:6" x14ac:dyDescent="0.3">
      <c r="A2004" t="s">
        <v>3865</v>
      </c>
      <c r="B2004" t="s">
        <v>9</v>
      </c>
      <c r="C2004" t="s">
        <v>3866</v>
      </c>
      <c r="E2004" t="s">
        <v>20</v>
      </c>
      <c r="F2004" t="s">
        <v>42</v>
      </c>
    </row>
    <row r="2005" spans="1:6" hidden="1" x14ac:dyDescent="0.3">
      <c r="A2005" t="s">
        <v>3867</v>
      </c>
      <c r="B2005" t="s">
        <v>13</v>
      </c>
      <c r="C2005" t="s">
        <v>3868</v>
      </c>
      <c r="D2005" t="s">
        <v>15</v>
      </c>
      <c r="E2005" t="s">
        <v>54</v>
      </c>
      <c r="F2005" t="s">
        <v>3869</v>
      </c>
    </row>
    <row r="2006" spans="1:6" hidden="1" x14ac:dyDescent="0.3">
      <c r="A2006" t="s">
        <v>3870</v>
      </c>
      <c r="B2006" t="s">
        <v>9</v>
      </c>
      <c r="C2006" t="s">
        <v>3871</v>
      </c>
      <c r="D2006" t="s">
        <v>15</v>
      </c>
      <c r="E2006" t="s">
        <v>54</v>
      </c>
      <c r="F2006" t="s">
        <v>3872</v>
      </c>
    </row>
    <row r="2007" spans="1:6" hidden="1" x14ac:dyDescent="0.3">
      <c r="A2007" t="s">
        <v>3873</v>
      </c>
      <c r="B2007" t="s">
        <v>9</v>
      </c>
      <c r="C2007" t="s">
        <v>3874</v>
      </c>
      <c r="D2007" t="s">
        <v>15</v>
      </c>
      <c r="E2007" t="s">
        <v>54</v>
      </c>
      <c r="F2007" t="s">
        <v>3863</v>
      </c>
    </row>
    <row r="2008" spans="1:6" hidden="1" x14ac:dyDescent="0.3">
      <c r="A2008" t="s">
        <v>3875</v>
      </c>
      <c r="B2008" t="s">
        <v>9</v>
      </c>
      <c r="C2008" t="s">
        <v>28</v>
      </c>
      <c r="D2008" t="s">
        <v>15</v>
      </c>
      <c r="E2008" t="s">
        <v>11</v>
      </c>
    </row>
    <row r="2009" spans="1:6" hidden="1" x14ac:dyDescent="0.3">
      <c r="A2009" t="s">
        <v>3876</v>
      </c>
      <c r="B2009" t="s">
        <v>9</v>
      </c>
      <c r="C2009" t="s">
        <v>28</v>
      </c>
      <c r="E2009" t="s">
        <v>11</v>
      </c>
    </row>
    <row r="2010" spans="1:6" x14ac:dyDescent="0.3">
      <c r="A2010" t="s">
        <v>3877</v>
      </c>
      <c r="B2010" t="s">
        <v>9</v>
      </c>
      <c r="C2010" t="s">
        <v>3878</v>
      </c>
      <c r="E2010" t="s">
        <v>20</v>
      </c>
      <c r="F2010" t="s">
        <v>3879</v>
      </c>
    </row>
    <row r="2011" spans="1:6" hidden="1" x14ac:dyDescent="0.3">
      <c r="A2011" t="s">
        <v>3880</v>
      </c>
      <c r="B2011" t="s">
        <v>9</v>
      </c>
      <c r="C2011" t="s">
        <v>3881</v>
      </c>
      <c r="D2011" t="s">
        <v>15</v>
      </c>
      <c r="E2011" t="s">
        <v>11</v>
      </c>
    </row>
    <row r="2012" spans="1:6" hidden="1" x14ac:dyDescent="0.3">
      <c r="A2012" t="s">
        <v>3882</v>
      </c>
      <c r="B2012" t="s">
        <v>11</v>
      </c>
      <c r="E2012" t="s">
        <v>11</v>
      </c>
    </row>
    <row r="2013" spans="1:6" hidden="1" x14ac:dyDescent="0.3">
      <c r="A2013" t="s">
        <v>3883</v>
      </c>
      <c r="B2013" t="s">
        <v>13</v>
      </c>
      <c r="C2013" t="s">
        <v>3884</v>
      </c>
      <c r="E2013" t="s">
        <v>11</v>
      </c>
    </row>
    <row r="2014" spans="1:6" x14ac:dyDescent="0.3">
      <c r="A2014" t="s">
        <v>3885</v>
      </c>
      <c r="B2014" t="s">
        <v>9</v>
      </c>
      <c r="C2014" t="s">
        <v>28</v>
      </c>
      <c r="D2014" t="s">
        <v>15</v>
      </c>
      <c r="E2014" t="s">
        <v>20</v>
      </c>
      <c r="F2014" t="s">
        <v>3886</v>
      </c>
    </row>
    <row r="2015" spans="1:6" hidden="1" x14ac:dyDescent="0.3">
      <c r="A2015" t="s">
        <v>3887</v>
      </c>
      <c r="B2015" t="s">
        <v>9</v>
      </c>
      <c r="C2015" t="s">
        <v>3514</v>
      </c>
      <c r="E2015" t="s">
        <v>11</v>
      </c>
    </row>
    <row r="2016" spans="1:6" x14ac:dyDescent="0.3">
      <c r="A2016" t="s">
        <v>3888</v>
      </c>
      <c r="B2016" t="s">
        <v>9</v>
      </c>
      <c r="C2016" t="s">
        <v>3889</v>
      </c>
      <c r="D2016" t="s">
        <v>15</v>
      </c>
      <c r="E2016" t="s">
        <v>20</v>
      </c>
      <c r="F2016" t="s">
        <v>3890</v>
      </c>
    </row>
    <row r="2017" spans="1:6" x14ac:dyDescent="0.3">
      <c r="A2017" t="s">
        <v>3891</v>
      </c>
      <c r="B2017" t="s">
        <v>13</v>
      </c>
      <c r="C2017" t="s">
        <v>3892</v>
      </c>
      <c r="E2017" t="s">
        <v>20</v>
      </c>
      <c r="F2017" t="s">
        <v>3893</v>
      </c>
    </row>
    <row r="2018" spans="1:6" hidden="1" x14ac:dyDescent="0.3">
      <c r="A2018" t="s">
        <v>3894</v>
      </c>
      <c r="B2018" t="s">
        <v>9</v>
      </c>
      <c r="C2018" t="s">
        <v>3895</v>
      </c>
      <c r="E2018" t="s">
        <v>11</v>
      </c>
    </row>
    <row r="2019" spans="1:6" hidden="1" x14ac:dyDescent="0.3">
      <c r="A2019" t="s">
        <v>3896</v>
      </c>
      <c r="B2019" t="s">
        <v>9</v>
      </c>
      <c r="C2019" t="s">
        <v>3897</v>
      </c>
      <c r="E2019" t="s">
        <v>54</v>
      </c>
      <c r="F2019" t="s">
        <v>3898</v>
      </c>
    </row>
    <row r="2020" spans="1:6" hidden="1" x14ac:dyDescent="0.3">
      <c r="A2020" t="s">
        <v>3899</v>
      </c>
      <c r="B2020" t="s">
        <v>9</v>
      </c>
      <c r="C2020" t="s">
        <v>3900</v>
      </c>
      <c r="D2020" t="s">
        <v>15</v>
      </c>
      <c r="E2020" t="s">
        <v>11</v>
      </c>
    </row>
    <row r="2021" spans="1:6" hidden="1" x14ac:dyDescent="0.3">
      <c r="A2021" t="s">
        <v>3901</v>
      </c>
      <c r="B2021" t="s">
        <v>13</v>
      </c>
      <c r="C2021" t="s">
        <v>3902</v>
      </c>
      <c r="D2021" t="s">
        <v>15</v>
      </c>
      <c r="E2021" t="s">
        <v>16</v>
      </c>
      <c r="F2021" t="s">
        <v>3903</v>
      </c>
    </row>
    <row r="2022" spans="1:6" hidden="1" x14ac:dyDescent="0.3">
      <c r="A2022" t="s">
        <v>3904</v>
      </c>
      <c r="B2022" t="s">
        <v>9</v>
      </c>
      <c r="C2022" t="s">
        <v>28</v>
      </c>
      <c r="E2022" t="s">
        <v>11</v>
      </c>
    </row>
    <row r="2023" spans="1:6" hidden="1" x14ac:dyDescent="0.3">
      <c r="A2023" t="s">
        <v>3905</v>
      </c>
      <c r="B2023" t="s">
        <v>11</v>
      </c>
      <c r="E2023" t="s">
        <v>11</v>
      </c>
    </row>
    <row r="2024" spans="1:6" hidden="1" x14ac:dyDescent="0.3">
      <c r="A2024" t="s">
        <v>3906</v>
      </c>
      <c r="B2024" t="s">
        <v>9</v>
      </c>
      <c r="C2024" t="s">
        <v>28</v>
      </c>
      <c r="E2024" t="s">
        <v>11</v>
      </c>
    </row>
    <row r="2025" spans="1:6" hidden="1" x14ac:dyDescent="0.3">
      <c r="A2025" t="s">
        <v>3907</v>
      </c>
      <c r="B2025" t="s">
        <v>13</v>
      </c>
      <c r="C2025" t="s">
        <v>3908</v>
      </c>
      <c r="D2025" t="s">
        <v>15</v>
      </c>
      <c r="E2025" t="s">
        <v>54</v>
      </c>
      <c r="F2025" t="s">
        <v>3909</v>
      </c>
    </row>
    <row r="2026" spans="1:6" x14ac:dyDescent="0.3">
      <c r="A2026" t="s">
        <v>3910</v>
      </c>
      <c r="B2026" t="s">
        <v>9</v>
      </c>
      <c r="C2026" t="s">
        <v>3911</v>
      </c>
      <c r="D2026" t="s">
        <v>15</v>
      </c>
      <c r="E2026" t="s">
        <v>20</v>
      </c>
      <c r="F2026" t="s">
        <v>3912</v>
      </c>
    </row>
    <row r="2027" spans="1:6" hidden="1" x14ac:dyDescent="0.3">
      <c r="A2027" t="s">
        <v>3913</v>
      </c>
      <c r="B2027" t="s">
        <v>11</v>
      </c>
      <c r="E2027" t="s">
        <v>11</v>
      </c>
    </row>
    <row r="2028" spans="1:6" hidden="1" x14ac:dyDescent="0.3">
      <c r="A2028" t="s">
        <v>3914</v>
      </c>
      <c r="B2028" t="s">
        <v>9</v>
      </c>
      <c r="C2028" t="s">
        <v>3915</v>
      </c>
      <c r="D2028" t="s">
        <v>15</v>
      </c>
      <c r="E2028" t="s">
        <v>54</v>
      </c>
      <c r="F2028" t="s">
        <v>918</v>
      </c>
    </row>
    <row r="2029" spans="1:6" x14ac:dyDescent="0.3">
      <c r="A2029" t="s">
        <v>3916</v>
      </c>
      <c r="B2029" t="s">
        <v>9</v>
      </c>
      <c r="C2029" t="s">
        <v>3917</v>
      </c>
      <c r="D2029" t="s">
        <v>15</v>
      </c>
      <c r="E2029" t="s">
        <v>20</v>
      </c>
      <c r="F2029" t="s">
        <v>3918</v>
      </c>
    </row>
    <row r="2030" spans="1:6" x14ac:dyDescent="0.3">
      <c r="A2030" t="s">
        <v>3919</v>
      </c>
      <c r="B2030" t="s">
        <v>13</v>
      </c>
      <c r="C2030" t="s">
        <v>3920</v>
      </c>
      <c r="D2030" t="s">
        <v>15</v>
      </c>
      <c r="E2030" t="s">
        <v>20</v>
      </c>
      <c r="F2030" t="s">
        <v>425</v>
      </c>
    </row>
    <row r="2031" spans="1:6" hidden="1" x14ac:dyDescent="0.3">
      <c r="A2031" t="s">
        <v>3921</v>
      </c>
      <c r="B2031" t="s">
        <v>9</v>
      </c>
      <c r="C2031" t="s">
        <v>3922</v>
      </c>
      <c r="D2031" t="s">
        <v>15</v>
      </c>
      <c r="E2031" t="s">
        <v>16</v>
      </c>
      <c r="F2031" t="s">
        <v>3923</v>
      </c>
    </row>
    <row r="2032" spans="1:6" hidden="1" x14ac:dyDescent="0.3">
      <c r="A2032" t="s">
        <v>3924</v>
      </c>
      <c r="B2032" t="s">
        <v>9</v>
      </c>
      <c r="C2032" t="s">
        <v>3925</v>
      </c>
      <c r="D2032" t="s">
        <v>15</v>
      </c>
      <c r="E2032" t="s">
        <v>54</v>
      </c>
      <c r="F2032" t="s">
        <v>3926</v>
      </c>
    </row>
    <row r="2033" spans="1:6" hidden="1" x14ac:dyDescent="0.3">
      <c r="A2033" t="s">
        <v>3927</v>
      </c>
      <c r="B2033" t="s">
        <v>11</v>
      </c>
      <c r="E2033" t="s">
        <v>11</v>
      </c>
    </row>
    <row r="2034" spans="1:6" hidden="1" x14ac:dyDescent="0.3">
      <c r="A2034" t="s">
        <v>3928</v>
      </c>
      <c r="B2034" t="s">
        <v>9</v>
      </c>
      <c r="C2034" t="s">
        <v>28</v>
      </c>
      <c r="D2034" t="s">
        <v>15</v>
      </c>
      <c r="E2034" t="s">
        <v>11</v>
      </c>
    </row>
    <row r="2035" spans="1:6" hidden="1" x14ac:dyDescent="0.3">
      <c r="A2035" t="s">
        <v>3929</v>
      </c>
      <c r="B2035" t="s">
        <v>11</v>
      </c>
      <c r="E2035" t="s">
        <v>11</v>
      </c>
    </row>
    <row r="2036" spans="1:6" hidden="1" x14ac:dyDescent="0.3">
      <c r="A2036" t="s">
        <v>3930</v>
      </c>
      <c r="B2036" t="s">
        <v>9</v>
      </c>
      <c r="C2036" t="s">
        <v>3931</v>
      </c>
      <c r="E2036" t="s">
        <v>16</v>
      </c>
      <c r="F2036" t="s">
        <v>88</v>
      </c>
    </row>
    <row r="2037" spans="1:6" x14ac:dyDescent="0.3">
      <c r="A2037" t="s">
        <v>3932</v>
      </c>
      <c r="B2037" t="s">
        <v>9</v>
      </c>
      <c r="C2037" t="s">
        <v>3933</v>
      </c>
      <c r="D2037" t="s">
        <v>15</v>
      </c>
      <c r="E2037" t="s">
        <v>20</v>
      </c>
      <c r="F2037" t="s">
        <v>3934</v>
      </c>
    </row>
    <row r="2038" spans="1:6" hidden="1" x14ac:dyDescent="0.3">
      <c r="A2038" t="s">
        <v>3935</v>
      </c>
      <c r="B2038" t="s">
        <v>9</v>
      </c>
      <c r="C2038" t="s">
        <v>3936</v>
      </c>
      <c r="E2038" t="s">
        <v>11</v>
      </c>
    </row>
    <row r="2039" spans="1:6" hidden="1" x14ac:dyDescent="0.3">
      <c r="A2039" t="s">
        <v>3937</v>
      </c>
      <c r="B2039" t="s">
        <v>9</v>
      </c>
      <c r="C2039" t="s">
        <v>3938</v>
      </c>
      <c r="E2039" t="s">
        <v>16</v>
      </c>
      <c r="F2039" t="s">
        <v>3939</v>
      </c>
    </row>
    <row r="2040" spans="1:6" hidden="1" x14ac:dyDescent="0.3">
      <c r="A2040" t="s">
        <v>3940</v>
      </c>
      <c r="B2040" t="s">
        <v>197</v>
      </c>
      <c r="C2040" t="s">
        <v>707</v>
      </c>
      <c r="E2040" t="s">
        <v>11</v>
      </c>
    </row>
    <row r="2041" spans="1:6" hidden="1" x14ac:dyDescent="0.3">
      <c r="A2041" t="s">
        <v>3941</v>
      </c>
      <c r="B2041" t="s">
        <v>9</v>
      </c>
      <c r="C2041" t="s">
        <v>2390</v>
      </c>
      <c r="E2041" t="s">
        <v>11</v>
      </c>
    </row>
    <row r="2042" spans="1:6" hidden="1" x14ac:dyDescent="0.3">
      <c r="A2042" t="s">
        <v>3942</v>
      </c>
      <c r="B2042" t="s">
        <v>9</v>
      </c>
      <c r="C2042" t="s">
        <v>3943</v>
      </c>
      <c r="D2042" t="s">
        <v>15</v>
      </c>
      <c r="E2042" t="s">
        <v>16</v>
      </c>
      <c r="F2042" t="s">
        <v>3944</v>
      </c>
    </row>
    <row r="2043" spans="1:6" hidden="1" x14ac:dyDescent="0.3">
      <c r="A2043" t="s">
        <v>3945</v>
      </c>
      <c r="B2043" t="s">
        <v>9</v>
      </c>
      <c r="C2043" t="s">
        <v>28</v>
      </c>
      <c r="E2043" t="s">
        <v>11</v>
      </c>
    </row>
    <row r="2044" spans="1:6" hidden="1" x14ac:dyDescent="0.3">
      <c r="A2044" t="s">
        <v>3946</v>
      </c>
      <c r="B2044" t="s">
        <v>13</v>
      </c>
      <c r="C2044" t="s">
        <v>3947</v>
      </c>
      <c r="E2044" t="s">
        <v>11</v>
      </c>
    </row>
    <row r="2045" spans="1:6" hidden="1" x14ac:dyDescent="0.3">
      <c r="A2045" t="s">
        <v>3948</v>
      </c>
      <c r="B2045" t="s">
        <v>9</v>
      </c>
      <c r="C2045" t="s">
        <v>28</v>
      </c>
      <c r="E2045" t="s">
        <v>11</v>
      </c>
    </row>
    <row r="2046" spans="1:6" hidden="1" x14ac:dyDescent="0.3">
      <c r="A2046" t="s">
        <v>3949</v>
      </c>
      <c r="B2046" t="s">
        <v>9</v>
      </c>
      <c r="C2046" t="s">
        <v>3950</v>
      </c>
      <c r="D2046" t="s">
        <v>15</v>
      </c>
      <c r="E2046" t="s">
        <v>54</v>
      </c>
      <c r="F2046" t="s">
        <v>3951</v>
      </c>
    </row>
    <row r="2047" spans="1:6" hidden="1" x14ac:dyDescent="0.3">
      <c r="A2047" t="s">
        <v>3952</v>
      </c>
      <c r="B2047" t="s">
        <v>13</v>
      </c>
      <c r="C2047" t="s">
        <v>3953</v>
      </c>
      <c r="E2047" t="s">
        <v>11</v>
      </c>
    </row>
    <row r="2048" spans="1:6" x14ac:dyDescent="0.3">
      <c r="A2048" t="s">
        <v>3954</v>
      </c>
      <c r="B2048" t="s">
        <v>9</v>
      </c>
      <c r="C2048" t="s">
        <v>3955</v>
      </c>
      <c r="E2048" t="s">
        <v>20</v>
      </c>
      <c r="F2048" t="s">
        <v>3956</v>
      </c>
    </row>
    <row r="2049" spans="1:6" hidden="1" x14ac:dyDescent="0.3">
      <c r="A2049" t="s">
        <v>3957</v>
      </c>
      <c r="B2049" t="s">
        <v>13</v>
      </c>
      <c r="C2049" t="s">
        <v>3958</v>
      </c>
      <c r="E2049" t="s">
        <v>11</v>
      </c>
    </row>
    <row r="2050" spans="1:6" hidden="1" x14ac:dyDescent="0.3">
      <c r="A2050" t="s">
        <v>3959</v>
      </c>
      <c r="B2050" t="s">
        <v>9</v>
      </c>
      <c r="C2050" t="s">
        <v>3960</v>
      </c>
      <c r="D2050" t="s">
        <v>15</v>
      </c>
      <c r="E2050" t="s">
        <v>11</v>
      </c>
    </row>
    <row r="2051" spans="1:6" x14ac:dyDescent="0.3">
      <c r="A2051" t="s">
        <v>3961</v>
      </c>
      <c r="B2051" t="s">
        <v>13</v>
      </c>
      <c r="C2051" t="s">
        <v>3962</v>
      </c>
      <c r="D2051" t="s">
        <v>15</v>
      </c>
      <c r="E2051" t="s">
        <v>20</v>
      </c>
      <c r="F2051" t="s">
        <v>21</v>
      </c>
    </row>
    <row r="2052" spans="1:6" x14ac:dyDescent="0.3">
      <c r="A2052" t="s">
        <v>3963</v>
      </c>
      <c r="B2052" t="s">
        <v>197</v>
      </c>
      <c r="C2052" t="s">
        <v>707</v>
      </c>
      <c r="E2052" t="s">
        <v>20</v>
      </c>
      <c r="F2052" t="s">
        <v>21</v>
      </c>
    </row>
    <row r="2053" spans="1:6" x14ac:dyDescent="0.3">
      <c r="A2053" t="s">
        <v>3964</v>
      </c>
      <c r="B2053" t="s">
        <v>9</v>
      </c>
      <c r="C2053" t="s">
        <v>3965</v>
      </c>
      <c r="D2053" t="s">
        <v>15</v>
      </c>
      <c r="E2053" t="s">
        <v>20</v>
      </c>
      <c r="F2053" t="s">
        <v>3966</v>
      </c>
    </row>
    <row r="2054" spans="1:6" x14ac:dyDescent="0.3">
      <c r="A2054" t="s">
        <v>3967</v>
      </c>
      <c r="B2054" t="s">
        <v>9</v>
      </c>
      <c r="C2054" t="s">
        <v>3968</v>
      </c>
      <c r="E2054" t="s">
        <v>20</v>
      </c>
      <c r="F2054" t="s">
        <v>3969</v>
      </c>
    </row>
    <row r="2055" spans="1:6" hidden="1" x14ac:dyDescent="0.3">
      <c r="A2055" t="s">
        <v>3970</v>
      </c>
      <c r="B2055" t="s">
        <v>11</v>
      </c>
      <c r="E2055" t="s">
        <v>11</v>
      </c>
    </row>
    <row r="2056" spans="1:6" x14ac:dyDescent="0.3">
      <c r="A2056" t="s">
        <v>3971</v>
      </c>
      <c r="B2056" t="s">
        <v>9</v>
      </c>
      <c r="C2056" t="e">
        <f>-v=SPF1 include:spf.protection.outlook.com -all</f>
        <v>#NAME?</v>
      </c>
      <c r="E2056" t="s">
        <v>20</v>
      </c>
      <c r="F2056" t="s">
        <v>21</v>
      </c>
    </row>
    <row r="2057" spans="1:6" x14ac:dyDescent="0.3">
      <c r="A2057" t="s">
        <v>3972</v>
      </c>
      <c r="B2057" t="s">
        <v>9</v>
      </c>
      <c r="C2057" t="s">
        <v>3973</v>
      </c>
      <c r="D2057" t="s">
        <v>15</v>
      </c>
      <c r="E2057" t="s">
        <v>20</v>
      </c>
      <c r="F2057" t="s">
        <v>3974</v>
      </c>
    </row>
    <row r="2058" spans="1:6" hidden="1" x14ac:dyDescent="0.3">
      <c r="A2058" t="s">
        <v>3975</v>
      </c>
      <c r="B2058" t="s">
        <v>11</v>
      </c>
      <c r="E2058" t="s">
        <v>11</v>
      </c>
    </row>
    <row r="2059" spans="1:6" x14ac:dyDescent="0.3">
      <c r="A2059" t="s">
        <v>3976</v>
      </c>
      <c r="B2059" t="s">
        <v>197</v>
      </c>
      <c r="C2059" t="s">
        <v>3977</v>
      </c>
      <c r="D2059" t="s">
        <v>15</v>
      </c>
      <c r="E2059" t="s">
        <v>20</v>
      </c>
      <c r="F2059" t="s">
        <v>3978</v>
      </c>
    </row>
    <row r="2060" spans="1:6" hidden="1" x14ac:dyDescent="0.3">
      <c r="A2060" t="s">
        <v>3979</v>
      </c>
      <c r="B2060" t="s">
        <v>9</v>
      </c>
      <c r="C2060" t="s">
        <v>3980</v>
      </c>
      <c r="E2060" t="s">
        <v>11</v>
      </c>
    </row>
    <row r="2061" spans="1:6" hidden="1" x14ac:dyDescent="0.3">
      <c r="A2061" t="s">
        <v>3981</v>
      </c>
      <c r="B2061" t="s">
        <v>13</v>
      </c>
      <c r="C2061" t="s">
        <v>3982</v>
      </c>
      <c r="D2061" t="s">
        <v>15</v>
      </c>
      <c r="E2061" t="s">
        <v>16</v>
      </c>
      <c r="F2061" t="s">
        <v>3983</v>
      </c>
    </row>
    <row r="2062" spans="1:6" hidden="1" x14ac:dyDescent="0.3">
      <c r="A2062" t="s">
        <v>3984</v>
      </c>
      <c r="B2062" t="s">
        <v>11</v>
      </c>
      <c r="E2062" t="s">
        <v>11</v>
      </c>
    </row>
    <row r="2063" spans="1:6" x14ac:dyDescent="0.3">
      <c r="A2063" t="s">
        <v>3985</v>
      </c>
      <c r="B2063" t="s">
        <v>13</v>
      </c>
      <c r="C2063" t="s">
        <v>3986</v>
      </c>
      <c r="D2063" t="s">
        <v>15</v>
      </c>
      <c r="E2063" t="s">
        <v>20</v>
      </c>
      <c r="F2063" t="s">
        <v>3987</v>
      </c>
    </row>
    <row r="2064" spans="1:6" x14ac:dyDescent="0.3">
      <c r="A2064" t="s">
        <v>3988</v>
      </c>
      <c r="B2064" t="s">
        <v>13</v>
      </c>
      <c r="C2064" t="s">
        <v>3989</v>
      </c>
      <c r="E2064" t="s">
        <v>20</v>
      </c>
      <c r="F2064" t="s">
        <v>3990</v>
      </c>
    </row>
    <row r="2065" spans="1:6" hidden="1" x14ac:dyDescent="0.3">
      <c r="A2065" t="s">
        <v>3991</v>
      </c>
      <c r="B2065" t="s">
        <v>9</v>
      </c>
      <c r="C2065" t="s">
        <v>3992</v>
      </c>
      <c r="E2065" t="s">
        <v>54</v>
      </c>
      <c r="F2065" t="s">
        <v>3993</v>
      </c>
    </row>
    <row r="2066" spans="1:6" hidden="1" x14ac:dyDescent="0.3">
      <c r="A2066" t="s">
        <v>3994</v>
      </c>
      <c r="B2066" t="s">
        <v>9</v>
      </c>
      <c r="C2066" t="s">
        <v>28</v>
      </c>
      <c r="D2066" t="s">
        <v>15</v>
      </c>
      <c r="E2066" t="s">
        <v>54</v>
      </c>
      <c r="F2066" t="s">
        <v>3995</v>
      </c>
    </row>
    <row r="2067" spans="1:6" hidden="1" x14ac:dyDescent="0.3">
      <c r="A2067" t="s">
        <v>3996</v>
      </c>
      <c r="B2067" t="s">
        <v>11</v>
      </c>
      <c r="E2067" t="s">
        <v>11</v>
      </c>
    </row>
    <row r="2068" spans="1:6" hidden="1" x14ac:dyDescent="0.3">
      <c r="A2068" t="s">
        <v>3997</v>
      </c>
      <c r="B2068" t="s">
        <v>13</v>
      </c>
      <c r="C2068" t="s">
        <v>3998</v>
      </c>
      <c r="E2068" t="s">
        <v>11</v>
      </c>
    </row>
    <row r="2069" spans="1:6" hidden="1" x14ac:dyDescent="0.3">
      <c r="A2069" t="s">
        <v>3999</v>
      </c>
      <c r="B2069" t="s">
        <v>9</v>
      </c>
      <c r="C2069" t="s">
        <v>4000</v>
      </c>
      <c r="D2069" t="s">
        <v>15</v>
      </c>
      <c r="E2069" t="s">
        <v>16</v>
      </c>
      <c r="F2069" t="s">
        <v>4001</v>
      </c>
    </row>
    <row r="2070" spans="1:6" hidden="1" x14ac:dyDescent="0.3">
      <c r="A2070" t="s">
        <v>4002</v>
      </c>
      <c r="B2070" t="s">
        <v>9</v>
      </c>
      <c r="C2070" t="s">
        <v>4003</v>
      </c>
      <c r="D2070" t="s">
        <v>15</v>
      </c>
      <c r="E2070" t="s">
        <v>54</v>
      </c>
      <c r="F2070" t="s">
        <v>4004</v>
      </c>
    </row>
    <row r="2071" spans="1:6" hidden="1" x14ac:dyDescent="0.3">
      <c r="A2071" t="s">
        <v>4005</v>
      </c>
      <c r="B2071" t="s">
        <v>9</v>
      </c>
      <c r="C2071" t="s">
        <v>4006</v>
      </c>
      <c r="D2071" t="s">
        <v>15</v>
      </c>
      <c r="E2071" t="s">
        <v>16</v>
      </c>
      <c r="F2071" t="s">
        <v>4007</v>
      </c>
    </row>
    <row r="2072" spans="1:6" hidden="1" x14ac:dyDescent="0.3">
      <c r="A2072" t="s">
        <v>4008</v>
      </c>
      <c r="B2072" t="s">
        <v>9</v>
      </c>
      <c r="C2072" t="s">
        <v>51</v>
      </c>
      <c r="E2072" t="s">
        <v>54</v>
      </c>
      <c r="F2072" t="s">
        <v>4009</v>
      </c>
    </row>
    <row r="2073" spans="1:6" x14ac:dyDescent="0.3">
      <c r="A2073" t="s">
        <v>4010</v>
      </c>
      <c r="B2073" t="s">
        <v>9</v>
      </c>
      <c r="C2073" t="s">
        <v>4011</v>
      </c>
      <c r="D2073" t="s">
        <v>15</v>
      </c>
      <c r="E2073" t="s">
        <v>20</v>
      </c>
      <c r="F2073" t="s">
        <v>4012</v>
      </c>
    </row>
    <row r="2074" spans="1:6" x14ac:dyDescent="0.3">
      <c r="A2074" t="s">
        <v>4013</v>
      </c>
      <c r="B2074" t="s">
        <v>9</v>
      </c>
      <c r="C2074" t="s">
        <v>4014</v>
      </c>
      <c r="D2074" t="s">
        <v>15</v>
      </c>
      <c r="E2074" t="s">
        <v>20</v>
      </c>
      <c r="F2074" t="s">
        <v>4015</v>
      </c>
    </row>
    <row r="2075" spans="1:6" hidden="1" x14ac:dyDescent="0.3">
      <c r="A2075" t="s">
        <v>4016</v>
      </c>
      <c r="B2075" t="s">
        <v>11</v>
      </c>
      <c r="E2075" t="s">
        <v>11</v>
      </c>
    </row>
    <row r="2076" spans="1:6" x14ac:dyDescent="0.3">
      <c r="A2076" t="s">
        <v>4017</v>
      </c>
      <c r="B2076" t="s">
        <v>9</v>
      </c>
      <c r="C2076" t="s">
        <v>28</v>
      </c>
      <c r="D2076" t="s">
        <v>15</v>
      </c>
      <c r="E2076" t="s">
        <v>20</v>
      </c>
      <c r="F2076" t="s">
        <v>21</v>
      </c>
    </row>
    <row r="2077" spans="1:6" hidden="1" x14ac:dyDescent="0.3">
      <c r="A2077" t="s">
        <v>4018</v>
      </c>
      <c r="B2077" t="s">
        <v>417</v>
      </c>
      <c r="C2077" t="s">
        <v>4019</v>
      </c>
      <c r="D2077" t="s">
        <v>15</v>
      </c>
      <c r="E2077" t="s">
        <v>16</v>
      </c>
      <c r="F2077" t="s">
        <v>4020</v>
      </c>
    </row>
    <row r="2078" spans="1:6" hidden="1" x14ac:dyDescent="0.3">
      <c r="A2078" t="s">
        <v>4021</v>
      </c>
      <c r="B2078" t="s">
        <v>13</v>
      </c>
      <c r="C2078" t="s">
        <v>4022</v>
      </c>
      <c r="D2078" t="s">
        <v>15</v>
      </c>
      <c r="E2078" t="s">
        <v>11</v>
      </c>
    </row>
    <row r="2079" spans="1:6" hidden="1" x14ac:dyDescent="0.3">
      <c r="A2079" t="s">
        <v>4023</v>
      </c>
      <c r="B2079" t="s">
        <v>11</v>
      </c>
      <c r="E2079" t="s">
        <v>11</v>
      </c>
    </row>
    <row r="2080" spans="1:6" x14ac:dyDescent="0.3">
      <c r="A2080" t="s">
        <v>4024</v>
      </c>
      <c r="B2080" t="s">
        <v>9</v>
      </c>
      <c r="C2080" t="s">
        <v>3770</v>
      </c>
      <c r="D2080" t="s">
        <v>15</v>
      </c>
      <c r="E2080" t="s">
        <v>20</v>
      </c>
      <c r="F2080" t="s">
        <v>4025</v>
      </c>
    </row>
    <row r="2081" spans="1:6" hidden="1" x14ac:dyDescent="0.3">
      <c r="A2081" t="s">
        <v>4026</v>
      </c>
      <c r="B2081" t="s">
        <v>9</v>
      </c>
      <c r="C2081" t="s">
        <v>4027</v>
      </c>
      <c r="D2081" t="s">
        <v>15</v>
      </c>
      <c r="E2081" t="s">
        <v>16</v>
      </c>
      <c r="F2081" t="s">
        <v>4028</v>
      </c>
    </row>
    <row r="2082" spans="1:6" hidden="1" x14ac:dyDescent="0.3">
      <c r="A2082" t="s">
        <v>4029</v>
      </c>
      <c r="B2082" t="s">
        <v>13</v>
      </c>
      <c r="C2082" t="s">
        <v>4030</v>
      </c>
      <c r="D2082" t="s">
        <v>15</v>
      </c>
      <c r="E2082" t="s">
        <v>16</v>
      </c>
      <c r="F2082" t="s">
        <v>138</v>
      </c>
    </row>
    <row r="2083" spans="1:6" hidden="1" x14ac:dyDescent="0.3">
      <c r="A2083" t="s">
        <v>4031</v>
      </c>
      <c r="B2083" t="s">
        <v>11</v>
      </c>
      <c r="E2083" t="s">
        <v>11</v>
      </c>
    </row>
    <row r="2084" spans="1:6" hidden="1" x14ac:dyDescent="0.3">
      <c r="A2084" t="s">
        <v>4032</v>
      </c>
      <c r="B2084" t="s">
        <v>9</v>
      </c>
      <c r="C2084" t="s">
        <v>224</v>
      </c>
      <c r="D2084" t="s">
        <v>15</v>
      </c>
      <c r="E2084" t="s">
        <v>11</v>
      </c>
    </row>
    <row r="2085" spans="1:6" hidden="1" x14ac:dyDescent="0.3">
      <c r="A2085" t="s">
        <v>4033</v>
      </c>
      <c r="B2085" t="s">
        <v>11</v>
      </c>
      <c r="E2085" t="s">
        <v>11</v>
      </c>
    </row>
    <row r="2086" spans="1:6" x14ac:dyDescent="0.3">
      <c r="A2086" t="s">
        <v>4034</v>
      </c>
      <c r="B2086" t="s">
        <v>13</v>
      </c>
      <c r="C2086" t="s">
        <v>4035</v>
      </c>
      <c r="D2086" t="s">
        <v>15</v>
      </c>
      <c r="E2086" t="s">
        <v>20</v>
      </c>
      <c r="F2086" t="s">
        <v>4036</v>
      </c>
    </row>
    <row r="2087" spans="1:6" x14ac:dyDescent="0.3">
      <c r="A2087" t="s">
        <v>4037</v>
      </c>
      <c r="B2087" t="s">
        <v>9</v>
      </c>
      <c r="C2087" t="s">
        <v>4038</v>
      </c>
      <c r="D2087" t="s">
        <v>15</v>
      </c>
      <c r="E2087" t="s">
        <v>20</v>
      </c>
      <c r="F2087" t="s">
        <v>4039</v>
      </c>
    </row>
    <row r="2088" spans="1:6" hidden="1" x14ac:dyDescent="0.3">
      <c r="A2088" t="s">
        <v>4040</v>
      </c>
      <c r="B2088" t="s">
        <v>9</v>
      </c>
      <c r="C2088" t="s">
        <v>679</v>
      </c>
      <c r="D2088" t="s">
        <v>15</v>
      </c>
      <c r="E2088" t="s">
        <v>16</v>
      </c>
      <c r="F2088" t="s">
        <v>138</v>
      </c>
    </row>
    <row r="2089" spans="1:6" hidden="1" x14ac:dyDescent="0.3">
      <c r="A2089" t="s">
        <v>4041</v>
      </c>
      <c r="B2089" t="s">
        <v>13</v>
      </c>
      <c r="C2089" t="s">
        <v>4042</v>
      </c>
      <c r="D2089" t="s">
        <v>15</v>
      </c>
      <c r="E2089" t="s">
        <v>16</v>
      </c>
      <c r="F2089" t="s">
        <v>4043</v>
      </c>
    </row>
    <row r="2090" spans="1:6" hidden="1" x14ac:dyDescent="0.3">
      <c r="A2090" t="s">
        <v>4044</v>
      </c>
      <c r="B2090" t="s">
        <v>9</v>
      </c>
      <c r="C2090" t="s">
        <v>4045</v>
      </c>
      <c r="E2090" t="s">
        <v>54</v>
      </c>
      <c r="F2090" t="s">
        <v>588</v>
      </c>
    </row>
    <row r="2091" spans="1:6" x14ac:dyDescent="0.3">
      <c r="A2091" t="s">
        <v>4046</v>
      </c>
      <c r="B2091" t="s">
        <v>9</v>
      </c>
      <c r="C2091" t="s">
        <v>4047</v>
      </c>
      <c r="D2091" t="s">
        <v>15</v>
      </c>
      <c r="E2091" t="s">
        <v>20</v>
      </c>
      <c r="F2091" t="s">
        <v>4048</v>
      </c>
    </row>
    <row r="2092" spans="1:6" x14ac:dyDescent="0.3">
      <c r="A2092" t="s">
        <v>4049</v>
      </c>
      <c r="B2092" t="s">
        <v>13</v>
      </c>
      <c r="C2092" t="s">
        <v>576</v>
      </c>
      <c r="D2092" t="s">
        <v>15</v>
      </c>
      <c r="E2092" t="s">
        <v>20</v>
      </c>
      <c r="F2092" t="s">
        <v>4050</v>
      </c>
    </row>
    <row r="2093" spans="1:6" hidden="1" x14ac:dyDescent="0.3">
      <c r="A2093" t="s">
        <v>4051</v>
      </c>
      <c r="B2093" t="s">
        <v>9</v>
      </c>
      <c r="C2093" t="s">
        <v>434</v>
      </c>
      <c r="D2093" t="s">
        <v>15</v>
      </c>
      <c r="E2093" t="s">
        <v>54</v>
      </c>
      <c r="F2093" t="s">
        <v>4052</v>
      </c>
    </row>
    <row r="2094" spans="1:6" hidden="1" x14ac:dyDescent="0.3">
      <c r="A2094" t="s">
        <v>4053</v>
      </c>
      <c r="B2094" t="s">
        <v>9</v>
      </c>
      <c r="C2094" t="s">
        <v>4054</v>
      </c>
      <c r="E2094" t="s">
        <v>54</v>
      </c>
      <c r="F2094" t="s">
        <v>987</v>
      </c>
    </row>
    <row r="2095" spans="1:6" hidden="1" x14ac:dyDescent="0.3">
      <c r="A2095" t="s">
        <v>4055</v>
      </c>
      <c r="B2095" t="s">
        <v>9</v>
      </c>
      <c r="C2095" t="s">
        <v>339</v>
      </c>
      <c r="E2095" t="s">
        <v>11</v>
      </c>
    </row>
    <row r="2096" spans="1:6" hidden="1" x14ac:dyDescent="0.3">
      <c r="A2096" t="s">
        <v>4056</v>
      </c>
      <c r="B2096" t="s">
        <v>9</v>
      </c>
      <c r="C2096" t="s">
        <v>51</v>
      </c>
      <c r="E2096" t="s">
        <v>11</v>
      </c>
    </row>
    <row r="2097" spans="1:6" x14ac:dyDescent="0.3">
      <c r="A2097" t="s">
        <v>4057</v>
      </c>
      <c r="B2097" t="s">
        <v>9</v>
      </c>
      <c r="C2097" t="s">
        <v>4058</v>
      </c>
      <c r="E2097" t="s">
        <v>20</v>
      </c>
      <c r="F2097" t="s">
        <v>21</v>
      </c>
    </row>
    <row r="2098" spans="1:6" x14ac:dyDescent="0.3">
      <c r="A2098" t="s">
        <v>4059</v>
      </c>
      <c r="B2098" t="s">
        <v>9</v>
      </c>
      <c r="C2098" t="s">
        <v>4060</v>
      </c>
      <c r="D2098" t="s">
        <v>15</v>
      </c>
      <c r="E2098" t="s">
        <v>20</v>
      </c>
      <c r="F2098" t="s">
        <v>4061</v>
      </c>
    </row>
    <row r="2099" spans="1:6" hidden="1" x14ac:dyDescent="0.3">
      <c r="A2099" t="s">
        <v>4062</v>
      </c>
      <c r="B2099" t="s">
        <v>11</v>
      </c>
      <c r="E2099" t="s">
        <v>11</v>
      </c>
    </row>
    <row r="2100" spans="1:6" hidden="1" x14ac:dyDescent="0.3">
      <c r="A2100" t="s">
        <v>4063</v>
      </c>
      <c r="B2100" t="s">
        <v>13</v>
      </c>
      <c r="C2100" t="s">
        <v>112</v>
      </c>
      <c r="D2100" t="s">
        <v>15</v>
      </c>
      <c r="E2100" t="s">
        <v>54</v>
      </c>
      <c r="F2100" t="s">
        <v>3863</v>
      </c>
    </row>
    <row r="2101" spans="1:6" hidden="1" x14ac:dyDescent="0.3">
      <c r="A2101" t="s">
        <v>4064</v>
      </c>
      <c r="B2101" t="s">
        <v>13</v>
      </c>
      <c r="C2101" t="s">
        <v>4065</v>
      </c>
      <c r="D2101" t="s">
        <v>15</v>
      </c>
      <c r="E2101" t="s">
        <v>16</v>
      </c>
      <c r="F2101" t="s">
        <v>4066</v>
      </c>
    </row>
    <row r="2102" spans="1:6" hidden="1" x14ac:dyDescent="0.3">
      <c r="A2102" t="s">
        <v>4067</v>
      </c>
      <c r="B2102" t="s">
        <v>9</v>
      </c>
      <c r="C2102" t="s">
        <v>4068</v>
      </c>
      <c r="D2102" t="s">
        <v>15</v>
      </c>
      <c r="E2102" t="s">
        <v>54</v>
      </c>
      <c r="F2102" t="s">
        <v>4069</v>
      </c>
    </row>
    <row r="2103" spans="1:6" hidden="1" x14ac:dyDescent="0.3">
      <c r="A2103" t="s">
        <v>4070</v>
      </c>
      <c r="B2103" t="s">
        <v>9</v>
      </c>
      <c r="C2103" t="s">
        <v>4071</v>
      </c>
      <c r="D2103" t="s">
        <v>15</v>
      </c>
      <c r="E2103" t="s">
        <v>16</v>
      </c>
      <c r="F2103" t="s">
        <v>4072</v>
      </c>
    </row>
    <row r="2104" spans="1:6" hidden="1" x14ac:dyDescent="0.3">
      <c r="A2104" t="s">
        <v>4073</v>
      </c>
      <c r="B2104" t="s">
        <v>9</v>
      </c>
      <c r="C2104" t="s">
        <v>4074</v>
      </c>
      <c r="D2104" t="s">
        <v>15</v>
      </c>
      <c r="E2104" t="s">
        <v>16</v>
      </c>
      <c r="F2104" t="s">
        <v>4075</v>
      </c>
    </row>
    <row r="2105" spans="1:6" x14ac:dyDescent="0.3">
      <c r="A2105" t="s">
        <v>4076</v>
      </c>
      <c r="B2105" t="s">
        <v>9</v>
      </c>
      <c r="C2105" t="s">
        <v>28</v>
      </c>
      <c r="D2105" t="s">
        <v>15</v>
      </c>
      <c r="E2105" t="s">
        <v>20</v>
      </c>
      <c r="F2105" t="s">
        <v>383</v>
      </c>
    </row>
    <row r="2106" spans="1:6" hidden="1" x14ac:dyDescent="0.3">
      <c r="A2106" t="s">
        <v>4077</v>
      </c>
      <c r="B2106" t="s">
        <v>9</v>
      </c>
      <c r="C2106" t="s">
        <v>28</v>
      </c>
      <c r="E2106" t="s">
        <v>11</v>
      </c>
    </row>
    <row r="2107" spans="1:6" hidden="1" x14ac:dyDescent="0.3">
      <c r="A2107" t="s">
        <v>4078</v>
      </c>
      <c r="B2107" t="s">
        <v>9</v>
      </c>
      <c r="C2107" t="s">
        <v>28</v>
      </c>
      <c r="D2107" t="s">
        <v>15</v>
      </c>
      <c r="E2107" t="s">
        <v>54</v>
      </c>
      <c r="F2107" t="s">
        <v>1419</v>
      </c>
    </row>
    <row r="2108" spans="1:6" hidden="1" x14ac:dyDescent="0.3">
      <c r="A2108" t="s">
        <v>4079</v>
      </c>
      <c r="B2108" t="s">
        <v>417</v>
      </c>
      <c r="C2108" t="s">
        <v>4080</v>
      </c>
      <c r="E2108" t="s">
        <v>54</v>
      </c>
      <c r="F2108" t="s">
        <v>4081</v>
      </c>
    </row>
    <row r="2109" spans="1:6" x14ac:dyDescent="0.3">
      <c r="A2109" t="s">
        <v>4082</v>
      </c>
      <c r="B2109" t="s">
        <v>13</v>
      </c>
      <c r="C2109" t="s">
        <v>3186</v>
      </c>
      <c r="D2109" t="s">
        <v>15</v>
      </c>
      <c r="E2109" t="s">
        <v>20</v>
      </c>
      <c r="F2109" t="s">
        <v>4083</v>
      </c>
    </row>
    <row r="2110" spans="1:6" hidden="1" x14ac:dyDescent="0.3">
      <c r="A2110" t="s">
        <v>4084</v>
      </c>
      <c r="B2110" t="s">
        <v>9</v>
      </c>
      <c r="C2110" t="s">
        <v>4085</v>
      </c>
      <c r="E2110" t="s">
        <v>11</v>
      </c>
    </row>
    <row r="2111" spans="1:6" hidden="1" x14ac:dyDescent="0.3">
      <c r="A2111" t="s">
        <v>4086</v>
      </c>
      <c r="B2111" t="s">
        <v>11</v>
      </c>
      <c r="E2111" t="s">
        <v>11</v>
      </c>
    </row>
    <row r="2112" spans="1:6" hidden="1" x14ac:dyDescent="0.3">
      <c r="A2112" t="s">
        <v>4087</v>
      </c>
      <c r="B2112" t="s">
        <v>13</v>
      </c>
      <c r="C2112" t="s">
        <v>2388</v>
      </c>
      <c r="D2112" t="s">
        <v>15</v>
      </c>
      <c r="E2112" t="s">
        <v>54</v>
      </c>
      <c r="F2112" t="s">
        <v>4088</v>
      </c>
    </row>
    <row r="2113" spans="1:6" x14ac:dyDescent="0.3">
      <c r="A2113" t="s">
        <v>4089</v>
      </c>
      <c r="B2113" t="s">
        <v>9</v>
      </c>
      <c r="C2113" t="s">
        <v>4090</v>
      </c>
      <c r="D2113" t="s">
        <v>15</v>
      </c>
      <c r="E2113" t="s">
        <v>20</v>
      </c>
      <c r="F2113" t="s">
        <v>4091</v>
      </c>
    </row>
    <row r="2114" spans="1:6" hidden="1" x14ac:dyDescent="0.3">
      <c r="A2114" t="s">
        <v>4092</v>
      </c>
      <c r="B2114" t="s">
        <v>9</v>
      </c>
      <c r="C2114" t="s">
        <v>4093</v>
      </c>
      <c r="E2114" t="s">
        <v>11</v>
      </c>
    </row>
    <row r="2115" spans="1:6" x14ac:dyDescent="0.3">
      <c r="A2115" t="s">
        <v>4094</v>
      </c>
      <c r="B2115" t="s">
        <v>13</v>
      </c>
      <c r="C2115" t="s">
        <v>4095</v>
      </c>
      <c r="E2115" t="s">
        <v>20</v>
      </c>
      <c r="F2115" t="s">
        <v>135</v>
      </c>
    </row>
    <row r="2116" spans="1:6" hidden="1" x14ac:dyDescent="0.3">
      <c r="A2116" t="s">
        <v>4096</v>
      </c>
      <c r="B2116" t="s">
        <v>9</v>
      </c>
      <c r="C2116" t="s">
        <v>4097</v>
      </c>
      <c r="D2116" t="s">
        <v>15</v>
      </c>
      <c r="E2116" t="s">
        <v>16</v>
      </c>
      <c r="F2116" t="s">
        <v>88</v>
      </c>
    </row>
    <row r="2117" spans="1:6" hidden="1" x14ac:dyDescent="0.3">
      <c r="A2117" t="s">
        <v>4098</v>
      </c>
      <c r="B2117" t="s">
        <v>9</v>
      </c>
      <c r="C2117" t="s">
        <v>4099</v>
      </c>
      <c r="D2117" t="s">
        <v>15</v>
      </c>
      <c r="E2117" t="s">
        <v>54</v>
      </c>
      <c r="F2117" t="s">
        <v>4100</v>
      </c>
    </row>
    <row r="2118" spans="1:6" hidden="1" x14ac:dyDescent="0.3">
      <c r="A2118" t="s">
        <v>4101</v>
      </c>
      <c r="B2118" t="s">
        <v>13</v>
      </c>
      <c r="C2118" t="s">
        <v>4102</v>
      </c>
      <c r="E2118" t="s">
        <v>54</v>
      </c>
      <c r="F2118" t="s">
        <v>4103</v>
      </c>
    </row>
    <row r="2119" spans="1:6" hidden="1" x14ac:dyDescent="0.3">
      <c r="A2119" t="s">
        <v>4104</v>
      </c>
      <c r="B2119" t="s">
        <v>9</v>
      </c>
      <c r="C2119" t="s">
        <v>4105</v>
      </c>
      <c r="E2119" t="s">
        <v>11</v>
      </c>
    </row>
    <row r="2120" spans="1:6" hidden="1" x14ac:dyDescent="0.3">
      <c r="A2120" t="s">
        <v>4106</v>
      </c>
      <c r="B2120" t="s">
        <v>9</v>
      </c>
      <c r="C2120" t="s">
        <v>4107</v>
      </c>
      <c r="E2120" t="s">
        <v>54</v>
      </c>
      <c r="F2120" t="s">
        <v>4108</v>
      </c>
    </row>
    <row r="2121" spans="1:6" hidden="1" x14ac:dyDescent="0.3">
      <c r="A2121" t="s">
        <v>4109</v>
      </c>
      <c r="B2121" t="s">
        <v>9</v>
      </c>
      <c r="C2121" t="s">
        <v>691</v>
      </c>
      <c r="D2121" t="s">
        <v>15</v>
      </c>
      <c r="E2121" t="s">
        <v>54</v>
      </c>
      <c r="F2121" t="s">
        <v>588</v>
      </c>
    </row>
    <row r="2122" spans="1:6" hidden="1" x14ac:dyDescent="0.3">
      <c r="A2122" t="s">
        <v>4110</v>
      </c>
      <c r="B2122" t="s">
        <v>11</v>
      </c>
      <c r="E2122" t="s">
        <v>11</v>
      </c>
    </row>
    <row r="2123" spans="1:6" hidden="1" x14ac:dyDescent="0.3">
      <c r="A2123" t="s">
        <v>4111</v>
      </c>
      <c r="B2123" t="s">
        <v>11</v>
      </c>
      <c r="E2123" t="s">
        <v>11</v>
      </c>
    </row>
    <row r="2124" spans="1:6" hidden="1" x14ac:dyDescent="0.3">
      <c r="A2124" t="s">
        <v>4112</v>
      </c>
      <c r="B2124" t="s">
        <v>9</v>
      </c>
      <c r="C2124" t="s">
        <v>4113</v>
      </c>
      <c r="D2124" t="s">
        <v>15</v>
      </c>
      <c r="E2124" t="s">
        <v>54</v>
      </c>
      <c r="F2124" t="s">
        <v>4114</v>
      </c>
    </row>
    <row r="2125" spans="1:6" x14ac:dyDescent="0.3">
      <c r="A2125" t="s">
        <v>4115</v>
      </c>
      <c r="B2125" t="s">
        <v>13</v>
      </c>
      <c r="C2125" t="s">
        <v>4116</v>
      </c>
      <c r="E2125" t="s">
        <v>20</v>
      </c>
      <c r="F2125" t="s">
        <v>21</v>
      </c>
    </row>
    <row r="2126" spans="1:6" hidden="1" x14ac:dyDescent="0.3">
      <c r="A2126" t="s">
        <v>4117</v>
      </c>
      <c r="B2126" t="s">
        <v>9</v>
      </c>
      <c r="C2126" t="s">
        <v>4118</v>
      </c>
      <c r="D2126" t="s">
        <v>15</v>
      </c>
      <c r="E2126" t="s">
        <v>54</v>
      </c>
      <c r="F2126" t="s">
        <v>1284</v>
      </c>
    </row>
    <row r="2127" spans="1:6" hidden="1" x14ac:dyDescent="0.3">
      <c r="A2127" t="s">
        <v>4119</v>
      </c>
      <c r="B2127" t="s">
        <v>13</v>
      </c>
      <c r="C2127" t="s">
        <v>4120</v>
      </c>
      <c r="D2127" t="s">
        <v>15</v>
      </c>
      <c r="E2127" t="s">
        <v>11</v>
      </c>
    </row>
    <row r="2128" spans="1:6" hidden="1" x14ac:dyDescent="0.3">
      <c r="A2128" t="s">
        <v>4121</v>
      </c>
      <c r="B2128" t="s">
        <v>9</v>
      </c>
      <c r="C2128" t="s">
        <v>4122</v>
      </c>
      <c r="D2128" t="s">
        <v>15</v>
      </c>
      <c r="E2128" t="s">
        <v>16</v>
      </c>
      <c r="F2128" t="s">
        <v>4123</v>
      </c>
    </row>
    <row r="2129" spans="1:6" hidden="1" x14ac:dyDescent="0.3">
      <c r="A2129" t="s">
        <v>4124</v>
      </c>
      <c r="B2129" t="s">
        <v>9</v>
      </c>
      <c r="C2129" t="s">
        <v>4125</v>
      </c>
      <c r="E2129" t="s">
        <v>54</v>
      </c>
      <c r="F2129" t="s">
        <v>4126</v>
      </c>
    </row>
    <row r="2130" spans="1:6" hidden="1" x14ac:dyDescent="0.3">
      <c r="A2130" t="s">
        <v>4127</v>
      </c>
      <c r="B2130" t="s">
        <v>11</v>
      </c>
      <c r="E2130" t="s">
        <v>11</v>
      </c>
    </row>
    <row r="2131" spans="1:6" hidden="1" x14ac:dyDescent="0.3">
      <c r="A2131" t="s">
        <v>4128</v>
      </c>
      <c r="B2131" t="s">
        <v>13</v>
      </c>
      <c r="C2131" t="s">
        <v>314</v>
      </c>
      <c r="E2131" t="s">
        <v>11</v>
      </c>
    </row>
    <row r="2132" spans="1:6" hidden="1" x14ac:dyDescent="0.3">
      <c r="A2132" t="s">
        <v>4129</v>
      </c>
      <c r="B2132" t="s">
        <v>197</v>
      </c>
      <c r="C2132" t="s">
        <v>4130</v>
      </c>
      <c r="E2132" t="s">
        <v>54</v>
      </c>
      <c r="F2132" t="s">
        <v>4131</v>
      </c>
    </row>
    <row r="2133" spans="1:6" hidden="1" x14ac:dyDescent="0.3">
      <c r="A2133" t="s">
        <v>4132</v>
      </c>
      <c r="B2133" t="s">
        <v>11</v>
      </c>
      <c r="E2133" t="s">
        <v>11</v>
      </c>
    </row>
    <row r="2134" spans="1:6" hidden="1" x14ac:dyDescent="0.3">
      <c r="A2134" t="s">
        <v>4133</v>
      </c>
      <c r="B2134" t="s">
        <v>11</v>
      </c>
      <c r="E2134" t="s">
        <v>11</v>
      </c>
    </row>
    <row r="2135" spans="1:6" x14ac:dyDescent="0.3">
      <c r="A2135" t="s">
        <v>4134</v>
      </c>
      <c r="B2135" t="s">
        <v>9</v>
      </c>
      <c r="C2135" t="s">
        <v>4135</v>
      </c>
      <c r="D2135" t="s">
        <v>15</v>
      </c>
      <c r="E2135" t="s">
        <v>20</v>
      </c>
      <c r="F2135" t="s">
        <v>21</v>
      </c>
    </row>
    <row r="2136" spans="1:6" hidden="1" x14ac:dyDescent="0.3">
      <c r="A2136" t="s">
        <v>4136</v>
      </c>
      <c r="B2136" t="s">
        <v>13</v>
      </c>
      <c r="C2136" t="s">
        <v>4137</v>
      </c>
      <c r="D2136" t="s">
        <v>15</v>
      </c>
      <c r="E2136" t="s">
        <v>11</v>
      </c>
    </row>
    <row r="2137" spans="1:6" x14ac:dyDescent="0.3">
      <c r="A2137" t="s">
        <v>4138</v>
      </c>
      <c r="B2137" t="s">
        <v>13</v>
      </c>
      <c r="C2137" t="s">
        <v>4139</v>
      </c>
      <c r="D2137" t="s">
        <v>15</v>
      </c>
      <c r="E2137" t="s">
        <v>20</v>
      </c>
      <c r="F2137" t="s">
        <v>4140</v>
      </c>
    </row>
    <row r="2138" spans="1:6" hidden="1" x14ac:dyDescent="0.3">
      <c r="A2138" t="s">
        <v>4141</v>
      </c>
      <c r="B2138" t="s">
        <v>13</v>
      </c>
      <c r="C2138" t="s">
        <v>4142</v>
      </c>
      <c r="D2138" t="s">
        <v>15</v>
      </c>
      <c r="E2138" t="s">
        <v>16</v>
      </c>
      <c r="F2138" t="s">
        <v>1298</v>
      </c>
    </row>
    <row r="2139" spans="1:6" x14ac:dyDescent="0.3">
      <c r="A2139" t="s">
        <v>4143</v>
      </c>
      <c r="B2139" t="s">
        <v>9</v>
      </c>
      <c r="C2139" t="s">
        <v>4144</v>
      </c>
      <c r="E2139" t="s">
        <v>20</v>
      </c>
      <c r="F2139" t="s">
        <v>21</v>
      </c>
    </row>
    <row r="2140" spans="1:6" x14ac:dyDescent="0.3">
      <c r="A2140" t="s">
        <v>4145</v>
      </c>
      <c r="B2140" t="s">
        <v>9</v>
      </c>
      <c r="C2140" t="s">
        <v>3812</v>
      </c>
      <c r="D2140" t="s">
        <v>15</v>
      </c>
      <c r="E2140" t="s">
        <v>20</v>
      </c>
      <c r="F2140" t="s">
        <v>4146</v>
      </c>
    </row>
    <row r="2141" spans="1:6" hidden="1" x14ac:dyDescent="0.3">
      <c r="A2141" t="s">
        <v>4147</v>
      </c>
      <c r="B2141" t="s">
        <v>9</v>
      </c>
      <c r="C2141" t="s">
        <v>4148</v>
      </c>
      <c r="D2141" t="s">
        <v>15</v>
      </c>
      <c r="E2141" t="s">
        <v>16</v>
      </c>
      <c r="F2141" t="s">
        <v>528</v>
      </c>
    </row>
    <row r="2142" spans="1:6" x14ac:dyDescent="0.3">
      <c r="A2142" t="s">
        <v>4149</v>
      </c>
      <c r="B2142" t="s">
        <v>9</v>
      </c>
      <c r="C2142" t="s">
        <v>4150</v>
      </c>
      <c r="D2142" t="s">
        <v>15</v>
      </c>
      <c r="E2142" t="s">
        <v>20</v>
      </c>
      <c r="F2142" t="s">
        <v>4151</v>
      </c>
    </row>
    <row r="2143" spans="1:6" hidden="1" x14ac:dyDescent="0.3">
      <c r="A2143" t="s">
        <v>4152</v>
      </c>
      <c r="B2143" t="s">
        <v>13</v>
      </c>
      <c r="C2143" t="s">
        <v>4153</v>
      </c>
      <c r="D2143" t="s">
        <v>15</v>
      </c>
      <c r="E2143" t="s">
        <v>16</v>
      </c>
      <c r="F2143" t="s">
        <v>4154</v>
      </c>
    </row>
    <row r="2144" spans="1:6" hidden="1" x14ac:dyDescent="0.3">
      <c r="A2144" t="s">
        <v>4155</v>
      </c>
      <c r="B2144" t="s">
        <v>9</v>
      </c>
      <c r="C2144" t="s">
        <v>28</v>
      </c>
      <c r="D2144" t="s">
        <v>15</v>
      </c>
      <c r="E2144" t="s">
        <v>54</v>
      </c>
      <c r="F2144" t="s">
        <v>4156</v>
      </c>
    </row>
    <row r="2145" spans="1:6" hidden="1" x14ac:dyDescent="0.3">
      <c r="A2145" t="s">
        <v>4157</v>
      </c>
      <c r="B2145" t="s">
        <v>9</v>
      </c>
      <c r="C2145" t="s">
        <v>1848</v>
      </c>
      <c r="E2145" t="s">
        <v>11</v>
      </c>
    </row>
    <row r="2146" spans="1:6" x14ac:dyDescent="0.3">
      <c r="A2146" t="s">
        <v>4158</v>
      </c>
      <c r="B2146" t="s">
        <v>13</v>
      </c>
      <c r="C2146" t="s">
        <v>4159</v>
      </c>
      <c r="D2146" t="s">
        <v>15</v>
      </c>
      <c r="E2146" t="s">
        <v>20</v>
      </c>
      <c r="F2146" t="s">
        <v>4160</v>
      </c>
    </row>
    <row r="2147" spans="1:6" x14ac:dyDescent="0.3">
      <c r="A2147" t="s">
        <v>4161</v>
      </c>
      <c r="B2147" t="s">
        <v>9</v>
      </c>
      <c r="C2147" t="s">
        <v>28</v>
      </c>
      <c r="D2147" t="s">
        <v>15</v>
      </c>
      <c r="E2147" t="s">
        <v>20</v>
      </c>
      <c r="F2147" t="s">
        <v>4162</v>
      </c>
    </row>
    <row r="2148" spans="1:6" x14ac:dyDescent="0.3">
      <c r="A2148" t="s">
        <v>4163</v>
      </c>
      <c r="B2148" t="s">
        <v>9</v>
      </c>
      <c r="C2148" t="s">
        <v>4164</v>
      </c>
      <c r="D2148" t="s">
        <v>15</v>
      </c>
      <c r="E2148" t="s">
        <v>20</v>
      </c>
      <c r="F2148" t="s">
        <v>21</v>
      </c>
    </row>
    <row r="2149" spans="1:6" hidden="1" x14ac:dyDescent="0.3">
      <c r="A2149" t="s">
        <v>4165</v>
      </c>
      <c r="B2149" t="s">
        <v>13</v>
      </c>
      <c r="C2149" t="s">
        <v>4166</v>
      </c>
      <c r="E2149" t="s">
        <v>11</v>
      </c>
    </row>
    <row r="2150" spans="1:6" x14ac:dyDescent="0.3">
      <c r="A2150" t="s">
        <v>4167</v>
      </c>
      <c r="B2150" t="s">
        <v>9</v>
      </c>
      <c r="C2150" t="s">
        <v>4168</v>
      </c>
      <c r="E2150" t="s">
        <v>20</v>
      </c>
      <c r="F2150" t="s">
        <v>4169</v>
      </c>
    </row>
    <row r="2151" spans="1:6" hidden="1" x14ac:dyDescent="0.3">
      <c r="A2151" t="s">
        <v>4170</v>
      </c>
      <c r="B2151" t="s">
        <v>11</v>
      </c>
      <c r="E2151" t="s">
        <v>11</v>
      </c>
    </row>
    <row r="2152" spans="1:6" hidden="1" x14ac:dyDescent="0.3">
      <c r="A2152" t="s">
        <v>4171</v>
      </c>
      <c r="B2152" t="s">
        <v>11</v>
      </c>
      <c r="E2152" t="s">
        <v>11</v>
      </c>
    </row>
    <row r="2153" spans="1:6" x14ac:dyDescent="0.3">
      <c r="A2153" t="s">
        <v>4172</v>
      </c>
      <c r="B2153" t="s">
        <v>9</v>
      </c>
      <c r="C2153" t="s">
        <v>4173</v>
      </c>
      <c r="D2153" t="s">
        <v>15</v>
      </c>
      <c r="E2153" t="s">
        <v>20</v>
      </c>
      <c r="F2153" t="s">
        <v>21</v>
      </c>
    </row>
    <row r="2154" spans="1:6" hidden="1" x14ac:dyDescent="0.3">
      <c r="A2154" t="s">
        <v>4174</v>
      </c>
      <c r="B2154" t="s">
        <v>11</v>
      </c>
      <c r="E2154" t="s">
        <v>11</v>
      </c>
    </row>
    <row r="2155" spans="1:6" hidden="1" x14ac:dyDescent="0.3">
      <c r="A2155" t="s">
        <v>4175</v>
      </c>
      <c r="B2155" t="s">
        <v>13</v>
      </c>
      <c r="C2155" t="s">
        <v>4176</v>
      </c>
      <c r="D2155" t="s">
        <v>15</v>
      </c>
      <c r="E2155" t="s">
        <v>54</v>
      </c>
      <c r="F2155" t="s">
        <v>1171</v>
      </c>
    </row>
    <row r="2156" spans="1:6" hidden="1" x14ac:dyDescent="0.3">
      <c r="A2156" t="s">
        <v>4177</v>
      </c>
      <c r="B2156" t="s">
        <v>13</v>
      </c>
      <c r="C2156" t="s">
        <v>4178</v>
      </c>
      <c r="E2156" t="s">
        <v>16</v>
      </c>
      <c r="F2156" t="s">
        <v>4179</v>
      </c>
    </row>
    <row r="2157" spans="1:6" hidden="1" x14ac:dyDescent="0.3">
      <c r="A2157" t="s">
        <v>4180</v>
      </c>
      <c r="B2157" t="s">
        <v>9</v>
      </c>
      <c r="C2157" t="s">
        <v>4181</v>
      </c>
      <c r="E2157" t="s">
        <v>54</v>
      </c>
      <c r="F2157" t="s">
        <v>4182</v>
      </c>
    </row>
    <row r="2158" spans="1:6" x14ac:dyDescent="0.3">
      <c r="A2158" t="s">
        <v>4183</v>
      </c>
      <c r="B2158" t="s">
        <v>11</v>
      </c>
      <c r="E2158" t="s">
        <v>20</v>
      </c>
      <c r="F2158" t="s">
        <v>4184</v>
      </c>
    </row>
    <row r="2159" spans="1:6" x14ac:dyDescent="0.3">
      <c r="A2159" t="s">
        <v>4185</v>
      </c>
      <c r="B2159" t="s">
        <v>9</v>
      </c>
      <c r="C2159" t="s">
        <v>28</v>
      </c>
      <c r="D2159" t="s">
        <v>15</v>
      </c>
      <c r="E2159" t="s">
        <v>20</v>
      </c>
      <c r="F2159" t="s">
        <v>4186</v>
      </c>
    </row>
    <row r="2160" spans="1:6" hidden="1" x14ac:dyDescent="0.3">
      <c r="A2160" t="s">
        <v>4187</v>
      </c>
      <c r="B2160" t="s">
        <v>13</v>
      </c>
      <c r="C2160" t="s">
        <v>4188</v>
      </c>
      <c r="D2160" t="s">
        <v>15</v>
      </c>
      <c r="E2160" t="s">
        <v>11</v>
      </c>
    </row>
    <row r="2161" spans="1:6" hidden="1" x14ac:dyDescent="0.3">
      <c r="A2161" t="s">
        <v>4189</v>
      </c>
      <c r="B2161" t="s">
        <v>9</v>
      </c>
      <c r="C2161" t="s">
        <v>28</v>
      </c>
      <c r="E2161" t="s">
        <v>11</v>
      </c>
    </row>
    <row r="2162" spans="1:6" hidden="1" x14ac:dyDescent="0.3">
      <c r="A2162" t="s">
        <v>4190</v>
      </c>
      <c r="B2162" t="s">
        <v>11</v>
      </c>
      <c r="E2162" t="s">
        <v>11</v>
      </c>
    </row>
    <row r="2163" spans="1:6" hidden="1" x14ac:dyDescent="0.3">
      <c r="A2163" t="s">
        <v>4191</v>
      </c>
      <c r="B2163" t="s">
        <v>9</v>
      </c>
      <c r="C2163" t="s">
        <v>4192</v>
      </c>
      <c r="D2163" t="s">
        <v>15</v>
      </c>
      <c r="E2163" t="s">
        <v>11</v>
      </c>
    </row>
    <row r="2164" spans="1:6" hidden="1" x14ac:dyDescent="0.3">
      <c r="A2164" t="s">
        <v>4193</v>
      </c>
      <c r="B2164" t="s">
        <v>11</v>
      </c>
      <c r="E2164" t="s">
        <v>11</v>
      </c>
    </row>
    <row r="2165" spans="1:6" hidden="1" x14ac:dyDescent="0.3">
      <c r="A2165" t="s">
        <v>4194</v>
      </c>
      <c r="B2165" t="s">
        <v>9</v>
      </c>
      <c r="C2165" t="s">
        <v>4195</v>
      </c>
      <c r="D2165" t="s">
        <v>15</v>
      </c>
      <c r="E2165" t="s">
        <v>16</v>
      </c>
      <c r="F2165" t="s">
        <v>4196</v>
      </c>
    </row>
    <row r="2166" spans="1:6" hidden="1" x14ac:dyDescent="0.3">
      <c r="A2166" t="s">
        <v>4197</v>
      </c>
      <c r="B2166" t="s">
        <v>13</v>
      </c>
      <c r="C2166" t="s">
        <v>4198</v>
      </c>
      <c r="D2166" t="s">
        <v>15</v>
      </c>
      <c r="E2166" t="s">
        <v>54</v>
      </c>
      <c r="F2166" t="s">
        <v>4199</v>
      </c>
    </row>
    <row r="2167" spans="1:6" x14ac:dyDescent="0.3">
      <c r="A2167" t="s">
        <v>4200</v>
      </c>
      <c r="B2167" t="s">
        <v>9</v>
      </c>
      <c r="C2167" t="s">
        <v>4201</v>
      </c>
      <c r="E2167" t="s">
        <v>20</v>
      </c>
      <c r="F2167" t="s">
        <v>21</v>
      </c>
    </row>
    <row r="2168" spans="1:6" x14ac:dyDescent="0.3">
      <c r="A2168" t="s">
        <v>4202</v>
      </c>
      <c r="B2168" t="s">
        <v>9</v>
      </c>
      <c r="C2168" t="s">
        <v>4203</v>
      </c>
      <c r="D2168" t="s">
        <v>15</v>
      </c>
      <c r="E2168" t="s">
        <v>20</v>
      </c>
      <c r="F2168" t="s">
        <v>4204</v>
      </c>
    </row>
    <row r="2169" spans="1:6" hidden="1" x14ac:dyDescent="0.3">
      <c r="A2169" t="s">
        <v>4205</v>
      </c>
      <c r="B2169" t="s">
        <v>9</v>
      </c>
      <c r="C2169" t="s">
        <v>4206</v>
      </c>
      <c r="D2169" t="s">
        <v>15</v>
      </c>
      <c r="E2169" t="s">
        <v>54</v>
      </c>
      <c r="F2169" t="s">
        <v>4207</v>
      </c>
    </row>
    <row r="2170" spans="1:6" hidden="1" x14ac:dyDescent="0.3">
      <c r="A2170" t="s">
        <v>4208</v>
      </c>
      <c r="B2170" t="s">
        <v>197</v>
      </c>
      <c r="C2170" t="s">
        <v>4209</v>
      </c>
      <c r="D2170" t="s">
        <v>15</v>
      </c>
      <c r="E2170" t="s">
        <v>54</v>
      </c>
      <c r="F2170" t="s">
        <v>581</v>
      </c>
    </row>
    <row r="2171" spans="1:6" hidden="1" x14ac:dyDescent="0.3">
      <c r="A2171" t="s">
        <v>4210</v>
      </c>
      <c r="B2171" t="s">
        <v>13</v>
      </c>
      <c r="C2171" t="s">
        <v>4211</v>
      </c>
      <c r="D2171" t="s">
        <v>15</v>
      </c>
      <c r="E2171" t="s">
        <v>54</v>
      </c>
      <c r="F2171" t="s">
        <v>4212</v>
      </c>
    </row>
    <row r="2172" spans="1:6" hidden="1" x14ac:dyDescent="0.3">
      <c r="A2172" t="s">
        <v>4213</v>
      </c>
      <c r="B2172" t="s">
        <v>13</v>
      </c>
      <c r="C2172" t="s">
        <v>4214</v>
      </c>
      <c r="D2172" t="s">
        <v>15</v>
      </c>
      <c r="E2172" t="s">
        <v>54</v>
      </c>
      <c r="F2172" t="s">
        <v>4215</v>
      </c>
    </row>
    <row r="2173" spans="1:6" hidden="1" x14ac:dyDescent="0.3">
      <c r="A2173" t="s">
        <v>4216</v>
      </c>
      <c r="B2173" t="s">
        <v>13</v>
      </c>
      <c r="C2173" t="s">
        <v>4217</v>
      </c>
      <c r="D2173" t="s">
        <v>15</v>
      </c>
      <c r="E2173" t="s">
        <v>16</v>
      </c>
      <c r="F2173" t="s">
        <v>2554</v>
      </c>
    </row>
    <row r="2174" spans="1:6" x14ac:dyDescent="0.3">
      <c r="A2174" t="s">
        <v>4218</v>
      </c>
      <c r="B2174" t="s">
        <v>9</v>
      </c>
      <c r="C2174" t="s">
        <v>4219</v>
      </c>
      <c r="D2174" t="s">
        <v>15</v>
      </c>
      <c r="E2174" t="s">
        <v>20</v>
      </c>
      <c r="F2174" t="s">
        <v>4220</v>
      </c>
    </row>
    <row r="2175" spans="1:6" hidden="1" x14ac:dyDescent="0.3">
      <c r="A2175" t="s">
        <v>4221</v>
      </c>
      <c r="B2175" t="s">
        <v>9</v>
      </c>
      <c r="C2175" t="s">
        <v>4222</v>
      </c>
      <c r="D2175" t="s">
        <v>15</v>
      </c>
      <c r="E2175" t="s">
        <v>11</v>
      </c>
    </row>
    <row r="2176" spans="1:6" x14ac:dyDescent="0.3">
      <c r="A2176" t="s">
        <v>4223</v>
      </c>
      <c r="B2176" t="s">
        <v>11</v>
      </c>
      <c r="E2176" t="s">
        <v>20</v>
      </c>
      <c r="F2176" t="s">
        <v>21</v>
      </c>
    </row>
    <row r="2177" spans="1:6" x14ac:dyDescent="0.3">
      <c r="A2177" t="s">
        <v>4224</v>
      </c>
      <c r="B2177" t="s">
        <v>9</v>
      </c>
      <c r="C2177" t="s">
        <v>4225</v>
      </c>
      <c r="D2177" t="s">
        <v>15</v>
      </c>
      <c r="E2177" t="s">
        <v>20</v>
      </c>
      <c r="F2177" t="s">
        <v>4226</v>
      </c>
    </row>
    <row r="2178" spans="1:6" hidden="1" x14ac:dyDescent="0.3">
      <c r="A2178" t="s">
        <v>4227</v>
      </c>
      <c r="B2178" t="s">
        <v>9</v>
      </c>
      <c r="C2178" t="s">
        <v>51</v>
      </c>
      <c r="E2178" t="s">
        <v>11</v>
      </c>
    </row>
    <row r="2179" spans="1:6" x14ac:dyDescent="0.3">
      <c r="A2179" t="s">
        <v>4228</v>
      </c>
      <c r="B2179" t="s">
        <v>13</v>
      </c>
      <c r="C2179" t="s">
        <v>4229</v>
      </c>
      <c r="D2179" t="s">
        <v>15</v>
      </c>
      <c r="E2179" t="s">
        <v>20</v>
      </c>
      <c r="F2179" t="s">
        <v>4230</v>
      </c>
    </row>
    <row r="2180" spans="1:6" x14ac:dyDescent="0.3">
      <c r="A2180" t="s">
        <v>4231</v>
      </c>
      <c r="B2180" t="s">
        <v>9</v>
      </c>
      <c r="C2180" t="s">
        <v>28</v>
      </c>
      <c r="E2180" t="s">
        <v>20</v>
      </c>
      <c r="F2180" t="s">
        <v>135</v>
      </c>
    </row>
    <row r="2181" spans="1:6" hidden="1" x14ac:dyDescent="0.3">
      <c r="A2181" t="s">
        <v>4232</v>
      </c>
      <c r="B2181" t="s">
        <v>13</v>
      </c>
      <c r="C2181" t="s">
        <v>4233</v>
      </c>
      <c r="D2181" t="s">
        <v>15</v>
      </c>
      <c r="E2181" t="s">
        <v>54</v>
      </c>
      <c r="F2181" t="s">
        <v>4234</v>
      </c>
    </row>
    <row r="2182" spans="1:6" hidden="1" x14ac:dyDescent="0.3">
      <c r="A2182" t="s">
        <v>4235</v>
      </c>
      <c r="B2182" t="s">
        <v>9</v>
      </c>
      <c r="C2182" t="s">
        <v>4236</v>
      </c>
      <c r="E2182" t="s">
        <v>54</v>
      </c>
      <c r="F2182" t="s">
        <v>4237</v>
      </c>
    </row>
    <row r="2183" spans="1:6" hidden="1" x14ac:dyDescent="0.3">
      <c r="A2183" t="s">
        <v>4238</v>
      </c>
      <c r="B2183" t="s">
        <v>9</v>
      </c>
      <c r="C2183" t="s">
        <v>4239</v>
      </c>
      <c r="D2183" t="s">
        <v>15</v>
      </c>
      <c r="E2183" t="s">
        <v>16</v>
      </c>
      <c r="F2183" t="s">
        <v>4240</v>
      </c>
    </row>
    <row r="2184" spans="1:6" x14ac:dyDescent="0.3">
      <c r="A2184" t="s">
        <v>4241</v>
      </c>
      <c r="B2184" t="s">
        <v>11</v>
      </c>
      <c r="D2184" t="s">
        <v>15</v>
      </c>
      <c r="E2184" t="s">
        <v>20</v>
      </c>
      <c r="F2184" t="s">
        <v>4242</v>
      </c>
    </row>
    <row r="2185" spans="1:6" hidden="1" x14ac:dyDescent="0.3">
      <c r="A2185" t="s">
        <v>4243</v>
      </c>
      <c r="B2185" t="s">
        <v>9</v>
      </c>
      <c r="C2185" t="s">
        <v>4244</v>
      </c>
      <c r="D2185" t="s">
        <v>15</v>
      </c>
      <c r="E2185" t="s">
        <v>11</v>
      </c>
    </row>
    <row r="2186" spans="1:6" hidden="1" x14ac:dyDescent="0.3">
      <c r="A2186" t="s">
        <v>4245</v>
      </c>
      <c r="B2186" t="s">
        <v>9</v>
      </c>
      <c r="C2186" t="s">
        <v>4246</v>
      </c>
      <c r="D2186" t="s">
        <v>15</v>
      </c>
      <c r="E2186" t="s">
        <v>16</v>
      </c>
      <c r="F2186" t="s">
        <v>88</v>
      </c>
    </row>
    <row r="2187" spans="1:6" x14ac:dyDescent="0.3">
      <c r="A2187" t="s">
        <v>4247</v>
      </c>
      <c r="B2187" t="s">
        <v>9</v>
      </c>
      <c r="C2187" t="s">
        <v>4248</v>
      </c>
      <c r="D2187" t="s">
        <v>15</v>
      </c>
      <c r="E2187" t="s">
        <v>20</v>
      </c>
      <c r="F2187" t="s">
        <v>135</v>
      </c>
    </row>
    <row r="2188" spans="1:6" x14ac:dyDescent="0.3">
      <c r="A2188" t="s">
        <v>4249</v>
      </c>
      <c r="B2188" t="s">
        <v>9</v>
      </c>
      <c r="C2188" t="s">
        <v>4250</v>
      </c>
      <c r="D2188" t="s">
        <v>15</v>
      </c>
      <c r="E2188" t="s">
        <v>20</v>
      </c>
      <c r="F2188" t="s">
        <v>4251</v>
      </c>
    </row>
    <row r="2189" spans="1:6" hidden="1" x14ac:dyDescent="0.3">
      <c r="A2189" t="s">
        <v>4252</v>
      </c>
      <c r="B2189" t="s">
        <v>9</v>
      </c>
      <c r="C2189" t="s">
        <v>4253</v>
      </c>
      <c r="D2189" t="s">
        <v>15</v>
      </c>
      <c r="E2189" t="s">
        <v>54</v>
      </c>
      <c r="F2189" t="s">
        <v>4254</v>
      </c>
    </row>
    <row r="2190" spans="1:6" x14ac:dyDescent="0.3">
      <c r="A2190" t="s">
        <v>4255</v>
      </c>
      <c r="B2190" t="s">
        <v>9</v>
      </c>
      <c r="C2190" t="s">
        <v>4256</v>
      </c>
      <c r="D2190" t="s">
        <v>15</v>
      </c>
      <c r="E2190" t="s">
        <v>20</v>
      </c>
      <c r="F2190" t="s">
        <v>4257</v>
      </c>
    </row>
    <row r="2191" spans="1:6" hidden="1" x14ac:dyDescent="0.3">
      <c r="A2191" t="s">
        <v>4258</v>
      </c>
      <c r="B2191" t="s">
        <v>9</v>
      </c>
      <c r="C2191" t="s">
        <v>28</v>
      </c>
      <c r="D2191" t="s">
        <v>15</v>
      </c>
      <c r="E2191" t="s">
        <v>16</v>
      </c>
      <c r="F2191" t="s">
        <v>4259</v>
      </c>
    </row>
    <row r="2192" spans="1:6" x14ac:dyDescent="0.3">
      <c r="A2192" t="s">
        <v>4260</v>
      </c>
      <c r="B2192" t="s">
        <v>417</v>
      </c>
      <c r="C2192" t="s">
        <v>4261</v>
      </c>
      <c r="D2192" t="s">
        <v>15</v>
      </c>
      <c r="E2192" t="s">
        <v>20</v>
      </c>
      <c r="F2192" t="s">
        <v>21</v>
      </c>
    </row>
    <row r="2193" spans="1:6" hidden="1" x14ac:dyDescent="0.3">
      <c r="A2193" t="s">
        <v>4262</v>
      </c>
      <c r="B2193" t="s">
        <v>13</v>
      </c>
      <c r="C2193" t="s">
        <v>3717</v>
      </c>
      <c r="E2193" t="s">
        <v>11</v>
      </c>
    </row>
    <row r="2194" spans="1:6" x14ac:dyDescent="0.3">
      <c r="A2194" t="s">
        <v>4263</v>
      </c>
      <c r="B2194" t="s">
        <v>9</v>
      </c>
      <c r="C2194" t="s">
        <v>28</v>
      </c>
      <c r="D2194" t="s">
        <v>15</v>
      </c>
      <c r="E2194" t="s">
        <v>20</v>
      </c>
      <c r="F2194" t="s">
        <v>135</v>
      </c>
    </row>
    <row r="2195" spans="1:6" x14ac:dyDescent="0.3">
      <c r="A2195" t="s">
        <v>4264</v>
      </c>
      <c r="B2195" t="s">
        <v>9</v>
      </c>
      <c r="C2195" t="s">
        <v>847</v>
      </c>
      <c r="D2195" t="s">
        <v>15</v>
      </c>
      <c r="E2195" t="s">
        <v>20</v>
      </c>
      <c r="F2195" t="s">
        <v>21</v>
      </c>
    </row>
    <row r="2196" spans="1:6" hidden="1" x14ac:dyDescent="0.3">
      <c r="A2196" t="s">
        <v>4265</v>
      </c>
      <c r="B2196" t="s">
        <v>9</v>
      </c>
      <c r="C2196" t="s">
        <v>2322</v>
      </c>
      <c r="E2196" t="s">
        <v>11</v>
      </c>
    </row>
    <row r="2197" spans="1:6" hidden="1" x14ac:dyDescent="0.3">
      <c r="A2197" t="s">
        <v>4266</v>
      </c>
      <c r="B2197" t="s">
        <v>9</v>
      </c>
      <c r="C2197" t="s">
        <v>1896</v>
      </c>
      <c r="E2197" t="s">
        <v>11</v>
      </c>
    </row>
    <row r="2198" spans="1:6" hidden="1" x14ac:dyDescent="0.3">
      <c r="A2198" t="s">
        <v>4267</v>
      </c>
      <c r="B2198" t="s">
        <v>9</v>
      </c>
      <c r="C2198" t="s">
        <v>4268</v>
      </c>
      <c r="D2198" t="s">
        <v>15</v>
      </c>
      <c r="E2198" t="s">
        <v>54</v>
      </c>
      <c r="F2198" t="s">
        <v>2427</v>
      </c>
    </row>
    <row r="2199" spans="1:6" hidden="1" x14ac:dyDescent="0.3">
      <c r="A2199" t="s">
        <v>4269</v>
      </c>
      <c r="B2199" t="s">
        <v>11</v>
      </c>
      <c r="E2199" t="s">
        <v>11</v>
      </c>
    </row>
    <row r="2200" spans="1:6" hidden="1" x14ac:dyDescent="0.3">
      <c r="A2200" t="s">
        <v>4270</v>
      </c>
      <c r="B2200" t="s">
        <v>9</v>
      </c>
      <c r="C2200" t="s">
        <v>4271</v>
      </c>
      <c r="D2200" t="s">
        <v>15</v>
      </c>
      <c r="E2200" t="s">
        <v>54</v>
      </c>
      <c r="F2200" t="s">
        <v>4272</v>
      </c>
    </row>
    <row r="2201" spans="1:6" hidden="1" x14ac:dyDescent="0.3">
      <c r="A2201" t="s">
        <v>4273</v>
      </c>
      <c r="B2201" t="s">
        <v>9</v>
      </c>
      <c r="C2201" t="s">
        <v>301</v>
      </c>
      <c r="E2201" t="s">
        <v>11</v>
      </c>
    </row>
    <row r="2202" spans="1:6" hidden="1" x14ac:dyDescent="0.3">
      <c r="A2202" t="s">
        <v>4274</v>
      </c>
      <c r="B2202" t="s">
        <v>9</v>
      </c>
      <c r="C2202" t="s">
        <v>28</v>
      </c>
      <c r="E2202" t="s">
        <v>11</v>
      </c>
    </row>
    <row r="2203" spans="1:6" x14ac:dyDescent="0.3">
      <c r="A2203" t="s">
        <v>4275</v>
      </c>
      <c r="B2203" t="s">
        <v>9</v>
      </c>
      <c r="C2203" t="s">
        <v>4276</v>
      </c>
      <c r="E2203" t="s">
        <v>20</v>
      </c>
      <c r="F2203" t="s">
        <v>21</v>
      </c>
    </row>
    <row r="2204" spans="1:6" x14ac:dyDescent="0.3">
      <c r="A2204" t="s">
        <v>4277</v>
      </c>
      <c r="B2204" t="s">
        <v>9</v>
      </c>
      <c r="C2204" t="s">
        <v>4278</v>
      </c>
      <c r="E2204" t="s">
        <v>20</v>
      </c>
      <c r="F2204" t="s">
        <v>21</v>
      </c>
    </row>
    <row r="2205" spans="1:6" x14ac:dyDescent="0.3">
      <c r="A2205" t="s">
        <v>4279</v>
      </c>
      <c r="B2205" t="s">
        <v>9</v>
      </c>
      <c r="C2205" t="s">
        <v>28</v>
      </c>
      <c r="D2205" t="s">
        <v>15</v>
      </c>
      <c r="E2205" t="s">
        <v>20</v>
      </c>
      <c r="F2205" t="s">
        <v>4280</v>
      </c>
    </row>
    <row r="2206" spans="1:6" x14ac:dyDescent="0.3">
      <c r="A2206" t="s">
        <v>4281</v>
      </c>
      <c r="B2206" t="s">
        <v>9</v>
      </c>
      <c r="C2206" t="s">
        <v>4282</v>
      </c>
      <c r="D2206" t="s">
        <v>15</v>
      </c>
      <c r="E2206" t="s">
        <v>20</v>
      </c>
      <c r="F2206" t="s">
        <v>21</v>
      </c>
    </row>
    <row r="2207" spans="1:6" hidden="1" x14ac:dyDescent="0.3">
      <c r="A2207" t="s">
        <v>4283</v>
      </c>
      <c r="B2207" t="s">
        <v>11</v>
      </c>
      <c r="E2207" t="s">
        <v>11</v>
      </c>
    </row>
    <row r="2208" spans="1:6" hidden="1" x14ac:dyDescent="0.3">
      <c r="A2208" t="s">
        <v>4284</v>
      </c>
      <c r="B2208" t="s">
        <v>9</v>
      </c>
      <c r="C2208" t="s">
        <v>4285</v>
      </c>
      <c r="D2208" t="s">
        <v>15</v>
      </c>
      <c r="E2208" t="s">
        <v>54</v>
      </c>
      <c r="F2208" t="s">
        <v>4286</v>
      </c>
    </row>
    <row r="2209" spans="1:6" x14ac:dyDescent="0.3">
      <c r="A2209" t="s">
        <v>4287</v>
      </c>
      <c r="B2209" t="s">
        <v>13</v>
      </c>
      <c r="C2209" t="s">
        <v>4288</v>
      </c>
      <c r="E2209" t="s">
        <v>20</v>
      </c>
      <c r="F2209" t="s">
        <v>4289</v>
      </c>
    </row>
    <row r="2210" spans="1:6" hidden="1" x14ac:dyDescent="0.3">
      <c r="A2210" t="s">
        <v>4290</v>
      </c>
      <c r="B2210" t="s">
        <v>9</v>
      </c>
      <c r="C2210" t="s">
        <v>4291</v>
      </c>
      <c r="D2210" t="s">
        <v>15</v>
      </c>
      <c r="E2210" t="s">
        <v>16</v>
      </c>
      <c r="F2210" t="s">
        <v>4292</v>
      </c>
    </row>
    <row r="2211" spans="1:6" hidden="1" x14ac:dyDescent="0.3">
      <c r="A2211" t="s">
        <v>4293</v>
      </c>
      <c r="B2211" t="s">
        <v>9</v>
      </c>
      <c r="C2211" t="s">
        <v>4294</v>
      </c>
      <c r="E2211" t="s">
        <v>11</v>
      </c>
    </row>
    <row r="2212" spans="1:6" hidden="1" x14ac:dyDescent="0.3">
      <c r="A2212" t="s">
        <v>4295</v>
      </c>
      <c r="B2212" t="s">
        <v>9</v>
      </c>
      <c r="C2212" t="s">
        <v>28</v>
      </c>
      <c r="E2212" t="s">
        <v>11</v>
      </c>
    </row>
    <row r="2213" spans="1:6" hidden="1" x14ac:dyDescent="0.3">
      <c r="A2213" t="s">
        <v>4296</v>
      </c>
      <c r="B2213" t="s">
        <v>11</v>
      </c>
      <c r="E2213" t="s">
        <v>11</v>
      </c>
    </row>
    <row r="2214" spans="1:6" hidden="1" x14ac:dyDescent="0.3">
      <c r="A2214" t="s">
        <v>4297</v>
      </c>
      <c r="B2214" t="s">
        <v>9</v>
      </c>
      <c r="C2214" t="s">
        <v>4298</v>
      </c>
      <c r="D2214" t="s">
        <v>15</v>
      </c>
      <c r="E2214" t="s">
        <v>54</v>
      </c>
      <c r="F2214" t="s">
        <v>4299</v>
      </c>
    </row>
    <row r="2215" spans="1:6" hidden="1" x14ac:dyDescent="0.3">
      <c r="A2215" t="s">
        <v>4300</v>
      </c>
      <c r="B2215" t="s">
        <v>9</v>
      </c>
      <c r="C2215" t="s">
        <v>4301</v>
      </c>
      <c r="D2215" t="s">
        <v>15</v>
      </c>
      <c r="E2215" t="s">
        <v>16</v>
      </c>
      <c r="F2215" t="s">
        <v>4302</v>
      </c>
    </row>
    <row r="2216" spans="1:6" hidden="1" x14ac:dyDescent="0.3">
      <c r="A2216" t="s">
        <v>4303</v>
      </c>
      <c r="B2216" t="s">
        <v>13</v>
      </c>
      <c r="C2216" t="s">
        <v>4304</v>
      </c>
      <c r="D2216" t="s">
        <v>15</v>
      </c>
      <c r="E2216" t="s">
        <v>54</v>
      </c>
      <c r="F2216" t="s">
        <v>4305</v>
      </c>
    </row>
    <row r="2217" spans="1:6" hidden="1" x14ac:dyDescent="0.3">
      <c r="A2217" t="s">
        <v>4306</v>
      </c>
      <c r="B2217" t="s">
        <v>11</v>
      </c>
      <c r="E2217" t="s">
        <v>11</v>
      </c>
    </row>
    <row r="2218" spans="1:6" hidden="1" x14ac:dyDescent="0.3">
      <c r="A2218" t="s">
        <v>4307</v>
      </c>
      <c r="B2218" t="s">
        <v>9</v>
      </c>
      <c r="C2218" t="s">
        <v>4308</v>
      </c>
      <c r="E2218" t="s">
        <v>11</v>
      </c>
    </row>
    <row r="2219" spans="1:6" hidden="1" x14ac:dyDescent="0.3">
      <c r="A2219" t="s">
        <v>4309</v>
      </c>
      <c r="B2219" t="s">
        <v>9</v>
      </c>
      <c r="C2219" t="s">
        <v>4310</v>
      </c>
      <c r="D2219" t="s">
        <v>15</v>
      </c>
      <c r="E2219" t="s">
        <v>54</v>
      </c>
      <c r="F2219" t="s">
        <v>4311</v>
      </c>
    </row>
    <row r="2220" spans="1:6" hidden="1" x14ac:dyDescent="0.3">
      <c r="A2220" t="s">
        <v>4312</v>
      </c>
      <c r="B2220" t="s">
        <v>9</v>
      </c>
      <c r="C2220" t="s">
        <v>28</v>
      </c>
      <c r="E2220" t="s">
        <v>11</v>
      </c>
    </row>
    <row r="2221" spans="1:6" hidden="1" x14ac:dyDescent="0.3">
      <c r="A2221" t="s">
        <v>4313</v>
      </c>
      <c r="B2221" t="s">
        <v>9</v>
      </c>
      <c r="C2221" t="s">
        <v>4314</v>
      </c>
      <c r="E2221" t="s">
        <v>11</v>
      </c>
    </row>
    <row r="2222" spans="1:6" x14ac:dyDescent="0.3">
      <c r="A2222" t="s">
        <v>4315</v>
      </c>
      <c r="B2222" t="s">
        <v>9</v>
      </c>
      <c r="C2222" t="s">
        <v>4316</v>
      </c>
      <c r="D2222" t="s">
        <v>15</v>
      </c>
      <c r="E2222" t="s">
        <v>20</v>
      </c>
      <c r="F2222" t="s">
        <v>21</v>
      </c>
    </row>
    <row r="2223" spans="1:6" hidden="1" x14ac:dyDescent="0.3">
      <c r="A2223" t="s">
        <v>4317</v>
      </c>
      <c r="B2223" t="s">
        <v>9</v>
      </c>
      <c r="C2223" t="s">
        <v>28</v>
      </c>
      <c r="E2223" t="s">
        <v>11</v>
      </c>
    </row>
    <row r="2224" spans="1:6" hidden="1" x14ac:dyDescent="0.3">
      <c r="A2224" t="s">
        <v>4318</v>
      </c>
      <c r="B2224" t="s">
        <v>9</v>
      </c>
      <c r="C2224" t="s">
        <v>4319</v>
      </c>
      <c r="D2224" t="s">
        <v>15</v>
      </c>
      <c r="E2224" t="s">
        <v>54</v>
      </c>
      <c r="F2224" t="s">
        <v>3075</v>
      </c>
    </row>
    <row r="2225" spans="1:6" hidden="1" x14ac:dyDescent="0.3">
      <c r="A2225" t="s">
        <v>4320</v>
      </c>
      <c r="B2225" t="s">
        <v>9</v>
      </c>
      <c r="C2225" t="s">
        <v>28</v>
      </c>
      <c r="D2225" t="s">
        <v>15</v>
      </c>
      <c r="E2225" t="s">
        <v>16</v>
      </c>
      <c r="F2225" t="s">
        <v>4321</v>
      </c>
    </row>
    <row r="2226" spans="1:6" x14ac:dyDescent="0.3">
      <c r="A2226" t="s">
        <v>4322</v>
      </c>
      <c r="B2226" t="s">
        <v>9</v>
      </c>
      <c r="C2226" t="s">
        <v>4323</v>
      </c>
      <c r="E2226" t="s">
        <v>20</v>
      </c>
      <c r="F2226" t="s">
        <v>21</v>
      </c>
    </row>
    <row r="2227" spans="1:6" hidden="1" x14ac:dyDescent="0.3">
      <c r="A2227" t="s">
        <v>4324</v>
      </c>
      <c r="B2227" t="s">
        <v>9</v>
      </c>
      <c r="C2227" t="s">
        <v>4325</v>
      </c>
      <c r="D2227" t="s">
        <v>15</v>
      </c>
      <c r="E2227" t="s">
        <v>54</v>
      </c>
      <c r="F2227" t="s">
        <v>4326</v>
      </c>
    </row>
    <row r="2228" spans="1:6" x14ac:dyDescent="0.3">
      <c r="A2228" t="s">
        <v>4327</v>
      </c>
      <c r="B2228" t="s">
        <v>9</v>
      </c>
      <c r="C2228" t="s">
        <v>442</v>
      </c>
      <c r="E2228" t="s">
        <v>20</v>
      </c>
      <c r="F2228" t="s">
        <v>135</v>
      </c>
    </row>
    <row r="2229" spans="1:6" x14ac:dyDescent="0.3">
      <c r="A2229" t="s">
        <v>4328</v>
      </c>
      <c r="B2229" t="s">
        <v>9</v>
      </c>
      <c r="C2229" t="s">
        <v>4329</v>
      </c>
      <c r="D2229" t="s">
        <v>15</v>
      </c>
      <c r="E2229" t="s">
        <v>20</v>
      </c>
      <c r="F2229" t="s">
        <v>4330</v>
      </c>
    </row>
    <row r="2230" spans="1:6" hidden="1" x14ac:dyDescent="0.3">
      <c r="A2230" t="s">
        <v>4331</v>
      </c>
      <c r="B2230" t="s">
        <v>9</v>
      </c>
      <c r="C2230" t="s">
        <v>28</v>
      </c>
      <c r="D2230" t="s">
        <v>15</v>
      </c>
      <c r="E2230" t="s">
        <v>54</v>
      </c>
      <c r="F2230" t="s">
        <v>4332</v>
      </c>
    </row>
    <row r="2231" spans="1:6" hidden="1" x14ac:dyDescent="0.3">
      <c r="A2231" t="s">
        <v>4333</v>
      </c>
      <c r="B2231" t="s">
        <v>11</v>
      </c>
      <c r="E2231" t="s">
        <v>54</v>
      </c>
      <c r="F2231" t="s">
        <v>3531</v>
      </c>
    </row>
    <row r="2232" spans="1:6" hidden="1" x14ac:dyDescent="0.3">
      <c r="A2232" t="s">
        <v>4334</v>
      </c>
      <c r="B2232" t="s">
        <v>9</v>
      </c>
      <c r="C2232" t="s">
        <v>28</v>
      </c>
      <c r="E2232" t="s">
        <v>11</v>
      </c>
    </row>
    <row r="2233" spans="1:6" hidden="1" x14ac:dyDescent="0.3">
      <c r="A2233" t="s">
        <v>4335</v>
      </c>
      <c r="B2233" t="s">
        <v>9</v>
      </c>
      <c r="C2233" t="s">
        <v>4336</v>
      </c>
      <c r="E2233" t="s">
        <v>11</v>
      </c>
    </row>
    <row r="2234" spans="1:6" hidden="1" x14ac:dyDescent="0.3">
      <c r="A2234" t="s">
        <v>4337</v>
      </c>
      <c r="B2234" t="s">
        <v>9</v>
      </c>
      <c r="C2234" t="s">
        <v>51</v>
      </c>
      <c r="E2234" t="s">
        <v>11</v>
      </c>
    </row>
    <row r="2235" spans="1:6" hidden="1" x14ac:dyDescent="0.3">
      <c r="A2235" t="s">
        <v>4338</v>
      </c>
      <c r="B2235" t="s">
        <v>13</v>
      </c>
      <c r="C2235" t="s">
        <v>4339</v>
      </c>
      <c r="E2235" t="s">
        <v>11</v>
      </c>
    </row>
    <row r="2236" spans="1:6" hidden="1" x14ac:dyDescent="0.3">
      <c r="A2236" t="s">
        <v>4340</v>
      </c>
      <c r="B2236" t="s">
        <v>9</v>
      </c>
      <c r="C2236" t="s">
        <v>4341</v>
      </c>
      <c r="D2236" t="s">
        <v>15</v>
      </c>
      <c r="E2236" t="s">
        <v>54</v>
      </c>
      <c r="F2236" t="s">
        <v>4342</v>
      </c>
    </row>
    <row r="2237" spans="1:6" hidden="1" x14ac:dyDescent="0.3">
      <c r="A2237" t="s">
        <v>4343</v>
      </c>
      <c r="B2237" t="s">
        <v>13</v>
      </c>
      <c r="C2237" t="s">
        <v>4344</v>
      </c>
      <c r="D2237" t="s">
        <v>15</v>
      </c>
      <c r="E2237" t="s">
        <v>16</v>
      </c>
      <c r="F2237" t="s">
        <v>4345</v>
      </c>
    </row>
    <row r="2238" spans="1:6" hidden="1" x14ac:dyDescent="0.3">
      <c r="A2238" t="s">
        <v>4346</v>
      </c>
      <c r="B2238" t="s">
        <v>9</v>
      </c>
      <c r="C2238" t="s">
        <v>4347</v>
      </c>
      <c r="E2238" t="s">
        <v>11</v>
      </c>
    </row>
    <row r="2239" spans="1:6" hidden="1" x14ac:dyDescent="0.3">
      <c r="A2239" t="s">
        <v>4348</v>
      </c>
      <c r="B2239" t="s">
        <v>9</v>
      </c>
      <c r="C2239" t="s">
        <v>4349</v>
      </c>
      <c r="E2239" t="s">
        <v>11</v>
      </c>
    </row>
    <row r="2240" spans="1:6" x14ac:dyDescent="0.3">
      <c r="A2240" t="s">
        <v>4350</v>
      </c>
      <c r="B2240" t="s">
        <v>9</v>
      </c>
      <c r="C2240" t="s">
        <v>4351</v>
      </c>
      <c r="E2240" t="s">
        <v>20</v>
      </c>
      <c r="F2240" t="s">
        <v>21</v>
      </c>
    </row>
    <row r="2241" spans="1:6" hidden="1" x14ac:dyDescent="0.3">
      <c r="A2241" t="s">
        <v>4352</v>
      </c>
      <c r="B2241" t="s">
        <v>9</v>
      </c>
      <c r="C2241" t="s">
        <v>4353</v>
      </c>
      <c r="D2241" t="s">
        <v>15</v>
      </c>
      <c r="E2241" t="s">
        <v>54</v>
      </c>
      <c r="F2241" t="s">
        <v>4354</v>
      </c>
    </row>
    <row r="2242" spans="1:6" x14ac:dyDescent="0.3">
      <c r="A2242" t="s">
        <v>4355</v>
      </c>
      <c r="B2242" t="s">
        <v>9</v>
      </c>
      <c r="C2242" t="s">
        <v>4356</v>
      </c>
      <c r="E2242" t="s">
        <v>20</v>
      </c>
      <c r="F2242" t="s">
        <v>135</v>
      </c>
    </row>
    <row r="2243" spans="1:6" hidden="1" x14ac:dyDescent="0.3">
      <c r="A2243" t="s">
        <v>4357</v>
      </c>
      <c r="B2243" t="s">
        <v>9</v>
      </c>
      <c r="C2243" t="s">
        <v>4358</v>
      </c>
      <c r="D2243" t="s">
        <v>15</v>
      </c>
      <c r="E2243" t="s">
        <v>54</v>
      </c>
      <c r="F2243" t="s">
        <v>4359</v>
      </c>
    </row>
    <row r="2244" spans="1:6" hidden="1" x14ac:dyDescent="0.3">
      <c r="A2244" t="s">
        <v>4360</v>
      </c>
      <c r="B2244" t="s">
        <v>9</v>
      </c>
      <c r="C2244" t="s">
        <v>4361</v>
      </c>
      <c r="D2244" t="s">
        <v>15</v>
      </c>
      <c r="E2244" t="s">
        <v>54</v>
      </c>
      <c r="F2244" t="s">
        <v>4362</v>
      </c>
    </row>
    <row r="2245" spans="1:6" x14ac:dyDescent="0.3">
      <c r="A2245" t="s">
        <v>4363</v>
      </c>
      <c r="B2245" t="s">
        <v>13</v>
      </c>
      <c r="C2245" t="s">
        <v>4364</v>
      </c>
      <c r="D2245" t="s">
        <v>15</v>
      </c>
      <c r="E2245" t="s">
        <v>20</v>
      </c>
      <c r="F2245" t="s">
        <v>4365</v>
      </c>
    </row>
    <row r="2246" spans="1:6" hidden="1" x14ac:dyDescent="0.3">
      <c r="A2246" t="s">
        <v>4366</v>
      </c>
      <c r="B2246" t="s">
        <v>11</v>
      </c>
      <c r="E2246" t="s">
        <v>11</v>
      </c>
    </row>
    <row r="2247" spans="1:6" hidden="1" x14ac:dyDescent="0.3">
      <c r="A2247" t="s">
        <v>4367</v>
      </c>
      <c r="B2247" t="s">
        <v>9</v>
      </c>
      <c r="C2247" t="s">
        <v>4368</v>
      </c>
      <c r="D2247" t="s">
        <v>15</v>
      </c>
      <c r="E2247" t="s">
        <v>16</v>
      </c>
      <c r="F2247" t="s">
        <v>4369</v>
      </c>
    </row>
    <row r="2248" spans="1:6" hidden="1" x14ac:dyDescent="0.3">
      <c r="A2248" t="s">
        <v>4370</v>
      </c>
      <c r="B2248" t="s">
        <v>13</v>
      </c>
      <c r="C2248" t="s">
        <v>4371</v>
      </c>
      <c r="D2248" t="s">
        <v>15</v>
      </c>
      <c r="E2248" t="s">
        <v>16</v>
      </c>
      <c r="F2248" t="s">
        <v>4372</v>
      </c>
    </row>
    <row r="2249" spans="1:6" x14ac:dyDescent="0.3">
      <c r="A2249" t="s">
        <v>4373</v>
      </c>
      <c r="B2249" t="s">
        <v>9</v>
      </c>
      <c r="C2249" t="s">
        <v>28</v>
      </c>
      <c r="D2249" t="s">
        <v>15</v>
      </c>
      <c r="E2249" t="s">
        <v>20</v>
      </c>
      <c r="F2249" t="s">
        <v>1585</v>
      </c>
    </row>
    <row r="2250" spans="1:6" hidden="1" x14ac:dyDescent="0.3">
      <c r="A2250" t="s">
        <v>4374</v>
      </c>
      <c r="B2250" t="s">
        <v>9</v>
      </c>
      <c r="C2250" t="s">
        <v>4375</v>
      </c>
      <c r="D2250" t="s">
        <v>15</v>
      </c>
      <c r="E2250" t="s">
        <v>11</v>
      </c>
    </row>
    <row r="2251" spans="1:6" x14ac:dyDescent="0.3">
      <c r="A2251" t="s">
        <v>4376</v>
      </c>
      <c r="B2251" t="s">
        <v>9</v>
      </c>
      <c r="C2251" t="s">
        <v>4377</v>
      </c>
      <c r="E2251" t="s">
        <v>20</v>
      </c>
      <c r="F2251" t="s">
        <v>4378</v>
      </c>
    </row>
    <row r="2252" spans="1:6" x14ac:dyDescent="0.3">
      <c r="A2252" t="s">
        <v>4379</v>
      </c>
      <c r="B2252" t="s">
        <v>9</v>
      </c>
      <c r="C2252" t="s">
        <v>2181</v>
      </c>
      <c r="D2252" t="s">
        <v>15</v>
      </c>
      <c r="E2252" t="s">
        <v>20</v>
      </c>
      <c r="F2252" t="s">
        <v>21</v>
      </c>
    </row>
    <row r="2253" spans="1:6" hidden="1" x14ac:dyDescent="0.3">
      <c r="A2253" t="s">
        <v>4380</v>
      </c>
      <c r="B2253" t="s">
        <v>11</v>
      </c>
      <c r="E2253" t="s">
        <v>11</v>
      </c>
    </row>
    <row r="2254" spans="1:6" x14ac:dyDescent="0.3">
      <c r="A2254" t="s">
        <v>4381</v>
      </c>
      <c r="B2254" t="s">
        <v>13</v>
      </c>
      <c r="C2254" t="s">
        <v>4382</v>
      </c>
      <c r="D2254" t="s">
        <v>15</v>
      </c>
      <c r="E2254" t="s">
        <v>20</v>
      </c>
      <c r="F2254" t="s">
        <v>4383</v>
      </c>
    </row>
    <row r="2255" spans="1:6" hidden="1" x14ac:dyDescent="0.3">
      <c r="A2255" t="s">
        <v>4384</v>
      </c>
      <c r="B2255" t="s">
        <v>13</v>
      </c>
      <c r="C2255" t="s">
        <v>4385</v>
      </c>
      <c r="D2255" t="s">
        <v>15</v>
      </c>
      <c r="E2255" t="s">
        <v>16</v>
      </c>
      <c r="F2255" t="s">
        <v>4386</v>
      </c>
    </row>
    <row r="2256" spans="1:6" hidden="1" x14ac:dyDescent="0.3">
      <c r="A2256" t="s">
        <v>4387</v>
      </c>
      <c r="B2256" t="s">
        <v>13</v>
      </c>
      <c r="C2256" t="s">
        <v>4388</v>
      </c>
      <c r="D2256" t="s">
        <v>15</v>
      </c>
      <c r="E2256" t="s">
        <v>11</v>
      </c>
    </row>
    <row r="2257" spans="1:8" x14ac:dyDescent="0.3">
      <c r="A2257" t="s">
        <v>4389</v>
      </c>
      <c r="B2257" t="s">
        <v>13</v>
      </c>
      <c r="C2257" t="s">
        <v>4390</v>
      </c>
      <c r="D2257" t="s">
        <v>15</v>
      </c>
      <c r="E2257" t="s">
        <v>20</v>
      </c>
      <c r="F2257" t="s">
        <v>21</v>
      </c>
    </row>
    <row r="2258" spans="1:8" hidden="1" x14ac:dyDescent="0.3">
      <c r="A2258" t="s">
        <v>4391</v>
      </c>
      <c r="B2258" t="s">
        <v>13</v>
      </c>
      <c r="C2258" t="s">
        <v>4392</v>
      </c>
      <c r="D2258" t="s">
        <v>15</v>
      </c>
      <c r="E2258" t="s">
        <v>16</v>
      </c>
      <c r="F2258" t="s">
        <v>4393</v>
      </c>
    </row>
    <row r="2259" spans="1:8" x14ac:dyDescent="0.3">
      <c r="A2259" t="s">
        <v>4394</v>
      </c>
      <c r="B2259" t="s">
        <v>197</v>
      </c>
      <c r="C2259" t="s">
        <v>4395</v>
      </c>
      <c r="D2259" t="s">
        <v>15</v>
      </c>
      <c r="E2259" t="s">
        <v>20</v>
      </c>
      <c r="F2259" t="s">
        <v>21</v>
      </c>
    </row>
    <row r="2260" spans="1:8" x14ac:dyDescent="0.3">
      <c r="A2260" t="s">
        <v>4396</v>
      </c>
      <c r="B2260" t="s">
        <v>9</v>
      </c>
      <c r="C2260" t="s">
        <v>4397</v>
      </c>
      <c r="D2260" t="s">
        <v>15</v>
      </c>
      <c r="E2260" t="s">
        <v>20</v>
      </c>
      <c r="F2260" t="s">
        <v>21</v>
      </c>
    </row>
    <row r="2261" spans="1:8" hidden="1" x14ac:dyDescent="0.3">
      <c r="A2261" t="s">
        <v>4398</v>
      </c>
      <c r="B2261" t="s">
        <v>11</v>
      </c>
      <c r="E2261" t="s">
        <v>11</v>
      </c>
    </row>
    <row r="2262" spans="1:8" hidden="1" x14ac:dyDescent="0.3">
      <c r="A2262" t="s">
        <v>4399</v>
      </c>
      <c r="B2262" t="s">
        <v>9</v>
      </c>
      <c r="C2262" t="s">
        <v>4400</v>
      </c>
      <c r="D2262" t="s">
        <v>15</v>
      </c>
      <c r="E2262" t="s">
        <v>16</v>
      </c>
      <c r="F2262" t="s">
        <v>4401</v>
      </c>
    </row>
    <row r="2263" spans="1:8" x14ac:dyDescent="0.3">
      <c r="A2263" t="s">
        <v>4402</v>
      </c>
      <c r="B2263" t="s">
        <v>9</v>
      </c>
      <c r="C2263" t="s">
        <v>4403</v>
      </c>
      <c r="D2263" t="s">
        <v>15</v>
      </c>
      <c r="E2263" t="s">
        <v>20</v>
      </c>
      <c r="F2263" t="s">
        <v>4404</v>
      </c>
    </row>
    <row r="2264" spans="1:8" hidden="1" x14ac:dyDescent="0.3">
      <c r="A2264" t="s">
        <v>4405</v>
      </c>
      <c r="B2264" t="s">
        <v>13</v>
      </c>
      <c r="C2264" t="s">
        <v>4406</v>
      </c>
      <c r="D2264" t="s">
        <v>15</v>
      </c>
      <c r="E2264" t="s">
        <v>54</v>
      </c>
      <c r="F2264" t="s">
        <v>4407</v>
      </c>
    </row>
    <row r="2265" spans="1:8" hidden="1" x14ac:dyDescent="0.3">
      <c r="A2265" t="s">
        <v>4408</v>
      </c>
      <c r="B2265" t="s">
        <v>13</v>
      </c>
      <c r="C2265" t="s">
        <v>4409</v>
      </c>
      <c r="D2265" t="s">
        <v>15</v>
      </c>
      <c r="E2265" t="s">
        <v>54</v>
      </c>
      <c r="F2265" t="s">
        <v>4410</v>
      </c>
      <c r="G2265" t="s">
        <v>15</v>
      </c>
      <c r="H2265" t="s">
        <v>4411</v>
      </c>
    </row>
    <row r="2266" spans="1:8" x14ac:dyDescent="0.3">
      <c r="A2266" t="s">
        <v>4412</v>
      </c>
      <c r="B2266" t="s">
        <v>9</v>
      </c>
      <c r="C2266" t="s">
        <v>4413</v>
      </c>
      <c r="D2266" t="s">
        <v>15</v>
      </c>
      <c r="E2266" t="s">
        <v>20</v>
      </c>
      <c r="F2266" t="s">
        <v>4414</v>
      </c>
    </row>
    <row r="2267" spans="1:8" x14ac:dyDescent="0.3">
      <c r="A2267" t="s">
        <v>4415</v>
      </c>
      <c r="B2267" t="s">
        <v>13</v>
      </c>
      <c r="C2267" t="s">
        <v>4416</v>
      </c>
      <c r="D2267" t="s">
        <v>15</v>
      </c>
      <c r="E2267" t="s">
        <v>20</v>
      </c>
      <c r="F2267" t="s">
        <v>36</v>
      </c>
    </row>
    <row r="2268" spans="1:8" x14ac:dyDescent="0.3">
      <c r="A2268" t="s">
        <v>4417</v>
      </c>
      <c r="B2268" t="s">
        <v>9</v>
      </c>
      <c r="C2268" t="s">
        <v>4418</v>
      </c>
      <c r="E2268" t="s">
        <v>20</v>
      </c>
      <c r="F2268" t="s">
        <v>21</v>
      </c>
    </row>
    <row r="2269" spans="1:8" hidden="1" x14ac:dyDescent="0.3">
      <c r="A2269" t="s">
        <v>4419</v>
      </c>
      <c r="B2269" t="s">
        <v>11</v>
      </c>
      <c r="E2269" t="s">
        <v>11</v>
      </c>
    </row>
    <row r="2270" spans="1:8" hidden="1" x14ac:dyDescent="0.3">
      <c r="A2270" t="s">
        <v>4420</v>
      </c>
      <c r="B2270" t="s">
        <v>9</v>
      </c>
      <c r="C2270" t="s">
        <v>2060</v>
      </c>
      <c r="D2270" t="s">
        <v>15</v>
      </c>
      <c r="E2270" t="s">
        <v>16</v>
      </c>
      <c r="F2270" t="s">
        <v>4421</v>
      </c>
    </row>
    <row r="2271" spans="1:8" hidden="1" x14ac:dyDescent="0.3">
      <c r="A2271" t="s">
        <v>4422</v>
      </c>
      <c r="B2271" t="s">
        <v>9</v>
      </c>
      <c r="C2271" t="s">
        <v>4423</v>
      </c>
      <c r="E2271" t="s">
        <v>16</v>
      </c>
      <c r="F2271" t="s">
        <v>4424</v>
      </c>
    </row>
    <row r="2272" spans="1:8" x14ac:dyDescent="0.3">
      <c r="A2272" t="s">
        <v>4425</v>
      </c>
      <c r="B2272" t="s">
        <v>9</v>
      </c>
      <c r="C2272" t="s">
        <v>4426</v>
      </c>
      <c r="E2272" t="s">
        <v>20</v>
      </c>
      <c r="F2272" t="s">
        <v>4427</v>
      </c>
    </row>
    <row r="2273" spans="1:6" x14ac:dyDescent="0.3">
      <c r="A2273" t="s">
        <v>4428</v>
      </c>
      <c r="B2273" t="s">
        <v>9</v>
      </c>
      <c r="C2273" t="s">
        <v>4429</v>
      </c>
      <c r="D2273" t="s">
        <v>15</v>
      </c>
      <c r="E2273" t="s">
        <v>20</v>
      </c>
      <c r="F2273" t="s">
        <v>4430</v>
      </c>
    </row>
    <row r="2274" spans="1:6" x14ac:dyDescent="0.3">
      <c r="A2274" t="s">
        <v>4431</v>
      </c>
      <c r="B2274" t="s">
        <v>9</v>
      </c>
      <c r="C2274" t="s">
        <v>406</v>
      </c>
      <c r="D2274" t="s">
        <v>15</v>
      </c>
      <c r="E2274" t="s">
        <v>20</v>
      </c>
      <c r="F2274" t="s">
        <v>135</v>
      </c>
    </row>
    <row r="2275" spans="1:6" hidden="1" x14ac:dyDescent="0.3">
      <c r="A2275" t="s">
        <v>4432</v>
      </c>
      <c r="B2275" t="s">
        <v>9</v>
      </c>
      <c r="C2275" t="s">
        <v>4433</v>
      </c>
      <c r="D2275" t="s">
        <v>15</v>
      </c>
      <c r="E2275" t="s">
        <v>16</v>
      </c>
      <c r="F2275" t="s">
        <v>4434</v>
      </c>
    </row>
    <row r="2276" spans="1:6" x14ac:dyDescent="0.3">
      <c r="A2276" t="s">
        <v>4435</v>
      </c>
      <c r="B2276" t="s">
        <v>9</v>
      </c>
      <c r="C2276" t="s">
        <v>4436</v>
      </c>
      <c r="D2276" t="s">
        <v>15</v>
      </c>
      <c r="E2276" t="s">
        <v>20</v>
      </c>
      <c r="F2276" t="s">
        <v>4437</v>
      </c>
    </row>
    <row r="2277" spans="1:6" x14ac:dyDescent="0.3">
      <c r="A2277" t="s">
        <v>4438</v>
      </c>
      <c r="B2277" t="s">
        <v>9</v>
      </c>
      <c r="C2277" t="s">
        <v>4439</v>
      </c>
      <c r="D2277" t="s">
        <v>15</v>
      </c>
      <c r="E2277" t="s">
        <v>20</v>
      </c>
      <c r="F2277" t="s">
        <v>4440</v>
      </c>
    </row>
    <row r="2278" spans="1:6" x14ac:dyDescent="0.3">
      <c r="A2278" t="s">
        <v>4441</v>
      </c>
      <c r="B2278" t="s">
        <v>9</v>
      </c>
      <c r="C2278" t="s">
        <v>4442</v>
      </c>
      <c r="E2278" t="s">
        <v>20</v>
      </c>
      <c r="F2278" t="s">
        <v>4443</v>
      </c>
    </row>
    <row r="2279" spans="1:6" x14ac:dyDescent="0.3">
      <c r="A2279" t="s">
        <v>4444</v>
      </c>
      <c r="B2279" t="s">
        <v>13</v>
      </c>
      <c r="C2279" t="s">
        <v>4445</v>
      </c>
      <c r="E2279" t="s">
        <v>20</v>
      </c>
      <c r="F2279" t="s">
        <v>4446</v>
      </c>
    </row>
    <row r="2280" spans="1:6" hidden="1" x14ac:dyDescent="0.3">
      <c r="A2280" t="s">
        <v>4447</v>
      </c>
      <c r="B2280" t="s">
        <v>9</v>
      </c>
      <c r="C2280" t="s">
        <v>4448</v>
      </c>
      <c r="D2280" t="s">
        <v>15</v>
      </c>
      <c r="E2280" t="s">
        <v>54</v>
      </c>
      <c r="F2280" t="s">
        <v>302</v>
      </c>
    </row>
    <row r="2281" spans="1:6" x14ac:dyDescent="0.3">
      <c r="A2281" t="s">
        <v>4449</v>
      </c>
      <c r="B2281" t="s">
        <v>9</v>
      </c>
      <c r="C2281" t="s">
        <v>4450</v>
      </c>
      <c r="D2281" t="s">
        <v>15</v>
      </c>
      <c r="E2281" t="s">
        <v>20</v>
      </c>
      <c r="F2281" t="s">
        <v>4451</v>
      </c>
    </row>
    <row r="2282" spans="1:6" hidden="1" x14ac:dyDescent="0.3">
      <c r="A2282" t="s">
        <v>4452</v>
      </c>
      <c r="B2282" t="s">
        <v>9</v>
      </c>
      <c r="C2282" t="s">
        <v>4453</v>
      </c>
      <c r="E2282" t="s">
        <v>11</v>
      </c>
    </row>
    <row r="2283" spans="1:6" hidden="1" x14ac:dyDescent="0.3">
      <c r="A2283" t="s">
        <v>4454</v>
      </c>
      <c r="B2283" t="s">
        <v>9</v>
      </c>
      <c r="C2283" t="s">
        <v>4455</v>
      </c>
      <c r="D2283" t="s">
        <v>15</v>
      </c>
      <c r="E2283" t="s">
        <v>11</v>
      </c>
    </row>
    <row r="2284" spans="1:6" hidden="1" x14ac:dyDescent="0.3">
      <c r="A2284" t="s">
        <v>4456</v>
      </c>
      <c r="B2284" t="s">
        <v>9</v>
      </c>
      <c r="C2284" t="s">
        <v>4457</v>
      </c>
      <c r="E2284" t="s">
        <v>11</v>
      </c>
    </row>
    <row r="2285" spans="1:6" hidden="1" x14ac:dyDescent="0.3">
      <c r="A2285" t="s">
        <v>4458</v>
      </c>
      <c r="B2285" t="s">
        <v>9</v>
      </c>
      <c r="C2285" t="s">
        <v>28</v>
      </c>
      <c r="E2285" t="s">
        <v>11</v>
      </c>
    </row>
    <row r="2286" spans="1:6" hidden="1" x14ac:dyDescent="0.3">
      <c r="A2286" t="s">
        <v>4459</v>
      </c>
      <c r="B2286" t="s">
        <v>9</v>
      </c>
      <c r="C2286" t="s">
        <v>4460</v>
      </c>
      <c r="D2286" t="s">
        <v>15</v>
      </c>
      <c r="E2286" t="s">
        <v>11</v>
      </c>
    </row>
    <row r="2287" spans="1:6" hidden="1" x14ac:dyDescent="0.3">
      <c r="A2287" t="s">
        <v>4461</v>
      </c>
      <c r="B2287" t="s">
        <v>13</v>
      </c>
      <c r="C2287" t="s">
        <v>4462</v>
      </c>
      <c r="D2287" t="s">
        <v>15</v>
      </c>
      <c r="E2287" t="s">
        <v>16</v>
      </c>
      <c r="F2287" t="s">
        <v>4463</v>
      </c>
    </row>
    <row r="2288" spans="1:6" hidden="1" x14ac:dyDescent="0.3">
      <c r="A2288" t="s">
        <v>4464</v>
      </c>
      <c r="B2288" t="s">
        <v>9</v>
      </c>
      <c r="C2288" t="s">
        <v>4465</v>
      </c>
      <c r="D2288" t="s">
        <v>15</v>
      </c>
      <c r="E2288" t="s">
        <v>11</v>
      </c>
    </row>
    <row r="2289" spans="1:6" hidden="1" x14ac:dyDescent="0.3">
      <c r="A2289" t="s">
        <v>4466</v>
      </c>
      <c r="B2289" t="s">
        <v>11</v>
      </c>
      <c r="E2289" t="s">
        <v>11</v>
      </c>
    </row>
    <row r="2290" spans="1:6" hidden="1" x14ac:dyDescent="0.3">
      <c r="A2290" t="s">
        <v>4467</v>
      </c>
      <c r="B2290" t="s">
        <v>9</v>
      </c>
      <c r="C2290" t="s">
        <v>28</v>
      </c>
      <c r="E2290" t="s">
        <v>11</v>
      </c>
    </row>
    <row r="2291" spans="1:6" x14ac:dyDescent="0.3">
      <c r="A2291" t="s">
        <v>4468</v>
      </c>
      <c r="B2291" t="s">
        <v>13</v>
      </c>
      <c r="C2291" t="s">
        <v>4469</v>
      </c>
      <c r="D2291" t="s">
        <v>15</v>
      </c>
      <c r="E2291" t="s">
        <v>20</v>
      </c>
      <c r="F2291" t="s">
        <v>21</v>
      </c>
    </row>
    <row r="2292" spans="1:6" hidden="1" x14ac:dyDescent="0.3">
      <c r="A2292" t="s">
        <v>4470</v>
      </c>
      <c r="B2292" t="s">
        <v>13</v>
      </c>
      <c r="C2292" t="s">
        <v>4471</v>
      </c>
      <c r="E2292" t="s">
        <v>16</v>
      </c>
      <c r="F2292" t="s">
        <v>4472</v>
      </c>
    </row>
    <row r="2293" spans="1:6" hidden="1" x14ac:dyDescent="0.3">
      <c r="A2293" t="s">
        <v>4473</v>
      </c>
      <c r="B2293" t="s">
        <v>9</v>
      </c>
      <c r="C2293" t="s">
        <v>4474</v>
      </c>
      <c r="D2293" t="s">
        <v>15</v>
      </c>
      <c r="E2293" t="s">
        <v>54</v>
      </c>
      <c r="F2293" t="s">
        <v>4475</v>
      </c>
    </row>
    <row r="2294" spans="1:6" hidden="1" x14ac:dyDescent="0.3">
      <c r="A2294" t="s">
        <v>4476</v>
      </c>
      <c r="B2294" t="s">
        <v>11</v>
      </c>
      <c r="E2294" t="s">
        <v>11</v>
      </c>
    </row>
    <row r="2295" spans="1:6" hidden="1" x14ac:dyDescent="0.3">
      <c r="A2295" t="s">
        <v>4477</v>
      </c>
      <c r="B2295" t="s">
        <v>13</v>
      </c>
      <c r="C2295" t="s">
        <v>4478</v>
      </c>
      <c r="D2295" t="s">
        <v>15</v>
      </c>
      <c r="E2295" t="s">
        <v>11</v>
      </c>
    </row>
    <row r="2296" spans="1:6" hidden="1" x14ac:dyDescent="0.3">
      <c r="A2296" t="s">
        <v>4479</v>
      </c>
      <c r="B2296" t="s">
        <v>9</v>
      </c>
      <c r="C2296" t="s">
        <v>4480</v>
      </c>
      <c r="E2296" t="s">
        <v>54</v>
      </c>
      <c r="F2296" t="s">
        <v>4481</v>
      </c>
    </row>
    <row r="2297" spans="1:6" hidden="1" x14ac:dyDescent="0.3">
      <c r="A2297" t="s">
        <v>4482</v>
      </c>
      <c r="B2297" t="s">
        <v>13</v>
      </c>
      <c r="C2297" t="s">
        <v>4483</v>
      </c>
      <c r="E2297" t="s">
        <v>11</v>
      </c>
    </row>
    <row r="2298" spans="1:6" hidden="1" x14ac:dyDescent="0.3">
      <c r="A2298" t="s">
        <v>4484</v>
      </c>
      <c r="B2298" t="s">
        <v>13</v>
      </c>
      <c r="C2298" t="s">
        <v>112</v>
      </c>
      <c r="D2298" t="s">
        <v>15</v>
      </c>
      <c r="E2298" t="s">
        <v>16</v>
      </c>
      <c r="F2298" t="s">
        <v>4485</v>
      </c>
    </row>
    <row r="2299" spans="1:6" x14ac:dyDescent="0.3">
      <c r="A2299" t="s">
        <v>4486</v>
      </c>
      <c r="B2299" t="s">
        <v>417</v>
      </c>
      <c r="C2299" t="s">
        <v>4487</v>
      </c>
      <c r="D2299" t="s">
        <v>15</v>
      </c>
      <c r="E2299" t="s">
        <v>20</v>
      </c>
      <c r="F2299" t="s">
        <v>4488</v>
      </c>
    </row>
    <row r="2300" spans="1:6" hidden="1" x14ac:dyDescent="0.3">
      <c r="A2300" t="s">
        <v>4489</v>
      </c>
      <c r="B2300" t="s">
        <v>9</v>
      </c>
      <c r="C2300" t="s">
        <v>4490</v>
      </c>
      <c r="D2300" t="s">
        <v>15</v>
      </c>
      <c r="E2300" t="s">
        <v>54</v>
      </c>
      <c r="F2300" t="s">
        <v>4491</v>
      </c>
    </row>
    <row r="2301" spans="1:6" x14ac:dyDescent="0.3">
      <c r="A2301" t="s">
        <v>4492</v>
      </c>
      <c r="B2301" t="s">
        <v>13</v>
      </c>
      <c r="C2301" t="s">
        <v>4493</v>
      </c>
      <c r="D2301" t="s">
        <v>15</v>
      </c>
      <c r="E2301" t="s">
        <v>20</v>
      </c>
      <c r="F2301" t="s">
        <v>21</v>
      </c>
    </row>
    <row r="2302" spans="1:6" hidden="1" x14ac:dyDescent="0.3">
      <c r="A2302" t="s">
        <v>4494</v>
      </c>
      <c r="B2302" t="s">
        <v>9</v>
      </c>
      <c r="C2302" t="s">
        <v>4495</v>
      </c>
      <c r="D2302" t="s">
        <v>15</v>
      </c>
      <c r="E2302" t="s">
        <v>16</v>
      </c>
      <c r="F2302" t="s">
        <v>4496</v>
      </c>
    </row>
    <row r="2303" spans="1:6" x14ac:dyDescent="0.3">
      <c r="A2303" t="s">
        <v>4497</v>
      </c>
      <c r="B2303" t="s">
        <v>13</v>
      </c>
      <c r="C2303" t="s">
        <v>4498</v>
      </c>
      <c r="D2303" t="s">
        <v>15</v>
      </c>
      <c r="E2303" t="s">
        <v>20</v>
      </c>
      <c r="F2303" t="s">
        <v>4499</v>
      </c>
    </row>
    <row r="2304" spans="1:6" hidden="1" x14ac:dyDescent="0.3">
      <c r="A2304" t="s">
        <v>4500</v>
      </c>
      <c r="B2304" t="s">
        <v>9</v>
      </c>
      <c r="C2304" t="s">
        <v>4501</v>
      </c>
      <c r="D2304" t="s">
        <v>15</v>
      </c>
      <c r="E2304" t="s">
        <v>16</v>
      </c>
      <c r="F2304" t="s">
        <v>4502</v>
      </c>
    </row>
    <row r="2305" spans="1:6" hidden="1" x14ac:dyDescent="0.3">
      <c r="A2305" t="s">
        <v>4503</v>
      </c>
      <c r="B2305" t="s">
        <v>13</v>
      </c>
      <c r="C2305" t="s">
        <v>4504</v>
      </c>
      <c r="E2305" t="s">
        <v>11</v>
      </c>
    </row>
    <row r="2306" spans="1:6" hidden="1" x14ac:dyDescent="0.3">
      <c r="A2306" t="s">
        <v>4505</v>
      </c>
      <c r="B2306" t="s">
        <v>13</v>
      </c>
      <c r="C2306" t="s">
        <v>4506</v>
      </c>
      <c r="D2306" t="s">
        <v>15</v>
      </c>
      <c r="E2306" t="s">
        <v>54</v>
      </c>
      <c r="F2306" t="s">
        <v>4507</v>
      </c>
    </row>
    <row r="2307" spans="1:6" hidden="1" x14ac:dyDescent="0.3">
      <c r="A2307" t="s">
        <v>4508</v>
      </c>
      <c r="B2307" t="s">
        <v>9</v>
      </c>
      <c r="C2307" t="s">
        <v>4509</v>
      </c>
      <c r="E2307" t="s">
        <v>16</v>
      </c>
      <c r="F2307" t="s">
        <v>4510</v>
      </c>
    </row>
    <row r="2308" spans="1:6" hidden="1" x14ac:dyDescent="0.3">
      <c r="A2308" t="s">
        <v>4511</v>
      </c>
      <c r="B2308" t="s">
        <v>13</v>
      </c>
      <c r="C2308" t="s">
        <v>4512</v>
      </c>
      <c r="D2308" t="s">
        <v>15</v>
      </c>
      <c r="E2308" t="s">
        <v>16</v>
      </c>
      <c r="F2308" t="s">
        <v>4513</v>
      </c>
    </row>
    <row r="2309" spans="1:6" hidden="1" x14ac:dyDescent="0.3">
      <c r="A2309" t="s">
        <v>4514</v>
      </c>
      <c r="B2309" t="s">
        <v>9</v>
      </c>
      <c r="C2309" t="s">
        <v>4515</v>
      </c>
      <c r="D2309" t="s">
        <v>15</v>
      </c>
      <c r="E2309" t="s">
        <v>54</v>
      </c>
      <c r="F2309" t="s">
        <v>4516</v>
      </c>
    </row>
    <row r="2310" spans="1:6" x14ac:dyDescent="0.3">
      <c r="A2310" t="s">
        <v>4517</v>
      </c>
      <c r="B2310" t="s">
        <v>9</v>
      </c>
      <c r="C2310" t="s">
        <v>4518</v>
      </c>
      <c r="D2310" t="s">
        <v>15</v>
      </c>
      <c r="E2310" t="s">
        <v>20</v>
      </c>
      <c r="F2310" t="s">
        <v>4519</v>
      </c>
    </row>
    <row r="2311" spans="1:6" hidden="1" x14ac:dyDescent="0.3">
      <c r="A2311" t="s">
        <v>4520</v>
      </c>
      <c r="B2311" t="s">
        <v>9</v>
      </c>
      <c r="C2311" t="s">
        <v>4521</v>
      </c>
      <c r="D2311" t="s">
        <v>15</v>
      </c>
      <c r="E2311" t="s">
        <v>11</v>
      </c>
    </row>
    <row r="2312" spans="1:6" hidden="1" x14ac:dyDescent="0.3">
      <c r="A2312" t="s">
        <v>4522</v>
      </c>
      <c r="B2312" t="s">
        <v>9</v>
      </c>
      <c r="C2312" t="s">
        <v>4523</v>
      </c>
      <c r="D2312" t="s">
        <v>15</v>
      </c>
      <c r="E2312" t="s">
        <v>16</v>
      </c>
      <c r="F2312" t="s">
        <v>4524</v>
      </c>
    </row>
    <row r="2313" spans="1:6" x14ac:dyDescent="0.3">
      <c r="A2313" t="s">
        <v>4525</v>
      </c>
      <c r="B2313" t="s">
        <v>13</v>
      </c>
      <c r="C2313" t="s">
        <v>4526</v>
      </c>
      <c r="D2313" t="s">
        <v>15</v>
      </c>
      <c r="E2313" t="s">
        <v>20</v>
      </c>
      <c r="F2313" t="s">
        <v>4527</v>
      </c>
    </row>
    <row r="2314" spans="1:6" hidden="1" x14ac:dyDescent="0.3">
      <c r="A2314" t="s">
        <v>4528</v>
      </c>
      <c r="B2314" t="s">
        <v>13</v>
      </c>
      <c r="C2314" t="s">
        <v>4529</v>
      </c>
      <c r="E2314" t="s">
        <v>11</v>
      </c>
    </row>
    <row r="2315" spans="1:6" hidden="1" x14ac:dyDescent="0.3">
      <c r="A2315" t="s">
        <v>4530</v>
      </c>
      <c r="B2315" t="s">
        <v>9</v>
      </c>
      <c r="C2315" t="s">
        <v>4531</v>
      </c>
      <c r="D2315" t="s">
        <v>15</v>
      </c>
      <c r="E2315" t="s">
        <v>11</v>
      </c>
    </row>
    <row r="2316" spans="1:6" x14ac:dyDescent="0.3">
      <c r="A2316" t="s">
        <v>4532</v>
      </c>
      <c r="B2316" t="s">
        <v>9</v>
      </c>
      <c r="C2316" t="s">
        <v>28</v>
      </c>
      <c r="E2316" t="s">
        <v>20</v>
      </c>
      <c r="F2316" t="s">
        <v>1222</v>
      </c>
    </row>
    <row r="2317" spans="1:6" hidden="1" x14ac:dyDescent="0.3">
      <c r="A2317" t="s">
        <v>4533</v>
      </c>
      <c r="B2317" t="s">
        <v>9</v>
      </c>
      <c r="C2317" t="s">
        <v>4534</v>
      </c>
      <c r="D2317" t="s">
        <v>15</v>
      </c>
      <c r="E2317" t="s">
        <v>54</v>
      </c>
      <c r="F2317" t="s">
        <v>302</v>
      </c>
    </row>
    <row r="2318" spans="1:6" x14ac:dyDescent="0.3">
      <c r="A2318" t="s">
        <v>4535</v>
      </c>
      <c r="B2318" t="s">
        <v>13</v>
      </c>
      <c r="C2318" t="s">
        <v>4536</v>
      </c>
      <c r="E2318" t="s">
        <v>20</v>
      </c>
      <c r="F2318" t="s">
        <v>4537</v>
      </c>
    </row>
    <row r="2319" spans="1:6" hidden="1" x14ac:dyDescent="0.3">
      <c r="A2319" t="s">
        <v>4538</v>
      </c>
      <c r="B2319" t="s">
        <v>9</v>
      </c>
      <c r="C2319" t="s">
        <v>4539</v>
      </c>
      <c r="D2319" t="s">
        <v>15</v>
      </c>
      <c r="E2319" t="s">
        <v>54</v>
      </c>
      <c r="F2319" t="s">
        <v>302</v>
      </c>
    </row>
    <row r="2320" spans="1:6" x14ac:dyDescent="0.3">
      <c r="A2320" t="s">
        <v>4540</v>
      </c>
      <c r="B2320" t="s">
        <v>9</v>
      </c>
      <c r="C2320" t="s">
        <v>4541</v>
      </c>
      <c r="D2320" t="s">
        <v>15</v>
      </c>
      <c r="E2320" t="s">
        <v>20</v>
      </c>
      <c r="F2320" t="s">
        <v>42</v>
      </c>
    </row>
    <row r="2321" spans="1:8" hidden="1" x14ac:dyDescent="0.3">
      <c r="A2321" t="s">
        <v>4542</v>
      </c>
      <c r="B2321" t="s">
        <v>9</v>
      </c>
      <c r="C2321" t="s">
        <v>4543</v>
      </c>
      <c r="E2321" t="s">
        <v>11</v>
      </c>
    </row>
    <row r="2322" spans="1:8" hidden="1" x14ac:dyDescent="0.3">
      <c r="A2322" t="s">
        <v>4544</v>
      </c>
      <c r="B2322" t="s">
        <v>9</v>
      </c>
      <c r="C2322" t="s">
        <v>4545</v>
      </c>
      <c r="D2322" t="s">
        <v>15</v>
      </c>
      <c r="E2322" t="s">
        <v>54</v>
      </c>
      <c r="F2322" t="s">
        <v>4546</v>
      </c>
    </row>
    <row r="2323" spans="1:8" x14ac:dyDescent="0.3">
      <c r="A2323" t="s">
        <v>4547</v>
      </c>
      <c r="B2323" t="s">
        <v>13</v>
      </c>
      <c r="C2323" t="s">
        <v>4548</v>
      </c>
      <c r="D2323" t="s">
        <v>15</v>
      </c>
      <c r="E2323" t="s">
        <v>20</v>
      </c>
      <c r="F2323" t="s">
        <v>21</v>
      </c>
    </row>
    <row r="2324" spans="1:8" hidden="1" x14ac:dyDescent="0.3">
      <c r="A2324" t="s">
        <v>4549</v>
      </c>
      <c r="B2324" t="s">
        <v>9</v>
      </c>
      <c r="C2324" t="s">
        <v>28</v>
      </c>
      <c r="E2324" t="s">
        <v>11</v>
      </c>
    </row>
    <row r="2325" spans="1:8" hidden="1" x14ac:dyDescent="0.3">
      <c r="A2325" t="s">
        <v>4550</v>
      </c>
      <c r="B2325" t="s">
        <v>9</v>
      </c>
      <c r="C2325" t="s">
        <v>4551</v>
      </c>
      <c r="E2325" t="s">
        <v>54</v>
      </c>
      <c r="F2325" t="s">
        <v>4552</v>
      </c>
    </row>
    <row r="2326" spans="1:8" hidden="1" x14ac:dyDescent="0.3">
      <c r="A2326" t="s">
        <v>4553</v>
      </c>
      <c r="B2326" t="s">
        <v>9</v>
      </c>
      <c r="C2326" t="s">
        <v>4554</v>
      </c>
      <c r="D2326" t="s">
        <v>15</v>
      </c>
      <c r="E2326" t="s">
        <v>16</v>
      </c>
      <c r="F2326" t="s">
        <v>4555</v>
      </c>
    </row>
    <row r="2327" spans="1:8" hidden="1" x14ac:dyDescent="0.3">
      <c r="A2327" t="s">
        <v>4556</v>
      </c>
      <c r="B2327" t="s">
        <v>9</v>
      </c>
      <c r="C2327" t="s">
        <v>4557</v>
      </c>
      <c r="D2327" t="s">
        <v>15</v>
      </c>
      <c r="E2327" t="s">
        <v>16</v>
      </c>
      <c r="F2327" t="s">
        <v>2534</v>
      </c>
    </row>
    <row r="2328" spans="1:8" hidden="1" x14ac:dyDescent="0.3">
      <c r="A2328" t="s">
        <v>4558</v>
      </c>
      <c r="B2328" t="s">
        <v>9</v>
      </c>
      <c r="C2328" t="s">
        <v>4559</v>
      </c>
      <c r="D2328" t="s">
        <v>15</v>
      </c>
      <c r="E2328" t="s">
        <v>16</v>
      </c>
      <c r="F2328" t="s">
        <v>4560</v>
      </c>
    </row>
    <row r="2329" spans="1:8" x14ac:dyDescent="0.3">
      <c r="A2329" t="s">
        <v>4561</v>
      </c>
      <c r="B2329" t="s">
        <v>9</v>
      </c>
      <c r="C2329" t="s">
        <v>4562</v>
      </c>
      <c r="D2329" t="s">
        <v>15</v>
      </c>
      <c r="E2329" t="s">
        <v>20</v>
      </c>
      <c r="F2329" t="s">
        <v>4563</v>
      </c>
    </row>
    <row r="2330" spans="1:8" hidden="1" x14ac:dyDescent="0.3">
      <c r="A2330" t="s">
        <v>4564</v>
      </c>
      <c r="B2330" t="s">
        <v>9</v>
      </c>
      <c r="C2330" t="s">
        <v>4565</v>
      </c>
      <c r="D2330" t="s">
        <v>15</v>
      </c>
      <c r="E2330" t="s">
        <v>54</v>
      </c>
      <c r="F2330" t="s">
        <v>481</v>
      </c>
      <c r="G2330" t="s">
        <v>15</v>
      </c>
      <c r="H2330" t="s">
        <v>4566</v>
      </c>
    </row>
    <row r="2331" spans="1:8" hidden="1" x14ac:dyDescent="0.3">
      <c r="A2331" t="s">
        <v>4567</v>
      </c>
      <c r="B2331" t="s">
        <v>13</v>
      </c>
      <c r="C2331" t="s">
        <v>4568</v>
      </c>
      <c r="D2331" t="s">
        <v>15</v>
      </c>
      <c r="E2331" t="s">
        <v>16</v>
      </c>
      <c r="F2331" t="s">
        <v>4569</v>
      </c>
    </row>
    <row r="2332" spans="1:8" x14ac:dyDescent="0.3">
      <c r="A2332" t="s">
        <v>4570</v>
      </c>
      <c r="B2332" t="s">
        <v>13</v>
      </c>
      <c r="C2332" t="s">
        <v>4571</v>
      </c>
      <c r="D2332" t="s">
        <v>15</v>
      </c>
      <c r="E2332" t="s">
        <v>20</v>
      </c>
      <c r="F2332" t="s">
        <v>1423</v>
      </c>
    </row>
    <row r="2333" spans="1:8" x14ac:dyDescent="0.3">
      <c r="A2333" t="s">
        <v>4572</v>
      </c>
      <c r="B2333" t="s">
        <v>13</v>
      </c>
      <c r="C2333" t="s">
        <v>112</v>
      </c>
      <c r="E2333" t="s">
        <v>20</v>
      </c>
      <c r="F2333" t="s">
        <v>4573</v>
      </c>
    </row>
    <row r="2334" spans="1:8" hidden="1" x14ac:dyDescent="0.3">
      <c r="A2334" t="s">
        <v>4574</v>
      </c>
      <c r="B2334" t="s">
        <v>9</v>
      </c>
      <c r="C2334" t="s">
        <v>4575</v>
      </c>
      <c r="E2334" t="s">
        <v>54</v>
      </c>
      <c r="F2334" t="s">
        <v>1419</v>
      </c>
    </row>
    <row r="2335" spans="1:8" x14ac:dyDescent="0.3">
      <c r="A2335" t="s">
        <v>4576</v>
      </c>
      <c r="B2335" t="s">
        <v>9</v>
      </c>
      <c r="C2335" t="s">
        <v>4577</v>
      </c>
      <c r="D2335" t="s">
        <v>15</v>
      </c>
      <c r="E2335" t="s">
        <v>20</v>
      </c>
      <c r="F2335" t="s">
        <v>21</v>
      </c>
    </row>
    <row r="2336" spans="1:8" hidden="1" x14ac:dyDescent="0.3">
      <c r="A2336" t="s">
        <v>4578</v>
      </c>
      <c r="B2336" t="s">
        <v>9</v>
      </c>
      <c r="C2336" t="s">
        <v>4579</v>
      </c>
      <c r="E2336" t="s">
        <v>54</v>
      </c>
      <c r="F2336" t="s">
        <v>4580</v>
      </c>
    </row>
    <row r="2337" spans="1:8" hidden="1" x14ac:dyDescent="0.3">
      <c r="A2337" t="s">
        <v>4581</v>
      </c>
      <c r="B2337" t="s">
        <v>9</v>
      </c>
      <c r="C2337" t="s">
        <v>51</v>
      </c>
      <c r="E2337" t="s">
        <v>54</v>
      </c>
      <c r="F2337" t="s">
        <v>4582</v>
      </c>
    </row>
    <row r="2338" spans="1:8" hidden="1" x14ac:dyDescent="0.3">
      <c r="A2338" t="s">
        <v>4583</v>
      </c>
      <c r="B2338" t="s">
        <v>9</v>
      </c>
      <c r="C2338" t="s">
        <v>4584</v>
      </c>
      <c r="E2338" t="s">
        <v>11</v>
      </c>
    </row>
    <row r="2339" spans="1:8" x14ac:dyDescent="0.3">
      <c r="A2339" t="s">
        <v>4585</v>
      </c>
      <c r="B2339" t="s">
        <v>9</v>
      </c>
      <c r="C2339" t="s">
        <v>4586</v>
      </c>
      <c r="D2339" t="s">
        <v>15</v>
      </c>
      <c r="E2339" t="s">
        <v>20</v>
      </c>
      <c r="F2339" t="s">
        <v>4587</v>
      </c>
    </row>
    <row r="2340" spans="1:8" x14ac:dyDescent="0.3">
      <c r="A2340" t="s">
        <v>4588</v>
      </c>
      <c r="B2340" t="s">
        <v>9</v>
      </c>
      <c r="C2340" t="s">
        <v>4589</v>
      </c>
      <c r="D2340" t="s">
        <v>15</v>
      </c>
      <c r="E2340" t="s">
        <v>20</v>
      </c>
      <c r="F2340" t="s">
        <v>4590</v>
      </c>
    </row>
    <row r="2341" spans="1:8" hidden="1" x14ac:dyDescent="0.3">
      <c r="A2341" t="s">
        <v>4591</v>
      </c>
      <c r="B2341" t="s">
        <v>9</v>
      </c>
      <c r="C2341" t="s">
        <v>4592</v>
      </c>
      <c r="D2341" t="s">
        <v>15</v>
      </c>
      <c r="E2341" t="s">
        <v>16</v>
      </c>
      <c r="F2341" t="s">
        <v>4593</v>
      </c>
    </row>
    <row r="2342" spans="1:8" hidden="1" x14ac:dyDescent="0.3">
      <c r="A2342" t="s">
        <v>4594</v>
      </c>
      <c r="B2342" t="s">
        <v>13</v>
      </c>
      <c r="C2342" t="s">
        <v>4595</v>
      </c>
      <c r="E2342" t="s">
        <v>11</v>
      </c>
    </row>
    <row r="2343" spans="1:8" x14ac:dyDescent="0.3">
      <c r="A2343" t="s">
        <v>4596</v>
      </c>
      <c r="B2343" t="s">
        <v>13</v>
      </c>
      <c r="C2343" t="s">
        <v>4597</v>
      </c>
      <c r="D2343" t="s">
        <v>15</v>
      </c>
      <c r="E2343" t="s">
        <v>20</v>
      </c>
      <c r="F2343" t="s">
        <v>4598</v>
      </c>
    </row>
    <row r="2344" spans="1:8" hidden="1" x14ac:dyDescent="0.3">
      <c r="A2344" t="s">
        <v>4599</v>
      </c>
      <c r="B2344" t="s">
        <v>13</v>
      </c>
      <c r="C2344" t="s">
        <v>4600</v>
      </c>
      <c r="D2344" t="s">
        <v>15</v>
      </c>
      <c r="E2344" t="s">
        <v>11</v>
      </c>
    </row>
    <row r="2345" spans="1:8" hidden="1" x14ac:dyDescent="0.3">
      <c r="A2345" t="s">
        <v>4601</v>
      </c>
      <c r="B2345" t="s">
        <v>9</v>
      </c>
      <c r="C2345" t="s">
        <v>4602</v>
      </c>
      <c r="D2345" t="s">
        <v>15</v>
      </c>
      <c r="E2345" t="s">
        <v>16</v>
      </c>
      <c r="F2345" t="s">
        <v>88</v>
      </c>
    </row>
    <row r="2346" spans="1:8" hidden="1" x14ac:dyDescent="0.3">
      <c r="A2346" t="s">
        <v>4603</v>
      </c>
      <c r="B2346" t="s">
        <v>9</v>
      </c>
      <c r="C2346" t="s">
        <v>28</v>
      </c>
      <c r="E2346" t="s">
        <v>11</v>
      </c>
    </row>
    <row r="2347" spans="1:8" hidden="1" x14ac:dyDescent="0.3">
      <c r="A2347" t="s">
        <v>4604</v>
      </c>
      <c r="B2347" t="s">
        <v>9</v>
      </c>
      <c r="C2347" t="s">
        <v>51</v>
      </c>
      <c r="D2347" t="s">
        <v>15</v>
      </c>
      <c r="E2347" t="s">
        <v>54</v>
      </c>
      <c r="F2347" t="s">
        <v>1069</v>
      </c>
    </row>
    <row r="2348" spans="1:8" hidden="1" x14ac:dyDescent="0.3">
      <c r="A2348" t="s">
        <v>4605</v>
      </c>
      <c r="B2348" t="s">
        <v>13</v>
      </c>
      <c r="C2348" t="s">
        <v>4606</v>
      </c>
      <c r="E2348" t="s">
        <v>11</v>
      </c>
    </row>
    <row r="2349" spans="1:8" x14ac:dyDescent="0.3">
      <c r="A2349" t="s">
        <v>4607</v>
      </c>
      <c r="B2349" t="s">
        <v>13</v>
      </c>
      <c r="C2349" t="s">
        <v>4608</v>
      </c>
      <c r="D2349" t="s">
        <v>15</v>
      </c>
      <c r="E2349" t="s">
        <v>20</v>
      </c>
      <c r="F2349" t="s">
        <v>4609</v>
      </c>
    </row>
    <row r="2350" spans="1:8" hidden="1" x14ac:dyDescent="0.3">
      <c r="A2350" t="s">
        <v>4610</v>
      </c>
      <c r="B2350" t="s">
        <v>13</v>
      </c>
      <c r="C2350" t="s">
        <v>4611</v>
      </c>
      <c r="D2350" t="s">
        <v>15</v>
      </c>
      <c r="E2350" t="s">
        <v>54</v>
      </c>
      <c r="F2350" t="s">
        <v>4612</v>
      </c>
      <c r="G2350" t="s">
        <v>15</v>
      </c>
      <c r="H2350" t="s">
        <v>4613</v>
      </c>
    </row>
    <row r="2351" spans="1:8" hidden="1" x14ac:dyDescent="0.3">
      <c r="A2351" t="s">
        <v>4614</v>
      </c>
      <c r="B2351" t="s">
        <v>13</v>
      </c>
      <c r="C2351" t="s">
        <v>4615</v>
      </c>
      <c r="D2351" t="s">
        <v>15</v>
      </c>
      <c r="E2351" t="s">
        <v>54</v>
      </c>
      <c r="F2351" t="s">
        <v>4616</v>
      </c>
    </row>
    <row r="2352" spans="1:8" x14ac:dyDescent="0.3">
      <c r="A2352" t="s">
        <v>4617</v>
      </c>
      <c r="B2352" t="s">
        <v>9</v>
      </c>
      <c r="C2352" t="s">
        <v>28</v>
      </c>
      <c r="D2352" t="s">
        <v>15</v>
      </c>
      <c r="E2352" t="s">
        <v>20</v>
      </c>
      <c r="F2352" t="s">
        <v>4618</v>
      </c>
    </row>
    <row r="2353" spans="1:6" x14ac:dyDescent="0.3">
      <c r="A2353" t="s">
        <v>4619</v>
      </c>
      <c r="B2353" t="s">
        <v>9</v>
      </c>
      <c r="C2353" t="s">
        <v>4620</v>
      </c>
      <c r="D2353" t="s">
        <v>15</v>
      </c>
      <c r="E2353" t="s">
        <v>20</v>
      </c>
      <c r="F2353" t="s">
        <v>21</v>
      </c>
    </row>
    <row r="2354" spans="1:6" hidden="1" x14ac:dyDescent="0.3">
      <c r="A2354" t="s">
        <v>4621</v>
      </c>
      <c r="B2354" t="s">
        <v>9</v>
      </c>
      <c r="C2354" t="s">
        <v>4622</v>
      </c>
      <c r="D2354" t="s">
        <v>15</v>
      </c>
      <c r="E2354" t="s">
        <v>16</v>
      </c>
      <c r="F2354" t="s">
        <v>4623</v>
      </c>
    </row>
    <row r="2355" spans="1:6" hidden="1" x14ac:dyDescent="0.3">
      <c r="A2355" t="s">
        <v>4624</v>
      </c>
      <c r="B2355" t="s">
        <v>13</v>
      </c>
      <c r="C2355" t="s">
        <v>4625</v>
      </c>
      <c r="D2355" t="s">
        <v>15</v>
      </c>
      <c r="E2355" t="s">
        <v>54</v>
      </c>
      <c r="F2355" t="s">
        <v>2218</v>
      </c>
    </row>
    <row r="2356" spans="1:6" hidden="1" x14ac:dyDescent="0.3">
      <c r="A2356" t="s">
        <v>4626</v>
      </c>
      <c r="B2356" t="s">
        <v>11</v>
      </c>
      <c r="E2356" t="s">
        <v>11</v>
      </c>
    </row>
    <row r="2357" spans="1:6" hidden="1" x14ac:dyDescent="0.3">
      <c r="A2357" t="s">
        <v>4627</v>
      </c>
      <c r="B2357" t="s">
        <v>11</v>
      </c>
      <c r="E2357" t="s">
        <v>11</v>
      </c>
    </row>
    <row r="2358" spans="1:6" hidden="1" x14ac:dyDescent="0.3">
      <c r="A2358" t="s">
        <v>4628</v>
      </c>
      <c r="B2358" t="s">
        <v>13</v>
      </c>
      <c r="C2358" t="s">
        <v>4629</v>
      </c>
      <c r="D2358" t="s">
        <v>15</v>
      </c>
      <c r="E2358" t="s">
        <v>54</v>
      </c>
      <c r="F2358" t="s">
        <v>1171</v>
      </c>
    </row>
    <row r="2359" spans="1:6" hidden="1" x14ac:dyDescent="0.3">
      <c r="A2359" t="s">
        <v>4630</v>
      </c>
      <c r="B2359" t="s">
        <v>9</v>
      </c>
      <c r="C2359" t="s">
        <v>4631</v>
      </c>
      <c r="D2359" t="s">
        <v>15</v>
      </c>
      <c r="E2359" t="s">
        <v>54</v>
      </c>
      <c r="F2359" t="s">
        <v>4632</v>
      </c>
    </row>
    <row r="2360" spans="1:6" x14ac:dyDescent="0.3">
      <c r="A2360" t="s">
        <v>4633</v>
      </c>
      <c r="B2360" t="s">
        <v>9</v>
      </c>
      <c r="C2360" t="s">
        <v>4634</v>
      </c>
      <c r="D2360" t="s">
        <v>15</v>
      </c>
      <c r="E2360" t="s">
        <v>20</v>
      </c>
      <c r="F2360" t="s">
        <v>4635</v>
      </c>
    </row>
    <row r="2361" spans="1:6" hidden="1" x14ac:dyDescent="0.3">
      <c r="A2361" t="s">
        <v>4636</v>
      </c>
      <c r="B2361" t="s">
        <v>9</v>
      </c>
      <c r="C2361" t="s">
        <v>28</v>
      </c>
      <c r="D2361" t="s">
        <v>15</v>
      </c>
      <c r="E2361" t="s">
        <v>16</v>
      </c>
      <c r="F2361" t="s">
        <v>4637</v>
      </c>
    </row>
    <row r="2362" spans="1:6" hidden="1" x14ac:dyDescent="0.3">
      <c r="A2362" t="s">
        <v>4638</v>
      </c>
      <c r="B2362" t="s">
        <v>11</v>
      </c>
      <c r="E2362" t="s">
        <v>11</v>
      </c>
    </row>
    <row r="2363" spans="1:6" hidden="1" x14ac:dyDescent="0.3">
      <c r="A2363" t="s">
        <v>4639</v>
      </c>
      <c r="B2363" t="s">
        <v>9</v>
      </c>
      <c r="C2363" t="s">
        <v>4640</v>
      </c>
      <c r="E2363" t="s">
        <v>16</v>
      </c>
      <c r="F2363" t="s">
        <v>4641</v>
      </c>
    </row>
    <row r="2364" spans="1:6" hidden="1" x14ac:dyDescent="0.3">
      <c r="A2364" t="s">
        <v>4642</v>
      </c>
      <c r="B2364" t="s">
        <v>13</v>
      </c>
      <c r="C2364" t="s">
        <v>369</v>
      </c>
      <c r="E2364" t="s">
        <v>11</v>
      </c>
    </row>
    <row r="2365" spans="1:6" x14ac:dyDescent="0.3">
      <c r="A2365" t="s">
        <v>4643</v>
      </c>
      <c r="B2365" t="s">
        <v>9</v>
      </c>
      <c r="C2365" t="s">
        <v>4644</v>
      </c>
      <c r="D2365" t="s">
        <v>15</v>
      </c>
      <c r="E2365" t="s">
        <v>20</v>
      </c>
      <c r="F2365" t="s">
        <v>4645</v>
      </c>
    </row>
    <row r="2366" spans="1:6" x14ac:dyDescent="0.3">
      <c r="A2366" t="s">
        <v>4646</v>
      </c>
      <c r="B2366" t="s">
        <v>9</v>
      </c>
      <c r="C2366" t="s">
        <v>4647</v>
      </c>
      <c r="E2366" t="s">
        <v>20</v>
      </c>
      <c r="F2366" t="s">
        <v>4648</v>
      </c>
    </row>
    <row r="2367" spans="1:6" hidden="1" x14ac:dyDescent="0.3">
      <c r="A2367" t="s">
        <v>4649</v>
      </c>
      <c r="B2367" t="s">
        <v>11</v>
      </c>
      <c r="E2367" t="s">
        <v>11</v>
      </c>
    </row>
    <row r="2368" spans="1:6" hidden="1" x14ac:dyDescent="0.3">
      <c r="A2368" t="s">
        <v>4650</v>
      </c>
      <c r="B2368" t="s">
        <v>11</v>
      </c>
      <c r="E2368" t="s">
        <v>11</v>
      </c>
    </row>
    <row r="2369" spans="1:8" hidden="1" x14ac:dyDescent="0.3">
      <c r="A2369" t="s">
        <v>4651</v>
      </c>
      <c r="B2369" t="s">
        <v>9</v>
      </c>
      <c r="C2369" t="s">
        <v>4652</v>
      </c>
      <c r="D2369" t="s">
        <v>15</v>
      </c>
      <c r="E2369" t="s">
        <v>54</v>
      </c>
      <c r="F2369" t="s">
        <v>4653</v>
      </c>
      <c r="G2369" t="s">
        <v>15</v>
      </c>
      <c r="H2369" t="s">
        <v>4654</v>
      </c>
    </row>
    <row r="2370" spans="1:8" hidden="1" x14ac:dyDescent="0.3">
      <c r="A2370" t="s">
        <v>4655</v>
      </c>
      <c r="B2370" t="s">
        <v>9</v>
      </c>
      <c r="C2370" t="s">
        <v>4656</v>
      </c>
      <c r="D2370" t="s">
        <v>15</v>
      </c>
      <c r="E2370" t="s">
        <v>16</v>
      </c>
      <c r="F2370" t="s">
        <v>4657</v>
      </c>
    </row>
    <row r="2371" spans="1:8" hidden="1" x14ac:dyDescent="0.3">
      <c r="A2371" t="s">
        <v>4658</v>
      </c>
      <c r="B2371" t="s">
        <v>9</v>
      </c>
      <c r="C2371" t="s">
        <v>4659</v>
      </c>
      <c r="D2371" t="s">
        <v>15</v>
      </c>
      <c r="E2371" t="s">
        <v>11</v>
      </c>
    </row>
    <row r="2372" spans="1:8" hidden="1" x14ac:dyDescent="0.3">
      <c r="A2372" t="s">
        <v>4660</v>
      </c>
      <c r="B2372" t="s">
        <v>9</v>
      </c>
      <c r="C2372" t="s">
        <v>4661</v>
      </c>
      <c r="E2372" t="s">
        <v>11</v>
      </c>
    </row>
    <row r="2373" spans="1:8" x14ac:dyDescent="0.3">
      <c r="A2373" t="s">
        <v>4662</v>
      </c>
      <c r="B2373" t="s">
        <v>9</v>
      </c>
      <c r="C2373" t="s">
        <v>4663</v>
      </c>
      <c r="D2373" t="s">
        <v>15</v>
      </c>
      <c r="E2373" t="s">
        <v>20</v>
      </c>
      <c r="F2373" t="s">
        <v>4664</v>
      </c>
    </row>
    <row r="2374" spans="1:8" x14ac:dyDescent="0.3">
      <c r="A2374" t="s">
        <v>4665</v>
      </c>
      <c r="B2374" t="s">
        <v>9</v>
      </c>
      <c r="C2374" t="s">
        <v>4666</v>
      </c>
      <c r="D2374" t="s">
        <v>15</v>
      </c>
      <c r="E2374" t="s">
        <v>20</v>
      </c>
      <c r="F2374" t="s">
        <v>2396</v>
      </c>
    </row>
    <row r="2375" spans="1:8" hidden="1" x14ac:dyDescent="0.3">
      <c r="A2375" t="s">
        <v>4667</v>
      </c>
      <c r="B2375" t="s">
        <v>13</v>
      </c>
      <c r="C2375" t="s">
        <v>4668</v>
      </c>
      <c r="D2375" t="s">
        <v>15</v>
      </c>
      <c r="E2375" t="s">
        <v>11</v>
      </c>
    </row>
    <row r="2376" spans="1:8" hidden="1" x14ac:dyDescent="0.3">
      <c r="A2376" t="s">
        <v>4669</v>
      </c>
      <c r="B2376" t="s">
        <v>9</v>
      </c>
      <c r="C2376" t="s">
        <v>4670</v>
      </c>
      <c r="E2376" t="s">
        <v>54</v>
      </c>
      <c r="F2376" t="s">
        <v>3606</v>
      </c>
    </row>
    <row r="2377" spans="1:8" hidden="1" x14ac:dyDescent="0.3">
      <c r="A2377" t="s">
        <v>4671</v>
      </c>
      <c r="B2377" t="s">
        <v>9</v>
      </c>
      <c r="C2377" t="s">
        <v>4672</v>
      </c>
      <c r="D2377" t="s">
        <v>15</v>
      </c>
      <c r="E2377" t="s">
        <v>54</v>
      </c>
      <c r="F2377" t="s">
        <v>4673</v>
      </c>
      <c r="G2377" t="s">
        <v>15</v>
      </c>
      <c r="H2377" t="s">
        <v>4674</v>
      </c>
    </row>
    <row r="2378" spans="1:8" x14ac:dyDescent="0.3">
      <c r="A2378" t="s">
        <v>4675</v>
      </c>
      <c r="B2378" t="s">
        <v>13</v>
      </c>
      <c r="C2378" t="s">
        <v>4676</v>
      </c>
      <c r="D2378" t="s">
        <v>15</v>
      </c>
      <c r="E2378" t="s">
        <v>20</v>
      </c>
      <c r="F2378" t="s">
        <v>4677</v>
      </c>
    </row>
    <row r="2379" spans="1:8" hidden="1" x14ac:dyDescent="0.3">
      <c r="A2379" t="s">
        <v>4678</v>
      </c>
      <c r="B2379" t="s">
        <v>9</v>
      </c>
      <c r="C2379" t="s">
        <v>4679</v>
      </c>
      <c r="D2379" t="s">
        <v>15</v>
      </c>
      <c r="E2379" t="s">
        <v>54</v>
      </c>
      <c r="F2379" t="s">
        <v>2963</v>
      </c>
    </row>
    <row r="2380" spans="1:8" hidden="1" x14ac:dyDescent="0.3">
      <c r="A2380" t="s">
        <v>4680</v>
      </c>
      <c r="B2380" t="s">
        <v>11</v>
      </c>
      <c r="E2380" t="s">
        <v>11</v>
      </c>
    </row>
    <row r="2381" spans="1:8" hidden="1" x14ac:dyDescent="0.3">
      <c r="A2381" t="s">
        <v>4681</v>
      </c>
      <c r="B2381" t="s">
        <v>9</v>
      </c>
      <c r="C2381" t="s">
        <v>4682</v>
      </c>
      <c r="E2381" t="s">
        <v>11</v>
      </c>
    </row>
    <row r="2382" spans="1:8" hidden="1" x14ac:dyDescent="0.3">
      <c r="A2382" t="s">
        <v>4683</v>
      </c>
      <c r="B2382" t="s">
        <v>9</v>
      </c>
      <c r="C2382" t="s">
        <v>28</v>
      </c>
      <c r="E2382" t="s">
        <v>11</v>
      </c>
    </row>
    <row r="2383" spans="1:8" hidden="1" x14ac:dyDescent="0.3">
      <c r="A2383" t="s">
        <v>4684</v>
      </c>
      <c r="B2383" t="s">
        <v>9</v>
      </c>
      <c r="C2383" t="s">
        <v>4685</v>
      </c>
      <c r="E2383" t="s">
        <v>11</v>
      </c>
    </row>
    <row r="2384" spans="1:8" hidden="1" x14ac:dyDescent="0.3">
      <c r="A2384" t="s">
        <v>4686</v>
      </c>
      <c r="B2384" t="s">
        <v>13</v>
      </c>
      <c r="C2384" t="s">
        <v>4687</v>
      </c>
      <c r="D2384" t="s">
        <v>15</v>
      </c>
      <c r="E2384" t="s">
        <v>16</v>
      </c>
      <c r="F2384" t="s">
        <v>4688</v>
      </c>
    </row>
    <row r="2385" spans="1:6" hidden="1" x14ac:dyDescent="0.3">
      <c r="A2385" t="s">
        <v>4689</v>
      </c>
      <c r="B2385" t="s">
        <v>13</v>
      </c>
      <c r="C2385" t="s">
        <v>4690</v>
      </c>
      <c r="E2385" t="s">
        <v>11</v>
      </c>
    </row>
    <row r="2386" spans="1:6" x14ac:dyDescent="0.3">
      <c r="A2386" t="s">
        <v>4691</v>
      </c>
      <c r="B2386" t="s">
        <v>9</v>
      </c>
      <c r="C2386" t="s">
        <v>4692</v>
      </c>
      <c r="D2386" t="s">
        <v>15</v>
      </c>
      <c r="E2386" t="s">
        <v>20</v>
      </c>
      <c r="F2386" t="s">
        <v>4693</v>
      </c>
    </row>
    <row r="2387" spans="1:6" x14ac:dyDescent="0.3">
      <c r="A2387" t="s">
        <v>4694</v>
      </c>
      <c r="B2387" t="s">
        <v>13</v>
      </c>
      <c r="C2387" t="s">
        <v>573</v>
      </c>
      <c r="E2387" t="s">
        <v>20</v>
      </c>
      <c r="F2387" t="s">
        <v>4695</v>
      </c>
    </row>
    <row r="2388" spans="1:6" hidden="1" x14ac:dyDescent="0.3">
      <c r="A2388" t="s">
        <v>4696</v>
      </c>
      <c r="B2388" t="s">
        <v>13</v>
      </c>
      <c r="C2388" t="s">
        <v>4697</v>
      </c>
      <c r="E2388" t="s">
        <v>11</v>
      </c>
    </row>
    <row r="2389" spans="1:6" hidden="1" x14ac:dyDescent="0.3">
      <c r="A2389" t="s">
        <v>4698</v>
      </c>
      <c r="B2389" t="s">
        <v>11</v>
      </c>
      <c r="E2389" t="s">
        <v>11</v>
      </c>
    </row>
    <row r="2390" spans="1:6" hidden="1" x14ac:dyDescent="0.3">
      <c r="A2390" t="s">
        <v>4699</v>
      </c>
      <c r="B2390" t="s">
        <v>13</v>
      </c>
      <c r="C2390" t="s">
        <v>4700</v>
      </c>
      <c r="D2390" t="s">
        <v>15</v>
      </c>
      <c r="E2390" t="s">
        <v>11</v>
      </c>
    </row>
    <row r="2391" spans="1:6" hidden="1" x14ac:dyDescent="0.3">
      <c r="A2391" t="s">
        <v>4701</v>
      </c>
      <c r="B2391" t="s">
        <v>9</v>
      </c>
      <c r="C2391" t="s">
        <v>4702</v>
      </c>
      <c r="D2391" t="s">
        <v>15</v>
      </c>
      <c r="E2391" t="s">
        <v>16</v>
      </c>
      <c r="F2391" t="s">
        <v>4703</v>
      </c>
    </row>
    <row r="2392" spans="1:6" x14ac:dyDescent="0.3">
      <c r="A2392" t="s">
        <v>4704</v>
      </c>
      <c r="B2392" t="s">
        <v>9</v>
      </c>
      <c r="C2392" t="s">
        <v>4705</v>
      </c>
      <c r="E2392" t="s">
        <v>20</v>
      </c>
      <c r="F2392" t="s">
        <v>4706</v>
      </c>
    </row>
    <row r="2393" spans="1:6" hidden="1" x14ac:dyDescent="0.3">
      <c r="A2393" t="s">
        <v>4707</v>
      </c>
      <c r="B2393" t="s">
        <v>13</v>
      </c>
      <c r="C2393" t="s">
        <v>4708</v>
      </c>
      <c r="D2393" t="s">
        <v>15</v>
      </c>
      <c r="E2393" t="s">
        <v>11</v>
      </c>
    </row>
    <row r="2394" spans="1:6" x14ac:dyDescent="0.3">
      <c r="A2394" t="s">
        <v>4709</v>
      </c>
      <c r="B2394" t="s">
        <v>13</v>
      </c>
      <c r="C2394" t="s">
        <v>4710</v>
      </c>
      <c r="E2394" t="s">
        <v>20</v>
      </c>
      <c r="F2394" t="s">
        <v>4711</v>
      </c>
    </row>
    <row r="2395" spans="1:6" hidden="1" x14ac:dyDescent="0.3">
      <c r="A2395" t="s">
        <v>4712</v>
      </c>
      <c r="B2395" t="s">
        <v>9</v>
      </c>
      <c r="C2395" t="s">
        <v>4713</v>
      </c>
      <c r="D2395" t="s">
        <v>15</v>
      </c>
      <c r="E2395" t="s">
        <v>54</v>
      </c>
      <c r="F2395" t="s">
        <v>4714</v>
      </c>
    </row>
    <row r="2396" spans="1:6" x14ac:dyDescent="0.3">
      <c r="A2396" t="s">
        <v>4715</v>
      </c>
      <c r="B2396" t="s">
        <v>13</v>
      </c>
      <c r="C2396" t="s">
        <v>4716</v>
      </c>
      <c r="D2396" t="s">
        <v>15</v>
      </c>
      <c r="E2396" t="s">
        <v>20</v>
      </c>
      <c r="F2396" t="s">
        <v>4717</v>
      </c>
    </row>
    <row r="2397" spans="1:6" hidden="1" x14ac:dyDescent="0.3">
      <c r="A2397" t="s">
        <v>4718</v>
      </c>
      <c r="B2397" t="s">
        <v>13</v>
      </c>
      <c r="C2397" t="s">
        <v>4719</v>
      </c>
      <c r="E2397" t="s">
        <v>11</v>
      </c>
    </row>
    <row r="2398" spans="1:6" hidden="1" x14ac:dyDescent="0.3">
      <c r="A2398" t="s">
        <v>4720</v>
      </c>
      <c r="B2398" t="s">
        <v>9</v>
      </c>
      <c r="C2398" t="s">
        <v>4721</v>
      </c>
      <c r="E2398" t="s">
        <v>11</v>
      </c>
    </row>
    <row r="2399" spans="1:6" x14ac:dyDescent="0.3">
      <c r="A2399" t="s">
        <v>4722</v>
      </c>
      <c r="B2399" t="s">
        <v>13</v>
      </c>
      <c r="C2399" t="s">
        <v>4723</v>
      </c>
      <c r="D2399" t="s">
        <v>15</v>
      </c>
      <c r="E2399" t="s">
        <v>20</v>
      </c>
      <c r="F2399" t="s">
        <v>4724</v>
      </c>
    </row>
    <row r="2400" spans="1:6" hidden="1" x14ac:dyDescent="0.3">
      <c r="A2400" t="s">
        <v>4725</v>
      </c>
      <c r="B2400" t="s">
        <v>13</v>
      </c>
      <c r="C2400" t="s">
        <v>4726</v>
      </c>
      <c r="D2400" t="s">
        <v>15</v>
      </c>
      <c r="E2400" t="s">
        <v>54</v>
      </c>
      <c r="F2400" t="s">
        <v>4727</v>
      </c>
    </row>
    <row r="2401" spans="1:6" hidden="1" x14ac:dyDescent="0.3">
      <c r="A2401" t="s">
        <v>4728</v>
      </c>
      <c r="B2401" t="s">
        <v>9</v>
      </c>
      <c r="C2401" t="s">
        <v>4729</v>
      </c>
      <c r="D2401" t="s">
        <v>15</v>
      </c>
      <c r="E2401" t="s">
        <v>16</v>
      </c>
      <c r="F2401" t="s">
        <v>4730</v>
      </c>
    </row>
    <row r="2402" spans="1:6" hidden="1" x14ac:dyDescent="0.3">
      <c r="A2402" t="s">
        <v>4731</v>
      </c>
      <c r="B2402" t="s">
        <v>11</v>
      </c>
      <c r="E2402" t="s">
        <v>11</v>
      </c>
    </row>
    <row r="2403" spans="1:6" hidden="1" x14ac:dyDescent="0.3">
      <c r="A2403" t="s">
        <v>4732</v>
      </c>
      <c r="B2403" t="s">
        <v>197</v>
      </c>
      <c r="C2403" t="s">
        <v>4733</v>
      </c>
      <c r="D2403" t="s">
        <v>15</v>
      </c>
      <c r="E2403" t="s">
        <v>11</v>
      </c>
    </row>
    <row r="2404" spans="1:6" hidden="1" x14ac:dyDescent="0.3">
      <c r="A2404" t="s">
        <v>4734</v>
      </c>
      <c r="B2404" t="s">
        <v>9</v>
      </c>
      <c r="C2404" t="s">
        <v>4735</v>
      </c>
      <c r="D2404" t="s">
        <v>15</v>
      </c>
      <c r="E2404" t="s">
        <v>54</v>
      </c>
      <c r="F2404" t="s">
        <v>4736</v>
      </c>
    </row>
    <row r="2405" spans="1:6" hidden="1" x14ac:dyDescent="0.3">
      <c r="A2405" t="s">
        <v>4737</v>
      </c>
      <c r="B2405" t="s">
        <v>13</v>
      </c>
      <c r="C2405" t="s">
        <v>112</v>
      </c>
      <c r="D2405" t="s">
        <v>15</v>
      </c>
      <c r="E2405" t="s">
        <v>54</v>
      </c>
      <c r="F2405" t="s">
        <v>4738</v>
      </c>
    </row>
    <row r="2406" spans="1:6" x14ac:dyDescent="0.3">
      <c r="A2406" t="s">
        <v>4739</v>
      </c>
      <c r="B2406" t="s">
        <v>13</v>
      </c>
      <c r="C2406" t="s">
        <v>4740</v>
      </c>
      <c r="D2406" t="s">
        <v>15</v>
      </c>
      <c r="E2406" t="s">
        <v>20</v>
      </c>
      <c r="F2406" t="s">
        <v>4741</v>
      </c>
    </row>
    <row r="2407" spans="1:6" x14ac:dyDescent="0.3">
      <c r="A2407" t="s">
        <v>4742</v>
      </c>
      <c r="B2407" t="s">
        <v>13</v>
      </c>
      <c r="C2407" t="s">
        <v>4743</v>
      </c>
      <c r="D2407" t="s">
        <v>15</v>
      </c>
      <c r="E2407" t="s">
        <v>20</v>
      </c>
      <c r="F2407" t="s">
        <v>4744</v>
      </c>
    </row>
    <row r="2408" spans="1:6" x14ac:dyDescent="0.3">
      <c r="A2408" t="s">
        <v>4745</v>
      </c>
      <c r="B2408" t="s">
        <v>9</v>
      </c>
      <c r="C2408" t="s">
        <v>4746</v>
      </c>
      <c r="D2408" t="s">
        <v>15</v>
      </c>
      <c r="E2408" t="s">
        <v>20</v>
      </c>
      <c r="F2408" t="s">
        <v>21</v>
      </c>
    </row>
    <row r="2409" spans="1:6" x14ac:dyDescent="0.3">
      <c r="A2409" t="s">
        <v>4747</v>
      </c>
      <c r="B2409" t="s">
        <v>9</v>
      </c>
      <c r="C2409" t="s">
        <v>4748</v>
      </c>
      <c r="D2409" t="s">
        <v>15</v>
      </c>
      <c r="E2409" t="s">
        <v>20</v>
      </c>
      <c r="F2409" t="s">
        <v>21</v>
      </c>
    </row>
    <row r="2410" spans="1:6" hidden="1" x14ac:dyDescent="0.3">
      <c r="A2410" t="s">
        <v>4749</v>
      </c>
      <c r="B2410" t="s">
        <v>9</v>
      </c>
      <c r="C2410" t="s">
        <v>51</v>
      </c>
      <c r="E2410" t="s">
        <v>54</v>
      </c>
      <c r="F2410" t="s">
        <v>4750</v>
      </c>
    </row>
    <row r="2411" spans="1:6" hidden="1" x14ac:dyDescent="0.3">
      <c r="A2411" t="s">
        <v>4751</v>
      </c>
      <c r="B2411" t="s">
        <v>13</v>
      </c>
      <c r="C2411" t="s">
        <v>4752</v>
      </c>
      <c r="D2411" t="s">
        <v>15</v>
      </c>
      <c r="E2411" t="s">
        <v>16</v>
      </c>
      <c r="F2411" t="s">
        <v>4753</v>
      </c>
    </row>
    <row r="2412" spans="1:6" hidden="1" x14ac:dyDescent="0.3">
      <c r="A2412" t="s">
        <v>4754</v>
      </c>
      <c r="B2412" t="s">
        <v>13</v>
      </c>
      <c r="C2412" t="s">
        <v>4755</v>
      </c>
      <c r="D2412" t="s">
        <v>15</v>
      </c>
      <c r="E2412" t="s">
        <v>16</v>
      </c>
      <c r="F2412" t="s">
        <v>4756</v>
      </c>
    </row>
    <row r="2413" spans="1:6" hidden="1" x14ac:dyDescent="0.3">
      <c r="A2413" t="s">
        <v>4757</v>
      </c>
      <c r="B2413" t="s">
        <v>9</v>
      </c>
      <c r="C2413" t="s">
        <v>28</v>
      </c>
      <c r="E2413" t="s">
        <v>11</v>
      </c>
    </row>
    <row r="2414" spans="1:6" hidden="1" x14ac:dyDescent="0.3">
      <c r="A2414" t="s">
        <v>4758</v>
      </c>
      <c r="B2414" t="s">
        <v>9</v>
      </c>
      <c r="C2414" t="s">
        <v>4759</v>
      </c>
      <c r="D2414" t="s">
        <v>15</v>
      </c>
      <c r="E2414" t="s">
        <v>16</v>
      </c>
      <c r="F2414" t="s">
        <v>4760</v>
      </c>
    </row>
    <row r="2415" spans="1:6" hidden="1" x14ac:dyDescent="0.3">
      <c r="A2415" t="s">
        <v>4761</v>
      </c>
      <c r="B2415" t="s">
        <v>9</v>
      </c>
      <c r="C2415" t="s">
        <v>4762</v>
      </c>
      <c r="D2415" t="s">
        <v>15</v>
      </c>
      <c r="E2415" t="s">
        <v>11</v>
      </c>
    </row>
    <row r="2416" spans="1:6" hidden="1" x14ac:dyDescent="0.3">
      <c r="A2416" t="s">
        <v>4763</v>
      </c>
      <c r="B2416" t="s">
        <v>11</v>
      </c>
      <c r="E2416" t="s">
        <v>11</v>
      </c>
    </row>
    <row r="2417" spans="1:6" x14ac:dyDescent="0.3">
      <c r="A2417" t="s">
        <v>4764</v>
      </c>
      <c r="B2417" t="s">
        <v>9</v>
      </c>
      <c r="C2417" t="s">
        <v>4765</v>
      </c>
      <c r="D2417" t="s">
        <v>15</v>
      </c>
      <c r="E2417" t="s">
        <v>20</v>
      </c>
      <c r="F2417" t="s">
        <v>1023</v>
      </c>
    </row>
    <row r="2418" spans="1:6" hidden="1" x14ac:dyDescent="0.3">
      <c r="A2418" t="s">
        <v>4766</v>
      </c>
      <c r="B2418" t="s">
        <v>9</v>
      </c>
      <c r="C2418" t="s">
        <v>4767</v>
      </c>
      <c r="D2418" t="s">
        <v>15</v>
      </c>
      <c r="E2418" t="s">
        <v>54</v>
      </c>
      <c r="F2418" t="s">
        <v>4768</v>
      </c>
    </row>
    <row r="2419" spans="1:6" hidden="1" x14ac:dyDescent="0.3">
      <c r="A2419" t="s">
        <v>4769</v>
      </c>
      <c r="B2419" t="s">
        <v>13</v>
      </c>
      <c r="C2419" t="s">
        <v>4770</v>
      </c>
      <c r="E2419" t="s">
        <v>11</v>
      </c>
    </row>
    <row r="2420" spans="1:6" hidden="1" x14ac:dyDescent="0.3">
      <c r="A2420" t="s">
        <v>4771</v>
      </c>
      <c r="B2420" t="s">
        <v>9</v>
      </c>
      <c r="C2420" t="s">
        <v>4772</v>
      </c>
      <c r="E2420" t="s">
        <v>16</v>
      </c>
      <c r="F2420" t="s">
        <v>4773</v>
      </c>
    </row>
    <row r="2421" spans="1:6" hidden="1" x14ac:dyDescent="0.3">
      <c r="A2421" t="s">
        <v>4774</v>
      </c>
      <c r="B2421" t="s">
        <v>13</v>
      </c>
      <c r="C2421" t="s">
        <v>4775</v>
      </c>
      <c r="D2421" t="s">
        <v>15</v>
      </c>
      <c r="E2421" t="s">
        <v>11</v>
      </c>
    </row>
    <row r="2422" spans="1:6" hidden="1" x14ac:dyDescent="0.3">
      <c r="A2422" t="s">
        <v>4776</v>
      </c>
      <c r="B2422" t="s">
        <v>9</v>
      </c>
      <c r="C2422" t="s">
        <v>28</v>
      </c>
      <c r="D2422" t="s">
        <v>15</v>
      </c>
      <c r="E2422" t="s">
        <v>16</v>
      </c>
      <c r="F2422" t="s">
        <v>4777</v>
      </c>
    </row>
    <row r="2423" spans="1:6" hidden="1" x14ac:dyDescent="0.3">
      <c r="A2423" t="s">
        <v>4778</v>
      </c>
      <c r="B2423" t="s">
        <v>13</v>
      </c>
      <c r="C2423" t="s">
        <v>4779</v>
      </c>
      <c r="D2423" t="s">
        <v>15</v>
      </c>
      <c r="E2423" t="s">
        <v>54</v>
      </c>
      <c r="F2423" t="s">
        <v>4780</v>
      </c>
    </row>
    <row r="2424" spans="1:6" hidden="1" x14ac:dyDescent="0.3">
      <c r="A2424" t="s">
        <v>4781</v>
      </c>
      <c r="B2424" t="s">
        <v>13</v>
      </c>
      <c r="C2424" t="s">
        <v>4445</v>
      </c>
      <c r="E2424" t="s">
        <v>11</v>
      </c>
    </row>
    <row r="2425" spans="1:6" hidden="1" x14ac:dyDescent="0.3">
      <c r="A2425" t="s">
        <v>4782</v>
      </c>
      <c r="B2425" t="s">
        <v>197</v>
      </c>
      <c r="C2425" t="s">
        <v>4783</v>
      </c>
      <c r="D2425" t="s">
        <v>15</v>
      </c>
      <c r="E2425" t="s">
        <v>54</v>
      </c>
      <c r="F2425" t="s">
        <v>4784</v>
      </c>
    </row>
    <row r="2426" spans="1:6" x14ac:dyDescent="0.3">
      <c r="A2426" t="s">
        <v>4785</v>
      </c>
      <c r="B2426" t="s">
        <v>9</v>
      </c>
      <c r="C2426" t="s">
        <v>937</v>
      </c>
      <c r="D2426" t="s">
        <v>15</v>
      </c>
      <c r="E2426" t="s">
        <v>20</v>
      </c>
      <c r="F2426" t="s">
        <v>4786</v>
      </c>
    </row>
    <row r="2427" spans="1:6" hidden="1" x14ac:dyDescent="0.3">
      <c r="A2427" t="s">
        <v>4787</v>
      </c>
      <c r="B2427" t="s">
        <v>9</v>
      </c>
      <c r="C2427" t="s">
        <v>4788</v>
      </c>
      <c r="D2427" t="s">
        <v>15</v>
      </c>
      <c r="E2427" t="s">
        <v>16</v>
      </c>
      <c r="F2427" t="s">
        <v>4789</v>
      </c>
    </row>
    <row r="2428" spans="1:6" hidden="1" x14ac:dyDescent="0.3">
      <c r="A2428" t="s">
        <v>4790</v>
      </c>
      <c r="B2428" t="s">
        <v>9</v>
      </c>
      <c r="C2428" t="s">
        <v>4791</v>
      </c>
      <c r="D2428" t="s">
        <v>15</v>
      </c>
      <c r="E2428" t="s">
        <v>16</v>
      </c>
      <c r="F2428" t="s">
        <v>4792</v>
      </c>
    </row>
    <row r="2429" spans="1:6" hidden="1" x14ac:dyDescent="0.3">
      <c r="A2429" t="s">
        <v>4793</v>
      </c>
      <c r="B2429" t="s">
        <v>9</v>
      </c>
      <c r="C2429" t="s">
        <v>4794</v>
      </c>
      <c r="E2429" t="s">
        <v>11</v>
      </c>
    </row>
    <row r="2430" spans="1:6" hidden="1" x14ac:dyDescent="0.3">
      <c r="A2430" t="s">
        <v>4795</v>
      </c>
      <c r="B2430" t="s">
        <v>13</v>
      </c>
      <c r="C2430" t="s">
        <v>4796</v>
      </c>
      <c r="E2430" t="s">
        <v>11</v>
      </c>
    </row>
    <row r="2431" spans="1:6" x14ac:dyDescent="0.3">
      <c r="A2431" t="s">
        <v>4797</v>
      </c>
      <c r="B2431" t="s">
        <v>9</v>
      </c>
      <c r="C2431" t="s">
        <v>4798</v>
      </c>
      <c r="D2431" t="s">
        <v>15</v>
      </c>
      <c r="E2431" t="s">
        <v>20</v>
      </c>
      <c r="F2431" t="s">
        <v>4799</v>
      </c>
    </row>
    <row r="2432" spans="1:6" x14ac:dyDescent="0.3">
      <c r="A2432" t="s">
        <v>4800</v>
      </c>
      <c r="B2432" t="s">
        <v>9</v>
      </c>
      <c r="C2432" t="s">
        <v>4801</v>
      </c>
      <c r="D2432" t="s">
        <v>15</v>
      </c>
      <c r="E2432" t="s">
        <v>20</v>
      </c>
      <c r="F2432" t="s">
        <v>21</v>
      </c>
    </row>
    <row r="2433" spans="1:8" hidden="1" x14ac:dyDescent="0.3">
      <c r="A2433" t="s">
        <v>4802</v>
      </c>
      <c r="B2433" t="s">
        <v>13</v>
      </c>
      <c r="C2433" t="s">
        <v>4803</v>
      </c>
      <c r="E2433" t="s">
        <v>16</v>
      </c>
      <c r="F2433" t="s">
        <v>4804</v>
      </c>
    </row>
    <row r="2434" spans="1:8" hidden="1" x14ac:dyDescent="0.3">
      <c r="A2434" t="s">
        <v>4805</v>
      </c>
      <c r="B2434" t="s">
        <v>13</v>
      </c>
      <c r="C2434" t="s">
        <v>4806</v>
      </c>
      <c r="E2434" t="s">
        <v>54</v>
      </c>
      <c r="F2434" t="s">
        <v>4807</v>
      </c>
    </row>
    <row r="2435" spans="1:8" x14ac:dyDescent="0.3">
      <c r="A2435" t="s">
        <v>4808</v>
      </c>
      <c r="B2435" t="s">
        <v>9</v>
      </c>
      <c r="C2435" t="s">
        <v>4809</v>
      </c>
      <c r="D2435" t="s">
        <v>15</v>
      </c>
      <c r="E2435" t="s">
        <v>20</v>
      </c>
      <c r="F2435" t="s">
        <v>4810</v>
      </c>
    </row>
    <row r="2436" spans="1:8" hidden="1" x14ac:dyDescent="0.3">
      <c r="A2436" t="s">
        <v>4811</v>
      </c>
      <c r="B2436" t="s">
        <v>9</v>
      </c>
      <c r="C2436" t="s">
        <v>4812</v>
      </c>
      <c r="D2436" t="s">
        <v>15</v>
      </c>
      <c r="E2436" t="s">
        <v>54</v>
      </c>
      <c r="F2436" t="s">
        <v>4813</v>
      </c>
    </row>
    <row r="2437" spans="1:8" x14ac:dyDescent="0.3">
      <c r="A2437" t="s">
        <v>4814</v>
      </c>
      <c r="B2437" t="s">
        <v>13</v>
      </c>
      <c r="C2437" t="s">
        <v>4815</v>
      </c>
      <c r="E2437" t="s">
        <v>20</v>
      </c>
      <c r="F2437" t="s">
        <v>4816</v>
      </c>
    </row>
    <row r="2438" spans="1:8" x14ac:dyDescent="0.3">
      <c r="A2438" t="s">
        <v>4817</v>
      </c>
      <c r="B2438" t="s">
        <v>9</v>
      </c>
      <c r="C2438" t="s">
        <v>4818</v>
      </c>
      <c r="D2438" t="s">
        <v>15</v>
      </c>
      <c r="E2438" t="s">
        <v>20</v>
      </c>
      <c r="F2438" t="s">
        <v>4819</v>
      </c>
    </row>
    <row r="2439" spans="1:8" hidden="1" x14ac:dyDescent="0.3">
      <c r="A2439" t="s">
        <v>4820</v>
      </c>
      <c r="B2439" t="s">
        <v>9</v>
      </c>
      <c r="C2439" t="s">
        <v>841</v>
      </c>
      <c r="E2439" t="s">
        <v>11</v>
      </c>
    </row>
    <row r="2440" spans="1:8" hidden="1" x14ac:dyDescent="0.3">
      <c r="A2440" t="s">
        <v>4821</v>
      </c>
      <c r="B2440" t="s">
        <v>9</v>
      </c>
      <c r="C2440" t="s">
        <v>51</v>
      </c>
      <c r="D2440" t="s">
        <v>15</v>
      </c>
      <c r="E2440" t="s">
        <v>54</v>
      </c>
      <c r="F2440" t="s">
        <v>588</v>
      </c>
    </row>
    <row r="2441" spans="1:8" hidden="1" x14ac:dyDescent="0.3">
      <c r="A2441" t="s">
        <v>4822</v>
      </c>
      <c r="B2441" t="s">
        <v>13</v>
      </c>
      <c r="C2441" t="s">
        <v>112</v>
      </c>
      <c r="D2441" t="s">
        <v>15</v>
      </c>
      <c r="E2441" t="s">
        <v>54</v>
      </c>
      <c r="F2441" t="s">
        <v>588</v>
      </c>
    </row>
    <row r="2442" spans="1:8" x14ac:dyDescent="0.3">
      <c r="A2442" t="s">
        <v>4823</v>
      </c>
      <c r="B2442" t="s">
        <v>9</v>
      </c>
      <c r="C2442" t="s">
        <v>4824</v>
      </c>
      <c r="D2442" t="s">
        <v>15</v>
      </c>
      <c r="E2442" t="s">
        <v>20</v>
      </c>
      <c r="F2442" t="s">
        <v>135</v>
      </c>
    </row>
    <row r="2443" spans="1:8" hidden="1" x14ac:dyDescent="0.3">
      <c r="A2443" t="s">
        <v>4825</v>
      </c>
      <c r="B2443" t="s">
        <v>9</v>
      </c>
      <c r="C2443" t="s">
        <v>4826</v>
      </c>
      <c r="D2443" t="s">
        <v>15</v>
      </c>
      <c r="E2443" t="s">
        <v>54</v>
      </c>
      <c r="F2443" t="s">
        <v>4827</v>
      </c>
    </row>
    <row r="2444" spans="1:8" hidden="1" x14ac:dyDescent="0.3">
      <c r="A2444" t="s">
        <v>4828</v>
      </c>
      <c r="B2444" t="s">
        <v>11</v>
      </c>
      <c r="E2444" t="s">
        <v>11</v>
      </c>
    </row>
    <row r="2445" spans="1:8" hidden="1" x14ac:dyDescent="0.3">
      <c r="A2445" t="s">
        <v>4829</v>
      </c>
      <c r="B2445" t="s">
        <v>9</v>
      </c>
      <c r="C2445" t="s">
        <v>4830</v>
      </c>
      <c r="E2445" t="s">
        <v>16</v>
      </c>
      <c r="F2445" t="s">
        <v>4831</v>
      </c>
      <c r="G2445" t="s">
        <v>15</v>
      </c>
      <c r="H2445" t="s">
        <v>4832</v>
      </c>
    </row>
    <row r="2446" spans="1:8" x14ac:dyDescent="0.3">
      <c r="A2446" t="s">
        <v>4833</v>
      </c>
      <c r="B2446" t="s">
        <v>13</v>
      </c>
      <c r="C2446" t="s">
        <v>4834</v>
      </c>
      <c r="D2446" t="s">
        <v>15</v>
      </c>
      <c r="E2446" t="s">
        <v>20</v>
      </c>
      <c r="F2446" t="s">
        <v>4835</v>
      </c>
    </row>
    <row r="2447" spans="1:8" hidden="1" x14ac:dyDescent="0.3">
      <c r="A2447" t="s">
        <v>4836</v>
      </c>
      <c r="B2447" t="s">
        <v>9</v>
      </c>
      <c r="C2447" t="s">
        <v>4837</v>
      </c>
      <c r="D2447" t="s">
        <v>15</v>
      </c>
      <c r="E2447" t="s">
        <v>16</v>
      </c>
      <c r="F2447" t="s">
        <v>4838</v>
      </c>
      <c r="G2447" t="s">
        <v>15</v>
      </c>
      <c r="H2447" t="s">
        <v>4839</v>
      </c>
    </row>
    <row r="2448" spans="1:8" hidden="1" x14ac:dyDescent="0.3">
      <c r="A2448" t="s">
        <v>4840</v>
      </c>
      <c r="B2448" t="s">
        <v>13</v>
      </c>
      <c r="C2448" t="s">
        <v>4841</v>
      </c>
      <c r="D2448" t="s">
        <v>15</v>
      </c>
      <c r="E2448" t="s">
        <v>54</v>
      </c>
      <c r="F2448" t="s">
        <v>4842</v>
      </c>
    </row>
    <row r="2449" spans="1:6" x14ac:dyDescent="0.3">
      <c r="A2449" t="s">
        <v>4843</v>
      </c>
      <c r="B2449" t="s">
        <v>13</v>
      </c>
      <c r="C2449" t="s">
        <v>4844</v>
      </c>
      <c r="E2449" t="s">
        <v>20</v>
      </c>
      <c r="F2449" t="s">
        <v>4845</v>
      </c>
    </row>
    <row r="2450" spans="1:6" hidden="1" x14ac:dyDescent="0.3">
      <c r="A2450" t="s">
        <v>4846</v>
      </c>
      <c r="B2450" t="s">
        <v>197</v>
      </c>
      <c r="C2450" t="s">
        <v>4847</v>
      </c>
      <c r="D2450" t="s">
        <v>15</v>
      </c>
      <c r="E2450" t="s">
        <v>16</v>
      </c>
      <c r="F2450" t="s">
        <v>4848</v>
      </c>
    </row>
    <row r="2451" spans="1:6" x14ac:dyDescent="0.3">
      <c r="A2451" t="s">
        <v>4849</v>
      </c>
      <c r="B2451" t="s">
        <v>9</v>
      </c>
      <c r="C2451" t="s">
        <v>4850</v>
      </c>
      <c r="D2451" t="s">
        <v>15</v>
      </c>
      <c r="E2451" t="s">
        <v>20</v>
      </c>
      <c r="F2451" t="s">
        <v>21</v>
      </c>
    </row>
    <row r="2452" spans="1:6" hidden="1" x14ac:dyDescent="0.3">
      <c r="A2452" t="s">
        <v>4851</v>
      </c>
      <c r="B2452" t="s">
        <v>11</v>
      </c>
      <c r="E2452" t="s">
        <v>11</v>
      </c>
    </row>
    <row r="2453" spans="1:6" x14ac:dyDescent="0.3">
      <c r="A2453" t="s">
        <v>4852</v>
      </c>
      <c r="B2453" t="s">
        <v>11</v>
      </c>
      <c r="E2453" t="s">
        <v>20</v>
      </c>
      <c r="F2453" t="s">
        <v>1423</v>
      </c>
    </row>
    <row r="2454" spans="1:6" x14ac:dyDescent="0.3">
      <c r="A2454" t="s">
        <v>4853</v>
      </c>
      <c r="B2454" t="s">
        <v>9</v>
      </c>
      <c r="C2454" t="s">
        <v>4854</v>
      </c>
      <c r="E2454" t="s">
        <v>20</v>
      </c>
      <c r="F2454" t="s">
        <v>4855</v>
      </c>
    </row>
    <row r="2455" spans="1:6" hidden="1" x14ac:dyDescent="0.3">
      <c r="A2455" t="s">
        <v>4856</v>
      </c>
      <c r="B2455" t="s">
        <v>9</v>
      </c>
      <c r="C2455" t="s">
        <v>841</v>
      </c>
      <c r="E2455" t="s">
        <v>11</v>
      </c>
    </row>
    <row r="2456" spans="1:6" x14ac:dyDescent="0.3">
      <c r="A2456" t="s">
        <v>4857</v>
      </c>
      <c r="B2456" t="s">
        <v>9</v>
      </c>
      <c r="C2456" t="s">
        <v>4858</v>
      </c>
      <c r="E2456" t="s">
        <v>20</v>
      </c>
      <c r="F2456" t="s">
        <v>21</v>
      </c>
    </row>
    <row r="2457" spans="1:6" hidden="1" x14ac:dyDescent="0.3">
      <c r="A2457" t="s">
        <v>4859</v>
      </c>
      <c r="B2457" t="s">
        <v>11</v>
      </c>
      <c r="D2457" t="s">
        <v>15</v>
      </c>
      <c r="E2457" t="s">
        <v>11</v>
      </c>
    </row>
    <row r="2458" spans="1:6" hidden="1" x14ac:dyDescent="0.3">
      <c r="A2458" t="s">
        <v>4860</v>
      </c>
      <c r="B2458" t="s">
        <v>9</v>
      </c>
      <c r="C2458" t="s">
        <v>4861</v>
      </c>
      <c r="D2458" t="s">
        <v>15</v>
      </c>
      <c r="E2458" t="s">
        <v>54</v>
      </c>
      <c r="F2458" t="s">
        <v>4862</v>
      </c>
    </row>
    <row r="2459" spans="1:6" x14ac:dyDescent="0.3">
      <c r="A2459" t="s">
        <v>4863</v>
      </c>
      <c r="B2459" t="s">
        <v>13</v>
      </c>
      <c r="C2459" t="s">
        <v>4864</v>
      </c>
      <c r="D2459" t="s">
        <v>15</v>
      </c>
      <c r="E2459" t="s">
        <v>20</v>
      </c>
      <c r="F2459" t="s">
        <v>4865</v>
      </c>
    </row>
    <row r="2460" spans="1:6" hidden="1" x14ac:dyDescent="0.3">
      <c r="A2460" t="s">
        <v>4866</v>
      </c>
      <c r="B2460" t="s">
        <v>11</v>
      </c>
      <c r="E2460" t="s">
        <v>11</v>
      </c>
    </row>
    <row r="2461" spans="1:6" hidden="1" x14ac:dyDescent="0.3">
      <c r="A2461" t="s">
        <v>4867</v>
      </c>
      <c r="B2461" t="s">
        <v>13</v>
      </c>
      <c r="C2461" t="s">
        <v>4868</v>
      </c>
      <c r="D2461" t="s">
        <v>15</v>
      </c>
      <c r="E2461" t="s">
        <v>54</v>
      </c>
      <c r="F2461" t="s">
        <v>4869</v>
      </c>
    </row>
    <row r="2462" spans="1:6" hidden="1" x14ac:dyDescent="0.3">
      <c r="A2462" t="s">
        <v>4870</v>
      </c>
      <c r="B2462" t="s">
        <v>11</v>
      </c>
      <c r="E2462" t="s">
        <v>11</v>
      </c>
    </row>
    <row r="2463" spans="1:6" x14ac:dyDescent="0.3">
      <c r="A2463" t="s">
        <v>4871</v>
      </c>
      <c r="B2463" t="s">
        <v>13</v>
      </c>
      <c r="C2463" t="s">
        <v>4872</v>
      </c>
      <c r="D2463" t="s">
        <v>15</v>
      </c>
      <c r="E2463" t="s">
        <v>20</v>
      </c>
      <c r="F2463" t="s">
        <v>4873</v>
      </c>
    </row>
    <row r="2464" spans="1:6" hidden="1" x14ac:dyDescent="0.3">
      <c r="A2464" t="s">
        <v>4874</v>
      </c>
      <c r="B2464" t="s">
        <v>13</v>
      </c>
      <c r="C2464" t="s">
        <v>4875</v>
      </c>
      <c r="D2464" t="s">
        <v>15</v>
      </c>
      <c r="E2464" t="s">
        <v>16</v>
      </c>
      <c r="F2464" t="s">
        <v>4876</v>
      </c>
    </row>
    <row r="2465" spans="1:8" hidden="1" x14ac:dyDescent="0.3">
      <c r="A2465" t="s">
        <v>4877</v>
      </c>
      <c r="B2465" t="s">
        <v>11</v>
      </c>
      <c r="E2465" t="s">
        <v>11</v>
      </c>
    </row>
    <row r="2466" spans="1:8" x14ac:dyDescent="0.3">
      <c r="A2466" t="s">
        <v>4878</v>
      </c>
      <c r="B2466" t="s">
        <v>9</v>
      </c>
      <c r="C2466" t="s">
        <v>4879</v>
      </c>
      <c r="D2466" t="s">
        <v>15</v>
      </c>
      <c r="E2466" t="s">
        <v>20</v>
      </c>
      <c r="F2466" t="s">
        <v>21</v>
      </c>
    </row>
    <row r="2467" spans="1:8" hidden="1" x14ac:dyDescent="0.3">
      <c r="A2467" t="s">
        <v>4880</v>
      </c>
      <c r="B2467" t="s">
        <v>9</v>
      </c>
      <c r="C2467" t="s">
        <v>4881</v>
      </c>
      <c r="D2467" t="s">
        <v>15</v>
      </c>
      <c r="E2467" t="s">
        <v>54</v>
      </c>
      <c r="F2467" t="s">
        <v>4882</v>
      </c>
    </row>
    <row r="2468" spans="1:8" x14ac:dyDescent="0.3">
      <c r="A2468" t="s">
        <v>4883</v>
      </c>
      <c r="B2468" t="s">
        <v>9</v>
      </c>
      <c r="C2468" t="s">
        <v>4884</v>
      </c>
      <c r="D2468" t="s">
        <v>15</v>
      </c>
      <c r="E2468" t="s">
        <v>20</v>
      </c>
      <c r="F2468" t="s">
        <v>135</v>
      </c>
    </row>
    <row r="2469" spans="1:8" x14ac:dyDescent="0.3">
      <c r="A2469" t="s">
        <v>4885</v>
      </c>
      <c r="B2469" t="s">
        <v>9</v>
      </c>
      <c r="C2469" t="s">
        <v>4886</v>
      </c>
      <c r="D2469" t="s">
        <v>15</v>
      </c>
      <c r="E2469" t="s">
        <v>20</v>
      </c>
      <c r="F2469" t="s">
        <v>1414</v>
      </c>
    </row>
    <row r="2470" spans="1:8" hidden="1" x14ac:dyDescent="0.3">
      <c r="A2470" t="s">
        <v>4887</v>
      </c>
      <c r="B2470" t="s">
        <v>9</v>
      </c>
      <c r="C2470" t="s">
        <v>4888</v>
      </c>
      <c r="D2470" t="s">
        <v>15</v>
      </c>
      <c r="E2470" t="s">
        <v>54</v>
      </c>
      <c r="F2470" t="s">
        <v>4889</v>
      </c>
    </row>
    <row r="2471" spans="1:8" x14ac:dyDescent="0.3">
      <c r="A2471" t="s">
        <v>4890</v>
      </c>
      <c r="B2471" t="s">
        <v>9</v>
      </c>
      <c r="C2471" t="s">
        <v>4891</v>
      </c>
      <c r="E2471" t="s">
        <v>20</v>
      </c>
      <c r="F2471" t="s">
        <v>1222</v>
      </c>
    </row>
    <row r="2472" spans="1:8" hidden="1" x14ac:dyDescent="0.3">
      <c r="A2472" t="s">
        <v>4892</v>
      </c>
      <c r="B2472" t="s">
        <v>197</v>
      </c>
      <c r="C2472" t="s">
        <v>4893</v>
      </c>
      <c r="E2472" t="s">
        <v>11</v>
      </c>
    </row>
    <row r="2473" spans="1:8" hidden="1" x14ac:dyDescent="0.3">
      <c r="A2473" t="s">
        <v>4894</v>
      </c>
      <c r="B2473" t="s">
        <v>9</v>
      </c>
      <c r="C2473" t="s">
        <v>4895</v>
      </c>
      <c r="E2473" t="s">
        <v>11</v>
      </c>
    </row>
    <row r="2474" spans="1:8" hidden="1" x14ac:dyDescent="0.3">
      <c r="A2474" t="s">
        <v>4896</v>
      </c>
      <c r="B2474" t="s">
        <v>197</v>
      </c>
      <c r="C2474" t="s">
        <v>4897</v>
      </c>
      <c r="E2474" t="s">
        <v>16</v>
      </c>
      <c r="F2474" t="s">
        <v>4898</v>
      </c>
    </row>
    <row r="2475" spans="1:8" hidden="1" x14ac:dyDescent="0.3">
      <c r="A2475" t="s">
        <v>4899</v>
      </c>
      <c r="B2475" t="s">
        <v>13</v>
      </c>
      <c r="C2475" t="s">
        <v>4462</v>
      </c>
      <c r="E2475" t="s">
        <v>11</v>
      </c>
    </row>
    <row r="2476" spans="1:8" hidden="1" x14ac:dyDescent="0.3">
      <c r="A2476" t="s">
        <v>4900</v>
      </c>
      <c r="B2476" t="s">
        <v>9</v>
      </c>
      <c r="C2476" t="s">
        <v>4901</v>
      </c>
      <c r="D2476" t="s">
        <v>15</v>
      </c>
      <c r="E2476" t="s">
        <v>16</v>
      </c>
      <c r="F2476" t="s">
        <v>4902</v>
      </c>
    </row>
    <row r="2477" spans="1:8" hidden="1" x14ac:dyDescent="0.3">
      <c r="A2477" t="s">
        <v>4903</v>
      </c>
      <c r="B2477" t="s">
        <v>9</v>
      </c>
      <c r="C2477" t="s">
        <v>4904</v>
      </c>
      <c r="D2477" t="s">
        <v>15</v>
      </c>
      <c r="E2477" t="s">
        <v>54</v>
      </c>
      <c r="F2477" t="s">
        <v>4905</v>
      </c>
      <c r="G2477" t="s">
        <v>15</v>
      </c>
      <c r="H2477" t="s">
        <v>4906</v>
      </c>
    </row>
    <row r="2478" spans="1:8" hidden="1" x14ac:dyDescent="0.3">
      <c r="A2478" t="s">
        <v>4907</v>
      </c>
      <c r="B2478" t="s">
        <v>197</v>
      </c>
      <c r="C2478" t="s">
        <v>4908</v>
      </c>
      <c r="D2478" t="s">
        <v>15</v>
      </c>
      <c r="E2478" t="s">
        <v>16</v>
      </c>
      <c r="F2478" t="s">
        <v>4909</v>
      </c>
    </row>
    <row r="2479" spans="1:8" hidden="1" x14ac:dyDescent="0.3">
      <c r="A2479" t="s">
        <v>4910</v>
      </c>
      <c r="B2479" t="s">
        <v>9</v>
      </c>
      <c r="C2479" t="s">
        <v>691</v>
      </c>
      <c r="E2479" t="s">
        <v>54</v>
      </c>
      <c r="F2479" t="s">
        <v>588</v>
      </c>
    </row>
    <row r="2480" spans="1:8" hidden="1" x14ac:dyDescent="0.3">
      <c r="A2480" t="s">
        <v>4911</v>
      </c>
      <c r="B2480" t="s">
        <v>9</v>
      </c>
      <c r="C2480" t="s">
        <v>28</v>
      </c>
      <c r="E2480" t="s">
        <v>11</v>
      </c>
    </row>
    <row r="2481" spans="1:6" hidden="1" x14ac:dyDescent="0.3">
      <c r="A2481" t="s">
        <v>4912</v>
      </c>
      <c r="B2481" t="s">
        <v>9</v>
      </c>
      <c r="C2481" t="s">
        <v>28</v>
      </c>
      <c r="E2481" t="s">
        <v>11</v>
      </c>
    </row>
    <row r="2482" spans="1:6" hidden="1" x14ac:dyDescent="0.3">
      <c r="A2482" t="s">
        <v>4913</v>
      </c>
      <c r="B2482" t="s">
        <v>9</v>
      </c>
      <c r="C2482" t="s">
        <v>4914</v>
      </c>
      <c r="E2482" t="s">
        <v>11</v>
      </c>
    </row>
    <row r="2483" spans="1:6" hidden="1" x14ac:dyDescent="0.3">
      <c r="A2483" t="s">
        <v>4915</v>
      </c>
      <c r="B2483" t="s">
        <v>9</v>
      </c>
      <c r="C2483" t="s">
        <v>4916</v>
      </c>
      <c r="E2483" t="s">
        <v>54</v>
      </c>
      <c r="F2483" t="s">
        <v>1036</v>
      </c>
    </row>
    <row r="2484" spans="1:6" x14ac:dyDescent="0.3">
      <c r="A2484" t="s">
        <v>4917</v>
      </c>
      <c r="B2484" t="s">
        <v>9</v>
      </c>
      <c r="C2484" t="s">
        <v>4918</v>
      </c>
      <c r="D2484" t="s">
        <v>15</v>
      </c>
      <c r="E2484" t="s">
        <v>20</v>
      </c>
      <c r="F2484" t="s">
        <v>21</v>
      </c>
    </row>
    <row r="2485" spans="1:6" x14ac:dyDescent="0.3">
      <c r="A2485" t="s">
        <v>4919</v>
      </c>
      <c r="B2485" t="s">
        <v>9</v>
      </c>
      <c r="C2485" t="s">
        <v>4920</v>
      </c>
      <c r="D2485" t="s">
        <v>15</v>
      </c>
      <c r="E2485" t="s">
        <v>20</v>
      </c>
      <c r="F2485" t="s">
        <v>21</v>
      </c>
    </row>
    <row r="2486" spans="1:6" hidden="1" x14ac:dyDescent="0.3">
      <c r="A2486" t="s">
        <v>4921</v>
      </c>
      <c r="B2486" t="s">
        <v>9</v>
      </c>
      <c r="C2486" t="s">
        <v>4922</v>
      </c>
      <c r="D2486" t="s">
        <v>15</v>
      </c>
      <c r="E2486" t="s">
        <v>54</v>
      </c>
      <c r="F2486" t="s">
        <v>4923</v>
      </c>
    </row>
    <row r="2487" spans="1:6" hidden="1" x14ac:dyDescent="0.3">
      <c r="A2487" t="s">
        <v>4924</v>
      </c>
      <c r="B2487" t="s">
        <v>9</v>
      </c>
      <c r="C2487" t="s">
        <v>4925</v>
      </c>
      <c r="D2487" t="s">
        <v>15</v>
      </c>
      <c r="E2487" t="s">
        <v>54</v>
      </c>
      <c r="F2487" t="s">
        <v>4926</v>
      </c>
    </row>
    <row r="2488" spans="1:6" hidden="1" x14ac:dyDescent="0.3">
      <c r="A2488" t="s">
        <v>4927</v>
      </c>
      <c r="B2488" t="s">
        <v>9</v>
      </c>
      <c r="C2488" t="s">
        <v>4928</v>
      </c>
      <c r="D2488" t="s">
        <v>15</v>
      </c>
      <c r="E2488" t="s">
        <v>16</v>
      </c>
      <c r="F2488" t="s">
        <v>4929</v>
      </c>
    </row>
    <row r="2489" spans="1:6" hidden="1" x14ac:dyDescent="0.3">
      <c r="A2489" t="s">
        <v>4930</v>
      </c>
      <c r="B2489" t="s">
        <v>9</v>
      </c>
      <c r="C2489" t="s">
        <v>4931</v>
      </c>
      <c r="E2489" t="s">
        <v>54</v>
      </c>
      <c r="F2489" t="s">
        <v>4932</v>
      </c>
    </row>
    <row r="2490" spans="1:6" x14ac:dyDescent="0.3">
      <c r="A2490" t="s">
        <v>4933</v>
      </c>
      <c r="B2490" t="s">
        <v>13</v>
      </c>
      <c r="C2490" t="s">
        <v>4934</v>
      </c>
      <c r="D2490" t="s">
        <v>15</v>
      </c>
      <c r="E2490" t="s">
        <v>20</v>
      </c>
      <c r="F2490" t="s">
        <v>4935</v>
      </c>
    </row>
    <row r="2491" spans="1:6" x14ac:dyDescent="0.3">
      <c r="A2491" t="s">
        <v>4936</v>
      </c>
      <c r="B2491" t="s">
        <v>9</v>
      </c>
      <c r="C2491" t="s">
        <v>4937</v>
      </c>
      <c r="D2491" t="s">
        <v>15</v>
      </c>
      <c r="E2491" t="s">
        <v>20</v>
      </c>
      <c r="F2491" t="s">
        <v>4938</v>
      </c>
    </row>
    <row r="2492" spans="1:6" hidden="1" x14ac:dyDescent="0.3">
      <c r="A2492" t="s">
        <v>4939</v>
      </c>
      <c r="B2492" t="s">
        <v>9</v>
      </c>
      <c r="C2492" t="s">
        <v>4940</v>
      </c>
      <c r="D2492" t="s">
        <v>15</v>
      </c>
      <c r="E2492" t="s">
        <v>16</v>
      </c>
      <c r="F2492" t="s">
        <v>4941</v>
      </c>
    </row>
    <row r="2493" spans="1:6" hidden="1" x14ac:dyDescent="0.3">
      <c r="A2493" t="s">
        <v>4942</v>
      </c>
      <c r="B2493" t="s">
        <v>11</v>
      </c>
      <c r="E2493" t="s">
        <v>11</v>
      </c>
    </row>
    <row r="2494" spans="1:6" hidden="1" x14ac:dyDescent="0.3">
      <c r="A2494" t="s">
        <v>4943</v>
      </c>
      <c r="B2494" t="s">
        <v>9</v>
      </c>
      <c r="C2494" t="s">
        <v>4944</v>
      </c>
      <c r="E2494" t="s">
        <v>11</v>
      </c>
    </row>
    <row r="2495" spans="1:6" hidden="1" x14ac:dyDescent="0.3">
      <c r="A2495" t="s">
        <v>4945</v>
      </c>
      <c r="B2495" t="s">
        <v>11</v>
      </c>
      <c r="E2495" t="s">
        <v>11</v>
      </c>
    </row>
    <row r="2496" spans="1:6" hidden="1" x14ac:dyDescent="0.3">
      <c r="A2496" t="s">
        <v>4946</v>
      </c>
      <c r="B2496" t="s">
        <v>9</v>
      </c>
      <c r="C2496" t="s">
        <v>4947</v>
      </c>
      <c r="D2496" t="s">
        <v>15</v>
      </c>
      <c r="E2496" t="s">
        <v>54</v>
      </c>
      <c r="F2496" t="s">
        <v>4948</v>
      </c>
    </row>
    <row r="2497" spans="1:6" x14ac:dyDescent="0.3">
      <c r="A2497" t="s">
        <v>4949</v>
      </c>
      <c r="B2497" t="s">
        <v>9</v>
      </c>
      <c r="C2497" t="s">
        <v>4950</v>
      </c>
      <c r="D2497" t="s">
        <v>15</v>
      </c>
      <c r="E2497" t="s">
        <v>20</v>
      </c>
      <c r="F2497" t="s">
        <v>4951</v>
      </c>
    </row>
    <row r="2498" spans="1:6" x14ac:dyDescent="0.3">
      <c r="A2498" t="s">
        <v>4952</v>
      </c>
      <c r="B2498" t="s">
        <v>9</v>
      </c>
      <c r="C2498" t="s">
        <v>4953</v>
      </c>
      <c r="D2498" t="s">
        <v>15</v>
      </c>
      <c r="E2498" t="s">
        <v>20</v>
      </c>
      <c r="F2498" t="s">
        <v>1414</v>
      </c>
    </row>
    <row r="2499" spans="1:6" hidden="1" x14ac:dyDescent="0.3">
      <c r="A2499" t="s">
        <v>4954</v>
      </c>
      <c r="B2499" t="s">
        <v>9</v>
      </c>
      <c r="C2499" t="s">
        <v>4955</v>
      </c>
      <c r="D2499" t="s">
        <v>15</v>
      </c>
      <c r="E2499" t="s">
        <v>54</v>
      </c>
      <c r="F2499" t="s">
        <v>4956</v>
      </c>
    </row>
    <row r="2500" spans="1:6" hidden="1" x14ac:dyDescent="0.3">
      <c r="A2500" t="s">
        <v>4957</v>
      </c>
      <c r="B2500" t="s">
        <v>9</v>
      </c>
      <c r="C2500" t="s">
        <v>4958</v>
      </c>
      <c r="E2500" t="s">
        <v>54</v>
      </c>
      <c r="F2500" t="s">
        <v>4959</v>
      </c>
    </row>
    <row r="2501" spans="1:6" hidden="1" x14ac:dyDescent="0.3">
      <c r="A2501" t="s">
        <v>4960</v>
      </c>
      <c r="B2501" t="s">
        <v>13</v>
      </c>
      <c r="C2501" t="s">
        <v>4961</v>
      </c>
      <c r="D2501" t="s">
        <v>15</v>
      </c>
      <c r="E2501" t="s">
        <v>54</v>
      </c>
      <c r="F2501" t="s">
        <v>4962</v>
      </c>
    </row>
    <row r="2502" spans="1:6" hidden="1" x14ac:dyDescent="0.3">
      <c r="A2502" t="s">
        <v>4963</v>
      </c>
      <c r="B2502" t="s">
        <v>13</v>
      </c>
      <c r="C2502" t="s">
        <v>4964</v>
      </c>
      <c r="D2502" t="s">
        <v>15</v>
      </c>
      <c r="E2502" t="s">
        <v>16</v>
      </c>
      <c r="F2502" t="s">
        <v>138</v>
      </c>
    </row>
    <row r="2503" spans="1:6" x14ac:dyDescent="0.3">
      <c r="A2503" t="s">
        <v>4965</v>
      </c>
      <c r="B2503" t="s">
        <v>13</v>
      </c>
      <c r="C2503" t="s">
        <v>4966</v>
      </c>
      <c r="D2503" t="s">
        <v>15</v>
      </c>
      <c r="E2503" t="s">
        <v>20</v>
      </c>
      <c r="F2503" t="s">
        <v>4967</v>
      </c>
    </row>
    <row r="2504" spans="1:6" hidden="1" x14ac:dyDescent="0.3">
      <c r="A2504" t="s">
        <v>4968</v>
      </c>
      <c r="B2504" t="s">
        <v>9</v>
      </c>
      <c r="C2504" t="s">
        <v>4969</v>
      </c>
      <c r="D2504" t="s">
        <v>15</v>
      </c>
      <c r="E2504" t="s">
        <v>16</v>
      </c>
      <c r="F2504" t="s">
        <v>4970</v>
      </c>
    </row>
    <row r="2505" spans="1:6" hidden="1" x14ac:dyDescent="0.3">
      <c r="A2505" t="s">
        <v>4971</v>
      </c>
      <c r="B2505" t="s">
        <v>9</v>
      </c>
      <c r="C2505" t="s">
        <v>4972</v>
      </c>
      <c r="E2505" t="s">
        <v>54</v>
      </c>
      <c r="F2505" t="s">
        <v>588</v>
      </c>
    </row>
    <row r="2506" spans="1:6" hidden="1" x14ac:dyDescent="0.3">
      <c r="A2506" t="s">
        <v>4973</v>
      </c>
      <c r="B2506" t="s">
        <v>9</v>
      </c>
      <c r="C2506" t="s">
        <v>4974</v>
      </c>
      <c r="E2506" t="s">
        <v>11</v>
      </c>
    </row>
    <row r="2507" spans="1:6" hidden="1" x14ac:dyDescent="0.3">
      <c r="A2507" t="s">
        <v>4975</v>
      </c>
      <c r="B2507" t="s">
        <v>13</v>
      </c>
      <c r="C2507" t="s">
        <v>4976</v>
      </c>
      <c r="E2507" t="s">
        <v>11</v>
      </c>
    </row>
    <row r="2508" spans="1:6" hidden="1" x14ac:dyDescent="0.3">
      <c r="A2508" t="s">
        <v>4977</v>
      </c>
      <c r="B2508" t="s">
        <v>13</v>
      </c>
      <c r="C2508" t="s">
        <v>850</v>
      </c>
      <c r="D2508" t="s">
        <v>15</v>
      </c>
      <c r="E2508" t="s">
        <v>11</v>
      </c>
    </row>
    <row r="2509" spans="1:6" hidden="1" x14ac:dyDescent="0.3">
      <c r="A2509" t="s">
        <v>4978</v>
      </c>
      <c r="B2509" t="s">
        <v>9</v>
      </c>
      <c r="C2509" t="s">
        <v>28</v>
      </c>
      <c r="E2509" t="s">
        <v>11</v>
      </c>
    </row>
    <row r="2510" spans="1:6" x14ac:dyDescent="0.3">
      <c r="A2510" t="s">
        <v>4979</v>
      </c>
      <c r="B2510" t="s">
        <v>9</v>
      </c>
      <c r="C2510" t="s">
        <v>4980</v>
      </c>
      <c r="D2510" t="s">
        <v>15</v>
      </c>
      <c r="E2510" t="s">
        <v>20</v>
      </c>
      <c r="F2510" t="s">
        <v>4981</v>
      </c>
    </row>
    <row r="2511" spans="1:6" hidden="1" x14ac:dyDescent="0.3">
      <c r="A2511" t="s">
        <v>4982</v>
      </c>
      <c r="B2511" t="s">
        <v>9</v>
      </c>
      <c r="C2511" t="s">
        <v>51</v>
      </c>
      <c r="E2511" t="s">
        <v>54</v>
      </c>
      <c r="F2511" t="s">
        <v>4983</v>
      </c>
    </row>
    <row r="2512" spans="1:6" x14ac:dyDescent="0.3">
      <c r="A2512" t="s">
        <v>4984</v>
      </c>
      <c r="B2512" t="s">
        <v>9</v>
      </c>
      <c r="C2512" t="s">
        <v>4985</v>
      </c>
      <c r="D2512" t="s">
        <v>15</v>
      </c>
      <c r="E2512" t="s">
        <v>20</v>
      </c>
      <c r="F2512" t="s">
        <v>4986</v>
      </c>
    </row>
    <row r="2513" spans="1:6" hidden="1" x14ac:dyDescent="0.3">
      <c r="A2513" t="s">
        <v>4987</v>
      </c>
      <c r="B2513" t="s">
        <v>9</v>
      </c>
      <c r="C2513" t="s">
        <v>691</v>
      </c>
      <c r="D2513" t="s">
        <v>15</v>
      </c>
      <c r="E2513" t="s">
        <v>54</v>
      </c>
      <c r="F2513" t="s">
        <v>4988</v>
      </c>
    </row>
    <row r="2514" spans="1:6" hidden="1" x14ac:dyDescent="0.3">
      <c r="A2514" t="s">
        <v>4989</v>
      </c>
      <c r="B2514" t="s">
        <v>9</v>
      </c>
      <c r="C2514" t="s">
        <v>4990</v>
      </c>
      <c r="D2514" t="s">
        <v>15</v>
      </c>
      <c r="E2514" t="s">
        <v>16</v>
      </c>
      <c r="F2514" t="s">
        <v>4991</v>
      </c>
    </row>
    <row r="2515" spans="1:6" hidden="1" x14ac:dyDescent="0.3">
      <c r="A2515" t="s">
        <v>4992</v>
      </c>
      <c r="B2515" t="s">
        <v>197</v>
      </c>
      <c r="C2515" t="s">
        <v>4993</v>
      </c>
      <c r="D2515" t="s">
        <v>15</v>
      </c>
      <c r="E2515" t="s">
        <v>11</v>
      </c>
    </row>
    <row r="2516" spans="1:6" hidden="1" x14ac:dyDescent="0.3">
      <c r="A2516" t="s">
        <v>4994</v>
      </c>
      <c r="B2516" t="s">
        <v>13</v>
      </c>
      <c r="C2516" t="s">
        <v>4995</v>
      </c>
      <c r="E2516" t="s">
        <v>11</v>
      </c>
    </row>
    <row r="2517" spans="1:6" hidden="1" x14ac:dyDescent="0.3">
      <c r="A2517" t="s">
        <v>4996</v>
      </c>
      <c r="B2517" t="s">
        <v>9</v>
      </c>
      <c r="C2517" t="s">
        <v>4997</v>
      </c>
      <c r="D2517" t="s">
        <v>15</v>
      </c>
      <c r="E2517" t="s">
        <v>16</v>
      </c>
      <c r="F2517" t="s">
        <v>4998</v>
      </c>
    </row>
    <row r="2518" spans="1:6" hidden="1" x14ac:dyDescent="0.3">
      <c r="A2518" t="s">
        <v>4999</v>
      </c>
      <c r="B2518" t="s">
        <v>13</v>
      </c>
      <c r="C2518" t="s">
        <v>5000</v>
      </c>
      <c r="E2518" t="s">
        <v>11</v>
      </c>
    </row>
    <row r="2519" spans="1:6" hidden="1" x14ac:dyDescent="0.3">
      <c r="A2519" t="s">
        <v>5001</v>
      </c>
      <c r="B2519" t="s">
        <v>9</v>
      </c>
      <c r="C2519" t="s">
        <v>5002</v>
      </c>
      <c r="D2519" t="s">
        <v>15</v>
      </c>
      <c r="E2519" t="s">
        <v>11</v>
      </c>
    </row>
    <row r="2520" spans="1:6" hidden="1" x14ac:dyDescent="0.3">
      <c r="A2520" t="s">
        <v>5003</v>
      </c>
      <c r="B2520" t="s">
        <v>9</v>
      </c>
      <c r="C2520" t="s">
        <v>5004</v>
      </c>
      <c r="E2520" t="s">
        <v>54</v>
      </c>
      <c r="F2520" t="s">
        <v>5005</v>
      </c>
    </row>
    <row r="2521" spans="1:6" x14ac:dyDescent="0.3">
      <c r="A2521" t="s">
        <v>5006</v>
      </c>
      <c r="B2521" t="s">
        <v>13</v>
      </c>
      <c r="C2521" t="s">
        <v>5007</v>
      </c>
      <c r="D2521" t="s">
        <v>15</v>
      </c>
      <c r="E2521" t="s">
        <v>20</v>
      </c>
      <c r="F2521" t="s">
        <v>1414</v>
      </c>
    </row>
    <row r="2522" spans="1:6" hidden="1" x14ac:dyDescent="0.3">
      <c r="A2522" t="s">
        <v>5008</v>
      </c>
      <c r="B2522" t="s">
        <v>11</v>
      </c>
      <c r="E2522" t="s">
        <v>11</v>
      </c>
    </row>
    <row r="2523" spans="1:6" hidden="1" x14ac:dyDescent="0.3">
      <c r="A2523" t="s">
        <v>5009</v>
      </c>
      <c r="B2523" t="s">
        <v>9</v>
      </c>
      <c r="C2523" t="s">
        <v>5010</v>
      </c>
      <c r="D2523" t="s">
        <v>15</v>
      </c>
      <c r="E2523" t="s">
        <v>16</v>
      </c>
      <c r="F2523" t="s">
        <v>5011</v>
      </c>
    </row>
    <row r="2524" spans="1:6" hidden="1" x14ac:dyDescent="0.3">
      <c r="A2524" t="s">
        <v>5012</v>
      </c>
      <c r="B2524" t="s">
        <v>13</v>
      </c>
      <c r="C2524" t="s">
        <v>5013</v>
      </c>
      <c r="D2524" t="s">
        <v>15</v>
      </c>
      <c r="E2524" t="s">
        <v>16</v>
      </c>
      <c r="F2524" t="s">
        <v>1823</v>
      </c>
    </row>
    <row r="2525" spans="1:6" x14ac:dyDescent="0.3">
      <c r="A2525" t="s">
        <v>5014</v>
      </c>
      <c r="B2525" t="s">
        <v>13</v>
      </c>
      <c r="C2525" t="s">
        <v>5015</v>
      </c>
      <c r="D2525" t="s">
        <v>15</v>
      </c>
      <c r="E2525" t="s">
        <v>20</v>
      </c>
      <c r="F2525" t="s">
        <v>5016</v>
      </c>
    </row>
    <row r="2526" spans="1:6" x14ac:dyDescent="0.3">
      <c r="A2526" t="s">
        <v>5017</v>
      </c>
      <c r="B2526" t="s">
        <v>13</v>
      </c>
      <c r="C2526" t="s">
        <v>5018</v>
      </c>
      <c r="D2526" t="s">
        <v>15</v>
      </c>
      <c r="E2526" t="s">
        <v>20</v>
      </c>
      <c r="F2526" t="s">
        <v>5019</v>
      </c>
    </row>
    <row r="2527" spans="1:6" hidden="1" x14ac:dyDescent="0.3">
      <c r="A2527" t="s">
        <v>5020</v>
      </c>
      <c r="B2527" t="s">
        <v>9</v>
      </c>
      <c r="C2527" t="s">
        <v>2141</v>
      </c>
      <c r="E2527" t="s">
        <v>54</v>
      </c>
      <c r="F2527" t="s">
        <v>5021</v>
      </c>
    </row>
    <row r="2528" spans="1:6" hidden="1" x14ac:dyDescent="0.3">
      <c r="A2528" t="s">
        <v>5022</v>
      </c>
      <c r="B2528" t="s">
        <v>9</v>
      </c>
      <c r="C2528" t="s">
        <v>5023</v>
      </c>
      <c r="E2528" t="s">
        <v>11</v>
      </c>
    </row>
    <row r="2529" spans="1:8" hidden="1" x14ac:dyDescent="0.3">
      <c r="A2529" t="s">
        <v>5024</v>
      </c>
      <c r="B2529" t="s">
        <v>11</v>
      </c>
      <c r="E2529" t="s">
        <v>11</v>
      </c>
    </row>
    <row r="2530" spans="1:8" hidden="1" x14ac:dyDescent="0.3">
      <c r="A2530" t="s">
        <v>5025</v>
      </c>
      <c r="B2530" t="s">
        <v>9</v>
      </c>
      <c r="C2530" t="s">
        <v>5026</v>
      </c>
      <c r="D2530" t="s">
        <v>15</v>
      </c>
      <c r="E2530" t="s">
        <v>54</v>
      </c>
      <c r="F2530" t="s">
        <v>5027</v>
      </c>
      <c r="G2530" t="s">
        <v>15</v>
      </c>
      <c r="H2530" t="s">
        <v>5028</v>
      </c>
    </row>
    <row r="2531" spans="1:8" x14ac:dyDescent="0.3">
      <c r="A2531" t="s">
        <v>5029</v>
      </c>
      <c r="B2531" t="s">
        <v>9</v>
      </c>
      <c r="C2531" t="s">
        <v>5030</v>
      </c>
      <c r="D2531" t="s">
        <v>15</v>
      </c>
      <c r="E2531" t="s">
        <v>20</v>
      </c>
      <c r="F2531" t="s">
        <v>36</v>
      </c>
    </row>
    <row r="2532" spans="1:8" x14ac:dyDescent="0.3">
      <c r="A2532" t="s">
        <v>5031</v>
      </c>
      <c r="B2532" t="s">
        <v>13</v>
      </c>
      <c r="C2532" t="s">
        <v>5032</v>
      </c>
      <c r="D2532" t="s">
        <v>15</v>
      </c>
      <c r="E2532" t="s">
        <v>20</v>
      </c>
      <c r="F2532" t="s">
        <v>5033</v>
      </c>
    </row>
    <row r="2533" spans="1:8" x14ac:dyDescent="0.3">
      <c r="A2533" t="s">
        <v>5034</v>
      </c>
      <c r="B2533" t="s">
        <v>9</v>
      </c>
      <c r="C2533" t="s">
        <v>5035</v>
      </c>
      <c r="D2533" t="s">
        <v>15</v>
      </c>
      <c r="E2533" t="s">
        <v>20</v>
      </c>
      <c r="F2533" t="s">
        <v>5036</v>
      </c>
    </row>
    <row r="2534" spans="1:8" hidden="1" x14ac:dyDescent="0.3">
      <c r="A2534" t="s">
        <v>5037</v>
      </c>
      <c r="B2534" t="s">
        <v>9</v>
      </c>
      <c r="C2534" t="s">
        <v>51</v>
      </c>
      <c r="E2534" t="s">
        <v>54</v>
      </c>
      <c r="F2534" t="s">
        <v>5038</v>
      </c>
    </row>
    <row r="2535" spans="1:8" hidden="1" x14ac:dyDescent="0.3">
      <c r="A2535" t="s">
        <v>5039</v>
      </c>
      <c r="B2535" t="s">
        <v>9</v>
      </c>
      <c r="C2535" t="s">
        <v>5040</v>
      </c>
      <c r="E2535" t="s">
        <v>11</v>
      </c>
    </row>
    <row r="2536" spans="1:8" x14ac:dyDescent="0.3">
      <c r="A2536" t="s">
        <v>5041</v>
      </c>
      <c r="B2536" t="s">
        <v>9</v>
      </c>
      <c r="C2536" t="s">
        <v>5042</v>
      </c>
      <c r="D2536" t="s">
        <v>15</v>
      </c>
      <c r="E2536" t="s">
        <v>20</v>
      </c>
      <c r="F2536" t="s">
        <v>5043</v>
      </c>
    </row>
    <row r="2537" spans="1:8" x14ac:dyDescent="0.3">
      <c r="A2537" t="s">
        <v>5044</v>
      </c>
      <c r="B2537" t="s">
        <v>9</v>
      </c>
      <c r="C2537" t="s">
        <v>5045</v>
      </c>
      <c r="E2537" t="s">
        <v>20</v>
      </c>
      <c r="F2537" t="s">
        <v>5046</v>
      </c>
    </row>
    <row r="2538" spans="1:8" hidden="1" x14ac:dyDescent="0.3">
      <c r="A2538" t="s">
        <v>5047</v>
      </c>
      <c r="B2538" t="s">
        <v>9</v>
      </c>
      <c r="C2538" t="s">
        <v>5048</v>
      </c>
      <c r="D2538" t="s">
        <v>15</v>
      </c>
      <c r="E2538" t="s">
        <v>54</v>
      </c>
      <c r="F2538" t="s">
        <v>1419</v>
      </c>
    </row>
    <row r="2539" spans="1:8" hidden="1" x14ac:dyDescent="0.3">
      <c r="A2539" t="s">
        <v>5049</v>
      </c>
      <c r="B2539" t="s">
        <v>9</v>
      </c>
      <c r="C2539" t="s">
        <v>5050</v>
      </c>
      <c r="E2539" t="s">
        <v>54</v>
      </c>
      <c r="F2539" t="s">
        <v>5051</v>
      </c>
    </row>
    <row r="2540" spans="1:8" hidden="1" x14ac:dyDescent="0.3">
      <c r="A2540" t="s">
        <v>5052</v>
      </c>
      <c r="B2540" t="s">
        <v>13</v>
      </c>
      <c r="C2540" t="s">
        <v>5053</v>
      </c>
      <c r="D2540" t="s">
        <v>15</v>
      </c>
      <c r="E2540" t="s">
        <v>54</v>
      </c>
      <c r="F2540" t="s">
        <v>5054</v>
      </c>
    </row>
    <row r="2541" spans="1:8" hidden="1" x14ac:dyDescent="0.3">
      <c r="A2541" t="s">
        <v>5055</v>
      </c>
      <c r="B2541" t="s">
        <v>13</v>
      </c>
      <c r="C2541" t="s">
        <v>5056</v>
      </c>
      <c r="D2541" t="s">
        <v>15</v>
      </c>
      <c r="E2541" t="s">
        <v>54</v>
      </c>
      <c r="F2541" t="s">
        <v>588</v>
      </c>
    </row>
    <row r="2542" spans="1:8" hidden="1" x14ac:dyDescent="0.3">
      <c r="A2542" t="s">
        <v>5057</v>
      </c>
      <c r="B2542" t="s">
        <v>9</v>
      </c>
      <c r="C2542" t="s">
        <v>5058</v>
      </c>
      <c r="D2542" t="s">
        <v>15</v>
      </c>
      <c r="E2542" t="s">
        <v>16</v>
      </c>
      <c r="F2542" t="s">
        <v>138</v>
      </c>
    </row>
    <row r="2543" spans="1:8" hidden="1" x14ac:dyDescent="0.3">
      <c r="A2543" t="s">
        <v>5059</v>
      </c>
      <c r="B2543" t="s">
        <v>9</v>
      </c>
      <c r="C2543" t="s">
        <v>5060</v>
      </c>
      <c r="D2543" t="s">
        <v>15</v>
      </c>
      <c r="E2543" t="s">
        <v>16</v>
      </c>
      <c r="F2543" t="s">
        <v>138</v>
      </c>
    </row>
    <row r="2544" spans="1:8" hidden="1" x14ac:dyDescent="0.3">
      <c r="A2544" t="s">
        <v>5061</v>
      </c>
      <c r="B2544" t="s">
        <v>13</v>
      </c>
      <c r="C2544" t="s">
        <v>5062</v>
      </c>
      <c r="E2544" t="s">
        <v>54</v>
      </c>
      <c r="F2544" t="s">
        <v>5063</v>
      </c>
    </row>
    <row r="2545" spans="1:6" hidden="1" x14ac:dyDescent="0.3">
      <c r="A2545" t="s">
        <v>5064</v>
      </c>
      <c r="B2545" t="s">
        <v>9</v>
      </c>
      <c r="C2545" t="s">
        <v>5065</v>
      </c>
      <c r="D2545" t="s">
        <v>15</v>
      </c>
      <c r="E2545" t="s">
        <v>16</v>
      </c>
      <c r="F2545" t="s">
        <v>5066</v>
      </c>
    </row>
    <row r="2546" spans="1:6" hidden="1" x14ac:dyDescent="0.3">
      <c r="A2546" t="s">
        <v>5067</v>
      </c>
      <c r="B2546" t="s">
        <v>13</v>
      </c>
      <c r="C2546" t="s">
        <v>5068</v>
      </c>
      <c r="E2546" t="s">
        <v>54</v>
      </c>
      <c r="F2546" t="s">
        <v>4215</v>
      </c>
    </row>
    <row r="2547" spans="1:6" hidden="1" x14ac:dyDescent="0.3">
      <c r="A2547" t="s">
        <v>5069</v>
      </c>
      <c r="B2547" t="s">
        <v>13</v>
      </c>
      <c r="C2547" t="s">
        <v>576</v>
      </c>
      <c r="D2547" t="s">
        <v>15</v>
      </c>
      <c r="E2547" t="s">
        <v>54</v>
      </c>
      <c r="F2547" t="s">
        <v>1036</v>
      </c>
    </row>
    <row r="2548" spans="1:6" hidden="1" x14ac:dyDescent="0.3">
      <c r="A2548" t="s">
        <v>5070</v>
      </c>
      <c r="B2548" t="s">
        <v>9</v>
      </c>
      <c r="C2548" t="s">
        <v>5071</v>
      </c>
      <c r="D2548" t="s">
        <v>15</v>
      </c>
      <c r="E2548" t="s">
        <v>16</v>
      </c>
      <c r="F2548" t="s">
        <v>5072</v>
      </c>
    </row>
    <row r="2549" spans="1:6" hidden="1" x14ac:dyDescent="0.3">
      <c r="A2549" t="s">
        <v>5073</v>
      </c>
      <c r="B2549" t="s">
        <v>11</v>
      </c>
      <c r="E2549" t="s">
        <v>11</v>
      </c>
    </row>
    <row r="2550" spans="1:6" hidden="1" x14ac:dyDescent="0.3">
      <c r="A2550" t="s">
        <v>5074</v>
      </c>
      <c r="B2550" t="s">
        <v>11</v>
      </c>
      <c r="E2550" t="s">
        <v>11</v>
      </c>
    </row>
    <row r="2551" spans="1:6" x14ac:dyDescent="0.3">
      <c r="A2551" t="s">
        <v>5075</v>
      </c>
      <c r="B2551" t="s">
        <v>9</v>
      </c>
      <c r="C2551" t="s">
        <v>5076</v>
      </c>
      <c r="D2551" t="s">
        <v>15</v>
      </c>
      <c r="E2551" t="s">
        <v>20</v>
      </c>
      <c r="F2551" t="s">
        <v>42</v>
      </c>
    </row>
    <row r="2552" spans="1:6" hidden="1" x14ac:dyDescent="0.3">
      <c r="A2552" t="s">
        <v>5077</v>
      </c>
      <c r="B2552" t="s">
        <v>13</v>
      </c>
      <c r="C2552" t="s">
        <v>112</v>
      </c>
      <c r="E2552" t="s">
        <v>16</v>
      </c>
      <c r="F2552" t="s">
        <v>692</v>
      </c>
    </row>
    <row r="2553" spans="1:6" hidden="1" x14ac:dyDescent="0.3">
      <c r="A2553" t="s">
        <v>5078</v>
      </c>
      <c r="B2553" t="s">
        <v>9</v>
      </c>
      <c r="C2553" t="s">
        <v>5079</v>
      </c>
      <c r="E2553" t="s">
        <v>11</v>
      </c>
    </row>
    <row r="2554" spans="1:6" hidden="1" x14ac:dyDescent="0.3">
      <c r="A2554" t="s">
        <v>5080</v>
      </c>
      <c r="B2554" t="s">
        <v>9</v>
      </c>
      <c r="C2554" t="s">
        <v>5081</v>
      </c>
      <c r="D2554" t="s">
        <v>15</v>
      </c>
      <c r="E2554" t="s">
        <v>54</v>
      </c>
      <c r="F2554" t="s">
        <v>588</v>
      </c>
    </row>
    <row r="2555" spans="1:6" x14ac:dyDescent="0.3">
      <c r="A2555" t="s">
        <v>5082</v>
      </c>
      <c r="B2555" t="s">
        <v>11</v>
      </c>
      <c r="E2555" t="s">
        <v>20</v>
      </c>
      <c r="F2555" t="s">
        <v>5083</v>
      </c>
    </row>
    <row r="2556" spans="1:6" x14ac:dyDescent="0.3">
      <c r="A2556" t="s">
        <v>5084</v>
      </c>
      <c r="B2556" t="s">
        <v>9</v>
      </c>
      <c r="C2556" t="s">
        <v>5085</v>
      </c>
      <c r="D2556" t="s">
        <v>15</v>
      </c>
      <c r="E2556" t="s">
        <v>20</v>
      </c>
      <c r="F2556" t="s">
        <v>21</v>
      </c>
    </row>
    <row r="2557" spans="1:6" hidden="1" x14ac:dyDescent="0.3">
      <c r="A2557" t="s">
        <v>5086</v>
      </c>
      <c r="B2557" t="s">
        <v>13</v>
      </c>
      <c r="C2557" t="s">
        <v>5087</v>
      </c>
      <c r="E2557" t="s">
        <v>54</v>
      </c>
      <c r="F2557" t="s">
        <v>302</v>
      </c>
    </row>
    <row r="2558" spans="1:6" x14ac:dyDescent="0.3">
      <c r="A2558" t="s">
        <v>5088</v>
      </c>
      <c r="B2558" t="s">
        <v>13</v>
      </c>
      <c r="C2558" t="s">
        <v>5089</v>
      </c>
      <c r="D2558" t="s">
        <v>15</v>
      </c>
      <c r="E2558" t="s">
        <v>20</v>
      </c>
      <c r="F2558" t="s">
        <v>21</v>
      </c>
    </row>
    <row r="2559" spans="1:6" hidden="1" x14ac:dyDescent="0.3">
      <c r="A2559" t="s">
        <v>5090</v>
      </c>
      <c r="B2559" t="s">
        <v>13</v>
      </c>
      <c r="C2559" t="s">
        <v>5091</v>
      </c>
      <c r="D2559" t="s">
        <v>15</v>
      </c>
      <c r="E2559" t="s">
        <v>54</v>
      </c>
      <c r="F2559" t="s">
        <v>5092</v>
      </c>
    </row>
    <row r="2560" spans="1:6" hidden="1" x14ac:dyDescent="0.3">
      <c r="A2560" t="s">
        <v>5093</v>
      </c>
      <c r="B2560" t="s">
        <v>9</v>
      </c>
      <c r="C2560" t="s">
        <v>51</v>
      </c>
      <c r="E2560" t="s">
        <v>54</v>
      </c>
      <c r="F2560" t="s">
        <v>5094</v>
      </c>
    </row>
    <row r="2561" spans="1:8" hidden="1" x14ac:dyDescent="0.3">
      <c r="A2561" t="s">
        <v>5095</v>
      </c>
      <c r="B2561" t="s">
        <v>9</v>
      </c>
      <c r="C2561" t="s">
        <v>5096</v>
      </c>
      <c r="D2561" t="s">
        <v>15</v>
      </c>
      <c r="E2561" t="s">
        <v>54</v>
      </c>
      <c r="F2561" t="s">
        <v>5097</v>
      </c>
      <c r="G2561" t="s">
        <v>15</v>
      </c>
      <c r="H2561" t="s">
        <v>5098</v>
      </c>
    </row>
    <row r="2562" spans="1:8" hidden="1" x14ac:dyDescent="0.3">
      <c r="A2562" t="s">
        <v>5099</v>
      </c>
      <c r="B2562" t="s">
        <v>11</v>
      </c>
      <c r="E2562" t="s">
        <v>54</v>
      </c>
      <c r="F2562" t="s">
        <v>5100</v>
      </c>
    </row>
    <row r="2563" spans="1:8" hidden="1" x14ac:dyDescent="0.3">
      <c r="A2563" t="s">
        <v>5101</v>
      </c>
      <c r="B2563" t="s">
        <v>13</v>
      </c>
      <c r="C2563" t="s">
        <v>5102</v>
      </c>
      <c r="D2563" t="s">
        <v>15</v>
      </c>
      <c r="E2563" t="s">
        <v>54</v>
      </c>
      <c r="F2563" t="s">
        <v>588</v>
      </c>
    </row>
    <row r="2564" spans="1:8" hidden="1" x14ac:dyDescent="0.3">
      <c r="A2564" t="s">
        <v>5103</v>
      </c>
      <c r="B2564" t="s">
        <v>13</v>
      </c>
      <c r="C2564" t="s">
        <v>2847</v>
      </c>
      <c r="D2564" t="s">
        <v>15</v>
      </c>
      <c r="E2564" t="s">
        <v>16</v>
      </c>
      <c r="F2564" t="s">
        <v>2848</v>
      </c>
    </row>
    <row r="2565" spans="1:8" hidden="1" x14ac:dyDescent="0.3">
      <c r="A2565" t="s">
        <v>5104</v>
      </c>
      <c r="B2565" t="s">
        <v>9</v>
      </c>
      <c r="C2565" t="s">
        <v>5105</v>
      </c>
      <c r="E2565" t="s">
        <v>54</v>
      </c>
      <c r="F2565" t="s">
        <v>5106</v>
      </c>
    </row>
    <row r="2566" spans="1:8" hidden="1" x14ac:dyDescent="0.3">
      <c r="A2566" t="s">
        <v>5107</v>
      </c>
      <c r="B2566" t="s">
        <v>9</v>
      </c>
      <c r="C2566" t="s">
        <v>5108</v>
      </c>
      <c r="E2566" t="s">
        <v>11</v>
      </c>
    </row>
    <row r="2567" spans="1:8" hidden="1" x14ac:dyDescent="0.3">
      <c r="A2567" t="s">
        <v>5109</v>
      </c>
      <c r="B2567" t="s">
        <v>11</v>
      </c>
      <c r="E2567" t="s">
        <v>11</v>
      </c>
    </row>
    <row r="2568" spans="1:8" hidden="1" x14ac:dyDescent="0.3">
      <c r="A2568" t="s">
        <v>5110</v>
      </c>
      <c r="B2568" t="s">
        <v>11</v>
      </c>
      <c r="E2568" t="s">
        <v>11</v>
      </c>
    </row>
    <row r="2569" spans="1:8" x14ac:dyDescent="0.3">
      <c r="A2569" t="s">
        <v>5111</v>
      </c>
      <c r="B2569" t="s">
        <v>13</v>
      </c>
      <c r="C2569" t="s">
        <v>5112</v>
      </c>
      <c r="D2569" t="s">
        <v>15</v>
      </c>
      <c r="E2569" t="s">
        <v>20</v>
      </c>
      <c r="F2569" t="s">
        <v>21</v>
      </c>
    </row>
    <row r="2570" spans="1:8" x14ac:dyDescent="0.3">
      <c r="A2570" t="s">
        <v>5113</v>
      </c>
      <c r="B2570" t="s">
        <v>9</v>
      </c>
      <c r="C2570" t="s">
        <v>5114</v>
      </c>
      <c r="E2570" t="s">
        <v>20</v>
      </c>
      <c r="F2570" t="s">
        <v>5115</v>
      </c>
    </row>
    <row r="2571" spans="1:8" hidden="1" x14ac:dyDescent="0.3">
      <c r="A2571" t="s">
        <v>5116</v>
      </c>
      <c r="B2571" t="s">
        <v>9</v>
      </c>
      <c r="C2571" t="s">
        <v>5117</v>
      </c>
      <c r="D2571" t="s">
        <v>15</v>
      </c>
      <c r="E2571" t="s">
        <v>16</v>
      </c>
      <c r="F2571" t="s">
        <v>5118</v>
      </c>
    </row>
    <row r="2572" spans="1:8" hidden="1" x14ac:dyDescent="0.3">
      <c r="A2572" t="s">
        <v>5119</v>
      </c>
      <c r="B2572" t="s">
        <v>9</v>
      </c>
      <c r="C2572" t="s">
        <v>5120</v>
      </c>
      <c r="D2572" t="s">
        <v>15</v>
      </c>
      <c r="E2572" t="s">
        <v>54</v>
      </c>
      <c r="F2572" t="s">
        <v>5121</v>
      </c>
    </row>
    <row r="2573" spans="1:8" hidden="1" x14ac:dyDescent="0.3">
      <c r="A2573" t="s">
        <v>5122</v>
      </c>
      <c r="B2573" t="s">
        <v>9</v>
      </c>
      <c r="C2573" t="s">
        <v>5123</v>
      </c>
      <c r="D2573" t="s">
        <v>15</v>
      </c>
      <c r="E2573" t="s">
        <v>54</v>
      </c>
      <c r="F2573" t="s">
        <v>5124</v>
      </c>
    </row>
    <row r="2574" spans="1:8" x14ac:dyDescent="0.3">
      <c r="A2574" t="s">
        <v>5125</v>
      </c>
      <c r="B2574" t="s">
        <v>9</v>
      </c>
      <c r="C2574" t="s">
        <v>5126</v>
      </c>
      <c r="E2574" t="s">
        <v>20</v>
      </c>
      <c r="F2574" t="s">
        <v>5127</v>
      </c>
    </row>
    <row r="2575" spans="1:8" hidden="1" x14ac:dyDescent="0.3">
      <c r="A2575" t="s">
        <v>5128</v>
      </c>
      <c r="B2575" t="s">
        <v>9</v>
      </c>
      <c r="C2575" t="s">
        <v>5129</v>
      </c>
      <c r="D2575" t="s">
        <v>15</v>
      </c>
      <c r="E2575" t="s">
        <v>54</v>
      </c>
      <c r="F2575" t="s">
        <v>5130</v>
      </c>
    </row>
    <row r="2576" spans="1:8" hidden="1" x14ac:dyDescent="0.3">
      <c r="A2576" t="s">
        <v>5131</v>
      </c>
      <c r="B2576" t="s">
        <v>9</v>
      </c>
      <c r="C2576" t="s">
        <v>5132</v>
      </c>
      <c r="D2576" t="s">
        <v>15</v>
      </c>
      <c r="E2576" t="s">
        <v>16</v>
      </c>
      <c r="F2576" t="s">
        <v>5133</v>
      </c>
    </row>
    <row r="2577" spans="1:8" hidden="1" x14ac:dyDescent="0.3">
      <c r="A2577" t="s">
        <v>5134</v>
      </c>
      <c r="B2577" t="s">
        <v>13</v>
      </c>
      <c r="C2577" t="s">
        <v>576</v>
      </c>
      <c r="D2577" t="s">
        <v>15</v>
      </c>
      <c r="E2577" t="s">
        <v>54</v>
      </c>
      <c r="F2577" t="s">
        <v>5135</v>
      </c>
    </row>
    <row r="2578" spans="1:8" x14ac:dyDescent="0.3">
      <c r="A2578" t="s">
        <v>5136</v>
      </c>
      <c r="B2578" t="s">
        <v>9</v>
      </c>
      <c r="C2578" t="s">
        <v>5137</v>
      </c>
      <c r="D2578" t="s">
        <v>15</v>
      </c>
      <c r="E2578" t="s">
        <v>20</v>
      </c>
      <c r="F2578" t="s">
        <v>5138</v>
      </c>
    </row>
    <row r="2579" spans="1:8" hidden="1" x14ac:dyDescent="0.3">
      <c r="A2579" t="s">
        <v>5139</v>
      </c>
      <c r="B2579" t="s">
        <v>9</v>
      </c>
      <c r="C2579" t="s">
        <v>5140</v>
      </c>
      <c r="D2579" t="s">
        <v>15</v>
      </c>
      <c r="E2579" t="s">
        <v>16</v>
      </c>
      <c r="F2579" t="s">
        <v>5141</v>
      </c>
    </row>
    <row r="2580" spans="1:8" hidden="1" x14ac:dyDescent="0.3">
      <c r="A2580" t="s">
        <v>5142</v>
      </c>
      <c r="B2580" t="s">
        <v>13</v>
      </c>
      <c r="C2580" t="s">
        <v>5143</v>
      </c>
      <c r="D2580" t="s">
        <v>15</v>
      </c>
      <c r="E2580" t="s">
        <v>16</v>
      </c>
      <c r="F2580" t="s">
        <v>5144</v>
      </c>
    </row>
    <row r="2581" spans="1:8" hidden="1" x14ac:dyDescent="0.3">
      <c r="A2581" t="s">
        <v>5145</v>
      </c>
      <c r="B2581" t="s">
        <v>9</v>
      </c>
      <c r="C2581" t="s">
        <v>28</v>
      </c>
      <c r="D2581" t="s">
        <v>15</v>
      </c>
      <c r="E2581" t="s">
        <v>54</v>
      </c>
      <c r="F2581" t="s">
        <v>5146</v>
      </c>
      <c r="G2581" t="s">
        <v>15</v>
      </c>
      <c r="H2581" t="s">
        <v>5147</v>
      </c>
    </row>
    <row r="2582" spans="1:8" hidden="1" x14ac:dyDescent="0.3">
      <c r="A2582" t="s">
        <v>5148</v>
      </c>
      <c r="B2582" t="s">
        <v>13</v>
      </c>
      <c r="C2582" t="s">
        <v>5149</v>
      </c>
      <c r="D2582" t="s">
        <v>15</v>
      </c>
      <c r="E2582" t="s">
        <v>54</v>
      </c>
      <c r="F2582" t="s">
        <v>5150</v>
      </c>
    </row>
    <row r="2583" spans="1:8" x14ac:dyDescent="0.3">
      <c r="A2583" t="s">
        <v>5151</v>
      </c>
      <c r="B2583" t="s">
        <v>9</v>
      </c>
      <c r="C2583" t="s">
        <v>691</v>
      </c>
      <c r="D2583" t="s">
        <v>15</v>
      </c>
      <c r="E2583" t="s">
        <v>20</v>
      </c>
      <c r="F2583" t="s">
        <v>5152</v>
      </c>
    </row>
    <row r="2584" spans="1:8" hidden="1" x14ac:dyDescent="0.3">
      <c r="A2584" t="s">
        <v>5153</v>
      </c>
      <c r="B2584" t="s">
        <v>13</v>
      </c>
      <c r="C2584" t="s">
        <v>5154</v>
      </c>
      <c r="D2584" t="s">
        <v>15</v>
      </c>
      <c r="E2584" t="s">
        <v>16</v>
      </c>
      <c r="F2584" t="s">
        <v>5155</v>
      </c>
    </row>
    <row r="2585" spans="1:8" hidden="1" x14ac:dyDescent="0.3">
      <c r="A2585" t="s">
        <v>5156</v>
      </c>
      <c r="B2585" t="s">
        <v>9</v>
      </c>
      <c r="C2585" t="s">
        <v>28</v>
      </c>
      <c r="E2585" t="s">
        <v>11</v>
      </c>
    </row>
    <row r="2586" spans="1:8" hidden="1" x14ac:dyDescent="0.3">
      <c r="A2586" t="s">
        <v>5157</v>
      </c>
      <c r="B2586" t="s">
        <v>13</v>
      </c>
      <c r="C2586" t="s">
        <v>5158</v>
      </c>
      <c r="D2586" t="s">
        <v>15</v>
      </c>
      <c r="E2586" t="s">
        <v>16</v>
      </c>
      <c r="F2586" t="s">
        <v>5159</v>
      </c>
    </row>
    <row r="2587" spans="1:8" hidden="1" x14ac:dyDescent="0.3">
      <c r="A2587" t="s">
        <v>5160</v>
      </c>
      <c r="B2587" t="s">
        <v>13</v>
      </c>
      <c r="C2587" t="s">
        <v>5161</v>
      </c>
      <c r="D2587" t="s">
        <v>15</v>
      </c>
      <c r="E2587" t="s">
        <v>54</v>
      </c>
      <c r="F2587" t="s">
        <v>5162</v>
      </c>
    </row>
    <row r="2588" spans="1:8" hidden="1" x14ac:dyDescent="0.3">
      <c r="A2588" t="s">
        <v>5163</v>
      </c>
      <c r="B2588" t="s">
        <v>9</v>
      </c>
      <c r="C2588" t="s">
        <v>28</v>
      </c>
      <c r="D2588" t="s">
        <v>15</v>
      </c>
      <c r="E2588" t="s">
        <v>16</v>
      </c>
      <c r="F2588" t="s">
        <v>5164</v>
      </c>
    </row>
    <row r="2589" spans="1:8" hidden="1" x14ac:dyDescent="0.3">
      <c r="A2589" t="s">
        <v>5165</v>
      </c>
      <c r="B2589" t="s">
        <v>9</v>
      </c>
      <c r="C2589" t="s">
        <v>28</v>
      </c>
      <c r="E2589" t="s">
        <v>11</v>
      </c>
    </row>
    <row r="2590" spans="1:8" hidden="1" x14ac:dyDescent="0.3">
      <c r="A2590" t="s">
        <v>5166</v>
      </c>
      <c r="B2590" t="s">
        <v>197</v>
      </c>
      <c r="C2590" t="s">
        <v>5167</v>
      </c>
      <c r="D2590" t="s">
        <v>15</v>
      </c>
      <c r="E2590" t="s">
        <v>54</v>
      </c>
      <c r="F2590" t="s">
        <v>5168</v>
      </c>
      <c r="G2590" t="s">
        <v>15</v>
      </c>
      <c r="H2590" t="s">
        <v>5169</v>
      </c>
    </row>
    <row r="2591" spans="1:8" hidden="1" x14ac:dyDescent="0.3">
      <c r="A2591" t="s">
        <v>5170</v>
      </c>
      <c r="B2591" t="s">
        <v>9</v>
      </c>
      <c r="C2591" t="s">
        <v>5171</v>
      </c>
      <c r="E2591" t="s">
        <v>16</v>
      </c>
      <c r="F2591" t="s">
        <v>5172</v>
      </c>
    </row>
    <row r="2592" spans="1:8" hidden="1" x14ac:dyDescent="0.3">
      <c r="A2592" t="s">
        <v>5173</v>
      </c>
      <c r="B2592" t="s">
        <v>13</v>
      </c>
      <c r="C2592" t="s">
        <v>5174</v>
      </c>
      <c r="D2592" t="s">
        <v>15</v>
      </c>
      <c r="E2592" t="s">
        <v>54</v>
      </c>
      <c r="F2592" t="s">
        <v>5175</v>
      </c>
    </row>
    <row r="2593" spans="1:6" x14ac:dyDescent="0.3">
      <c r="A2593" t="s">
        <v>5176</v>
      </c>
      <c r="B2593" t="s">
        <v>13</v>
      </c>
      <c r="C2593" t="s">
        <v>5177</v>
      </c>
      <c r="E2593" t="s">
        <v>20</v>
      </c>
      <c r="F2593" t="s">
        <v>1414</v>
      </c>
    </row>
    <row r="2594" spans="1:6" hidden="1" x14ac:dyDescent="0.3">
      <c r="A2594" t="s">
        <v>5178</v>
      </c>
      <c r="B2594" t="s">
        <v>9</v>
      </c>
      <c r="C2594" t="s">
        <v>5179</v>
      </c>
      <c r="D2594" t="s">
        <v>15</v>
      </c>
      <c r="E2594" t="s">
        <v>16</v>
      </c>
      <c r="F2594" t="s">
        <v>5180</v>
      </c>
    </row>
    <row r="2595" spans="1:6" hidden="1" x14ac:dyDescent="0.3">
      <c r="A2595" t="s">
        <v>5181</v>
      </c>
      <c r="B2595" t="s">
        <v>9</v>
      </c>
      <c r="C2595" t="s">
        <v>5182</v>
      </c>
      <c r="D2595" t="s">
        <v>15</v>
      </c>
      <c r="E2595" t="s">
        <v>16</v>
      </c>
      <c r="F2595" t="s">
        <v>5183</v>
      </c>
    </row>
    <row r="2596" spans="1:6" hidden="1" x14ac:dyDescent="0.3">
      <c r="A2596" t="s">
        <v>5184</v>
      </c>
      <c r="B2596" t="s">
        <v>197</v>
      </c>
      <c r="C2596" t="s">
        <v>5185</v>
      </c>
      <c r="D2596" t="s">
        <v>15</v>
      </c>
      <c r="E2596" t="s">
        <v>54</v>
      </c>
      <c r="F2596" t="s">
        <v>5186</v>
      </c>
    </row>
    <row r="2597" spans="1:6" hidden="1" x14ac:dyDescent="0.3">
      <c r="A2597" t="s">
        <v>5187</v>
      </c>
      <c r="B2597" t="s">
        <v>9</v>
      </c>
      <c r="C2597" t="s">
        <v>5188</v>
      </c>
      <c r="D2597" t="s">
        <v>15</v>
      </c>
      <c r="E2597" t="s">
        <v>54</v>
      </c>
      <c r="F2597" t="s">
        <v>5189</v>
      </c>
    </row>
    <row r="2598" spans="1:6" hidden="1" x14ac:dyDescent="0.3">
      <c r="A2598" t="s">
        <v>5190</v>
      </c>
      <c r="B2598" t="s">
        <v>9</v>
      </c>
      <c r="C2598" t="s">
        <v>5191</v>
      </c>
      <c r="D2598" t="s">
        <v>15</v>
      </c>
      <c r="E2598" t="s">
        <v>54</v>
      </c>
      <c r="F2598" t="s">
        <v>1284</v>
      </c>
    </row>
    <row r="2599" spans="1:6" x14ac:dyDescent="0.3">
      <c r="A2599" t="s">
        <v>5192</v>
      </c>
      <c r="B2599" t="s">
        <v>9</v>
      </c>
      <c r="C2599" t="s">
        <v>5193</v>
      </c>
      <c r="D2599" t="s">
        <v>15</v>
      </c>
      <c r="E2599" t="s">
        <v>20</v>
      </c>
      <c r="F2599" t="s">
        <v>21</v>
      </c>
    </row>
    <row r="2600" spans="1:6" hidden="1" x14ac:dyDescent="0.3">
      <c r="A2600" t="s">
        <v>5194</v>
      </c>
      <c r="B2600" t="s">
        <v>9</v>
      </c>
      <c r="C2600" t="s">
        <v>5195</v>
      </c>
      <c r="E2600" t="s">
        <v>11</v>
      </c>
    </row>
    <row r="2601" spans="1:6" hidden="1" x14ac:dyDescent="0.3">
      <c r="A2601" t="s">
        <v>5196</v>
      </c>
      <c r="B2601" t="s">
        <v>9</v>
      </c>
      <c r="C2601" t="s">
        <v>28</v>
      </c>
      <c r="D2601" t="s">
        <v>15</v>
      </c>
      <c r="E2601" t="s">
        <v>16</v>
      </c>
      <c r="F2601" t="s">
        <v>5197</v>
      </c>
    </row>
    <row r="2602" spans="1:6" x14ac:dyDescent="0.3">
      <c r="A2602" t="s">
        <v>5198</v>
      </c>
      <c r="B2602" t="s">
        <v>9</v>
      </c>
      <c r="C2602" t="s">
        <v>5199</v>
      </c>
      <c r="D2602" t="s">
        <v>15</v>
      </c>
      <c r="E2602" t="s">
        <v>20</v>
      </c>
      <c r="F2602" t="s">
        <v>21</v>
      </c>
    </row>
    <row r="2603" spans="1:6" hidden="1" x14ac:dyDescent="0.3">
      <c r="A2603" t="s">
        <v>5200</v>
      </c>
      <c r="B2603" t="s">
        <v>9</v>
      </c>
      <c r="C2603" t="s">
        <v>5201</v>
      </c>
      <c r="D2603" t="s">
        <v>15</v>
      </c>
      <c r="E2603" t="s">
        <v>16</v>
      </c>
      <c r="F2603" t="s">
        <v>5202</v>
      </c>
    </row>
    <row r="2604" spans="1:6" hidden="1" x14ac:dyDescent="0.3">
      <c r="A2604" t="s">
        <v>5203</v>
      </c>
      <c r="B2604" t="s">
        <v>9</v>
      </c>
      <c r="C2604" t="s">
        <v>5204</v>
      </c>
      <c r="D2604" t="s">
        <v>15</v>
      </c>
      <c r="E2604" t="s">
        <v>54</v>
      </c>
      <c r="F2604" t="s">
        <v>5092</v>
      </c>
    </row>
    <row r="2605" spans="1:6" hidden="1" x14ac:dyDescent="0.3">
      <c r="A2605" t="s">
        <v>5205</v>
      </c>
      <c r="B2605" t="s">
        <v>13</v>
      </c>
      <c r="C2605" t="s">
        <v>576</v>
      </c>
      <c r="E2605" t="s">
        <v>54</v>
      </c>
      <c r="F2605" t="s">
        <v>1036</v>
      </c>
    </row>
    <row r="2606" spans="1:6" hidden="1" x14ac:dyDescent="0.3">
      <c r="A2606" t="s">
        <v>5206</v>
      </c>
      <c r="B2606" t="s">
        <v>11</v>
      </c>
      <c r="E2606" t="s">
        <v>11</v>
      </c>
    </row>
    <row r="2607" spans="1:6" hidden="1" x14ac:dyDescent="0.3">
      <c r="A2607" t="s">
        <v>5207</v>
      </c>
      <c r="B2607" t="s">
        <v>13</v>
      </c>
      <c r="C2607" t="s">
        <v>5208</v>
      </c>
      <c r="E2607" t="s">
        <v>11</v>
      </c>
    </row>
    <row r="2608" spans="1:6" hidden="1" x14ac:dyDescent="0.3">
      <c r="A2608" t="s">
        <v>5209</v>
      </c>
      <c r="B2608" t="s">
        <v>9</v>
      </c>
      <c r="C2608" t="s">
        <v>5210</v>
      </c>
      <c r="E2608" t="s">
        <v>11</v>
      </c>
    </row>
    <row r="2609" spans="1:6" x14ac:dyDescent="0.3">
      <c r="A2609" t="s">
        <v>5211</v>
      </c>
      <c r="B2609" t="s">
        <v>9</v>
      </c>
      <c r="C2609" t="s">
        <v>5212</v>
      </c>
      <c r="D2609" t="s">
        <v>15</v>
      </c>
      <c r="E2609" t="s">
        <v>20</v>
      </c>
      <c r="F2609" t="s">
        <v>21</v>
      </c>
    </row>
    <row r="2610" spans="1:6" hidden="1" x14ac:dyDescent="0.3">
      <c r="A2610" t="s">
        <v>5213</v>
      </c>
      <c r="B2610" t="s">
        <v>9</v>
      </c>
      <c r="C2610" t="s">
        <v>5214</v>
      </c>
      <c r="E2610" t="s">
        <v>11</v>
      </c>
    </row>
    <row r="2611" spans="1:6" hidden="1" x14ac:dyDescent="0.3">
      <c r="A2611" t="s">
        <v>5215</v>
      </c>
      <c r="B2611" t="s">
        <v>417</v>
      </c>
      <c r="C2611" t="s">
        <v>5216</v>
      </c>
      <c r="D2611" t="s">
        <v>15</v>
      </c>
      <c r="E2611" t="s">
        <v>11</v>
      </c>
    </row>
    <row r="2612" spans="1:6" hidden="1" x14ac:dyDescent="0.3">
      <c r="A2612" t="s">
        <v>5217</v>
      </c>
      <c r="B2612" t="s">
        <v>11</v>
      </c>
      <c r="E2612" t="s">
        <v>11</v>
      </c>
    </row>
    <row r="2613" spans="1:6" hidden="1" x14ac:dyDescent="0.3">
      <c r="A2613" t="s">
        <v>5218</v>
      </c>
      <c r="B2613" t="s">
        <v>11</v>
      </c>
      <c r="E2613" t="s">
        <v>11</v>
      </c>
    </row>
    <row r="2614" spans="1:6" x14ac:dyDescent="0.3">
      <c r="A2614" t="s">
        <v>5219</v>
      </c>
      <c r="B2614" t="s">
        <v>9</v>
      </c>
      <c r="C2614" t="s">
        <v>5220</v>
      </c>
      <c r="D2614" t="s">
        <v>15</v>
      </c>
      <c r="E2614" t="s">
        <v>20</v>
      </c>
      <c r="F2614" t="s">
        <v>5221</v>
      </c>
    </row>
    <row r="2615" spans="1:6" hidden="1" x14ac:dyDescent="0.3">
      <c r="A2615" t="s">
        <v>5222</v>
      </c>
      <c r="B2615" t="s">
        <v>9</v>
      </c>
      <c r="C2615" t="s">
        <v>5223</v>
      </c>
      <c r="D2615" t="s">
        <v>15</v>
      </c>
      <c r="E2615" t="s">
        <v>54</v>
      </c>
      <c r="F2615" t="s">
        <v>3606</v>
      </c>
    </row>
    <row r="2616" spans="1:6" x14ac:dyDescent="0.3">
      <c r="A2616" t="s">
        <v>5224</v>
      </c>
      <c r="B2616" t="s">
        <v>9</v>
      </c>
      <c r="C2616" t="s">
        <v>5225</v>
      </c>
      <c r="D2616" t="s">
        <v>15</v>
      </c>
      <c r="E2616" t="s">
        <v>20</v>
      </c>
      <c r="F2616" t="s">
        <v>185</v>
      </c>
    </row>
    <row r="2617" spans="1:6" hidden="1" x14ac:dyDescent="0.3">
      <c r="A2617" t="s">
        <v>5226</v>
      </c>
      <c r="B2617" t="s">
        <v>9</v>
      </c>
      <c r="C2617" t="s">
        <v>5227</v>
      </c>
      <c r="D2617" t="s">
        <v>15</v>
      </c>
      <c r="E2617" t="s">
        <v>11</v>
      </c>
    </row>
    <row r="2618" spans="1:6" hidden="1" x14ac:dyDescent="0.3">
      <c r="A2618" t="s">
        <v>5228</v>
      </c>
      <c r="B2618" t="s">
        <v>11</v>
      </c>
      <c r="E2618" t="s">
        <v>11</v>
      </c>
    </row>
    <row r="2619" spans="1:6" x14ac:dyDescent="0.3">
      <c r="A2619" t="s">
        <v>5229</v>
      </c>
      <c r="B2619" t="s">
        <v>13</v>
      </c>
      <c r="C2619" t="s">
        <v>5230</v>
      </c>
      <c r="E2619" t="s">
        <v>20</v>
      </c>
      <c r="F2619" t="s">
        <v>5231</v>
      </c>
    </row>
    <row r="2620" spans="1:6" hidden="1" x14ac:dyDescent="0.3">
      <c r="A2620" t="s">
        <v>5232</v>
      </c>
      <c r="B2620" t="s">
        <v>11</v>
      </c>
      <c r="E2620" t="s">
        <v>11</v>
      </c>
    </row>
    <row r="2621" spans="1:6" hidden="1" x14ac:dyDescent="0.3">
      <c r="A2621" t="s">
        <v>5233</v>
      </c>
      <c r="B2621" t="s">
        <v>9</v>
      </c>
      <c r="C2621" t="s">
        <v>51</v>
      </c>
      <c r="D2621" t="s">
        <v>15</v>
      </c>
      <c r="E2621" t="s">
        <v>54</v>
      </c>
      <c r="F2621" t="s">
        <v>1284</v>
      </c>
    </row>
    <row r="2622" spans="1:6" hidden="1" x14ac:dyDescent="0.3">
      <c r="A2622" t="s">
        <v>5234</v>
      </c>
      <c r="B2622" t="s">
        <v>9</v>
      </c>
      <c r="C2622" t="s">
        <v>5235</v>
      </c>
      <c r="D2622" t="s">
        <v>15</v>
      </c>
      <c r="E2622" t="s">
        <v>11</v>
      </c>
    </row>
    <row r="2623" spans="1:6" hidden="1" x14ac:dyDescent="0.3">
      <c r="A2623" t="s">
        <v>5236</v>
      </c>
      <c r="B2623" t="s">
        <v>9</v>
      </c>
      <c r="C2623" t="s">
        <v>5237</v>
      </c>
      <c r="D2623" t="s">
        <v>15</v>
      </c>
      <c r="E2623" t="s">
        <v>16</v>
      </c>
      <c r="F2623" t="s">
        <v>1701</v>
      </c>
    </row>
    <row r="2624" spans="1:6" hidden="1" x14ac:dyDescent="0.3">
      <c r="A2624" t="s">
        <v>5238</v>
      </c>
      <c r="B2624" t="s">
        <v>9</v>
      </c>
      <c r="C2624" t="s">
        <v>5239</v>
      </c>
      <c r="D2624" t="s">
        <v>15</v>
      </c>
      <c r="E2624" t="s">
        <v>54</v>
      </c>
      <c r="F2624" t="s">
        <v>2030</v>
      </c>
    </row>
    <row r="2625" spans="1:8" x14ac:dyDescent="0.3">
      <c r="A2625" t="s">
        <v>5240</v>
      </c>
      <c r="B2625" t="s">
        <v>9</v>
      </c>
      <c r="C2625" t="s">
        <v>5241</v>
      </c>
      <c r="D2625" t="s">
        <v>15</v>
      </c>
      <c r="E2625" t="s">
        <v>20</v>
      </c>
      <c r="F2625" t="s">
        <v>1423</v>
      </c>
    </row>
    <row r="2626" spans="1:8" x14ac:dyDescent="0.3">
      <c r="A2626" t="s">
        <v>5242</v>
      </c>
      <c r="B2626" t="s">
        <v>13</v>
      </c>
      <c r="C2626" t="s">
        <v>5243</v>
      </c>
      <c r="D2626" t="s">
        <v>15</v>
      </c>
      <c r="E2626" t="s">
        <v>20</v>
      </c>
      <c r="F2626" t="s">
        <v>5244</v>
      </c>
    </row>
    <row r="2627" spans="1:8" hidden="1" x14ac:dyDescent="0.3">
      <c r="A2627" t="s">
        <v>5245</v>
      </c>
      <c r="B2627" t="s">
        <v>13</v>
      </c>
      <c r="C2627" t="s">
        <v>5246</v>
      </c>
      <c r="E2627" t="s">
        <v>16</v>
      </c>
      <c r="F2627" t="s">
        <v>5247</v>
      </c>
    </row>
    <row r="2628" spans="1:8" x14ac:dyDescent="0.3">
      <c r="A2628" t="s">
        <v>5248</v>
      </c>
      <c r="B2628" t="s">
        <v>13</v>
      </c>
      <c r="C2628" t="s">
        <v>5249</v>
      </c>
      <c r="D2628" t="s">
        <v>15</v>
      </c>
      <c r="E2628" t="s">
        <v>20</v>
      </c>
      <c r="F2628" t="s">
        <v>5250</v>
      </c>
    </row>
    <row r="2629" spans="1:8" hidden="1" x14ac:dyDescent="0.3">
      <c r="A2629" t="s">
        <v>5251</v>
      </c>
      <c r="B2629" t="s">
        <v>13</v>
      </c>
      <c r="C2629" t="s">
        <v>5091</v>
      </c>
      <c r="D2629" t="s">
        <v>15</v>
      </c>
      <c r="E2629" t="s">
        <v>54</v>
      </c>
      <c r="F2629" t="s">
        <v>5092</v>
      </c>
    </row>
    <row r="2630" spans="1:8" hidden="1" x14ac:dyDescent="0.3">
      <c r="A2630" t="s">
        <v>5252</v>
      </c>
      <c r="B2630" t="s">
        <v>9</v>
      </c>
      <c r="C2630" t="s">
        <v>5253</v>
      </c>
      <c r="D2630" t="s">
        <v>15</v>
      </c>
      <c r="E2630" t="s">
        <v>16</v>
      </c>
      <c r="F2630" t="s">
        <v>5254</v>
      </c>
    </row>
    <row r="2631" spans="1:8" x14ac:dyDescent="0.3">
      <c r="A2631" t="s">
        <v>5255</v>
      </c>
      <c r="B2631" t="s">
        <v>13</v>
      </c>
      <c r="C2631" t="s">
        <v>5256</v>
      </c>
      <c r="E2631" t="s">
        <v>20</v>
      </c>
      <c r="F2631" t="s">
        <v>5257</v>
      </c>
    </row>
    <row r="2632" spans="1:8" x14ac:dyDescent="0.3">
      <c r="A2632" t="s">
        <v>5258</v>
      </c>
      <c r="B2632" t="s">
        <v>13</v>
      </c>
      <c r="C2632" t="s">
        <v>5259</v>
      </c>
      <c r="E2632" t="s">
        <v>20</v>
      </c>
      <c r="F2632" t="s">
        <v>21</v>
      </c>
    </row>
    <row r="2633" spans="1:8" hidden="1" x14ac:dyDescent="0.3">
      <c r="A2633" t="s">
        <v>5260</v>
      </c>
      <c r="B2633" t="s">
        <v>11</v>
      </c>
      <c r="E2633" t="s">
        <v>11</v>
      </c>
    </row>
    <row r="2634" spans="1:8" hidden="1" x14ac:dyDescent="0.3">
      <c r="A2634" t="s">
        <v>5261</v>
      </c>
      <c r="B2634" t="s">
        <v>13</v>
      </c>
      <c r="C2634" t="s">
        <v>5262</v>
      </c>
      <c r="D2634" t="s">
        <v>15</v>
      </c>
      <c r="E2634" t="s">
        <v>54</v>
      </c>
      <c r="F2634" t="s">
        <v>5263</v>
      </c>
      <c r="G2634" t="s">
        <v>15</v>
      </c>
      <c r="H2634" t="s">
        <v>5264</v>
      </c>
    </row>
    <row r="2635" spans="1:8" x14ac:dyDescent="0.3">
      <c r="A2635" t="s">
        <v>5265</v>
      </c>
      <c r="B2635" t="s">
        <v>13</v>
      </c>
      <c r="C2635" t="s">
        <v>5266</v>
      </c>
      <c r="D2635" t="s">
        <v>15</v>
      </c>
      <c r="E2635" t="s">
        <v>20</v>
      </c>
      <c r="F2635" t="s">
        <v>21</v>
      </c>
    </row>
    <row r="2636" spans="1:8" hidden="1" x14ac:dyDescent="0.3">
      <c r="A2636" t="s">
        <v>5267</v>
      </c>
      <c r="B2636" t="s">
        <v>11</v>
      </c>
      <c r="E2636" t="s">
        <v>11</v>
      </c>
    </row>
    <row r="2637" spans="1:8" x14ac:dyDescent="0.3">
      <c r="A2637" t="s">
        <v>5268</v>
      </c>
      <c r="B2637" t="s">
        <v>13</v>
      </c>
      <c r="C2637" t="s">
        <v>5269</v>
      </c>
      <c r="E2637" t="s">
        <v>20</v>
      </c>
      <c r="F2637" t="s">
        <v>1423</v>
      </c>
    </row>
    <row r="2638" spans="1:8" hidden="1" x14ac:dyDescent="0.3">
      <c r="A2638" t="s">
        <v>5270</v>
      </c>
      <c r="B2638" t="s">
        <v>13</v>
      </c>
      <c r="C2638" t="s">
        <v>5271</v>
      </c>
      <c r="D2638" t="s">
        <v>15</v>
      </c>
      <c r="E2638" t="s">
        <v>54</v>
      </c>
      <c r="F2638" t="s">
        <v>5272</v>
      </c>
      <c r="G2638" t="s">
        <v>15</v>
      </c>
      <c r="H2638" t="s">
        <v>5273</v>
      </c>
    </row>
    <row r="2639" spans="1:8" x14ac:dyDescent="0.3">
      <c r="A2639" t="s">
        <v>5274</v>
      </c>
      <c r="B2639" t="s">
        <v>9</v>
      </c>
      <c r="C2639" t="s">
        <v>5275</v>
      </c>
      <c r="D2639" t="s">
        <v>15</v>
      </c>
      <c r="E2639" t="s">
        <v>20</v>
      </c>
      <c r="F2639" t="s">
        <v>21</v>
      </c>
    </row>
    <row r="2640" spans="1:8" hidden="1" x14ac:dyDescent="0.3">
      <c r="A2640" t="s">
        <v>5276</v>
      </c>
      <c r="B2640" t="s">
        <v>11</v>
      </c>
      <c r="E2640" t="s">
        <v>11</v>
      </c>
    </row>
    <row r="2641" spans="1:8" x14ac:dyDescent="0.3">
      <c r="A2641" t="s">
        <v>5277</v>
      </c>
      <c r="B2641" t="s">
        <v>9</v>
      </c>
      <c r="C2641" t="s">
        <v>5278</v>
      </c>
      <c r="E2641" t="s">
        <v>20</v>
      </c>
      <c r="F2641" t="s">
        <v>21</v>
      </c>
    </row>
    <row r="2642" spans="1:8" hidden="1" x14ac:dyDescent="0.3">
      <c r="A2642" t="s">
        <v>5279</v>
      </c>
      <c r="B2642" t="s">
        <v>9</v>
      </c>
      <c r="C2642" t="s">
        <v>5280</v>
      </c>
      <c r="D2642" t="s">
        <v>15</v>
      </c>
      <c r="E2642" t="s">
        <v>16</v>
      </c>
      <c r="F2642" t="s">
        <v>2936</v>
      </c>
    </row>
    <row r="2643" spans="1:8" hidden="1" x14ac:dyDescent="0.3">
      <c r="A2643" t="s">
        <v>5281</v>
      </c>
      <c r="B2643" t="s">
        <v>11</v>
      </c>
      <c r="E2643" t="s">
        <v>11</v>
      </c>
    </row>
    <row r="2644" spans="1:8" hidden="1" x14ac:dyDescent="0.3">
      <c r="A2644" t="s">
        <v>5282</v>
      </c>
      <c r="B2644" t="s">
        <v>13</v>
      </c>
      <c r="C2644" t="s">
        <v>5283</v>
      </c>
      <c r="D2644" t="s">
        <v>15</v>
      </c>
      <c r="E2644" t="s">
        <v>54</v>
      </c>
      <c r="F2644" t="s">
        <v>5284</v>
      </c>
    </row>
    <row r="2645" spans="1:8" hidden="1" x14ac:dyDescent="0.3">
      <c r="A2645" t="s">
        <v>5285</v>
      </c>
      <c r="B2645" t="s">
        <v>13</v>
      </c>
      <c r="C2645" t="s">
        <v>5286</v>
      </c>
      <c r="E2645" t="s">
        <v>16</v>
      </c>
      <c r="F2645" t="s">
        <v>5287</v>
      </c>
    </row>
    <row r="2646" spans="1:8" hidden="1" x14ac:dyDescent="0.3">
      <c r="A2646" t="s">
        <v>5288</v>
      </c>
      <c r="B2646" t="s">
        <v>9</v>
      </c>
      <c r="C2646" t="s">
        <v>5289</v>
      </c>
      <c r="D2646" t="s">
        <v>15</v>
      </c>
      <c r="E2646" t="s">
        <v>54</v>
      </c>
      <c r="F2646" t="s">
        <v>5290</v>
      </c>
      <c r="G2646" t="s">
        <v>15</v>
      </c>
      <c r="H2646" t="s">
        <v>5291</v>
      </c>
    </row>
    <row r="2647" spans="1:8" hidden="1" x14ac:dyDescent="0.3">
      <c r="A2647" t="s">
        <v>5292</v>
      </c>
      <c r="B2647" t="s">
        <v>9</v>
      </c>
      <c r="C2647" t="s">
        <v>5293</v>
      </c>
      <c r="D2647" t="s">
        <v>15</v>
      </c>
      <c r="E2647" t="s">
        <v>16</v>
      </c>
      <c r="F2647" t="s">
        <v>5294</v>
      </c>
    </row>
    <row r="2648" spans="1:8" hidden="1" x14ac:dyDescent="0.3">
      <c r="A2648" t="s">
        <v>5295</v>
      </c>
      <c r="B2648" t="s">
        <v>13</v>
      </c>
      <c r="C2648" t="s">
        <v>5296</v>
      </c>
      <c r="D2648" t="s">
        <v>15</v>
      </c>
      <c r="E2648" t="s">
        <v>54</v>
      </c>
      <c r="F2648" t="s">
        <v>5297</v>
      </c>
    </row>
    <row r="2649" spans="1:8" x14ac:dyDescent="0.3">
      <c r="A2649" t="s">
        <v>5298</v>
      </c>
      <c r="B2649" t="s">
        <v>9</v>
      </c>
      <c r="C2649" t="s">
        <v>5299</v>
      </c>
      <c r="D2649" t="s">
        <v>15</v>
      </c>
      <c r="E2649" t="s">
        <v>20</v>
      </c>
      <c r="F2649" t="s">
        <v>5300</v>
      </c>
    </row>
    <row r="2650" spans="1:8" hidden="1" x14ac:dyDescent="0.3">
      <c r="A2650" t="s">
        <v>5301</v>
      </c>
      <c r="B2650" t="s">
        <v>11</v>
      </c>
      <c r="E2650" t="s">
        <v>11</v>
      </c>
    </row>
    <row r="2651" spans="1:8" x14ac:dyDescent="0.3">
      <c r="A2651" t="s">
        <v>5302</v>
      </c>
      <c r="B2651" t="s">
        <v>13</v>
      </c>
      <c r="C2651" t="s">
        <v>5303</v>
      </c>
      <c r="D2651" t="s">
        <v>15</v>
      </c>
      <c r="E2651" t="s">
        <v>20</v>
      </c>
      <c r="F2651" t="s">
        <v>2494</v>
      </c>
    </row>
    <row r="2652" spans="1:8" hidden="1" x14ac:dyDescent="0.3">
      <c r="A2652" t="s">
        <v>5304</v>
      </c>
      <c r="B2652" t="s">
        <v>9</v>
      </c>
      <c r="C2652" t="s">
        <v>51</v>
      </c>
      <c r="E2652" t="s">
        <v>54</v>
      </c>
      <c r="F2652" t="s">
        <v>724</v>
      </c>
    </row>
    <row r="2653" spans="1:8" hidden="1" x14ac:dyDescent="0.3">
      <c r="A2653" t="s">
        <v>5305</v>
      </c>
      <c r="B2653" t="s">
        <v>9</v>
      </c>
      <c r="C2653" t="s">
        <v>5306</v>
      </c>
      <c r="D2653" t="s">
        <v>15</v>
      </c>
      <c r="E2653" t="s">
        <v>54</v>
      </c>
      <c r="F2653" t="s">
        <v>5307</v>
      </c>
    </row>
    <row r="2654" spans="1:8" hidden="1" x14ac:dyDescent="0.3">
      <c r="A2654" t="s">
        <v>5308</v>
      </c>
      <c r="B2654" t="s">
        <v>13</v>
      </c>
      <c r="C2654" t="s">
        <v>5309</v>
      </c>
      <c r="D2654" t="s">
        <v>15</v>
      </c>
      <c r="E2654" t="s">
        <v>16</v>
      </c>
      <c r="F2654" t="s">
        <v>5310</v>
      </c>
    </row>
    <row r="2655" spans="1:8" hidden="1" x14ac:dyDescent="0.3">
      <c r="A2655" t="s">
        <v>5311</v>
      </c>
      <c r="B2655" t="s">
        <v>13</v>
      </c>
      <c r="C2655" t="s">
        <v>5312</v>
      </c>
      <c r="E2655" t="s">
        <v>54</v>
      </c>
      <c r="F2655" t="s">
        <v>5313</v>
      </c>
    </row>
    <row r="2656" spans="1:8" hidden="1" x14ac:dyDescent="0.3">
      <c r="A2656" t="s">
        <v>5314</v>
      </c>
      <c r="B2656" t="s">
        <v>11</v>
      </c>
      <c r="E2656" t="s">
        <v>11</v>
      </c>
    </row>
    <row r="2657" spans="1:8" hidden="1" x14ac:dyDescent="0.3">
      <c r="A2657" t="s">
        <v>5315</v>
      </c>
      <c r="B2657" t="s">
        <v>13</v>
      </c>
      <c r="C2657" t="s">
        <v>5316</v>
      </c>
      <c r="E2657" t="s">
        <v>16</v>
      </c>
      <c r="F2657" t="s">
        <v>5317</v>
      </c>
    </row>
    <row r="2658" spans="1:8" hidden="1" x14ac:dyDescent="0.3">
      <c r="A2658" t="s">
        <v>5318</v>
      </c>
      <c r="B2658" t="s">
        <v>9</v>
      </c>
      <c r="C2658" t="s">
        <v>5319</v>
      </c>
      <c r="D2658" t="s">
        <v>15</v>
      </c>
      <c r="E2658" t="s">
        <v>54</v>
      </c>
      <c r="F2658" t="s">
        <v>588</v>
      </c>
    </row>
    <row r="2659" spans="1:8" hidden="1" x14ac:dyDescent="0.3">
      <c r="A2659" t="s">
        <v>5320</v>
      </c>
      <c r="B2659" t="s">
        <v>9</v>
      </c>
      <c r="C2659" t="s">
        <v>5321</v>
      </c>
      <c r="E2659" t="s">
        <v>54</v>
      </c>
      <c r="F2659" t="s">
        <v>5322</v>
      </c>
    </row>
    <row r="2660" spans="1:8" hidden="1" x14ac:dyDescent="0.3">
      <c r="A2660" t="s">
        <v>5323</v>
      </c>
      <c r="B2660" t="s">
        <v>9</v>
      </c>
      <c r="C2660" t="s">
        <v>51</v>
      </c>
      <c r="D2660" t="s">
        <v>15</v>
      </c>
      <c r="E2660" t="s">
        <v>54</v>
      </c>
      <c r="F2660" t="s">
        <v>1638</v>
      </c>
    </row>
    <row r="2661" spans="1:8" hidden="1" x14ac:dyDescent="0.3">
      <c r="A2661" t="s">
        <v>5324</v>
      </c>
      <c r="B2661" t="s">
        <v>13</v>
      </c>
      <c r="C2661" t="s">
        <v>5325</v>
      </c>
      <c r="D2661" t="s">
        <v>15</v>
      </c>
      <c r="E2661" t="s">
        <v>16</v>
      </c>
      <c r="F2661" t="s">
        <v>5326</v>
      </c>
    </row>
    <row r="2662" spans="1:8" hidden="1" x14ac:dyDescent="0.3">
      <c r="A2662" t="s">
        <v>5327</v>
      </c>
      <c r="B2662" t="s">
        <v>9</v>
      </c>
      <c r="C2662" t="s">
        <v>5328</v>
      </c>
      <c r="D2662" t="s">
        <v>15</v>
      </c>
      <c r="E2662" t="s">
        <v>16</v>
      </c>
      <c r="F2662" t="s">
        <v>5329</v>
      </c>
    </row>
    <row r="2663" spans="1:8" hidden="1" x14ac:dyDescent="0.3">
      <c r="A2663" t="s">
        <v>5330</v>
      </c>
      <c r="B2663" t="s">
        <v>197</v>
      </c>
      <c r="C2663" t="s">
        <v>5331</v>
      </c>
      <c r="D2663" t="s">
        <v>15</v>
      </c>
      <c r="E2663" t="s">
        <v>54</v>
      </c>
      <c r="F2663" t="s">
        <v>5332</v>
      </c>
    </row>
    <row r="2664" spans="1:8" hidden="1" x14ac:dyDescent="0.3">
      <c r="A2664" t="s">
        <v>5333</v>
      </c>
      <c r="B2664" t="s">
        <v>9</v>
      </c>
      <c r="C2664" t="s">
        <v>5334</v>
      </c>
      <c r="D2664" t="s">
        <v>15</v>
      </c>
      <c r="E2664" t="s">
        <v>54</v>
      </c>
      <c r="F2664" t="s">
        <v>5335</v>
      </c>
    </row>
    <row r="2665" spans="1:8" x14ac:dyDescent="0.3">
      <c r="A2665" t="s">
        <v>5336</v>
      </c>
      <c r="B2665" t="s">
        <v>11</v>
      </c>
      <c r="E2665" t="s">
        <v>20</v>
      </c>
      <c r="F2665" t="s">
        <v>21</v>
      </c>
    </row>
    <row r="2666" spans="1:8" hidden="1" x14ac:dyDescent="0.3">
      <c r="A2666" t="s">
        <v>5337</v>
      </c>
      <c r="B2666" t="s">
        <v>13</v>
      </c>
      <c r="C2666" t="s">
        <v>5338</v>
      </c>
      <c r="D2666" t="s">
        <v>15</v>
      </c>
      <c r="E2666" t="s">
        <v>54</v>
      </c>
      <c r="F2666" t="s">
        <v>5339</v>
      </c>
      <c r="G2666" t="s">
        <v>15</v>
      </c>
      <c r="H2666" t="s">
        <v>5340</v>
      </c>
    </row>
    <row r="2667" spans="1:8" hidden="1" x14ac:dyDescent="0.3">
      <c r="A2667" t="s">
        <v>5341</v>
      </c>
      <c r="B2667" t="s">
        <v>9</v>
      </c>
      <c r="C2667" t="s">
        <v>5342</v>
      </c>
      <c r="D2667" t="s">
        <v>15</v>
      </c>
      <c r="E2667" t="s">
        <v>54</v>
      </c>
      <c r="F2667" t="s">
        <v>1065</v>
      </c>
      <c r="G2667" t="s">
        <v>15</v>
      </c>
      <c r="H2667" t="s">
        <v>5343</v>
      </c>
    </row>
    <row r="2668" spans="1:8" hidden="1" x14ac:dyDescent="0.3">
      <c r="A2668" t="s">
        <v>5344</v>
      </c>
      <c r="B2668" t="s">
        <v>9</v>
      </c>
      <c r="C2668" t="s">
        <v>5345</v>
      </c>
      <c r="E2668" t="s">
        <v>54</v>
      </c>
      <c r="F2668" t="s">
        <v>5346</v>
      </c>
    </row>
    <row r="2669" spans="1:8" hidden="1" x14ac:dyDescent="0.3">
      <c r="A2669" t="s">
        <v>5347</v>
      </c>
      <c r="B2669" t="s">
        <v>9</v>
      </c>
      <c r="C2669" t="s">
        <v>5348</v>
      </c>
      <c r="E2669" t="s">
        <v>11</v>
      </c>
    </row>
    <row r="2670" spans="1:8" x14ac:dyDescent="0.3">
      <c r="A2670" t="s">
        <v>5349</v>
      </c>
      <c r="B2670" t="s">
        <v>9</v>
      </c>
      <c r="C2670" t="s">
        <v>5350</v>
      </c>
      <c r="E2670" t="s">
        <v>20</v>
      </c>
      <c r="F2670" t="s">
        <v>5351</v>
      </c>
    </row>
    <row r="2671" spans="1:8" x14ac:dyDescent="0.3">
      <c r="A2671" t="s">
        <v>5352</v>
      </c>
      <c r="B2671" t="s">
        <v>9</v>
      </c>
      <c r="C2671" t="s">
        <v>5353</v>
      </c>
      <c r="D2671" t="s">
        <v>15</v>
      </c>
      <c r="E2671" t="s">
        <v>20</v>
      </c>
      <c r="F2671" t="s">
        <v>5354</v>
      </c>
    </row>
    <row r="2672" spans="1:8" hidden="1" x14ac:dyDescent="0.3">
      <c r="A2672" t="s">
        <v>5355</v>
      </c>
      <c r="B2672" t="s">
        <v>13</v>
      </c>
      <c r="C2672" t="s">
        <v>2871</v>
      </c>
      <c r="E2672" t="s">
        <v>11</v>
      </c>
    </row>
    <row r="2673" spans="1:6" x14ac:dyDescent="0.3">
      <c r="A2673" t="s">
        <v>5356</v>
      </c>
      <c r="B2673" t="s">
        <v>9</v>
      </c>
      <c r="C2673" t="s">
        <v>5357</v>
      </c>
      <c r="D2673" t="s">
        <v>15</v>
      </c>
      <c r="E2673" t="s">
        <v>20</v>
      </c>
      <c r="F2673" t="s">
        <v>5300</v>
      </c>
    </row>
    <row r="2674" spans="1:6" hidden="1" x14ac:dyDescent="0.3">
      <c r="A2674" t="s">
        <v>5358</v>
      </c>
      <c r="B2674" t="s">
        <v>9</v>
      </c>
      <c r="C2674" t="s">
        <v>691</v>
      </c>
      <c r="D2674" t="s">
        <v>15</v>
      </c>
      <c r="E2674" t="s">
        <v>54</v>
      </c>
      <c r="F2674" t="s">
        <v>4738</v>
      </c>
    </row>
    <row r="2675" spans="1:6" hidden="1" x14ac:dyDescent="0.3">
      <c r="A2675" t="s">
        <v>5359</v>
      </c>
      <c r="B2675" t="s">
        <v>11</v>
      </c>
      <c r="E2675" t="s">
        <v>11</v>
      </c>
    </row>
    <row r="2676" spans="1:6" hidden="1" x14ac:dyDescent="0.3">
      <c r="A2676" t="s">
        <v>5360</v>
      </c>
      <c r="B2676" t="s">
        <v>9</v>
      </c>
      <c r="C2676" t="s">
        <v>5361</v>
      </c>
      <c r="E2676" t="s">
        <v>11</v>
      </c>
    </row>
    <row r="2677" spans="1:6" hidden="1" x14ac:dyDescent="0.3">
      <c r="A2677" t="s">
        <v>5362</v>
      </c>
      <c r="B2677" t="s">
        <v>13</v>
      </c>
      <c r="C2677" t="s">
        <v>5363</v>
      </c>
      <c r="D2677" t="s">
        <v>15</v>
      </c>
      <c r="E2677" t="s">
        <v>54</v>
      </c>
      <c r="F2677" t="s">
        <v>3863</v>
      </c>
    </row>
    <row r="2678" spans="1:6" x14ac:dyDescent="0.3">
      <c r="A2678" t="s">
        <v>5364</v>
      </c>
      <c r="B2678" t="s">
        <v>13</v>
      </c>
      <c r="C2678" t="s">
        <v>5365</v>
      </c>
      <c r="D2678" t="s">
        <v>15</v>
      </c>
      <c r="E2678" t="s">
        <v>20</v>
      </c>
      <c r="F2678" t="s">
        <v>21</v>
      </c>
    </row>
    <row r="2679" spans="1:6" hidden="1" x14ac:dyDescent="0.3">
      <c r="A2679" t="s">
        <v>5366</v>
      </c>
      <c r="B2679" t="s">
        <v>9</v>
      </c>
      <c r="C2679" t="s">
        <v>5367</v>
      </c>
      <c r="D2679" t="s">
        <v>15</v>
      </c>
      <c r="E2679" t="s">
        <v>54</v>
      </c>
      <c r="F2679" t="s">
        <v>5368</v>
      </c>
    </row>
    <row r="2680" spans="1:6" hidden="1" x14ac:dyDescent="0.3">
      <c r="A2680" t="s">
        <v>5369</v>
      </c>
      <c r="B2680" t="s">
        <v>9</v>
      </c>
      <c r="C2680" t="s">
        <v>5370</v>
      </c>
      <c r="E2680" t="s">
        <v>54</v>
      </c>
      <c r="F2680" t="s">
        <v>302</v>
      </c>
    </row>
    <row r="2681" spans="1:6" hidden="1" x14ac:dyDescent="0.3">
      <c r="A2681" t="s">
        <v>5371</v>
      </c>
      <c r="B2681" t="s">
        <v>9</v>
      </c>
      <c r="C2681" t="s">
        <v>5372</v>
      </c>
      <c r="D2681" t="s">
        <v>15</v>
      </c>
      <c r="E2681" t="s">
        <v>54</v>
      </c>
      <c r="F2681" t="s">
        <v>5368</v>
      </c>
    </row>
    <row r="2682" spans="1:6" hidden="1" x14ac:dyDescent="0.3">
      <c r="A2682" t="s">
        <v>5373</v>
      </c>
      <c r="B2682" t="s">
        <v>9</v>
      </c>
      <c r="C2682" t="s">
        <v>5374</v>
      </c>
      <c r="D2682" t="s">
        <v>15</v>
      </c>
      <c r="E2682" t="s">
        <v>54</v>
      </c>
      <c r="F2682" t="s">
        <v>5375</v>
      </c>
    </row>
    <row r="2683" spans="1:6" hidden="1" x14ac:dyDescent="0.3">
      <c r="A2683" t="s">
        <v>5376</v>
      </c>
      <c r="B2683" t="s">
        <v>13</v>
      </c>
      <c r="C2683" t="s">
        <v>5377</v>
      </c>
      <c r="D2683" t="s">
        <v>15</v>
      </c>
      <c r="E2683" t="s">
        <v>54</v>
      </c>
      <c r="F2683" t="s">
        <v>2963</v>
      </c>
    </row>
    <row r="2684" spans="1:6" hidden="1" x14ac:dyDescent="0.3">
      <c r="A2684" t="s">
        <v>5378</v>
      </c>
      <c r="B2684" t="s">
        <v>13</v>
      </c>
      <c r="C2684" t="s">
        <v>5379</v>
      </c>
      <c r="D2684" t="s">
        <v>15</v>
      </c>
      <c r="E2684" t="s">
        <v>16</v>
      </c>
      <c r="F2684" t="s">
        <v>5380</v>
      </c>
    </row>
    <row r="2685" spans="1:6" hidden="1" x14ac:dyDescent="0.3">
      <c r="A2685" t="s">
        <v>5381</v>
      </c>
      <c r="B2685" t="s">
        <v>11</v>
      </c>
      <c r="E2685" t="s">
        <v>11</v>
      </c>
    </row>
    <row r="2686" spans="1:6" hidden="1" x14ac:dyDescent="0.3">
      <c r="A2686" t="s">
        <v>5382</v>
      </c>
      <c r="B2686" t="s">
        <v>13</v>
      </c>
      <c r="C2686" t="s">
        <v>5383</v>
      </c>
      <c r="D2686" t="s">
        <v>15</v>
      </c>
      <c r="E2686" t="s">
        <v>11</v>
      </c>
    </row>
    <row r="2687" spans="1:6" hidden="1" x14ac:dyDescent="0.3">
      <c r="A2687" t="s">
        <v>5384</v>
      </c>
      <c r="B2687" t="s">
        <v>9</v>
      </c>
      <c r="C2687" t="s">
        <v>5385</v>
      </c>
      <c r="D2687" t="s">
        <v>15</v>
      </c>
      <c r="E2687" t="s">
        <v>54</v>
      </c>
      <c r="F2687" t="s">
        <v>5386</v>
      </c>
    </row>
    <row r="2688" spans="1:6" hidden="1" x14ac:dyDescent="0.3">
      <c r="A2688" t="s">
        <v>5387</v>
      </c>
      <c r="B2688" t="s">
        <v>9</v>
      </c>
      <c r="C2688" t="s">
        <v>5388</v>
      </c>
      <c r="D2688" t="s">
        <v>15</v>
      </c>
      <c r="E2688" t="s">
        <v>54</v>
      </c>
      <c r="F2688" t="s">
        <v>5389</v>
      </c>
    </row>
    <row r="2689" spans="1:6" hidden="1" x14ac:dyDescent="0.3">
      <c r="A2689" t="s">
        <v>5390</v>
      </c>
      <c r="B2689" t="s">
        <v>9</v>
      </c>
      <c r="C2689" t="s">
        <v>51</v>
      </c>
      <c r="D2689" t="s">
        <v>15</v>
      </c>
      <c r="E2689" t="s">
        <v>54</v>
      </c>
      <c r="F2689" t="s">
        <v>5135</v>
      </c>
    </row>
    <row r="2690" spans="1:6" x14ac:dyDescent="0.3">
      <c r="A2690" t="s">
        <v>5391</v>
      </c>
      <c r="B2690" t="s">
        <v>13</v>
      </c>
      <c r="C2690" t="s">
        <v>573</v>
      </c>
      <c r="D2690" t="s">
        <v>15</v>
      </c>
      <c r="E2690" t="s">
        <v>20</v>
      </c>
      <c r="F2690" t="s">
        <v>5392</v>
      </c>
    </row>
    <row r="2691" spans="1:6" hidden="1" x14ac:dyDescent="0.3">
      <c r="A2691" t="s">
        <v>5393</v>
      </c>
      <c r="B2691" t="s">
        <v>9</v>
      </c>
      <c r="C2691" t="s">
        <v>5394</v>
      </c>
      <c r="E2691" t="s">
        <v>54</v>
      </c>
      <c r="F2691" t="s">
        <v>302</v>
      </c>
    </row>
    <row r="2692" spans="1:6" hidden="1" x14ac:dyDescent="0.3">
      <c r="A2692" t="s">
        <v>5395</v>
      </c>
      <c r="B2692" t="s">
        <v>9</v>
      </c>
      <c r="C2692" t="s">
        <v>691</v>
      </c>
      <c r="D2692" t="s">
        <v>15</v>
      </c>
      <c r="E2692" t="s">
        <v>54</v>
      </c>
      <c r="F2692" t="s">
        <v>588</v>
      </c>
    </row>
    <row r="2693" spans="1:6" x14ac:dyDescent="0.3">
      <c r="A2693" t="s">
        <v>5396</v>
      </c>
      <c r="B2693" t="s">
        <v>13</v>
      </c>
      <c r="C2693" t="s">
        <v>5397</v>
      </c>
      <c r="D2693" t="s">
        <v>15</v>
      </c>
      <c r="E2693" t="s">
        <v>20</v>
      </c>
      <c r="F2693" t="s">
        <v>5398</v>
      </c>
    </row>
    <row r="2694" spans="1:6" hidden="1" x14ac:dyDescent="0.3">
      <c r="A2694" t="s">
        <v>5399</v>
      </c>
      <c r="B2694" t="s">
        <v>13</v>
      </c>
      <c r="C2694" t="s">
        <v>112</v>
      </c>
      <c r="D2694" t="s">
        <v>15</v>
      </c>
      <c r="E2694" t="s">
        <v>54</v>
      </c>
      <c r="F2694" t="s">
        <v>5400</v>
      </c>
    </row>
    <row r="2695" spans="1:6" hidden="1" x14ac:dyDescent="0.3">
      <c r="A2695" t="s">
        <v>5401</v>
      </c>
      <c r="B2695" t="s">
        <v>9</v>
      </c>
      <c r="C2695" t="s">
        <v>5402</v>
      </c>
      <c r="E2695" t="s">
        <v>11</v>
      </c>
    </row>
    <row r="2696" spans="1:6" hidden="1" x14ac:dyDescent="0.3">
      <c r="A2696" t="s">
        <v>5403</v>
      </c>
      <c r="B2696" t="s">
        <v>9</v>
      </c>
      <c r="C2696" t="s">
        <v>5404</v>
      </c>
      <c r="D2696" t="s">
        <v>15</v>
      </c>
      <c r="E2696" t="s">
        <v>54</v>
      </c>
      <c r="F2696" t="s">
        <v>2369</v>
      </c>
    </row>
    <row r="2697" spans="1:6" hidden="1" x14ac:dyDescent="0.3">
      <c r="A2697" t="s">
        <v>5405</v>
      </c>
      <c r="B2697" t="s">
        <v>9</v>
      </c>
      <c r="C2697" t="s">
        <v>51</v>
      </c>
      <c r="E2697" t="s">
        <v>54</v>
      </c>
      <c r="F2697" t="s">
        <v>5406</v>
      </c>
    </row>
    <row r="2698" spans="1:6" hidden="1" x14ac:dyDescent="0.3">
      <c r="A2698" t="s">
        <v>5407</v>
      </c>
      <c r="B2698" t="s">
        <v>13</v>
      </c>
      <c r="C2698" t="s">
        <v>5408</v>
      </c>
      <c r="D2698" t="s">
        <v>15</v>
      </c>
      <c r="E2698" t="s">
        <v>54</v>
      </c>
      <c r="F2698" t="s">
        <v>5409</v>
      </c>
    </row>
    <row r="2699" spans="1:6" hidden="1" x14ac:dyDescent="0.3">
      <c r="A2699" t="s">
        <v>5410</v>
      </c>
      <c r="B2699" t="s">
        <v>13</v>
      </c>
      <c r="C2699" t="s">
        <v>5411</v>
      </c>
      <c r="E2699" t="s">
        <v>11</v>
      </c>
    </row>
    <row r="2700" spans="1:6" x14ac:dyDescent="0.3">
      <c r="A2700" t="s">
        <v>5412</v>
      </c>
      <c r="B2700" t="s">
        <v>13</v>
      </c>
      <c r="C2700" t="s">
        <v>4966</v>
      </c>
      <c r="D2700" t="s">
        <v>15</v>
      </c>
      <c r="E2700" t="s">
        <v>20</v>
      </c>
      <c r="F2700" t="s">
        <v>4967</v>
      </c>
    </row>
    <row r="2701" spans="1:6" hidden="1" x14ac:dyDescent="0.3">
      <c r="A2701" t="s">
        <v>5413</v>
      </c>
      <c r="B2701" t="s">
        <v>13</v>
      </c>
      <c r="C2701" t="s">
        <v>5414</v>
      </c>
      <c r="E2701" t="s">
        <v>54</v>
      </c>
      <c r="F2701" t="s">
        <v>1036</v>
      </c>
    </row>
    <row r="2702" spans="1:6" hidden="1" x14ac:dyDescent="0.3">
      <c r="A2702" t="s">
        <v>5415</v>
      </c>
      <c r="B2702" t="s">
        <v>9</v>
      </c>
      <c r="C2702" t="s">
        <v>28</v>
      </c>
      <c r="D2702" t="s">
        <v>15</v>
      </c>
      <c r="E2702" t="s">
        <v>11</v>
      </c>
    </row>
    <row r="2703" spans="1:6" hidden="1" x14ac:dyDescent="0.3">
      <c r="A2703" t="s">
        <v>5416</v>
      </c>
      <c r="B2703" t="s">
        <v>13</v>
      </c>
      <c r="C2703" t="s">
        <v>5417</v>
      </c>
      <c r="E2703" t="s">
        <v>16</v>
      </c>
      <c r="F2703" t="s">
        <v>5418</v>
      </c>
    </row>
    <row r="2704" spans="1:6" hidden="1" x14ac:dyDescent="0.3">
      <c r="A2704" t="s">
        <v>5419</v>
      </c>
      <c r="B2704" t="s">
        <v>9</v>
      </c>
      <c r="C2704" t="s">
        <v>5420</v>
      </c>
      <c r="D2704" t="s">
        <v>15</v>
      </c>
      <c r="E2704" t="s">
        <v>16</v>
      </c>
      <c r="F2704" t="s">
        <v>5421</v>
      </c>
    </row>
    <row r="2705" spans="1:8" x14ac:dyDescent="0.3">
      <c r="A2705" t="s">
        <v>5422</v>
      </c>
      <c r="B2705" t="s">
        <v>9</v>
      </c>
      <c r="C2705" t="s">
        <v>28</v>
      </c>
      <c r="D2705" t="s">
        <v>15</v>
      </c>
      <c r="E2705" t="s">
        <v>20</v>
      </c>
      <c r="F2705" t="s">
        <v>5423</v>
      </c>
    </row>
    <row r="2706" spans="1:8" x14ac:dyDescent="0.3">
      <c r="A2706" t="s">
        <v>5424</v>
      </c>
      <c r="B2706" t="s">
        <v>9</v>
      </c>
      <c r="C2706" t="s">
        <v>5425</v>
      </c>
      <c r="D2706" t="s">
        <v>15</v>
      </c>
      <c r="E2706" t="s">
        <v>20</v>
      </c>
      <c r="F2706" t="s">
        <v>5426</v>
      </c>
    </row>
    <row r="2707" spans="1:8" hidden="1" x14ac:dyDescent="0.3">
      <c r="A2707" t="s">
        <v>5427</v>
      </c>
      <c r="B2707" t="s">
        <v>9</v>
      </c>
      <c r="C2707" t="s">
        <v>5214</v>
      </c>
      <c r="D2707" t="s">
        <v>15</v>
      </c>
      <c r="E2707" t="s">
        <v>11</v>
      </c>
    </row>
    <row r="2708" spans="1:8" x14ac:dyDescent="0.3">
      <c r="A2708" t="s">
        <v>5428</v>
      </c>
      <c r="B2708" t="s">
        <v>13</v>
      </c>
      <c r="C2708" t="s">
        <v>5429</v>
      </c>
      <c r="E2708" t="s">
        <v>20</v>
      </c>
      <c r="F2708" t="s">
        <v>5430</v>
      </c>
    </row>
    <row r="2709" spans="1:8" hidden="1" x14ac:dyDescent="0.3">
      <c r="A2709" t="s">
        <v>5431</v>
      </c>
      <c r="B2709" t="s">
        <v>13</v>
      </c>
      <c r="C2709" t="s">
        <v>5432</v>
      </c>
      <c r="E2709" t="s">
        <v>54</v>
      </c>
      <c r="F2709" t="s">
        <v>5433</v>
      </c>
    </row>
    <row r="2710" spans="1:8" hidden="1" x14ac:dyDescent="0.3">
      <c r="A2710" t="s">
        <v>5434</v>
      </c>
      <c r="B2710" t="s">
        <v>9</v>
      </c>
      <c r="C2710" t="s">
        <v>5435</v>
      </c>
      <c r="D2710" t="s">
        <v>15</v>
      </c>
      <c r="E2710" t="s">
        <v>54</v>
      </c>
      <c r="F2710" t="s">
        <v>588</v>
      </c>
    </row>
    <row r="2711" spans="1:8" hidden="1" x14ac:dyDescent="0.3">
      <c r="A2711" t="s">
        <v>5436</v>
      </c>
      <c r="B2711" t="s">
        <v>13</v>
      </c>
      <c r="C2711" t="s">
        <v>5437</v>
      </c>
      <c r="D2711" t="s">
        <v>15</v>
      </c>
      <c r="E2711" t="s">
        <v>54</v>
      </c>
      <c r="F2711" t="s">
        <v>5438</v>
      </c>
      <c r="G2711" t="s">
        <v>15</v>
      </c>
      <c r="H2711" t="s">
        <v>5439</v>
      </c>
    </row>
    <row r="2712" spans="1:8" x14ac:dyDescent="0.3">
      <c r="A2712" t="s">
        <v>5440</v>
      </c>
      <c r="B2712" t="s">
        <v>9</v>
      </c>
      <c r="C2712" t="s">
        <v>5441</v>
      </c>
      <c r="D2712" t="s">
        <v>15</v>
      </c>
      <c r="E2712" t="s">
        <v>20</v>
      </c>
      <c r="F2712" t="s">
        <v>5442</v>
      </c>
    </row>
    <row r="2713" spans="1:8" hidden="1" x14ac:dyDescent="0.3">
      <c r="A2713" t="s">
        <v>5443</v>
      </c>
      <c r="B2713" t="s">
        <v>13</v>
      </c>
      <c r="C2713" t="s">
        <v>5444</v>
      </c>
      <c r="D2713" t="s">
        <v>15</v>
      </c>
      <c r="E2713" t="s">
        <v>16</v>
      </c>
      <c r="F2713" t="s">
        <v>5445</v>
      </c>
    </row>
    <row r="2714" spans="1:8" x14ac:dyDescent="0.3">
      <c r="A2714" t="s">
        <v>5446</v>
      </c>
      <c r="B2714" t="s">
        <v>9</v>
      </c>
      <c r="C2714" t="s">
        <v>5447</v>
      </c>
      <c r="E2714" t="s">
        <v>20</v>
      </c>
      <c r="F2714" t="s">
        <v>1414</v>
      </c>
    </row>
    <row r="2715" spans="1:8" x14ac:dyDescent="0.3">
      <c r="A2715" t="s">
        <v>5448</v>
      </c>
      <c r="B2715" t="s">
        <v>9</v>
      </c>
      <c r="C2715" t="s">
        <v>5449</v>
      </c>
      <c r="D2715" t="s">
        <v>15</v>
      </c>
      <c r="E2715" t="s">
        <v>20</v>
      </c>
      <c r="F2715" t="s">
        <v>5450</v>
      </c>
    </row>
    <row r="2716" spans="1:8" x14ac:dyDescent="0.3">
      <c r="A2716" t="s">
        <v>5451</v>
      </c>
      <c r="B2716" t="s">
        <v>9</v>
      </c>
      <c r="C2716" t="s">
        <v>5452</v>
      </c>
      <c r="D2716" t="s">
        <v>15</v>
      </c>
      <c r="E2716" t="s">
        <v>20</v>
      </c>
      <c r="F2716" t="s">
        <v>5453</v>
      </c>
    </row>
    <row r="2717" spans="1:8" x14ac:dyDescent="0.3">
      <c r="A2717" t="s">
        <v>5454</v>
      </c>
      <c r="B2717" t="s">
        <v>13</v>
      </c>
      <c r="C2717" t="s">
        <v>5455</v>
      </c>
      <c r="E2717" t="s">
        <v>20</v>
      </c>
      <c r="F2717" t="s">
        <v>5430</v>
      </c>
    </row>
    <row r="2718" spans="1:8" hidden="1" x14ac:dyDescent="0.3">
      <c r="A2718" t="s">
        <v>5456</v>
      </c>
      <c r="B2718" t="s">
        <v>13</v>
      </c>
      <c r="C2718" t="s">
        <v>5457</v>
      </c>
      <c r="E2718" t="s">
        <v>11</v>
      </c>
    </row>
    <row r="2719" spans="1:8" hidden="1" x14ac:dyDescent="0.3">
      <c r="A2719" t="s">
        <v>5458</v>
      </c>
      <c r="B2719" t="s">
        <v>9</v>
      </c>
      <c r="C2719" t="s">
        <v>51</v>
      </c>
      <c r="E2719" t="s">
        <v>54</v>
      </c>
      <c r="F2719" t="s">
        <v>588</v>
      </c>
    </row>
    <row r="2720" spans="1:8" x14ac:dyDescent="0.3">
      <c r="A2720" t="s">
        <v>5459</v>
      </c>
      <c r="B2720" t="s">
        <v>13</v>
      </c>
      <c r="C2720" t="s">
        <v>5460</v>
      </c>
      <c r="D2720" t="s">
        <v>15</v>
      </c>
      <c r="E2720" t="s">
        <v>20</v>
      </c>
      <c r="F2720" t="s">
        <v>5461</v>
      </c>
    </row>
    <row r="2721" spans="1:8" x14ac:dyDescent="0.3">
      <c r="A2721" t="s">
        <v>5462</v>
      </c>
      <c r="B2721" t="s">
        <v>13</v>
      </c>
      <c r="C2721" t="s">
        <v>5463</v>
      </c>
      <c r="E2721" t="s">
        <v>20</v>
      </c>
      <c r="F2721" t="s">
        <v>5464</v>
      </c>
    </row>
    <row r="2722" spans="1:8" hidden="1" x14ac:dyDescent="0.3">
      <c r="A2722" t="s">
        <v>5465</v>
      </c>
      <c r="B2722" t="s">
        <v>9</v>
      </c>
      <c r="C2722" t="s">
        <v>5466</v>
      </c>
      <c r="E2722" t="s">
        <v>11</v>
      </c>
    </row>
    <row r="2723" spans="1:8" hidden="1" x14ac:dyDescent="0.3">
      <c r="A2723" t="s">
        <v>5467</v>
      </c>
      <c r="B2723" t="s">
        <v>9</v>
      </c>
      <c r="C2723" t="s">
        <v>5468</v>
      </c>
      <c r="D2723" t="s">
        <v>15</v>
      </c>
      <c r="E2723" t="s">
        <v>16</v>
      </c>
      <c r="F2723" t="s">
        <v>5469</v>
      </c>
    </row>
    <row r="2724" spans="1:8" hidden="1" x14ac:dyDescent="0.3">
      <c r="A2724" t="s">
        <v>5470</v>
      </c>
      <c r="B2724" t="s">
        <v>13</v>
      </c>
      <c r="C2724" t="s">
        <v>5471</v>
      </c>
      <c r="E2724" t="s">
        <v>54</v>
      </c>
      <c r="F2724" t="s">
        <v>3780</v>
      </c>
      <c r="G2724" t="s">
        <v>15</v>
      </c>
      <c r="H2724" t="s">
        <v>5472</v>
      </c>
    </row>
    <row r="2725" spans="1:8" x14ac:dyDescent="0.3">
      <c r="A2725" t="s">
        <v>5473</v>
      </c>
      <c r="B2725" t="s">
        <v>9</v>
      </c>
      <c r="C2725" t="s">
        <v>5474</v>
      </c>
      <c r="E2725" t="s">
        <v>20</v>
      </c>
      <c r="F2725" t="s">
        <v>5475</v>
      </c>
    </row>
    <row r="2726" spans="1:8" x14ac:dyDescent="0.3">
      <c r="A2726" t="s">
        <v>5476</v>
      </c>
      <c r="B2726" t="s">
        <v>13</v>
      </c>
      <c r="C2726" t="s">
        <v>5477</v>
      </c>
      <c r="D2726" t="s">
        <v>15</v>
      </c>
      <c r="E2726" t="s">
        <v>20</v>
      </c>
      <c r="F2726" t="s">
        <v>5478</v>
      </c>
    </row>
    <row r="2727" spans="1:8" hidden="1" x14ac:dyDescent="0.3">
      <c r="A2727" t="s">
        <v>5479</v>
      </c>
      <c r="B2727" t="s">
        <v>9</v>
      </c>
      <c r="C2727" t="s">
        <v>5480</v>
      </c>
      <c r="D2727" t="s">
        <v>15</v>
      </c>
      <c r="E2727" t="s">
        <v>54</v>
      </c>
      <c r="F2727" t="s">
        <v>1284</v>
      </c>
    </row>
    <row r="2728" spans="1:8" hidden="1" x14ac:dyDescent="0.3">
      <c r="A2728" t="s">
        <v>5481</v>
      </c>
      <c r="B2728" t="s">
        <v>9</v>
      </c>
      <c r="C2728" t="s">
        <v>5482</v>
      </c>
      <c r="D2728" t="s">
        <v>15</v>
      </c>
      <c r="E2728" t="s">
        <v>54</v>
      </c>
      <c r="F2728" t="s">
        <v>2218</v>
      </c>
    </row>
    <row r="2729" spans="1:8" x14ac:dyDescent="0.3">
      <c r="A2729" t="s">
        <v>5483</v>
      </c>
      <c r="B2729" t="s">
        <v>9</v>
      </c>
      <c r="C2729" t="s">
        <v>5484</v>
      </c>
      <c r="D2729" t="s">
        <v>15</v>
      </c>
      <c r="E2729" t="s">
        <v>20</v>
      </c>
      <c r="F2729" t="s">
        <v>5485</v>
      </c>
    </row>
    <row r="2730" spans="1:8" hidden="1" x14ac:dyDescent="0.3">
      <c r="A2730" t="s">
        <v>5486</v>
      </c>
      <c r="B2730" t="s">
        <v>197</v>
      </c>
      <c r="C2730" t="s">
        <v>5487</v>
      </c>
      <c r="D2730" t="s">
        <v>15</v>
      </c>
      <c r="E2730" t="s">
        <v>54</v>
      </c>
      <c r="F2730" t="s">
        <v>5488</v>
      </c>
    </row>
    <row r="2731" spans="1:8" hidden="1" x14ac:dyDescent="0.3">
      <c r="A2731" t="s">
        <v>5489</v>
      </c>
      <c r="B2731" t="s">
        <v>13</v>
      </c>
      <c r="C2731" t="s">
        <v>5490</v>
      </c>
      <c r="E2731" t="s">
        <v>16</v>
      </c>
      <c r="F2731" t="s">
        <v>5491</v>
      </c>
    </row>
    <row r="2732" spans="1:8" hidden="1" x14ac:dyDescent="0.3">
      <c r="A2732" t="s">
        <v>5492</v>
      </c>
      <c r="B2732" t="s">
        <v>9</v>
      </c>
      <c r="C2732" t="s">
        <v>5493</v>
      </c>
      <c r="D2732" t="s">
        <v>15</v>
      </c>
      <c r="E2732" t="s">
        <v>16</v>
      </c>
      <c r="F2732" t="s">
        <v>286</v>
      </c>
    </row>
    <row r="2733" spans="1:8" x14ac:dyDescent="0.3">
      <c r="A2733" t="s">
        <v>5494</v>
      </c>
      <c r="B2733" t="s">
        <v>9</v>
      </c>
      <c r="C2733" t="s">
        <v>5495</v>
      </c>
      <c r="D2733" t="s">
        <v>15</v>
      </c>
      <c r="E2733" t="s">
        <v>20</v>
      </c>
      <c r="F2733" t="s">
        <v>5496</v>
      </c>
    </row>
    <row r="2734" spans="1:8" hidden="1" x14ac:dyDescent="0.3">
      <c r="A2734" t="s">
        <v>5497</v>
      </c>
      <c r="B2734" t="s">
        <v>9</v>
      </c>
      <c r="C2734" t="s">
        <v>5498</v>
      </c>
      <c r="D2734" t="s">
        <v>15</v>
      </c>
      <c r="E2734" t="s">
        <v>16</v>
      </c>
      <c r="F2734" t="s">
        <v>5499</v>
      </c>
    </row>
    <row r="2735" spans="1:8" hidden="1" x14ac:dyDescent="0.3">
      <c r="A2735" t="s">
        <v>5500</v>
      </c>
      <c r="B2735" t="s">
        <v>9</v>
      </c>
      <c r="C2735" t="s">
        <v>5501</v>
      </c>
      <c r="E2735" t="s">
        <v>11</v>
      </c>
    </row>
    <row r="2736" spans="1:8" hidden="1" x14ac:dyDescent="0.3">
      <c r="A2736" t="s">
        <v>5502</v>
      </c>
      <c r="B2736" t="s">
        <v>13</v>
      </c>
      <c r="C2736" t="s">
        <v>5503</v>
      </c>
      <c r="D2736" t="s">
        <v>15</v>
      </c>
      <c r="E2736" t="s">
        <v>54</v>
      </c>
      <c r="F2736" t="s">
        <v>5504</v>
      </c>
    </row>
    <row r="2737" spans="1:6" x14ac:dyDescent="0.3">
      <c r="A2737" t="s">
        <v>5505</v>
      </c>
      <c r="B2737" t="s">
        <v>13</v>
      </c>
      <c r="C2737" t="s">
        <v>5506</v>
      </c>
      <c r="E2737" t="s">
        <v>20</v>
      </c>
      <c r="F2737" t="s">
        <v>5507</v>
      </c>
    </row>
    <row r="2738" spans="1:6" hidden="1" x14ac:dyDescent="0.3">
      <c r="A2738" t="s">
        <v>5508</v>
      </c>
      <c r="B2738" t="s">
        <v>13</v>
      </c>
      <c r="C2738" t="s">
        <v>5509</v>
      </c>
      <c r="D2738" t="s">
        <v>15</v>
      </c>
      <c r="E2738" t="s">
        <v>54</v>
      </c>
      <c r="F2738" t="s">
        <v>4237</v>
      </c>
    </row>
    <row r="2739" spans="1:6" hidden="1" x14ac:dyDescent="0.3">
      <c r="A2739" t="s">
        <v>5510</v>
      </c>
      <c r="B2739" t="s">
        <v>13</v>
      </c>
      <c r="C2739" t="s">
        <v>5511</v>
      </c>
      <c r="D2739" t="s">
        <v>15</v>
      </c>
      <c r="E2739" t="s">
        <v>54</v>
      </c>
      <c r="F2739" t="s">
        <v>588</v>
      </c>
    </row>
    <row r="2740" spans="1:6" hidden="1" x14ac:dyDescent="0.3">
      <c r="A2740" t="s">
        <v>5512</v>
      </c>
      <c r="B2740" t="s">
        <v>11</v>
      </c>
      <c r="E2740" t="s">
        <v>11</v>
      </c>
    </row>
    <row r="2741" spans="1:6" hidden="1" x14ac:dyDescent="0.3">
      <c r="A2741" t="s">
        <v>5513</v>
      </c>
      <c r="B2741" t="s">
        <v>9</v>
      </c>
      <c r="C2741" t="s">
        <v>5514</v>
      </c>
      <c r="E2741" t="s">
        <v>11</v>
      </c>
    </row>
    <row r="2742" spans="1:6" hidden="1" x14ac:dyDescent="0.3">
      <c r="A2742" t="s">
        <v>5515</v>
      </c>
      <c r="B2742" t="s">
        <v>9</v>
      </c>
      <c r="C2742" t="s">
        <v>5516</v>
      </c>
      <c r="D2742" t="s">
        <v>15</v>
      </c>
      <c r="E2742" t="s">
        <v>54</v>
      </c>
      <c r="F2742" t="s">
        <v>5332</v>
      </c>
    </row>
    <row r="2743" spans="1:6" hidden="1" x14ac:dyDescent="0.3">
      <c r="A2743" t="s">
        <v>5517</v>
      </c>
      <c r="B2743" t="s">
        <v>13</v>
      </c>
      <c r="C2743" t="s">
        <v>5518</v>
      </c>
      <c r="D2743" t="s">
        <v>15</v>
      </c>
      <c r="E2743" t="s">
        <v>54</v>
      </c>
      <c r="F2743" t="s">
        <v>5519</v>
      </c>
    </row>
    <row r="2744" spans="1:6" hidden="1" x14ac:dyDescent="0.3">
      <c r="A2744" t="s">
        <v>5520</v>
      </c>
      <c r="B2744" t="s">
        <v>13</v>
      </c>
      <c r="C2744" t="s">
        <v>112</v>
      </c>
      <c r="D2744" t="s">
        <v>15</v>
      </c>
      <c r="E2744" t="s">
        <v>16</v>
      </c>
      <c r="F2744" t="s">
        <v>5521</v>
      </c>
    </row>
    <row r="2745" spans="1:6" x14ac:dyDescent="0.3">
      <c r="A2745" t="s">
        <v>5522</v>
      </c>
      <c r="B2745" t="s">
        <v>9</v>
      </c>
      <c r="C2745" t="s">
        <v>5523</v>
      </c>
      <c r="D2745" t="s">
        <v>15</v>
      </c>
      <c r="E2745" t="s">
        <v>20</v>
      </c>
      <c r="F2745" t="s">
        <v>5524</v>
      </c>
    </row>
    <row r="2746" spans="1:6" hidden="1" x14ac:dyDescent="0.3">
      <c r="A2746" t="s">
        <v>5525</v>
      </c>
      <c r="B2746" t="s">
        <v>9</v>
      </c>
      <c r="C2746" t="s">
        <v>5526</v>
      </c>
      <c r="D2746" t="s">
        <v>15</v>
      </c>
      <c r="E2746" t="s">
        <v>16</v>
      </c>
      <c r="F2746" t="s">
        <v>5527</v>
      </c>
    </row>
    <row r="2747" spans="1:6" hidden="1" x14ac:dyDescent="0.3">
      <c r="A2747" t="s">
        <v>5528</v>
      </c>
      <c r="B2747" t="s">
        <v>9</v>
      </c>
      <c r="C2747" t="s">
        <v>4099</v>
      </c>
      <c r="D2747" t="s">
        <v>15</v>
      </c>
      <c r="E2747" t="s">
        <v>54</v>
      </c>
      <c r="F2747" t="s">
        <v>4100</v>
      </c>
    </row>
    <row r="2748" spans="1:6" x14ac:dyDescent="0.3">
      <c r="A2748" t="s">
        <v>5529</v>
      </c>
      <c r="B2748" t="s">
        <v>9</v>
      </c>
      <c r="C2748" t="s">
        <v>5530</v>
      </c>
      <c r="D2748" t="s">
        <v>15</v>
      </c>
      <c r="E2748" t="s">
        <v>20</v>
      </c>
      <c r="F2748" t="s">
        <v>5531</v>
      </c>
    </row>
    <row r="2749" spans="1:6" hidden="1" x14ac:dyDescent="0.3">
      <c r="A2749" t="s">
        <v>5532</v>
      </c>
      <c r="B2749" t="s">
        <v>13</v>
      </c>
      <c r="C2749" t="s">
        <v>5533</v>
      </c>
      <c r="D2749" t="s">
        <v>15</v>
      </c>
      <c r="E2749" t="s">
        <v>54</v>
      </c>
      <c r="F2749" t="s">
        <v>302</v>
      </c>
    </row>
    <row r="2750" spans="1:6" hidden="1" x14ac:dyDescent="0.3">
      <c r="A2750" t="s">
        <v>5534</v>
      </c>
      <c r="B2750" t="s">
        <v>11</v>
      </c>
      <c r="E2750" t="s">
        <v>54</v>
      </c>
      <c r="F2750" t="s">
        <v>5535</v>
      </c>
    </row>
    <row r="2751" spans="1:6" x14ac:dyDescent="0.3">
      <c r="A2751" t="s">
        <v>5536</v>
      </c>
      <c r="B2751" t="s">
        <v>13</v>
      </c>
      <c r="C2751" t="s">
        <v>5537</v>
      </c>
      <c r="E2751" t="s">
        <v>20</v>
      </c>
      <c r="F2751" t="s">
        <v>5538</v>
      </c>
    </row>
    <row r="2752" spans="1:6" hidden="1" x14ac:dyDescent="0.3">
      <c r="A2752" t="s">
        <v>5539</v>
      </c>
      <c r="B2752" t="s">
        <v>9</v>
      </c>
      <c r="C2752" t="s">
        <v>1873</v>
      </c>
      <c r="E2752" t="s">
        <v>54</v>
      </c>
      <c r="F2752" t="s">
        <v>5540</v>
      </c>
    </row>
    <row r="2753" spans="1:8" hidden="1" x14ac:dyDescent="0.3">
      <c r="A2753" t="s">
        <v>5541</v>
      </c>
      <c r="B2753" t="s">
        <v>11</v>
      </c>
      <c r="E2753" t="s">
        <v>11</v>
      </c>
    </row>
    <row r="2754" spans="1:8" hidden="1" x14ac:dyDescent="0.3">
      <c r="A2754" t="s">
        <v>5542</v>
      </c>
      <c r="B2754" t="s">
        <v>13</v>
      </c>
      <c r="C2754" t="s">
        <v>5543</v>
      </c>
      <c r="D2754" t="s">
        <v>15</v>
      </c>
      <c r="E2754" t="s">
        <v>16</v>
      </c>
      <c r="F2754" t="s">
        <v>1955</v>
      </c>
    </row>
    <row r="2755" spans="1:8" hidden="1" x14ac:dyDescent="0.3">
      <c r="A2755" t="s">
        <v>5544</v>
      </c>
      <c r="B2755" t="s">
        <v>13</v>
      </c>
      <c r="C2755" t="s">
        <v>112</v>
      </c>
      <c r="E2755" t="s">
        <v>54</v>
      </c>
      <c r="F2755" t="s">
        <v>588</v>
      </c>
    </row>
    <row r="2756" spans="1:8" hidden="1" x14ac:dyDescent="0.3">
      <c r="A2756" t="s">
        <v>5545</v>
      </c>
      <c r="B2756" t="s">
        <v>9</v>
      </c>
      <c r="C2756" t="s">
        <v>691</v>
      </c>
      <c r="D2756" t="s">
        <v>15</v>
      </c>
      <c r="E2756" t="s">
        <v>54</v>
      </c>
      <c r="F2756" t="s">
        <v>5546</v>
      </c>
    </row>
    <row r="2757" spans="1:8" hidden="1" x14ac:dyDescent="0.3">
      <c r="A2757" t="s">
        <v>5547</v>
      </c>
      <c r="B2757" t="s">
        <v>11</v>
      </c>
      <c r="E2757" t="s">
        <v>11</v>
      </c>
    </row>
    <row r="2758" spans="1:8" hidden="1" x14ac:dyDescent="0.3">
      <c r="A2758" t="s">
        <v>5548</v>
      </c>
      <c r="B2758" t="s">
        <v>13</v>
      </c>
      <c r="C2758" t="s">
        <v>65</v>
      </c>
      <c r="E2758" t="s">
        <v>11</v>
      </c>
    </row>
    <row r="2759" spans="1:8" hidden="1" x14ac:dyDescent="0.3">
      <c r="A2759" t="s">
        <v>5549</v>
      </c>
      <c r="B2759" t="s">
        <v>13</v>
      </c>
      <c r="C2759" t="s">
        <v>5550</v>
      </c>
      <c r="D2759" t="s">
        <v>15</v>
      </c>
      <c r="E2759" t="s">
        <v>54</v>
      </c>
      <c r="F2759" t="s">
        <v>5551</v>
      </c>
    </row>
    <row r="2760" spans="1:8" hidden="1" x14ac:dyDescent="0.3">
      <c r="A2760" t="s">
        <v>5552</v>
      </c>
      <c r="B2760" t="s">
        <v>9</v>
      </c>
      <c r="C2760" t="s">
        <v>5553</v>
      </c>
      <c r="D2760" t="s">
        <v>15</v>
      </c>
      <c r="E2760" t="s">
        <v>16</v>
      </c>
      <c r="F2760" t="s">
        <v>5554</v>
      </c>
    </row>
    <row r="2761" spans="1:8" x14ac:dyDescent="0.3">
      <c r="A2761" t="s">
        <v>5555</v>
      </c>
      <c r="B2761" t="s">
        <v>197</v>
      </c>
      <c r="C2761" t="s">
        <v>5556</v>
      </c>
      <c r="D2761" t="s">
        <v>15</v>
      </c>
      <c r="E2761" t="s">
        <v>20</v>
      </c>
      <c r="F2761" t="s">
        <v>5557</v>
      </c>
    </row>
    <row r="2762" spans="1:8" x14ac:dyDescent="0.3">
      <c r="A2762" t="s">
        <v>5558</v>
      </c>
      <c r="B2762" t="s">
        <v>9</v>
      </c>
      <c r="C2762" t="s">
        <v>5559</v>
      </c>
      <c r="E2762" t="s">
        <v>20</v>
      </c>
      <c r="F2762" t="s">
        <v>5560</v>
      </c>
    </row>
    <row r="2763" spans="1:8" hidden="1" x14ac:dyDescent="0.3">
      <c r="A2763" t="s">
        <v>5561</v>
      </c>
      <c r="B2763" t="s">
        <v>9</v>
      </c>
      <c r="C2763" t="s">
        <v>5562</v>
      </c>
      <c r="E2763" t="s">
        <v>11</v>
      </c>
    </row>
    <row r="2764" spans="1:8" hidden="1" x14ac:dyDescent="0.3">
      <c r="A2764" t="s">
        <v>5563</v>
      </c>
      <c r="B2764" t="s">
        <v>13</v>
      </c>
      <c r="C2764" t="s">
        <v>5564</v>
      </c>
      <c r="D2764" t="s">
        <v>15</v>
      </c>
      <c r="E2764" t="s">
        <v>54</v>
      </c>
      <c r="F2764" t="s">
        <v>5565</v>
      </c>
    </row>
    <row r="2765" spans="1:8" hidden="1" x14ac:dyDescent="0.3">
      <c r="A2765" t="s">
        <v>5566</v>
      </c>
      <c r="B2765" t="s">
        <v>13</v>
      </c>
      <c r="C2765" t="s">
        <v>5567</v>
      </c>
      <c r="D2765" t="s">
        <v>15</v>
      </c>
      <c r="E2765" t="s">
        <v>16</v>
      </c>
      <c r="F2765" t="s">
        <v>528</v>
      </c>
      <c r="G2765" t="s">
        <v>15</v>
      </c>
      <c r="H2765" t="s">
        <v>5568</v>
      </c>
    </row>
    <row r="2766" spans="1:8" hidden="1" x14ac:dyDescent="0.3">
      <c r="A2766" t="s">
        <v>5569</v>
      </c>
      <c r="B2766" t="s">
        <v>13</v>
      </c>
      <c r="C2766" t="s">
        <v>5570</v>
      </c>
      <c r="D2766" t="s">
        <v>15</v>
      </c>
      <c r="E2766" t="s">
        <v>11</v>
      </c>
    </row>
    <row r="2767" spans="1:8" hidden="1" x14ac:dyDescent="0.3">
      <c r="A2767" t="s">
        <v>5571</v>
      </c>
      <c r="B2767" t="s">
        <v>11</v>
      </c>
      <c r="E2767" t="s">
        <v>11</v>
      </c>
    </row>
    <row r="2768" spans="1:8" hidden="1" x14ac:dyDescent="0.3">
      <c r="A2768" t="s">
        <v>5572</v>
      </c>
      <c r="B2768" t="s">
        <v>9</v>
      </c>
      <c r="C2768" t="s">
        <v>5573</v>
      </c>
      <c r="D2768" t="s">
        <v>15</v>
      </c>
      <c r="E2768" t="s">
        <v>54</v>
      </c>
      <c r="F2768" t="s">
        <v>5574</v>
      </c>
    </row>
    <row r="2769" spans="1:6" x14ac:dyDescent="0.3">
      <c r="A2769" t="s">
        <v>5575</v>
      </c>
      <c r="B2769" t="s">
        <v>9</v>
      </c>
      <c r="C2769" t="s">
        <v>5576</v>
      </c>
      <c r="D2769" t="s">
        <v>15</v>
      </c>
      <c r="E2769" t="s">
        <v>20</v>
      </c>
      <c r="F2769" t="s">
        <v>5577</v>
      </c>
    </row>
    <row r="2770" spans="1:6" hidden="1" x14ac:dyDescent="0.3">
      <c r="A2770" t="s">
        <v>5578</v>
      </c>
      <c r="B2770" t="s">
        <v>9</v>
      </c>
      <c r="C2770" t="s">
        <v>28</v>
      </c>
      <c r="E2770" t="s">
        <v>11</v>
      </c>
    </row>
    <row r="2771" spans="1:6" x14ac:dyDescent="0.3">
      <c r="A2771" t="s">
        <v>5579</v>
      </c>
      <c r="B2771" t="s">
        <v>13</v>
      </c>
      <c r="C2771" t="s">
        <v>5580</v>
      </c>
      <c r="D2771" t="s">
        <v>15</v>
      </c>
      <c r="E2771" t="s">
        <v>20</v>
      </c>
      <c r="F2771" t="s">
        <v>1414</v>
      </c>
    </row>
    <row r="2772" spans="1:6" hidden="1" x14ac:dyDescent="0.3">
      <c r="A2772" t="s">
        <v>5581</v>
      </c>
      <c r="B2772" t="s">
        <v>9</v>
      </c>
      <c r="C2772" t="s">
        <v>5582</v>
      </c>
      <c r="D2772" t="s">
        <v>15</v>
      </c>
      <c r="E2772" t="s">
        <v>54</v>
      </c>
      <c r="F2772" t="s">
        <v>5583</v>
      </c>
    </row>
    <row r="2773" spans="1:6" x14ac:dyDescent="0.3">
      <c r="A2773" t="s">
        <v>5584</v>
      </c>
      <c r="B2773" t="s">
        <v>13</v>
      </c>
      <c r="C2773" t="s">
        <v>5585</v>
      </c>
      <c r="E2773" t="s">
        <v>20</v>
      </c>
      <c r="F2773" t="s">
        <v>5586</v>
      </c>
    </row>
    <row r="2774" spans="1:6" hidden="1" x14ac:dyDescent="0.3">
      <c r="A2774" t="s">
        <v>5587</v>
      </c>
      <c r="B2774" t="s">
        <v>13</v>
      </c>
      <c r="C2774" t="s">
        <v>5588</v>
      </c>
      <c r="E2774" t="s">
        <v>11</v>
      </c>
    </row>
    <row r="2775" spans="1:6" hidden="1" x14ac:dyDescent="0.3">
      <c r="A2775" t="s">
        <v>5589</v>
      </c>
      <c r="B2775" t="s">
        <v>11</v>
      </c>
      <c r="E2775" t="s">
        <v>11</v>
      </c>
    </row>
    <row r="2776" spans="1:6" hidden="1" x14ac:dyDescent="0.3">
      <c r="A2776" t="s">
        <v>5590</v>
      </c>
      <c r="B2776" t="s">
        <v>13</v>
      </c>
      <c r="C2776" t="s">
        <v>5591</v>
      </c>
      <c r="D2776" t="s">
        <v>15</v>
      </c>
      <c r="E2776" t="s">
        <v>54</v>
      </c>
      <c r="F2776" t="s">
        <v>499</v>
      </c>
    </row>
    <row r="2777" spans="1:6" hidden="1" x14ac:dyDescent="0.3">
      <c r="A2777" t="s">
        <v>5592</v>
      </c>
      <c r="B2777" t="s">
        <v>13</v>
      </c>
      <c r="C2777" t="s">
        <v>5593</v>
      </c>
      <c r="D2777" t="s">
        <v>15</v>
      </c>
      <c r="E2777" t="s">
        <v>16</v>
      </c>
      <c r="F2777" t="s">
        <v>5594</v>
      </c>
    </row>
    <row r="2778" spans="1:6" hidden="1" x14ac:dyDescent="0.3">
      <c r="A2778" t="s">
        <v>5595</v>
      </c>
      <c r="B2778" t="s">
        <v>13</v>
      </c>
      <c r="C2778" t="s">
        <v>5596</v>
      </c>
      <c r="D2778" t="s">
        <v>15</v>
      </c>
      <c r="E2778" t="s">
        <v>16</v>
      </c>
      <c r="F2778" t="s">
        <v>5597</v>
      </c>
    </row>
    <row r="2779" spans="1:6" hidden="1" x14ac:dyDescent="0.3">
      <c r="A2779" t="s">
        <v>5598</v>
      </c>
      <c r="B2779" t="s">
        <v>197</v>
      </c>
      <c r="C2779" t="s">
        <v>5599</v>
      </c>
      <c r="D2779" t="s">
        <v>15</v>
      </c>
      <c r="E2779" t="s">
        <v>54</v>
      </c>
      <c r="F2779" t="s">
        <v>5600</v>
      </c>
    </row>
    <row r="2780" spans="1:6" hidden="1" x14ac:dyDescent="0.3">
      <c r="A2780" t="s">
        <v>5601</v>
      </c>
      <c r="B2780" t="s">
        <v>11</v>
      </c>
      <c r="E2780" t="s">
        <v>11</v>
      </c>
    </row>
    <row r="2781" spans="1:6" hidden="1" x14ac:dyDescent="0.3">
      <c r="A2781" t="s">
        <v>5602</v>
      </c>
      <c r="B2781" t="s">
        <v>13</v>
      </c>
      <c r="C2781" t="s">
        <v>5603</v>
      </c>
      <c r="E2781" t="s">
        <v>11</v>
      </c>
    </row>
    <row r="2782" spans="1:6" hidden="1" x14ac:dyDescent="0.3">
      <c r="A2782" t="s">
        <v>5604</v>
      </c>
      <c r="B2782" t="s">
        <v>9</v>
      </c>
      <c r="C2782" t="s">
        <v>5605</v>
      </c>
      <c r="E2782" t="s">
        <v>11</v>
      </c>
    </row>
    <row r="2783" spans="1:6" x14ac:dyDescent="0.3">
      <c r="A2783" t="s">
        <v>5606</v>
      </c>
      <c r="B2783" t="s">
        <v>13</v>
      </c>
      <c r="C2783" t="s">
        <v>5607</v>
      </c>
      <c r="D2783" t="s">
        <v>15</v>
      </c>
      <c r="E2783" t="s">
        <v>20</v>
      </c>
      <c r="F2783" t="s">
        <v>5608</v>
      </c>
    </row>
    <row r="2784" spans="1:6" hidden="1" x14ac:dyDescent="0.3">
      <c r="A2784" t="s">
        <v>5609</v>
      </c>
      <c r="B2784" t="s">
        <v>9</v>
      </c>
      <c r="C2784" t="s">
        <v>5610</v>
      </c>
      <c r="E2784" t="s">
        <v>54</v>
      </c>
      <c r="F2784" t="s">
        <v>5368</v>
      </c>
    </row>
    <row r="2785" spans="1:8" x14ac:dyDescent="0.3">
      <c r="A2785" t="s">
        <v>5611</v>
      </c>
      <c r="B2785" t="s">
        <v>9</v>
      </c>
      <c r="C2785" t="s">
        <v>5612</v>
      </c>
      <c r="D2785" t="s">
        <v>15</v>
      </c>
      <c r="E2785" t="s">
        <v>20</v>
      </c>
      <c r="F2785" t="s">
        <v>5613</v>
      </c>
    </row>
    <row r="2786" spans="1:8" hidden="1" x14ac:dyDescent="0.3">
      <c r="A2786" t="s">
        <v>5614</v>
      </c>
      <c r="B2786" t="s">
        <v>9</v>
      </c>
      <c r="C2786" t="s">
        <v>5615</v>
      </c>
      <c r="D2786" t="s">
        <v>15</v>
      </c>
      <c r="E2786" t="s">
        <v>54</v>
      </c>
      <c r="F2786" t="s">
        <v>5616</v>
      </c>
    </row>
    <row r="2787" spans="1:8" hidden="1" x14ac:dyDescent="0.3">
      <c r="A2787" t="s">
        <v>5617</v>
      </c>
      <c r="B2787" t="s">
        <v>9</v>
      </c>
      <c r="C2787" t="s">
        <v>5618</v>
      </c>
      <c r="D2787" t="s">
        <v>15</v>
      </c>
      <c r="E2787" t="s">
        <v>54</v>
      </c>
      <c r="F2787" t="s">
        <v>5619</v>
      </c>
    </row>
    <row r="2788" spans="1:8" x14ac:dyDescent="0.3">
      <c r="A2788" t="s">
        <v>5620</v>
      </c>
      <c r="B2788" t="s">
        <v>9</v>
      </c>
      <c r="C2788" t="s">
        <v>5621</v>
      </c>
      <c r="E2788" t="s">
        <v>20</v>
      </c>
      <c r="F2788" t="s">
        <v>5622</v>
      </c>
    </row>
    <row r="2789" spans="1:8" hidden="1" x14ac:dyDescent="0.3">
      <c r="A2789" t="s">
        <v>5623</v>
      </c>
      <c r="B2789" t="s">
        <v>9</v>
      </c>
      <c r="C2789" t="s">
        <v>5624</v>
      </c>
      <c r="D2789" t="s">
        <v>15</v>
      </c>
      <c r="E2789" t="s">
        <v>54</v>
      </c>
      <c r="F2789" t="s">
        <v>5625</v>
      </c>
    </row>
    <row r="2790" spans="1:8" x14ac:dyDescent="0.3">
      <c r="A2790" t="s">
        <v>5626</v>
      </c>
      <c r="B2790" t="s">
        <v>13</v>
      </c>
      <c r="C2790" t="s">
        <v>5627</v>
      </c>
      <c r="D2790" t="s">
        <v>15</v>
      </c>
      <c r="E2790" t="s">
        <v>20</v>
      </c>
      <c r="F2790" t="s">
        <v>21</v>
      </c>
    </row>
    <row r="2791" spans="1:8" hidden="1" x14ac:dyDescent="0.3">
      <c r="A2791" t="s">
        <v>5628</v>
      </c>
      <c r="B2791" t="s">
        <v>13</v>
      </c>
      <c r="C2791" t="s">
        <v>5629</v>
      </c>
      <c r="D2791" t="s">
        <v>15</v>
      </c>
      <c r="E2791" t="s">
        <v>16</v>
      </c>
      <c r="F2791" t="s">
        <v>5630</v>
      </c>
      <c r="G2791" t="s">
        <v>15</v>
      </c>
      <c r="H2791" t="s">
        <v>5631</v>
      </c>
    </row>
    <row r="2792" spans="1:8" hidden="1" x14ac:dyDescent="0.3">
      <c r="A2792" t="s">
        <v>5632</v>
      </c>
      <c r="B2792" t="s">
        <v>9</v>
      </c>
      <c r="C2792" t="s">
        <v>5633</v>
      </c>
      <c r="E2792" t="s">
        <v>11</v>
      </c>
    </row>
    <row r="2793" spans="1:8" hidden="1" x14ac:dyDescent="0.3">
      <c r="A2793" t="s">
        <v>5634</v>
      </c>
      <c r="B2793" t="s">
        <v>9</v>
      </c>
      <c r="C2793" t="s">
        <v>5635</v>
      </c>
      <c r="D2793" t="s">
        <v>15</v>
      </c>
      <c r="E2793" t="s">
        <v>16</v>
      </c>
      <c r="F2793" t="s">
        <v>5636</v>
      </c>
    </row>
    <row r="2794" spans="1:8" hidden="1" x14ac:dyDescent="0.3">
      <c r="A2794" t="s">
        <v>5637</v>
      </c>
      <c r="B2794" t="s">
        <v>9</v>
      </c>
      <c r="C2794" t="s">
        <v>5638</v>
      </c>
      <c r="D2794" t="s">
        <v>15</v>
      </c>
      <c r="E2794" t="s">
        <v>54</v>
      </c>
      <c r="F2794" t="s">
        <v>5639</v>
      </c>
    </row>
    <row r="2795" spans="1:8" hidden="1" x14ac:dyDescent="0.3">
      <c r="A2795" t="s">
        <v>5640</v>
      </c>
      <c r="B2795" t="s">
        <v>9</v>
      </c>
      <c r="C2795" t="s">
        <v>5641</v>
      </c>
      <c r="D2795" t="s">
        <v>15</v>
      </c>
      <c r="E2795" t="s">
        <v>54</v>
      </c>
      <c r="F2795" t="s">
        <v>5642</v>
      </c>
    </row>
    <row r="2796" spans="1:8" hidden="1" x14ac:dyDescent="0.3">
      <c r="A2796" t="s">
        <v>5643</v>
      </c>
      <c r="B2796" t="s">
        <v>9</v>
      </c>
      <c r="C2796" t="s">
        <v>5644</v>
      </c>
      <c r="D2796" t="s">
        <v>15</v>
      </c>
      <c r="E2796" t="s">
        <v>54</v>
      </c>
      <c r="F2796" t="s">
        <v>5645</v>
      </c>
    </row>
    <row r="2797" spans="1:8" x14ac:dyDescent="0.3">
      <c r="A2797" t="s">
        <v>5646</v>
      </c>
      <c r="B2797" t="s">
        <v>9</v>
      </c>
      <c r="C2797" t="s">
        <v>5647</v>
      </c>
      <c r="E2797" t="s">
        <v>20</v>
      </c>
      <c r="F2797" t="s">
        <v>5648</v>
      </c>
    </row>
    <row r="2798" spans="1:8" hidden="1" x14ac:dyDescent="0.3">
      <c r="A2798" t="s">
        <v>5649</v>
      </c>
      <c r="B2798" t="s">
        <v>13</v>
      </c>
      <c r="C2798" t="s">
        <v>5650</v>
      </c>
      <c r="D2798" t="s">
        <v>15</v>
      </c>
      <c r="E2798" t="s">
        <v>54</v>
      </c>
      <c r="F2798" t="s">
        <v>5651</v>
      </c>
      <c r="G2798" t="s">
        <v>15</v>
      </c>
      <c r="H2798" t="s">
        <v>5652</v>
      </c>
    </row>
    <row r="2799" spans="1:8" hidden="1" x14ac:dyDescent="0.3">
      <c r="A2799" t="s">
        <v>5653</v>
      </c>
      <c r="B2799" t="s">
        <v>9</v>
      </c>
      <c r="C2799" t="s">
        <v>5654</v>
      </c>
      <c r="E2799" t="s">
        <v>54</v>
      </c>
      <c r="F2799" t="s">
        <v>588</v>
      </c>
    </row>
    <row r="2800" spans="1:8" hidden="1" x14ac:dyDescent="0.3">
      <c r="A2800" t="s">
        <v>5655</v>
      </c>
      <c r="B2800" t="s">
        <v>9</v>
      </c>
      <c r="C2800" t="s">
        <v>5656</v>
      </c>
      <c r="D2800" t="s">
        <v>15</v>
      </c>
      <c r="E2800" t="s">
        <v>54</v>
      </c>
      <c r="F2800" t="s">
        <v>588</v>
      </c>
    </row>
    <row r="2801" spans="1:6" hidden="1" x14ac:dyDescent="0.3">
      <c r="A2801" t="s">
        <v>5657</v>
      </c>
      <c r="B2801" t="s">
        <v>9</v>
      </c>
      <c r="C2801" t="s">
        <v>5658</v>
      </c>
      <c r="E2801" t="s">
        <v>54</v>
      </c>
      <c r="F2801" t="s">
        <v>302</v>
      </c>
    </row>
    <row r="2802" spans="1:6" x14ac:dyDescent="0.3">
      <c r="A2802" t="s">
        <v>5659</v>
      </c>
      <c r="B2802" t="s">
        <v>9</v>
      </c>
      <c r="C2802" t="s">
        <v>5660</v>
      </c>
      <c r="E2802" t="s">
        <v>20</v>
      </c>
      <c r="F2802" t="s">
        <v>5661</v>
      </c>
    </row>
    <row r="2803" spans="1:6" hidden="1" x14ac:dyDescent="0.3">
      <c r="A2803" t="s">
        <v>5662</v>
      </c>
      <c r="B2803" t="s">
        <v>9</v>
      </c>
      <c r="C2803" t="s">
        <v>5253</v>
      </c>
      <c r="D2803" t="s">
        <v>15</v>
      </c>
      <c r="E2803" t="s">
        <v>16</v>
      </c>
      <c r="F2803" t="s">
        <v>5254</v>
      </c>
    </row>
    <row r="2804" spans="1:6" hidden="1" x14ac:dyDescent="0.3">
      <c r="A2804" t="s">
        <v>5663</v>
      </c>
      <c r="B2804" t="s">
        <v>197</v>
      </c>
      <c r="C2804" t="s">
        <v>5664</v>
      </c>
      <c r="D2804" t="s">
        <v>15</v>
      </c>
      <c r="E2804" t="s">
        <v>54</v>
      </c>
      <c r="F2804" t="s">
        <v>5665</v>
      </c>
    </row>
    <row r="2805" spans="1:6" hidden="1" x14ac:dyDescent="0.3">
      <c r="A2805" t="s">
        <v>5666</v>
      </c>
      <c r="B2805" t="s">
        <v>9</v>
      </c>
      <c r="C2805" t="s">
        <v>5667</v>
      </c>
      <c r="D2805" t="s">
        <v>15</v>
      </c>
      <c r="E2805" t="s">
        <v>16</v>
      </c>
      <c r="F2805" t="s">
        <v>5668</v>
      </c>
    </row>
    <row r="2806" spans="1:6" hidden="1" x14ac:dyDescent="0.3">
      <c r="A2806" t="s">
        <v>5669</v>
      </c>
      <c r="B2806" t="s">
        <v>9</v>
      </c>
      <c r="C2806" t="s">
        <v>5670</v>
      </c>
      <c r="D2806" t="s">
        <v>15</v>
      </c>
      <c r="E2806" t="s">
        <v>54</v>
      </c>
      <c r="F2806" t="s">
        <v>5671</v>
      </c>
    </row>
    <row r="2807" spans="1:6" hidden="1" x14ac:dyDescent="0.3">
      <c r="A2807" t="s">
        <v>5672</v>
      </c>
      <c r="B2807" t="s">
        <v>13</v>
      </c>
      <c r="C2807" t="s">
        <v>5673</v>
      </c>
      <c r="D2807" t="s">
        <v>15</v>
      </c>
      <c r="E2807" t="s">
        <v>16</v>
      </c>
      <c r="F2807" t="s">
        <v>5674</v>
      </c>
    </row>
    <row r="2808" spans="1:6" hidden="1" x14ac:dyDescent="0.3">
      <c r="A2808" t="s">
        <v>5675</v>
      </c>
      <c r="B2808" t="s">
        <v>13</v>
      </c>
      <c r="C2808" t="s">
        <v>5676</v>
      </c>
      <c r="D2808" t="s">
        <v>15</v>
      </c>
      <c r="E2808" t="s">
        <v>54</v>
      </c>
      <c r="F2808" t="s">
        <v>1036</v>
      </c>
    </row>
    <row r="2809" spans="1:6" hidden="1" x14ac:dyDescent="0.3">
      <c r="A2809" t="s">
        <v>5677</v>
      </c>
      <c r="B2809" t="s">
        <v>13</v>
      </c>
      <c r="C2809" t="s">
        <v>5678</v>
      </c>
      <c r="D2809" t="s">
        <v>15</v>
      </c>
      <c r="E2809" t="s">
        <v>54</v>
      </c>
      <c r="F2809" t="s">
        <v>5679</v>
      </c>
    </row>
    <row r="2810" spans="1:6" hidden="1" x14ac:dyDescent="0.3">
      <c r="A2810" t="s">
        <v>5680</v>
      </c>
      <c r="B2810" t="s">
        <v>11</v>
      </c>
      <c r="E2810" t="s">
        <v>11</v>
      </c>
    </row>
    <row r="2811" spans="1:6" hidden="1" x14ac:dyDescent="0.3">
      <c r="A2811" t="s">
        <v>5681</v>
      </c>
      <c r="B2811" t="s">
        <v>13</v>
      </c>
      <c r="C2811" t="s">
        <v>112</v>
      </c>
      <c r="E2811" t="s">
        <v>54</v>
      </c>
      <c r="F2811" t="s">
        <v>450</v>
      </c>
    </row>
    <row r="2812" spans="1:6" hidden="1" x14ac:dyDescent="0.3">
      <c r="A2812" t="s">
        <v>5682</v>
      </c>
      <c r="B2812" t="s">
        <v>13</v>
      </c>
      <c r="C2812" t="s">
        <v>576</v>
      </c>
      <c r="E2812" t="s">
        <v>16</v>
      </c>
      <c r="F2812" t="s">
        <v>1955</v>
      </c>
    </row>
    <row r="2813" spans="1:6" hidden="1" x14ac:dyDescent="0.3">
      <c r="A2813" t="s">
        <v>5683</v>
      </c>
      <c r="B2813" t="s">
        <v>9</v>
      </c>
      <c r="C2813" t="s">
        <v>5684</v>
      </c>
      <c r="D2813" t="s">
        <v>15</v>
      </c>
      <c r="E2813" t="s">
        <v>54</v>
      </c>
      <c r="F2813" t="s">
        <v>3606</v>
      </c>
    </row>
    <row r="2814" spans="1:6" hidden="1" x14ac:dyDescent="0.3">
      <c r="A2814" t="s">
        <v>5685</v>
      </c>
      <c r="B2814" t="s">
        <v>9</v>
      </c>
      <c r="C2814" t="s">
        <v>5686</v>
      </c>
      <c r="D2814" t="s">
        <v>15</v>
      </c>
      <c r="E2814" t="s">
        <v>16</v>
      </c>
      <c r="F2814" t="s">
        <v>5687</v>
      </c>
    </row>
    <row r="2815" spans="1:6" x14ac:dyDescent="0.3">
      <c r="A2815" t="s">
        <v>5688</v>
      </c>
      <c r="B2815" t="s">
        <v>197</v>
      </c>
      <c r="C2815" t="s">
        <v>5689</v>
      </c>
      <c r="D2815" t="s">
        <v>15</v>
      </c>
      <c r="E2815" t="s">
        <v>20</v>
      </c>
      <c r="F2815" t="s">
        <v>5690</v>
      </c>
    </row>
    <row r="2816" spans="1:6" hidden="1" x14ac:dyDescent="0.3">
      <c r="A2816" t="s">
        <v>5691</v>
      </c>
      <c r="B2816" t="s">
        <v>13</v>
      </c>
      <c r="C2816" t="s">
        <v>112</v>
      </c>
      <c r="E2816" t="s">
        <v>54</v>
      </c>
      <c r="F2816" t="s">
        <v>5400</v>
      </c>
    </row>
    <row r="2817" spans="1:8" hidden="1" x14ac:dyDescent="0.3">
      <c r="A2817" t="s">
        <v>5692</v>
      </c>
      <c r="B2817" t="s">
        <v>11</v>
      </c>
      <c r="E2817" t="s">
        <v>11</v>
      </c>
    </row>
    <row r="2818" spans="1:8" hidden="1" x14ac:dyDescent="0.3">
      <c r="A2818" t="s">
        <v>5693</v>
      </c>
      <c r="B2818" t="s">
        <v>9</v>
      </c>
      <c r="C2818" t="s">
        <v>5694</v>
      </c>
      <c r="D2818" t="s">
        <v>15</v>
      </c>
      <c r="E2818" t="s">
        <v>54</v>
      </c>
      <c r="F2818" t="s">
        <v>5695</v>
      </c>
      <c r="G2818" t="s">
        <v>15</v>
      </c>
      <c r="H2818" t="s">
        <v>5696</v>
      </c>
    </row>
    <row r="2819" spans="1:8" hidden="1" x14ac:dyDescent="0.3">
      <c r="A2819" t="s">
        <v>5697</v>
      </c>
      <c r="B2819" t="s">
        <v>9</v>
      </c>
      <c r="C2819" t="s">
        <v>5698</v>
      </c>
      <c r="E2819" t="s">
        <v>11</v>
      </c>
    </row>
    <row r="2820" spans="1:8" hidden="1" x14ac:dyDescent="0.3">
      <c r="A2820" t="s">
        <v>5699</v>
      </c>
      <c r="B2820" t="s">
        <v>11</v>
      </c>
      <c r="E2820" t="s">
        <v>54</v>
      </c>
      <c r="F2820" t="s">
        <v>588</v>
      </c>
    </row>
    <row r="2821" spans="1:8" hidden="1" x14ac:dyDescent="0.3">
      <c r="A2821" t="s">
        <v>5700</v>
      </c>
      <c r="B2821" t="s">
        <v>9</v>
      </c>
      <c r="C2821" t="s">
        <v>5701</v>
      </c>
      <c r="D2821" t="s">
        <v>15</v>
      </c>
      <c r="E2821" t="s">
        <v>54</v>
      </c>
      <c r="F2821" t="s">
        <v>5702</v>
      </c>
    </row>
    <row r="2822" spans="1:8" x14ac:dyDescent="0.3">
      <c r="A2822" t="s">
        <v>5703</v>
      </c>
      <c r="B2822" t="s">
        <v>9</v>
      </c>
      <c r="C2822" t="s">
        <v>5704</v>
      </c>
      <c r="E2822" t="s">
        <v>20</v>
      </c>
      <c r="F2822" t="s">
        <v>5705</v>
      </c>
    </row>
    <row r="2823" spans="1:8" hidden="1" x14ac:dyDescent="0.3">
      <c r="A2823" t="s">
        <v>5706</v>
      </c>
      <c r="B2823" t="s">
        <v>11</v>
      </c>
      <c r="E2823" t="s">
        <v>54</v>
      </c>
      <c r="F2823" t="s">
        <v>5707</v>
      </c>
    </row>
    <row r="2824" spans="1:8" x14ac:dyDescent="0.3">
      <c r="A2824" t="s">
        <v>5708</v>
      </c>
      <c r="B2824" t="s">
        <v>9</v>
      </c>
      <c r="C2824" t="s">
        <v>2148</v>
      </c>
      <c r="E2824" t="s">
        <v>20</v>
      </c>
      <c r="F2824" t="s">
        <v>5709</v>
      </c>
    </row>
    <row r="2825" spans="1:8" hidden="1" x14ac:dyDescent="0.3">
      <c r="A2825" t="s">
        <v>5710</v>
      </c>
      <c r="B2825" t="s">
        <v>9</v>
      </c>
      <c r="C2825" t="s">
        <v>5711</v>
      </c>
      <c r="E2825" t="s">
        <v>16</v>
      </c>
      <c r="F2825" t="s">
        <v>5712</v>
      </c>
    </row>
    <row r="2826" spans="1:8" hidden="1" x14ac:dyDescent="0.3">
      <c r="A2826" t="s">
        <v>5713</v>
      </c>
      <c r="B2826" t="s">
        <v>9</v>
      </c>
      <c r="C2826" t="s">
        <v>5714</v>
      </c>
      <c r="D2826" t="s">
        <v>15</v>
      </c>
      <c r="E2826" t="s">
        <v>54</v>
      </c>
      <c r="F2826" t="s">
        <v>5715</v>
      </c>
    </row>
    <row r="2827" spans="1:8" hidden="1" x14ac:dyDescent="0.3">
      <c r="A2827" t="s">
        <v>5716</v>
      </c>
      <c r="B2827" t="s">
        <v>13</v>
      </c>
      <c r="C2827" t="s">
        <v>5717</v>
      </c>
      <c r="E2827" t="s">
        <v>11</v>
      </c>
    </row>
    <row r="2828" spans="1:8" hidden="1" x14ac:dyDescent="0.3">
      <c r="A2828" t="s">
        <v>5718</v>
      </c>
      <c r="B2828" t="s">
        <v>11</v>
      </c>
      <c r="E2828" t="s">
        <v>11</v>
      </c>
    </row>
    <row r="2829" spans="1:8" hidden="1" x14ac:dyDescent="0.3">
      <c r="A2829" t="s">
        <v>5719</v>
      </c>
      <c r="B2829" t="s">
        <v>13</v>
      </c>
      <c r="C2829" t="s">
        <v>5720</v>
      </c>
      <c r="D2829" t="s">
        <v>15</v>
      </c>
      <c r="E2829" t="s">
        <v>16</v>
      </c>
      <c r="F2829" t="s">
        <v>5721</v>
      </c>
      <c r="G2829" t="s">
        <v>15</v>
      </c>
      <c r="H2829" t="s">
        <v>5722</v>
      </c>
    </row>
    <row r="2830" spans="1:8" hidden="1" x14ac:dyDescent="0.3">
      <c r="A2830" t="s">
        <v>5723</v>
      </c>
      <c r="B2830" t="s">
        <v>13</v>
      </c>
      <c r="C2830" t="s">
        <v>5724</v>
      </c>
      <c r="D2830" t="s">
        <v>15</v>
      </c>
      <c r="E2830" t="s">
        <v>16</v>
      </c>
      <c r="F2830" t="s">
        <v>5725</v>
      </c>
    </row>
    <row r="2831" spans="1:8" hidden="1" x14ac:dyDescent="0.3">
      <c r="A2831" t="s">
        <v>5726</v>
      </c>
      <c r="B2831" t="s">
        <v>13</v>
      </c>
      <c r="C2831" t="s">
        <v>5727</v>
      </c>
      <c r="E2831" t="s">
        <v>54</v>
      </c>
      <c r="F2831" t="s">
        <v>1036</v>
      </c>
      <c r="G2831" t="s">
        <v>15</v>
      </c>
      <c r="H2831" t="s">
        <v>5728</v>
      </c>
    </row>
    <row r="2832" spans="1:8" hidden="1" x14ac:dyDescent="0.3">
      <c r="A2832" t="s">
        <v>5729</v>
      </c>
      <c r="B2832" t="s">
        <v>9</v>
      </c>
      <c r="C2832" t="s">
        <v>5730</v>
      </c>
      <c r="E2832" t="s">
        <v>11</v>
      </c>
    </row>
    <row r="2833" spans="1:6" hidden="1" x14ac:dyDescent="0.3">
      <c r="A2833" t="s">
        <v>5731</v>
      </c>
      <c r="B2833" t="s">
        <v>13</v>
      </c>
      <c r="C2833" t="s">
        <v>576</v>
      </c>
      <c r="E2833" t="s">
        <v>54</v>
      </c>
      <c r="F2833" t="s">
        <v>1036</v>
      </c>
    </row>
    <row r="2834" spans="1:6" hidden="1" x14ac:dyDescent="0.3">
      <c r="A2834" t="s">
        <v>5732</v>
      </c>
      <c r="B2834" t="s">
        <v>9</v>
      </c>
      <c r="C2834" t="s">
        <v>691</v>
      </c>
      <c r="D2834" t="s">
        <v>15</v>
      </c>
      <c r="E2834" t="s">
        <v>54</v>
      </c>
      <c r="F2834" t="s">
        <v>588</v>
      </c>
    </row>
    <row r="2835" spans="1:6" x14ac:dyDescent="0.3">
      <c r="A2835" t="s">
        <v>5733</v>
      </c>
      <c r="B2835" t="s">
        <v>9</v>
      </c>
      <c r="C2835" t="s">
        <v>5734</v>
      </c>
      <c r="D2835" t="s">
        <v>15</v>
      </c>
      <c r="E2835" t="s">
        <v>20</v>
      </c>
      <c r="F2835" t="s">
        <v>5735</v>
      </c>
    </row>
  </sheetData>
  <autoFilter ref="A1:H2835" xr:uid="{D93FC017-5C62-490D-84DE-CB12DCA3F40A}">
    <filterColumn colId="4">
      <filters>
        <filter val="none"/>
      </filters>
    </filterColumn>
  </autoFilter>
  <pageMargins left="0.7" right="0.7" top="0.75" bottom="0.75" header="0.3" footer="0.3"/>
  <customProperties>
    <customPr name="AblebitsBackupSheet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dmarc-implementation</vt:lpstr>
      <vt:lpstr>spf-implementation</vt:lpstr>
      <vt:lpstr>counties-percentage-with-dmarc</vt:lpstr>
      <vt:lpstr>Sheet1</vt:lpstr>
      <vt:lpstr>with-counties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Wochna</dc:creator>
  <cp:lastModifiedBy>Michal Wochna - STUDENT</cp:lastModifiedBy>
  <dcterms:created xsi:type="dcterms:W3CDTF">2025-10-12T09:16:39Z</dcterms:created>
  <dcterms:modified xsi:type="dcterms:W3CDTF">2025-10-12T15:51:52Z</dcterms:modified>
</cp:coreProperties>
</file>